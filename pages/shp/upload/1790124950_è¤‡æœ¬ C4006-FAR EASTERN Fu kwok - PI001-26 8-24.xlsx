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ukou-svr\Users\出口\(出口) Colleen\VN出貨115年\NIRWAN\VN TO INDONESIA\20260827 VN TO NIRWANA -COSMOS\"/>
    </mc:Choice>
  </mc:AlternateContent>
  <xr:revisionPtr revIDLastSave="0" documentId="8_{DA721D79-E23A-49AF-8543-3678FA481407}" xr6:coauthVersionLast="47" xr6:coauthVersionMax="47" xr10:uidLastSave="{00000000-0000-0000-0000-000000000000}"/>
  <bookViews>
    <workbookView xWindow="-108" yWindow="-108" windowWidth="23256" windowHeight="12456" tabRatio="878" xr2:uid="{00000000-000D-0000-FFFF-FFFF00000000}"/>
  </bookViews>
  <sheets>
    <sheet name="INV001" sheetId="88" r:id="rId1"/>
    <sheet name="PKL001" sheetId="86" r:id="rId2"/>
  </sheets>
  <definedNames>
    <definedName name="_xlnm.Print_Area" localSheetId="0">'INV001'!$A$1:$K$105</definedName>
    <definedName name="_xlnm.Print_Area" localSheetId="1">'PKL001'!$A$1:$M$110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2" i="86" l="1"/>
  <c r="M102" i="86"/>
  <c r="B102" i="86" l="1"/>
  <c r="B102" i="88" l="1"/>
  <c r="K101" i="88"/>
  <c r="K100" i="88"/>
  <c r="K99" i="88"/>
  <c r="K98" i="88"/>
  <c r="K97" i="88"/>
  <c r="K96" i="88"/>
  <c r="K95" i="88"/>
  <c r="K94" i="88"/>
  <c r="K93" i="88"/>
  <c r="K92" i="88"/>
  <c r="K91" i="88"/>
  <c r="K90" i="88"/>
  <c r="K89" i="88"/>
  <c r="K88" i="88"/>
  <c r="K87" i="88"/>
  <c r="K86" i="88"/>
  <c r="K85" i="88"/>
  <c r="K84" i="88"/>
  <c r="K83" i="88"/>
  <c r="K82" i="88"/>
  <c r="K81" i="88"/>
  <c r="K80" i="88"/>
  <c r="K79" i="88"/>
  <c r="K78" i="88"/>
  <c r="K77" i="88"/>
  <c r="K76" i="88"/>
  <c r="K75" i="88"/>
  <c r="K74" i="88"/>
  <c r="K73" i="88"/>
  <c r="K72" i="88"/>
  <c r="K71" i="88"/>
  <c r="K70" i="88"/>
  <c r="K69" i="88"/>
  <c r="K68" i="88"/>
  <c r="K67" i="88"/>
  <c r="K66" i="88"/>
  <c r="K65" i="88"/>
  <c r="K64" i="88"/>
  <c r="K63" i="88"/>
  <c r="K62" i="88"/>
  <c r="K61" i="88"/>
  <c r="K60" i="88"/>
  <c r="K59" i="88"/>
  <c r="K58" i="88"/>
  <c r="K57" i="88"/>
  <c r="K56" i="88"/>
  <c r="K55" i="88"/>
  <c r="K54" i="88"/>
  <c r="K53" i="88"/>
  <c r="K52" i="88"/>
  <c r="K51" i="88"/>
  <c r="K50" i="88"/>
  <c r="K49" i="88"/>
  <c r="K48" i="88"/>
  <c r="K47" i="88"/>
  <c r="K46" i="88"/>
  <c r="K45" i="88"/>
  <c r="K44" i="88"/>
  <c r="K43" i="88"/>
  <c r="K42" i="88"/>
  <c r="K41" i="88"/>
  <c r="K40" i="88"/>
  <c r="K39" i="88"/>
  <c r="K38" i="88"/>
  <c r="K37" i="88"/>
  <c r="K36" i="88"/>
  <c r="K35" i="88"/>
  <c r="K34" i="88"/>
  <c r="K33" i="88"/>
  <c r="K32" i="88"/>
  <c r="K31" i="88"/>
  <c r="K30" i="88"/>
  <c r="K29" i="88"/>
  <c r="A105" i="88"/>
  <c r="K28" i="88"/>
  <c r="K27" i="88"/>
  <c r="K26" i="88"/>
  <c r="K25" i="88"/>
  <c r="K24" i="88"/>
  <c r="K23" i="88"/>
  <c r="K22" i="88"/>
  <c r="K21" i="88"/>
  <c r="K20" i="88"/>
  <c r="K19" i="88"/>
  <c r="K102" i="88" l="1"/>
  <c r="M102" i="88"/>
  <c r="A105" i="86"/>
</calcChain>
</file>

<file path=xl/sharedStrings.xml><?xml version="1.0" encoding="utf-8"?>
<sst xmlns="http://schemas.openxmlformats.org/spreadsheetml/2006/main" count="1417" uniqueCount="219">
  <si>
    <t xml:space="preserve">    COSMOS KNITTING INTERNATIONAL CO.,LTD</t>
  </si>
  <si>
    <t>INVOICE</t>
    <phoneticPr fontId="2" type="noConversion"/>
  </si>
  <si>
    <t>TO:</t>
  </si>
  <si>
    <t>C/O:</t>
  </si>
  <si>
    <t>Date:</t>
  </si>
  <si>
    <t>MSKH</t>
  </si>
  <si>
    <t>C4006</t>
    <phoneticPr fontId="4" type="noConversion"/>
  </si>
  <si>
    <t>FROM:</t>
  </si>
  <si>
    <t>ORDER NO.</t>
  </si>
  <si>
    <t xml:space="preserve">DATE OF DELIVER     </t>
  </si>
  <si>
    <t>PLACE OF DELIVER</t>
  </si>
  <si>
    <t>TERM OF PAYMENT</t>
  </si>
  <si>
    <t>T/T 60 days after shipment</t>
    <phoneticPr fontId="4" type="noConversion"/>
  </si>
  <si>
    <t>FEPO</t>
  </si>
  <si>
    <t>ORDER QTY</t>
  </si>
  <si>
    <t>DESCRIPTION</t>
    <phoneticPr fontId="5" type="noConversion"/>
  </si>
  <si>
    <t>PDM</t>
  </si>
  <si>
    <t>SEASON</t>
  </si>
  <si>
    <t>COLOR</t>
  </si>
  <si>
    <t>BILL
NO</t>
    <phoneticPr fontId="5" type="noConversion"/>
  </si>
  <si>
    <t>UNIT PRICE</t>
  </si>
  <si>
    <t>AMOUNT</t>
  </si>
  <si>
    <t>NO.</t>
  </si>
  <si>
    <t>USD/PC</t>
    <phoneticPr fontId="5" type="noConversion"/>
  </si>
  <si>
    <t>USD</t>
  </si>
  <si>
    <t>BUYER SIGNATURE &amp; CHOP</t>
  </si>
  <si>
    <t>SELLER'S SIGNATURE &amp; CHOP</t>
  </si>
  <si>
    <t>COSMOS KNITTING INTERNATIONAL CO., LTD</t>
    <phoneticPr fontId="5" type="noConversion"/>
  </si>
  <si>
    <t>PI:</t>
    <phoneticPr fontId="2" type="noConversion"/>
  </si>
  <si>
    <t>EVA</t>
    <phoneticPr fontId="5" type="noConversion"/>
  </si>
  <si>
    <r>
      <t xml:space="preserve">  </t>
    </r>
    <r>
      <rPr>
        <b/>
        <sz val="20"/>
        <color indexed="56"/>
        <rFont val="標楷體"/>
        <family val="4"/>
        <charset val="136"/>
      </rPr>
      <t>寶　輝　國　際　紡　織　有　限　公　司</t>
    </r>
  </si>
  <si>
    <t xml:space="preserve"> Lot D11-D12, Viet Huong Industrial Park, Thuan Giao Ward, Ho Chi Minh City, Vietnam</t>
  </si>
  <si>
    <r>
      <t xml:space="preserve">     TEL : +84 - 274 - 3743186 ~ 88    FAX : +84 - 274- 343189   E - mail : </t>
    </r>
    <r>
      <rPr>
        <b/>
        <u/>
        <sz val="12"/>
        <color indexed="56"/>
        <rFont val="Times New Roman"/>
        <family val="1"/>
      </rPr>
      <t>cosmosw@hcm.vnn.vn</t>
    </r>
  </si>
  <si>
    <t>Y</t>
    <phoneticPr fontId="2" type="noConversion"/>
  </si>
  <si>
    <t>SP 27</t>
    <phoneticPr fontId="2" type="noConversion"/>
  </si>
  <si>
    <t>#114718-1</t>
    <phoneticPr fontId="2" type="noConversion"/>
  </si>
  <si>
    <t>20MM</t>
  </si>
  <si>
    <t>Elastic with silicone dot</t>
  </si>
  <si>
    <t>WHITE</t>
    <phoneticPr fontId="2" type="noConversion"/>
  </si>
  <si>
    <t>BLACK</t>
    <phoneticPr fontId="2" type="noConversion"/>
  </si>
  <si>
    <t>001-26</t>
    <phoneticPr fontId="2" type="noConversion"/>
  </si>
  <si>
    <t>PT. NIRWANA ALABARE GARMENT</t>
    <phoneticPr fontId="4" type="noConversion"/>
  </si>
  <si>
    <t xml:space="preserve">JL. RAYA RANCAEKEK - MAJALAYA NO.289, DESA SOLOKAN JERUK, </t>
    <phoneticPr fontId="0" type="noConversion"/>
  </si>
  <si>
    <t>KEC.SOLOKAN JERUK, KABUPATEN BANDUNG, JAWA BARAT 40382 INDONESIA.</t>
  </si>
  <si>
    <t>TAX Code: 0745 4069 2644 4000      TEL:6222 85962076</t>
    <phoneticPr fontId="5" type="noConversion"/>
  </si>
  <si>
    <t>Cinhui/Lala</t>
    <phoneticPr fontId="4" type="noConversion"/>
  </si>
  <si>
    <t>Fu Kwok Knitting &amp; Garment Co., Ltd.</t>
    <phoneticPr fontId="4" type="noConversion"/>
  </si>
  <si>
    <t>6K060Q01J13</t>
  </si>
  <si>
    <t>Y</t>
    <phoneticPr fontId="3" type="noConversion"/>
  </si>
  <si>
    <t>#114718-1</t>
    <phoneticPr fontId="3" type="noConversion"/>
  </si>
  <si>
    <t>SP 27</t>
    <phoneticPr fontId="3" type="noConversion"/>
  </si>
  <si>
    <t>WHITE</t>
  </si>
  <si>
    <t>6K060Q01T09</t>
  </si>
  <si>
    <t>BLACK</t>
  </si>
  <si>
    <t>6K060Q01O03</t>
  </si>
  <si>
    <t>6K060Q01G20</t>
  </si>
  <si>
    <t>6K060Q01X05</t>
  </si>
  <si>
    <t>6K060Q01J11</t>
  </si>
  <si>
    <t>6K060Q01T03</t>
  </si>
  <si>
    <t>6K060Q01J09</t>
  </si>
  <si>
    <t>6K060Q01A12</t>
  </si>
  <si>
    <t>6K060Q01D04</t>
  </si>
  <si>
    <t>6K060Q01J10</t>
  </si>
  <si>
    <t>6K060Q01X04</t>
  </si>
  <si>
    <t>6K060Q01D06</t>
  </si>
  <si>
    <t>6K060Q01G19</t>
  </si>
  <si>
    <t>6K060Q01G12</t>
  </si>
  <si>
    <t>6K060Q01C06</t>
  </si>
  <si>
    <t>6K060Q01X02</t>
  </si>
  <si>
    <t>6K060Q01G07</t>
  </si>
  <si>
    <t>6K060Q01G13</t>
  </si>
  <si>
    <t>6K060Q01G17</t>
  </si>
  <si>
    <t>6K060Q01G06</t>
  </si>
  <si>
    <t>6K060Q01G01</t>
  </si>
  <si>
    <t>6K060Q01T06</t>
  </si>
  <si>
    <t>6K060Q01D05</t>
  </si>
  <si>
    <t>6K060Q01G11</t>
  </si>
  <si>
    <t>6K060Q01O10</t>
  </si>
  <si>
    <t>6K060Q01O06</t>
  </si>
  <si>
    <t>6K060Q01C08</t>
  </si>
  <si>
    <t>6K060Q01G14</t>
  </si>
  <si>
    <t>6K060Q01T02</t>
  </si>
  <si>
    <t>6K060Q01G15</t>
  </si>
  <si>
    <t>6K060Q01T01</t>
  </si>
  <si>
    <t>6K060Q01T04</t>
  </si>
  <si>
    <t>6K060Q01X03</t>
  </si>
  <si>
    <t>6K060Q01A11</t>
  </si>
  <si>
    <t>6K060Q01V01</t>
  </si>
  <si>
    <t>6K060Q01T08</t>
  </si>
  <si>
    <t>6K060Q01O11</t>
  </si>
  <si>
    <t>6K060Q01G05</t>
  </si>
  <si>
    <t>6K060Q01J12</t>
  </si>
  <si>
    <t>6K060Q01C09</t>
  </si>
  <si>
    <t>6K060Q01D10</t>
  </si>
  <si>
    <t>6K060Q01G09</t>
  </si>
  <si>
    <t>6K060Q01T05</t>
  </si>
  <si>
    <t>6K060Q01D02</t>
  </si>
  <si>
    <t>6K060Q01R02</t>
  </si>
  <si>
    <t>6K060Q01R03</t>
  </si>
  <si>
    <t>6K060Q01O12</t>
  </si>
  <si>
    <t>6K060Q01X01</t>
  </si>
  <si>
    <t>6K060Q01G08</t>
  </si>
  <si>
    <t>6K060Q01O04</t>
  </si>
  <si>
    <t>6K060Q01G10</t>
  </si>
  <si>
    <t>6K060Q01R01</t>
  </si>
  <si>
    <t>6K060Q01G02</t>
  </si>
  <si>
    <t>6K060Q01D07</t>
  </si>
  <si>
    <t>6K060Q01D03</t>
  </si>
  <si>
    <t>6K060Q01Z01</t>
  </si>
  <si>
    <t>6K060Q01D08</t>
  </si>
  <si>
    <t>6K060Q01O05</t>
  </si>
  <si>
    <t>6K060Q01A10</t>
  </si>
  <si>
    <t>6K060Q01A13</t>
  </si>
  <si>
    <t>6K060Q01G16</t>
  </si>
  <si>
    <t>6K060Q01O08</t>
  </si>
  <si>
    <t>6K060Q01G03</t>
  </si>
  <si>
    <t>6K060Q01O07</t>
  </si>
  <si>
    <t>6K060Q01D09</t>
  </si>
  <si>
    <t>6K060Q01G04</t>
  </si>
  <si>
    <t>6K060Q01G18</t>
  </si>
  <si>
    <t>6K060Q01T07</t>
  </si>
  <si>
    <t>6K060Q01O09</t>
  </si>
  <si>
    <t>6K060Q01C07</t>
  </si>
  <si>
    <t>6K060Q01D01</t>
  </si>
  <si>
    <t>CARTON</t>
    <phoneticPr fontId="9" type="noConversion"/>
  </si>
  <si>
    <t>PHÂN LOẠI</t>
  </si>
  <si>
    <t xml:space="preserve">NO </t>
  </si>
  <si>
    <t>WEIGHT KG</t>
  </si>
  <si>
    <t>NW</t>
  </si>
  <si>
    <t>GW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</si>
  <si>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</si>
  <si>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</si>
  <si>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</si>
  <si>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</si>
  <si>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</si>
  <si>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</si>
  <si>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</si>
  <si>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</si>
  <si>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</si>
  <si>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</si>
  <si>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</si>
  <si>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</si>
  <si>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</si>
  <si>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</si>
  <si>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</si>
  <si>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</si>
  <si>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</si>
  <si>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</si>
  <si>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</si>
  <si>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</si>
  <si>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</si>
  <si>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</si>
  <si>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</si>
  <si>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</si>
  <si>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</si>
  <si>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</si>
  <si>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</si>
  <si>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</si>
  <si>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</si>
  <si>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</si>
  <si>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</si>
  <si>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</si>
  <si>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</si>
  <si>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</si>
  <si>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</si>
  <si>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</si>
  <si>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</si>
  <si>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</si>
  <si>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</si>
  <si>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</si>
  <si>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</si>
  <si>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</si>
  <si>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</si>
  <si>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</si>
  <si>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</si>
  <si>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</si>
  <si>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</si>
  <si>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</si>
  <si>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</si>
  <si>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</si>
  <si>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</si>
  <si>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</si>
  <si>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</si>
  <si>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</si>
  <si>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</si>
  <si>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</si>
  <si>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</si>
  <si>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</si>
  <si>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</si>
  <si>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</si>
  <si>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</si>
  <si>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</si>
  <si>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</si>
  <si>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</si>
  <si>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</si>
  <si>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</si>
  <si>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</si>
  <si>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</si>
  <si>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</si>
  <si>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</si>
  <si>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</si>
  <si>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</si>
  <si>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</si>
  <si>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</si>
  <si>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</si>
  <si>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</si>
  <si>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</si>
  <si>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</si>
  <si>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</si>
  <si>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</si>
  <si>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</si>
  <si>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</si>
  <si>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</si>
  <si>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TOTAL</t>
  </si>
  <si>
    <t>65% polyester, 30% Rubber, 5% Silicone</t>
  </si>
  <si>
    <t>6K060Q01</t>
  </si>
  <si>
    <r>
      <t xml:space="preserve">        </t>
    </r>
    <r>
      <rPr>
        <b/>
        <sz val="12"/>
        <color indexed="56"/>
        <rFont val="標楷體"/>
        <family val="4"/>
        <charset val="136"/>
      </rPr>
      <t>越南</t>
    </r>
    <r>
      <rPr>
        <b/>
        <sz val="12"/>
        <color indexed="56"/>
        <rFont val="Times New Roman"/>
        <family val="1"/>
      </rPr>
      <t>,</t>
    </r>
    <r>
      <rPr>
        <b/>
        <sz val="12"/>
        <color indexed="56"/>
        <rFont val="標楷體"/>
        <family val="4"/>
        <charset val="136"/>
      </rPr>
      <t>胡志明市</t>
    </r>
    <r>
      <rPr>
        <b/>
        <sz val="12"/>
        <color indexed="56"/>
        <rFont val="Times New Roman"/>
        <family val="1"/>
      </rPr>
      <t xml:space="preserve">, </t>
    </r>
    <r>
      <rPr>
        <b/>
        <sz val="12"/>
        <color indexed="56"/>
        <rFont val="標楷體"/>
        <family val="4"/>
        <charset val="136"/>
      </rPr>
      <t>顺教区</t>
    </r>
    <r>
      <rPr>
        <b/>
        <sz val="12"/>
        <color indexed="56"/>
        <rFont val="Times New Roman"/>
        <family val="1"/>
      </rPr>
      <t xml:space="preserve"> , </t>
    </r>
    <r>
      <rPr>
        <b/>
        <sz val="12"/>
        <color indexed="56"/>
        <rFont val="標楷體"/>
        <family val="4"/>
        <charset val="136"/>
      </rPr>
      <t>越</t>
    </r>
    <r>
      <rPr>
        <b/>
        <sz val="12"/>
        <color indexed="56"/>
        <rFont val="Times New Roman"/>
        <family val="1"/>
      </rPr>
      <t xml:space="preserve">  </t>
    </r>
    <r>
      <rPr>
        <b/>
        <sz val="12"/>
        <color indexed="56"/>
        <rFont val="標楷體"/>
        <family val="4"/>
        <charset val="136"/>
      </rPr>
      <t>香</t>
    </r>
    <r>
      <rPr>
        <b/>
        <sz val="12"/>
        <color indexed="56"/>
        <rFont val="Times New Roman"/>
        <family val="1"/>
      </rPr>
      <t xml:space="preserve">  </t>
    </r>
    <r>
      <rPr>
        <b/>
        <sz val="12"/>
        <color indexed="56"/>
        <rFont val="標楷體"/>
        <family val="4"/>
        <charset val="136"/>
      </rPr>
      <t>工</t>
    </r>
    <r>
      <rPr>
        <b/>
        <sz val="12"/>
        <color indexed="56"/>
        <rFont val="Times New Roman"/>
        <family val="1"/>
      </rPr>
      <t xml:space="preserve">  </t>
    </r>
    <r>
      <rPr>
        <b/>
        <sz val="12"/>
        <color indexed="56"/>
        <rFont val="標楷體"/>
        <family val="4"/>
        <charset val="136"/>
      </rPr>
      <t>業</t>
    </r>
    <r>
      <rPr>
        <b/>
        <sz val="12"/>
        <color indexed="56"/>
        <rFont val="Times New Roman"/>
        <family val="1"/>
      </rPr>
      <t xml:space="preserve">  </t>
    </r>
    <r>
      <rPr>
        <b/>
        <sz val="12"/>
        <color indexed="56"/>
        <rFont val="標楷體"/>
        <family val="4"/>
        <charset val="136"/>
      </rPr>
      <t>園</t>
    </r>
    <r>
      <rPr>
        <b/>
        <sz val="12"/>
        <color indexed="56"/>
        <rFont val="Times New Roman"/>
        <family val="1"/>
      </rPr>
      <t xml:space="preserve">  </t>
    </r>
    <r>
      <rPr>
        <b/>
        <sz val="12"/>
        <color indexed="56"/>
        <rFont val="標楷體"/>
        <family val="4"/>
        <charset val="136"/>
      </rPr>
      <t>區</t>
    </r>
    <r>
      <rPr>
        <b/>
        <sz val="12"/>
        <color indexed="56"/>
        <rFont val="Times New Roman"/>
        <family val="1"/>
      </rPr>
      <t xml:space="preserve"> ,  D11   ~   12   </t>
    </r>
    <r>
      <rPr>
        <b/>
        <sz val="12"/>
        <color indexed="56"/>
        <rFont val="標楷體"/>
        <family val="4"/>
        <charset val="136"/>
      </rPr>
      <t>座</t>
    </r>
  </si>
  <si>
    <t>C4006-FU KWOK</t>
    <phoneticPr fontId="2" type="noConversion"/>
  </si>
  <si>
    <t>PACKING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</si>
</sst>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.00\ _₫_-;\-* #,##0.00\ _₫_-;_-* &quot;-&quot;??\ _₫_-;_-@_-"/>
    <numFmt numFmtId="177" formatCode="_(* #,##0.00_);_(* \(#,##0.00\);_(* &quot;-&quot;??_);_(@_)"/>
    <numFmt numFmtId="178" formatCode="[$-409]d\-mmm\-yy;@"/>
    <numFmt numFmtId="179" formatCode="_(* #,##0_);_(* \(#,##0\);_(* &quot;-&quot;??_);_(@_)"/>
    <numFmt numFmtId="180" formatCode="#,##0&quot;m/m&quot;"/>
    <numFmt numFmtId="181" formatCode="00"/>
    <numFmt numFmtId="182" formatCode="_-* #,##0_-;\-* #,##0_-;_-* &quot;-&quot;??_-;_-@_-"/>
    <numFmt numFmtId="183" formatCode="#,##0\ &quot;m/m&quot;"/>
    <numFmt numFmtId="184" formatCode="&quot;G&quot;00000"/>
  </numFmts>
  <fonts count="28" x14ac:knownFonts="1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1"/>
      <color theme="1"/>
      <name val="新細明體"/>
      <family val="2"/>
      <scheme val="minor"/>
    </font>
    <font>
      <sz val="9"/>
      <name val="細明體"/>
      <family val="3"/>
      <charset val="136"/>
    </font>
    <font>
      <b/>
      <sz val="12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20"/>
      <color rgb="FF002060"/>
      <name val="Times New Roman"/>
      <family val="1"/>
    </font>
    <font>
      <b/>
      <sz val="20"/>
      <color indexed="56"/>
      <name val="標楷體"/>
      <family val="4"/>
      <charset val="136"/>
    </font>
    <font>
      <b/>
      <sz val="22.5"/>
      <color rgb="FF002060"/>
      <name val="Times New Roman"/>
      <family val="1"/>
    </font>
    <font>
      <b/>
      <sz val="12"/>
      <color rgb="FF002060"/>
      <name val="Times New Roman"/>
      <family val="1"/>
    </font>
    <font>
      <b/>
      <sz val="18"/>
      <color rgb="FF002060"/>
      <name val="Times New Roman"/>
      <family val="1"/>
    </font>
    <font>
      <b/>
      <sz val="19"/>
      <color rgb="FF002060"/>
      <name val="Times New Roman"/>
      <family val="1"/>
    </font>
    <font>
      <b/>
      <sz val="12"/>
      <color indexed="56"/>
      <name val="標楷體"/>
      <family val="4"/>
      <charset val="136"/>
    </font>
    <font>
      <b/>
      <sz val="12"/>
      <color indexed="56"/>
      <name val="Times New Roman"/>
      <family val="1"/>
    </font>
    <font>
      <b/>
      <sz val="9"/>
      <color rgb="FF002060"/>
      <name val="Times New Roman"/>
      <family val="1"/>
    </font>
    <font>
      <b/>
      <u/>
      <sz val="12"/>
      <color indexed="56"/>
      <name val="Times New Roman"/>
      <family val="1"/>
    </font>
    <font>
      <b/>
      <sz val="12"/>
      <color theme="0"/>
      <name val="Times New Roman"/>
      <family val="1"/>
    </font>
    <font>
      <b/>
      <sz val="9"/>
      <color theme="0"/>
      <name val="Times New Roman"/>
      <family val="1"/>
    </font>
    <font>
      <b/>
      <sz val="10"/>
      <name val="Times New Roman"/>
      <family val="1"/>
    </font>
    <font>
      <b/>
      <sz val="10"/>
      <color theme="0"/>
      <name val="Times New Roman"/>
      <family val="1"/>
    </font>
    <font>
      <b/>
      <sz val="20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177" fontId="1" fillId="0" borderId="0" applyFont="0" applyFill="0" applyBorder="0" applyAlignment="0" applyProtection="0"/>
    <xf numFmtId="0" fontId="1" fillId="0" borderId="0"/>
    <xf numFmtId="0" fontId="1" fillId="0" borderId="0"/>
    <xf numFmtId="177" fontId="1" fillId="0" borderId="0" applyFont="0" applyFill="0" applyBorder="0" applyAlignment="0" applyProtection="0"/>
    <xf numFmtId="0" fontId="8" fillId="0" borderId="0" applyNumberFormat="0" applyFill="0" applyBorder="0" applyProtection="0">
      <alignment vertical="center"/>
    </xf>
    <xf numFmtId="43" fontId="7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157">
    <xf numFmtId="0" fontId="0" fillId="0" borderId="0" xfId="0">
      <alignment vertical="center"/>
    </xf>
    <xf numFmtId="0" fontId="6" fillId="0" borderId="7" xfId="2" applyFont="1" applyBorder="1"/>
    <xf numFmtId="0" fontId="12" fillId="2" borderId="0" xfId="10" applyFont="1" applyFill="1" applyAlignment="1"/>
    <xf numFmtId="0" fontId="13" fillId="2" borderId="0" xfId="10" applyFont="1" applyFill="1" applyAlignment="1"/>
    <xf numFmtId="0" fontId="15" fillId="2" borderId="0" xfId="10" applyFont="1" applyFill="1">
      <alignment vertical="center"/>
    </xf>
    <xf numFmtId="0" fontId="18" fillId="2" borderId="0" xfId="10" applyFont="1" applyFill="1">
      <alignment vertical="center"/>
    </xf>
    <xf numFmtId="0" fontId="18" fillId="2" borderId="0" xfId="10" applyFont="1" applyFill="1" applyAlignment="1"/>
    <xf numFmtId="0" fontId="6" fillId="0" borderId="11" xfId="3" applyFont="1" applyBorder="1" applyAlignment="1">
      <alignment horizontal="center" vertical="center" shrinkToFit="1"/>
    </xf>
    <xf numFmtId="0" fontId="20" fillId="2" borderId="0" xfId="10" applyFont="1" applyFill="1" applyAlignment="1"/>
    <xf numFmtId="0" fontId="21" fillId="2" borderId="0" xfId="10" applyFont="1" applyFill="1" applyAlignment="1"/>
    <xf numFmtId="0" fontId="25" fillId="0" borderId="0" xfId="2" applyFont="1" applyAlignment="1">
      <alignment vertical="center"/>
    </xf>
    <xf numFmtId="0" fontId="20" fillId="0" borderId="0" xfId="2" applyFont="1" applyAlignment="1">
      <alignment vertical="center"/>
    </xf>
    <xf numFmtId="0" fontId="26" fillId="0" borderId="0" xfId="2" applyFont="1" applyAlignment="1">
      <alignment horizontal="center"/>
    </xf>
    <xf numFmtId="0" fontId="26" fillId="0" borderId="0" xfId="2" applyFont="1"/>
    <xf numFmtId="0" fontId="6" fillId="0" borderId="0" xfId="2" applyFont="1" applyAlignment="1">
      <alignment horizontal="left"/>
    </xf>
    <xf numFmtId="178" fontId="26" fillId="0" borderId="0" xfId="2" applyNumberFormat="1" applyFont="1"/>
    <xf numFmtId="0" fontId="26" fillId="0" borderId="1" xfId="2" applyFont="1" applyBorder="1" applyAlignment="1">
      <alignment horizontal="center"/>
    </xf>
    <xf numFmtId="0" fontId="26" fillId="0" borderId="1" xfId="2" applyFont="1" applyBorder="1" applyAlignment="1">
      <alignment horizontal="left"/>
    </xf>
    <xf numFmtId="0" fontId="26" fillId="0" borderId="1" xfId="2" applyFont="1" applyBorder="1"/>
    <xf numFmtId="0" fontId="25" fillId="0" borderId="0" xfId="0" applyFont="1">
      <alignment vertical="center"/>
    </xf>
    <xf numFmtId="0" fontId="22" fillId="0" borderId="0" xfId="2" applyFont="1" applyAlignment="1">
      <alignment vertical="center"/>
    </xf>
    <xf numFmtId="0" fontId="26" fillId="0" borderId="2" xfId="2" applyFont="1" applyBorder="1" applyAlignment="1">
      <alignment horizontal="left"/>
    </xf>
    <xf numFmtId="15" fontId="26" fillId="0" borderId="0" xfId="2" applyNumberFormat="1" applyFont="1"/>
    <xf numFmtId="0" fontId="6" fillId="0" borderId="0" xfId="2" applyFont="1" applyAlignment="1">
      <alignment horizontal="center"/>
    </xf>
    <xf numFmtId="0" fontId="6" fillId="0" borderId="0" xfId="2" applyFont="1"/>
    <xf numFmtId="0" fontId="26" fillId="0" borderId="0" xfId="2" applyFont="1" applyAlignment="1">
      <alignment horizontal="left"/>
    </xf>
    <xf numFmtId="0" fontId="26" fillId="0" borderId="0" xfId="3" applyFont="1" applyAlignment="1">
      <alignment horizontal="left"/>
    </xf>
    <xf numFmtId="0" fontId="25" fillId="0" borderId="0" xfId="2" applyFont="1"/>
    <xf numFmtId="0" fontId="23" fillId="0" borderId="0" xfId="2" applyFont="1" applyAlignment="1">
      <alignment vertical="center"/>
    </xf>
    <xf numFmtId="0" fontId="22" fillId="0" borderId="0" xfId="2" applyFont="1" applyAlignment="1">
      <alignment horizontal="center" vertical="center"/>
    </xf>
    <xf numFmtId="0" fontId="6" fillId="0" borderId="1" xfId="2" applyFont="1" applyBorder="1" applyAlignment="1">
      <alignment horizontal="center"/>
    </xf>
    <xf numFmtId="0" fontId="20" fillId="0" borderId="0" xfId="2" applyFont="1"/>
    <xf numFmtId="178" fontId="6" fillId="0" borderId="0" xfId="2" applyNumberFormat="1" applyFont="1"/>
    <xf numFmtId="178" fontId="6" fillId="0" borderId="0" xfId="2" applyNumberFormat="1" applyFont="1" applyAlignment="1">
      <alignment horizontal="center"/>
    </xf>
    <xf numFmtId="0" fontId="6" fillId="0" borderId="1" xfId="2" applyFont="1" applyBorder="1" applyAlignment="1">
      <alignment horizontal="left"/>
    </xf>
    <xf numFmtId="0" fontId="6" fillId="0" borderId="1" xfId="2" applyFont="1" applyBorder="1"/>
    <xf numFmtId="0" fontId="6" fillId="0" borderId="0" xfId="2" applyFont="1" applyAlignment="1">
      <alignment vertical="center"/>
    </xf>
    <xf numFmtId="0" fontId="6" fillId="0" borderId="2" xfId="2" applyFont="1" applyBorder="1" applyAlignment="1">
      <alignment horizontal="left"/>
    </xf>
    <xf numFmtId="15" fontId="6" fillId="0" borderId="0" xfId="2" applyNumberFormat="1" applyFont="1"/>
    <xf numFmtId="15" fontId="6" fillId="0" borderId="0" xfId="2" applyNumberFormat="1" applyFont="1" applyAlignment="1">
      <alignment horizontal="left"/>
    </xf>
    <xf numFmtId="0" fontId="6" fillId="0" borderId="0" xfId="2" applyFont="1" applyAlignment="1">
      <alignment wrapText="1"/>
    </xf>
    <xf numFmtId="0" fontId="6" fillId="0" borderId="0" xfId="2" applyFont="1" applyAlignment="1">
      <alignment horizontal="center" wrapText="1"/>
    </xf>
    <xf numFmtId="0" fontId="6" fillId="0" borderId="0" xfId="3" applyFont="1" applyAlignment="1">
      <alignment horizontal="left"/>
    </xf>
    <xf numFmtId="0" fontId="6" fillId="0" borderId="0" xfId="2" applyFont="1" applyAlignment="1">
      <alignment horizontal="center" vertical="center"/>
    </xf>
    <xf numFmtId="0" fontId="20" fillId="0" borderId="0" xfId="0" applyFont="1" applyAlignment="1">
      <alignment horizontal="center" vertical="center" shrinkToFit="1"/>
    </xf>
    <xf numFmtId="49" fontId="6" fillId="0" borderId="0" xfId="2" applyNumberFormat="1" applyFont="1" applyAlignment="1">
      <alignment shrinkToFit="1"/>
    </xf>
    <xf numFmtId="0" fontId="6" fillId="0" borderId="2" xfId="2" applyFont="1" applyBorder="1" applyAlignment="1">
      <alignment vertical="center"/>
    </xf>
    <xf numFmtId="183" fontId="6" fillId="0" borderId="2" xfId="2" applyNumberFormat="1" applyFont="1" applyBorder="1" applyAlignment="1">
      <alignment horizontal="right"/>
    </xf>
    <xf numFmtId="0" fontId="6" fillId="0" borderId="2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center"/>
    </xf>
    <xf numFmtId="0" fontId="6" fillId="0" borderId="4" xfId="2" applyFont="1" applyBorder="1" applyAlignment="1">
      <alignment horizontal="center" shrinkToFit="1"/>
    </xf>
    <xf numFmtId="0" fontId="6" fillId="0" borderId="4" xfId="2" applyFont="1" applyBorder="1" applyAlignment="1">
      <alignment horizontal="center" vertical="center" shrinkToFit="1"/>
    </xf>
    <xf numFmtId="0" fontId="6" fillId="0" borderId="0" xfId="2" applyFont="1" applyAlignment="1">
      <alignment horizontal="center" vertical="center" shrinkToFit="1"/>
    </xf>
    <xf numFmtId="0" fontId="6" fillId="0" borderId="8" xfId="2" applyFont="1" applyBorder="1" applyAlignment="1">
      <alignment horizontal="center" shrinkToFit="1"/>
    </xf>
    <xf numFmtId="0" fontId="6" fillId="0" borderId="8" xfId="2" applyFont="1" applyBorder="1" applyAlignment="1">
      <alignment horizontal="center" vertical="center" shrinkToFit="1"/>
    </xf>
    <xf numFmtId="0" fontId="6" fillId="0" borderId="11" xfId="2" applyFont="1" applyBorder="1" applyAlignment="1">
      <alignment horizontal="center" vertical="center" shrinkToFit="1"/>
    </xf>
    <xf numFmtId="179" fontId="25" fillId="0" borderId="11" xfId="4" applyNumberFormat="1" applyFont="1" applyBorder="1" applyAlignment="1">
      <alignment horizontal="center" vertical="center" shrinkToFit="1"/>
    </xf>
    <xf numFmtId="180" fontId="6" fillId="0" borderId="11" xfId="3" applyNumberFormat="1" applyFont="1" applyBorder="1" applyAlignment="1">
      <alignment horizontal="center" vertical="center" shrinkToFit="1"/>
    </xf>
    <xf numFmtId="181" fontId="6" fillId="0" borderId="11" xfId="3" applyNumberFormat="1" applyFont="1" applyBorder="1" applyAlignment="1">
      <alignment horizontal="center" vertical="center" shrinkToFit="1"/>
    </xf>
    <xf numFmtId="177" fontId="6" fillId="0" borderId="11" xfId="1" applyFont="1" applyBorder="1" applyAlignment="1">
      <alignment horizontal="center" shrinkToFit="1"/>
    </xf>
    <xf numFmtId="182" fontId="6" fillId="0" borderId="11" xfId="4" applyNumberFormat="1" applyFont="1" applyBorder="1" applyAlignment="1">
      <alignment horizontal="right" shrinkToFit="1"/>
    </xf>
    <xf numFmtId="177" fontId="6" fillId="0" borderId="11" xfId="4" applyFont="1" applyBorder="1" applyAlignment="1">
      <alignment horizontal="center" shrinkToFit="1"/>
    </xf>
    <xf numFmtId="0" fontId="20" fillId="0" borderId="0" xfId="2" applyFont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177" fontId="20" fillId="0" borderId="0" xfId="1" applyFont="1" applyAlignment="1">
      <alignment horizontal="center" vertical="center" shrinkToFit="1"/>
    </xf>
    <xf numFmtId="184" fontId="6" fillId="0" borderId="11" xfId="0" applyNumberFormat="1" applyFont="1" applyBorder="1" applyAlignment="1">
      <alignment horizontal="center" shrinkToFit="1"/>
    </xf>
    <xf numFmtId="177" fontId="20" fillId="0" borderId="0" xfId="1" quotePrefix="1" applyFont="1" applyAlignment="1">
      <alignment horizontal="center" vertical="center" shrinkToFit="1"/>
    </xf>
    <xf numFmtId="44" fontId="6" fillId="0" borderId="0" xfId="2" applyNumberFormat="1" applyFont="1" applyAlignment="1">
      <alignment horizontal="center" vertical="center" shrinkToFit="1"/>
    </xf>
    <xf numFmtId="0" fontId="6" fillId="0" borderId="11" xfId="3" applyFont="1" applyBorder="1" applyAlignment="1">
      <alignment horizontal="right" vertical="center" shrinkToFit="1"/>
    </xf>
    <xf numFmtId="0" fontId="6" fillId="0" borderId="11" xfId="2" applyFont="1" applyBorder="1" applyAlignment="1">
      <alignment horizontal="right" vertical="center" shrinkToFit="1"/>
    </xf>
    <xf numFmtId="2" fontId="6" fillId="0" borderId="8" xfId="2" applyNumberFormat="1" applyFont="1" applyBorder="1" applyAlignment="1">
      <alignment horizontal="center" vertical="center" shrinkToFit="1"/>
    </xf>
    <xf numFmtId="0" fontId="27" fillId="0" borderId="0" xfId="0" applyFont="1">
      <alignment vertical="center"/>
    </xf>
    <xf numFmtId="0" fontId="26" fillId="0" borderId="0" xfId="2" applyFont="1" applyAlignment="1">
      <alignment vertical="center"/>
    </xf>
    <xf numFmtId="15" fontId="26" fillId="0" borderId="0" xfId="2" applyNumberFormat="1" applyFont="1" applyAlignment="1">
      <alignment horizontal="left"/>
    </xf>
    <xf numFmtId="0" fontId="26" fillId="0" borderId="0" xfId="2" applyFont="1" applyAlignment="1">
      <alignment wrapText="1"/>
    </xf>
    <xf numFmtId="0" fontId="26" fillId="0" borderId="0" xfId="2" applyFont="1" applyAlignment="1">
      <alignment horizontal="center" wrapText="1"/>
    </xf>
    <xf numFmtId="0" fontId="27" fillId="0" borderId="0" xfId="2" applyFont="1"/>
    <xf numFmtId="0" fontId="26" fillId="0" borderId="11" xfId="3" applyFont="1" applyBorder="1" applyAlignment="1">
      <alignment horizontal="center" vertical="center" shrinkToFit="1"/>
    </xf>
    <xf numFmtId="0" fontId="26" fillId="0" borderId="0" xfId="2" applyFont="1" applyAlignment="1">
      <alignment horizontal="center" vertical="center"/>
    </xf>
    <xf numFmtId="184" fontId="26" fillId="2" borderId="11" xfId="0" applyNumberFormat="1" applyFont="1" applyFill="1" applyBorder="1" applyAlignment="1">
      <alignment shrinkToFit="1"/>
    </xf>
    <xf numFmtId="184" fontId="26" fillId="0" borderId="11" xfId="0" applyNumberFormat="1" applyFont="1" applyBorder="1" applyAlignment="1">
      <alignment shrinkToFit="1"/>
    </xf>
    <xf numFmtId="0" fontId="26" fillId="0" borderId="7" xfId="2" applyFont="1" applyBorder="1"/>
    <xf numFmtId="49" fontId="26" fillId="0" borderId="0" xfId="2" applyNumberFormat="1" applyFont="1" applyAlignment="1">
      <alignment shrinkToFit="1"/>
    </xf>
    <xf numFmtId="0" fontId="26" fillId="0" borderId="2" xfId="2" applyFont="1" applyBorder="1" applyAlignment="1">
      <alignment vertical="center"/>
    </xf>
    <xf numFmtId="183" fontId="26" fillId="0" borderId="2" xfId="2" applyNumberFormat="1" applyFont="1" applyBorder="1" applyAlignment="1">
      <alignment horizontal="right"/>
    </xf>
    <xf numFmtId="0" fontId="26" fillId="0" borderId="2" xfId="2" applyFont="1" applyBorder="1" applyAlignment="1">
      <alignment horizontal="center" vertical="center" wrapText="1"/>
    </xf>
    <xf numFmtId="0" fontId="26" fillId="0" borderId="2" xfId="2" applyFont="1" applyBorder="1" applyAlignment="1">
      <alignment horizontal="left" vertical="center" wrapText="1"/>
    </xf>
    <xf numFmtId="0" fontId="26" fillId="0" borderId="2" xfId="2" applyFont="1" applyBorder="1" applyAlignment="1">
      <alignment horizontal="center"/>
    </xf>
    <xf numFmtId="0" fontId="26" fillId="0" borderId="4" xfId="2" applyFont="1" applyBorder="1" applyAlignment="1">
      <alignment horizontal="center" shrinkToFit="1"/>
    </xf>
    <xf numFmtId="0" fontId="26" fillId="0" borderId="0" xfId="2" applyFont="1" applyAlignment="1">
      <alignment horizontal="center" vertical="center" shrinkToFit="1"/>
    </xf>
    <xf numFmtId="0" fontId="26" fillId="0" borderId="0" xfId="2" applyFont="1" applyAlignment="1">
      <alignment vertical="center" shrinkToFit="1"/>
    </xf>
    <xf numFmtId="0" fontId="27" fillId="0" borderId="0" xfId="0" applyFont="1" applyAlignment="1">
      <alignment vertical="center" shrinkToFit="1"/>
    </xf>
    <xf numFmtId="0" fontId="26" fillId="0" borderId="8" xfId="2" applyFont="1" applyBorder="1" applyAlignment="1">
      <alignment horizontal="center" shrinkToFit="1"/>
    </xf>
    <xf numFmtId="177" fontId="27" fillId="0" borderId="0" xfId="1" applyFont="1" applyAlignment="1">
      <alignment vertical="center" shrinkToFit="1"/>
    </xf>
    <xf numFmtId="0" fontId="26" fillId="2" borderId="11" xfId="3" applyFont="1" applyFill="1" applyBorder="1" applyAlignment="1">
      <alignment horizontal="center" vertical="center" shrinkToFit="1"/>
    </xf>
    <xf numFmtId="179" fontId="27" fillId="2" borderId="11" xfId="4" applyNumberFormat="1" applyFont="1" applyFill="1" applyBorder="1" applyAlignment="1">
      <alignment horizontal="center" vertical="center" shrinkToFit="1"/>
    </xf>
    <xf numFmtId="180" fontId="26" fillId="2" borderId="11" xfId="3" applyNumberFormat="1" applyFont="1" applyFill="1" applyBorder="1" applyAlignment="1">
      <alignment horizontal="center" vertical="center" shrinkToFit="1"/>
    </xf>
    <xf numFmtId="181" fontId="26" fillId="2" borderId="11" xfId="3" applyNumberFormat="1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vertical="center" shrinkToFit="1"/>
    </xf>
    <xf numFmtId="0" fontId="26" fillId="0" borderId="0" xfId="2" quotePrefix="1" applyFont="1" applyAlignment="1">
      <alignment horizontal="center" vertical="center" shrinkToFit="1"/>
    </xf>
    <xf numFmtId="0" fontId="26" fillId="0" borderId="11" xfId="2" applyFont="1" applyBorder="1" applyAlignment="1">
      <alignment horizontal="center" vertical="center" shrinkToFit="1"/>
    </xf>
    <xf numFmtId="179" fontId="27" fillId="0" borderId="11" xfId="4" applyNumberFormat="1" applyFont="1" applyBorder="1" applyAlignment="1">
      <alignment horizontal="center" vertical="center" shrinkToFit="1"/>
    </xf>
    <xf numFmtId="180" fontId="26" fillId="0" borderId="11" xfId="3" applyNumberFormat="1" applyFont="1" applyBorder="1" applyAlignment="1">
      <alignment horizontal="center" vertical="center" shrinkToFit="1"/>
    </xf>
    <xf numFmtId="181" fontId="26" fillId="0" borderId="11" xfId="3" applyNumberFormat="1" applyFont="1" applyBorder="1" applyAlignment="1">
      <alignment horizontal="center" vertical="center" shrinkToFit="1"/>
    </xf>
    <xf numFmtId="182" fontId="26" fillId="0" borderId="11" xfId="4" applyNumberFormat="1" applyFont="1" applyBorder="1" applyAlignment="1">
      <alignment horizontal="right" shrinkToFit="1"/>
    </xf>
    <xf numFmtId="0" fontId="26" fillId="0" borderId="12" xfId="2" applyFont="1" applyBorder="1" applyAlignment="1">
      <alignment horizontal="center" shrinkToFit="1"/>
    </xf>
    <xf numFmtId="0" fontId="26" fillId="0" borderId="11" xfId="2" applyFont="1" applyBorder="1" applyAlignment="1">
      <alignment shrinkToFit="1"/>
    </xf>
    <xf numFmtId="177" fontId="26" fillId="0" borderId="11" xfId="4" applyFont="1" applyBorder="1" applyAlignment="1">
      <alignment horizontal="center" shrinkToFit="1"/>
    </xf>
    <xf numFmtId="44" fontId="26" fillId="0" borderId="0" xfId="2" applyNumberFormat="1" applyFont="1" applyAlignment="1">
      <alignment vertical="center" shrinkToFit="1"/>
    </xf>
    <xf numFmtId="0" fontId="26" fillId="2" borderId="11" xfId="3" applyFont="1" applyFill="1" applyBorder="1" applyAlignment="1">
      <alignment horizontal="right" vertical="center" shrinkToFit="1"/>
    </xf>
    <xf numFmtId="0" fontId="26" fillId="0" borderId="11" xfId="2" applyFont="1" applyBorder="1" applyAlignment="1">
      <alignment horizontal="right" vertical="center" shrinkToFit="1"/>
    </xf>
    <xf numFmtId="0" fontId="6" fillId="0" borderId="0" xfId="2" applyFont="1" applyAlignment="1">
      <alignment horizontal="left"/>
    </xf>
    <xf numFmtId="0" fontId="6" fillId="0" borderId="1" xfId="2" applyFont="1" applyBorder="1" applyAlignment="1">
      <alignment horizontal="center"/>
    </xf>
    <xf numFmtId="0" fontId="6" fillId="0" borderId="4" xfId="2" applyFont="1" applyBorder="1" applyAlignment="1">
      <alignment horizontal="center" vertical="center" shrinkToFit="1"/>
    </xf>
    <xf numFmtId="0" fontId="6" fillId="0" borderId="8" xfId="2" applyFont="1" applyBorder="1" applyAlignment="1">
      <alignment horizontal="center" vertical="center" shrinkToFit="1"/>
    </xf>
    <xf numFmtId="0" fontId="6" fillId="0" borderId="7" xfId="2" applyFont="1" applyBorder="1" applyAlignment="1">
      <alignment horizontal="center" vertical="center" shrinkToFit="1"/>
    </xf>
    <xf numFmtId="0" fontId="6" fillId="0" borderId="0" xfId="2" applyFont="1" applyAlignment="1">
      <alignment horizontal="center" vertical="center" shrinkToFit="1"/>
    </xf>
    <xf numFmtId="0" fontId="6" fillId="0" borderId="3" xfId="2" applyFont="1" applyBorder="1" applyAlignment="1">
      <alignment horizontal="center" shrinkToFit="1"/>
    </xf>
    <xf numFmtId="0" fontId="6" fillId="0" borderId="12" xfId="2" applyFont="1" applyBorder="1" applyAlignment="1">
      <alignment horizontal="center" shrinkToFit="1"/>
    </xf>
    <xf numFmtId="0" fontId="6" fillId="0" borderId="0" xfId="2" applyFont="1" applyAlignment="1">
      <alignment horizontal="center"/>
    </xf>
    <xf numFmtId="0" fontId="6" fillId="0" borderId="5" xfId="2" applyFont="1" applyBorder="1" applyAlignment="1">
      <alignment horizontal="center" vertical="center" shrinkToFit="1"/>
    </xf>
    <xf numFmtId="0" fontId="6" fillId="0" borderId="6" xfId="2" applyFont="1" applyBorder="1" applyAlignment="1">
      <alignment horizontal="center" vertical="center" shrinkToFit="1"/>
    </xf>
    <xf numFmtId="0" fontId="6" fillId="0" borderId="9" xfId="2" applyFont="1" applyBorder="1" applyAlignment="1">
      <alignment horizontal="center" vertical="center" shrinkToFit="1"/>
    </xf>
    <xf numFmtId="0" fontId="6" fillId="0" borderId="10" xfId="2" applyFont="1" applyBorder="1" applyAlignment="1">
      <alignment horizontal="center" vertical="center" shrinkToFit="1"/>
    </xf>
    <xf numFmtId="0" fontId="6" fillId="0" borderId="2" xfId="2" applyFont="1" applyBorder="1" applyAlignment="1">
      <alignment horizontal="center" vertical="center" shrinkToFit="1"/>
    </xf>
    <xf numFmtId="0" fontId="6" fillId="0" borderId="1" xfId="2" applyFont="1" applyBorder="1" applyAlignment="1">
      <alignment horizontal="center" vertical="center" shrinkToFit="1"/>
    </xf>
    <xf numFmtId="0" fontId="24" fillId="0" borderId="2" xfId="2" applyFont="1" applyBorder="1" applyAlignment="1">
      <alignment horizontal="center"/>
    </xf>
    <xf numFmtId="0" fontId="6" fillId="0" borderId="1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15" fontId="6" fillId="0" borderId="0" xfId="2" applyNumberFormat="1" applyFont="1" applyAlignment="1">
      <alignment horizontal="center"/>
    </xf>
    <xf numFmtId="15" fontId="6" fillId="0" borderId="0" xfId="2" applyNumberFormat="1" applyFont="1" applyAlignment="1">
      <alignment horizontal="left"/>
    </xf>
    <xf numFmtId="0" fontId="10" fillId="2" borderId="0" xfId="10" applyFont="1" applyFill="1" applyAlignment="1">
      <alignment horizontal="center"/>
    </xf>
    <xf numFmtId="0" fontId="14" fillId="2" borderId="0" xfId="10" applyFont="1" applyFill="1" applyAlignment="1">
      <alignment horizontal="center"/>
    </xf>
    <xf numFmtId="0" fontId="13" fillId="2" borderId="0" xfId="10" applyFont="1" applyFill="1" applyAlignment="1">
      <alignment horizontal="center"/>
    </xf>
    <xf numFmtId="0" fontId="13" fillId="2" borderId="1" xfId="10" applyFont="1" applyFill="1" applyBorder="1" applyAlignment="1">
      <alignment horizontal="center"/>
    </xf>
    <xf numFmtId="0" fontId="26" fillId="0" borderId="4" xfId="2" applyFont="1" applyBorder="1" applyAlignment="1">
      <alignment horizontal="center" vertical="center" shrinkToFit="1"/>
    </xf>
    <xf numFmtId="0" fontId="26" fillId="0" borderId="8" xfId="2" applyFont="1" applyBorder="1" applyAlignment="1">
      <alignment horizontal="center" vertical="center" shrinkToFit="1"/>
    </xf>
    <xf numFmtId="0" fontId="26" fillId="0" borderId="4" xfId="3" applyFont="1" applyBorder="1" applyAlignment="1">
      <alignment horizontal="center" vertical="center" shrinkToFit="1"/>
    </xf>
    <xf numFmtId="0" fontId="26" fillId="0" borderId="13" xfId="3" applyFont="1" applyBorder="1" applyAlignment="1">
      <alignment horizontal="center" vertical="center" shrinkToFit="1"/>
    </xf>
    <xf numFmtId="0" fontId="26" fillId="0" borderId="8" xfId="3" applyFont="1" applyBorder="1" applyAlignment="1">
      <alignment horizontal="center" vertical="center" shrinkToFit="1"/>
    </xf>
    <xf numFmtId="0" fontId="26" fillId="0" borderId="1" xfId="2" applyFont="1" applyBorder="1" applyAlignment="1">
      <alignment horizontal="left"/>
    </xf>
    <xf numFmtId="0" fontId="26" fillId="0" borderId="2" xfId="2" applyFont="1" applyBorder="1" applyAlignment="1">
      <alignment horizontal="left"/>
    </xf>
    <xf numFmtId="15" fontId="26" fillId="0" borderId="0" xfId="2" applyNumberFormat="1" applyFont="1" applyAlignment="1">
      <alignment horizontal="center"/>
    </xf>
    <xf numFmtId="15" fontId="26" fillId="0" borderId="0" xfId="2" applyNumberFormat="1" applyFont="1" applyAlignment="1">
      <alignment horizontal="left"/>
    </xf>
    <xf numFmtId="0" fontId="26" fillId="0" borderId="0" xfId="2" applyFont="1" applyAlignment="1">
      <alignment horizontal="left"/>
    </xf>
    <xf numFmtId="0" fontId="26" fillId="0" borderId="1" xfId="2" applyFont="1" applyBorder="1" applyAlignment="1">
      <alignment horizontal="center"/>
    </xf>
    <xf numFmtId="0" fontId="26" fillId="0" borderId="0" xfId="2" applyFont="1" applyAlignment="1">
      <alignment horizontal="center"/>
    </xf>
    <xf numFmtId="0" fontId="26" fillId="0" borderId="11" xfId="3" applyFont="1" applyBorder="1" applyAlignment="1">
      <alignment horizontal="center" vertical="center" shrinkToFit="1"/>
    </xf>
    <xf numFmtId="0" fontId="26" fillId="0" borderId="5" xfId="2" applyFont="1" applyBorder="1" applyAlignment="1">
      <alignment horizontal="center" vertical="center" shrinkToFit="1"/>
    </xf>
    <xf numFmtId="0" fontId="26" fillId="0" borderId="6" xfId="2" applyFont="1" applyBorder="1" applyAlignment="1">
      <alignment horizontal="center" vertical="center" shrinkToFit="1"/>
    </xf>
    <xf numFmtId="0" fontId="26" fillId="0" borderId="9" xfId="2" applyFont="1" applyBorder="1" applyAlignment="1">
      <alignment horizontal="center" vertical="center" shrinkToFit="1"/>
    </xf>
    <xf numFmtId="0" fontId="26" fillId="0" borderId="10" xfId="2" applyFont="1" applyBorder="1" applyAlignment="1">
      <alignment horizontal="center" vertical="center" shrinkToFit="1"/>
    </xf>
    <xf numFmtId="0" fontId="26" fillId="0" borderId="14" xfId="2" applyFont="1" applyBorder="1" applyAlignment="1">
      <alignment horizontal="center" shrinkToFit="1"/>
    </xf>
    <xf numFmtId="0" fontId="26" fillId="0" borderId="3" xfId="2" applyFont="1" applyBorder="1" applyAlignment="1">
      <alignment horizontal="center" shrinkToFit="1"/>
    </xf>
    <xf numFmtId="0" fontId="26" fillId="0" borderId="12" xfId="2" applyFont="1" applyBorder="1" applyAlignment="1">
      <alignment horizontal="center" shrinkToFit="1"/>
    </xf>
    <xf numFmtId="178" fontId="26" fillId="0" borderId="0" xfId="2" applyNumberFormat="1" applyFont="1" applyAlignment="1">
      <alignment horizontal="left"/>
    </xf>
  </cellXfs>
  <cellStyles count="11">
    <cellStyle name="一般" xfId="0" builtinId="0"/>
    <cellStyle name="一般 2" xfId="2" xr:uid="{00000000-0005-0000-0000-000002000000}"/>
    <cellStyle name="一般 2 2" xfId="3" xr:uid="{00000000-0005-0000-0000-000003000000}"/>
    <cellStyle name="一般 2 3" xfId="5" xr:uid="{00000000-0005-0000-0000-000004000000}"/>
    <cellStyle name="一般 4" xfId="10" xr:uid="{00000000-0005-0000-0000-000005000000}"/>
    <cellStyle name="千分位" xfId="1" builtinId="3"/>
    <cellStyle name="千分位 2" xfId="6" xr:uid="{00000000-0005-0000-0000-000006000000}"/>
    <cellStyle name="千分位 2 2" xfId="4" xr:uid="{00000000-0005-0000-0000-000007000000}"/>
    <cellStyle name="千分位 2 3" xfId="7" xr:uid="{00000000-0005-0000-0000-000008000000}"/>
    <cellStyle name="千分位 2 3 2" xfId="8" xr:uid="{00000000-0005-0000-0000-000009000000}"/>
    <cellStyle name="千分位 3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0</xdr:col>
      <xdr:colOff>1079501</xdr:colOff>
      <xdr:row>3</xdr:row>
      <xdr:rowOff>28575</xdr:rowOff>
    </xdr:to>
    <xdr:pic>
      <xdr:nvPicPr>
        <xdr:cNvPr id="2" name="Picture 31" descr="圖形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9219" b="52879"/>
        <a:stretch>
          <a:fillRect/>
        </a:stretch>
      </xdr:blipFill>
      <xdr:spPr bwMode="auto">
        <a:xfrm>
          <a:off x="1" y="0"/>
          <a:ext cx="107950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0</xdr:col>
      <xdr:colOff>1079501</xdr:colOff>
      <xdr:row>3</xdr:row>
      <xdr:rowOff>28575</xdr:rowOff>
    </xdr:to>
    <xdr:pic>
      <xdr:nvPicPr>
        <xdr:cNvPr id="2" name="Picture 31" descr="圖形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9219" b="52879"/>
        <a:stretch>
          <a:fillRect/>
        </a:stretch>
      </xdr:blipFill>
      <xdr:spPr bwMode="auto">
        <a:xfrm>
          <a:off x="1" y="0"/>
          <a:ext cx="1079500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4-650-378-226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84-650-378-2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tabSelected="1" view="pageBreakPreview" zoomScale="80" zoomScaleNormal="80" zoomScaleSheetLayoutView="80" workbookViewId="0">
      <selection activeCell="E92" sqref="E92"/>
    </sheetView>
  </sheetViews>
  <sheetFormatPr defaultColWidth="8.109375" defaultRowHeight="13.2" x14ac:dyDescent="0.3"/>
  <cols>
    <col min="1" max="1" width="14.33203125" style="20" bestFit="1" customWidth="1"/>
    <col min="2" max="2" width="8.109375" style="20" bestFit="1" customWidth="1"/>
    <col min="3" max="3" width="4.33203125" style="20" bestFit="1" customWidth="1"/>
    <col min="4" max="4" width="7.44140625" style="20" bestFit="1" customWidth="1"/>
    <col min="5" max="5" width="10.33203125" style="20" customWidth="1"/>
    <col min="6" max="6" width="10.109375" style="20" bestFit="1" customWidth="1"/>
    <col min="7" max="7" width="6.33203125" style="20" bestFit="1" customWidth="1"/>
    <col min="8" max="8" width="8.77734375" style="29" bestFit="1" customWidth="1"/>
    <col min="9" max="9" width="8" style="20" bestFit="1" customWidth="1"/>
    <col min="10" max="10" width="10.33203125" style="20" customWidth="1"/>
    <col min="11" max="11" width="11.109375" style="29" bestFit="1" customWidth="1"/>
    <col min="12" max="12" width="6.44140625" style="20" bestFit="1" customWidth="1"/>
    <col min="13" max="13" width="11.109375" style="20" bestFit="1" customWidth="1"/>
    <col min="14" max="14" width="5.44140625" style="28" bestFit="1" customWidth="1"/>
    <col min="15" max="15" width="10.44140625" style="28" bestFit="1" customWidth="1"/>
    <col min="16" max="16" width="4.6640625" style="28" bestFit="1" customWidth="1"/>
    <col min="17" max="17" width="5" style="28" bestFit="1" customWidth="1"/>
    <col min="18" max="16384" width="8.109375" style="20"/>
  </cols>
  <sheetData>
    <row r="1" spans="1:18" s="3" customFormat="1" ht="29.4" x14ac:dyDescent="0.55000000000000004">
      <c r="A1" s="132" t="s">
        <v>30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2"/>
      <c r="N1" s="8"/>
      <c r="O1" s="8"/>
      <c r="P1" s="8"/>
      <c r="Q1" s="8"/>
    </row>
    <row r="2" spans="1:18" s="3" customFormat="1" ht="24" x14ac:dyDescent="0.4">
      <c r="A2" s="133" t="s">
        <v>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4"/>
      <c r="N2" s="8"/>
      <c r="O2" s="8"/>
      <c r="P2" s="8"/>
      <c r="Q2" s="8"/>
    </row>
    <row r="3" spans="1:18" s="6" customFormat="1" ht="16.2" x14ac:dyDescent="0.3">
      <c r="A3" s="134" t="s">
        <v>216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5"/>
      <c r="N3" s="9"/>
      <c r="O3" s="9"/>
      <c r="P3" s="9"/>
      <c r="Q3" s="9"/>
    </row>
    <row r="4" spans="1:18" s="6" customFormat="1" ht="15.6" x14ac:dyDescent="0.3">
      <c r="A4" s="134" t="s">
        <v>31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5"/>
      <c r="N4" s="9"/>
      <c r="O4" s="9"/>
      <c r="P4" s="9"/>
      <c r="Q4" s="9"/>
    </row>
    <row r="5" spans="1:18" s="6" customFormat="1" ht="15.6" x14ac:dyDescent="0.3">
      <c r="A5" s="135" t="s">
        <v>32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5"/>
      <c r="N5" s="9"/>
      <c r="O5" s="9"/>
      <c r="P5" s="9"/>
      <c r="Q5" s="9"/>
    </row>
    <row r="6" spans="1:18" s="10" customFormat="1" ht="24.6" x14ac:dyDescent="0.4">
      <c r="A6" s="127" t="s">
        <v>1</v>
      </c>
      <c r="B6" s="127"/>
      <c r="C6" s="127"/>
      <c r="D6" s="127"/>
      <c r="E6" s="127"/>
      <c r="F6" s="127"/>
      <c r="G6" s="127"/>
      <c r="H6" s="127" t="s">
        <v>217</v>
      </c>
      <c r="I6" s="127"/>
      <c r="J6" s="127"/>
      <c r="K6" s="127"/>
      <c r="N6" s="11"/>
      <c r="O6" s="11"/>
      <c r="P6" s="11"/>
      <c r="Q6" s="11"/>
    </row>
    <row r="7" spans="1:18" s="24" customFormat="1" ht="15.6" x14ac:dyDescent="0.3">
      <c r="A7" s="23" t="s">
        <v>2</v>
      </c>
      <c r="B7" s="24" t="s">
        <v>46</v>
      </c>
      <c r="H7" s="23"/>
      <c r="I7" s="14"/>
      <c r="J7" s="24" t="s">
        <v>28</v>
      </c>
      <c r="K7" s="23" t="s">
        <v>40</v>
      </c>
      <c r="N7" s="31"/>
      <c r="O7" s="31"/>
      <c r="P7" s="31"/>
      <c r="Q7" s="31"/>
    </row>
    <row r="8" spans="1:18" s="24" customFormat="1" ht="15.6" x14ac:dyDescent="0.3">
      <c r="A8" s="23" t="s">
        <v>3</v>
      </c>
      <c r="B8" s="24" t="s">
        <v>45</v>
      </c>
      <c r="H8" s="23"/>
      <c r="I8" s="14"/>
      <c r="J8" s="32" t="s">
        <v>4</v>
      </c>
      <c r="K8" s="33">
        <v>46256</v>
      </c>
      <c r="N8" s="31"/>
      <c r="O8" s="31"/>
      <c r="P8" s="31"/>
      <c r="Q8" s="31"/>
    </row>
    <row r="9" spans="1:18" s="24" customFormat="1" ht="15.6" x14ac:dyDescent="0.3">
      <c r="A9" s="30" t="s">
        <v>5</v>
      </c>
      <c r="B9" s="128" t="s">
        <v>6</v>
      </c>
      <c r="C9" s="128"/>
      <c r="D9" s="35"/>
      <c r="E9" s="35"/>
      <c r="F9" s="35"/>
      <c r="G9" s="35"/>
      <c r="H9" s="30"/>
      <c r="I9" s="35"/>
      <c r="J9" s="34" t="s">
        <v>7</v>
      </c>
      <c r="K9" s="30" t="s">
        <v>29</v>
      </c>
      <c r="N9" s="31"/>
      <c r="O9" s="31"/>
      <c r="P9" s="31"/>
      <c r="Q9" s="31"/>
      <c r="R9" s="19"/>
    </row>
    <row r="10" spans="1:18" s="24" customFormat="1" ht="15.6" x14ac:dyDescent="0.3">
      <c r="A10" s="36" t="s">
        <v>8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N10" s="31"/>
      <c r="O10" s="31"/>
      <c r="P10" s="31"/>
      <c r="Q10" s="31"/>
      <c r="R10" s="19"/>
    </row>
    <row r="11" spans="1:18" s="24" customFormat="1" ht="15.6" x14ac:dyDescent="0.3">
      <c r="A11" s="36" t="s">
        <v>9</v>
      </c>
      <c r="B11" s="130"/>
      <c r="C11" s="130"/>
      <c r="D11" s="38"/>
      <c r="E11" s="131"/>
      <c r="F11" s="131"/>
      <c r="G11" s="39"/>
      <c r="H11" s="23"/>
      <c r="K11" s="23"/>
      <c r="N11" s="31"/>
      <c r="O11" s="31"/>
      <c r="P11" s="31"/>
      <c r="Q11" s="31"/>
      <c r="R11" s="19"/>
    </row>
    <row r="12" spans="1:18" s="24" customFormat="1" ht="15.6" x14ac:dyDescent="0.3">
      <c r="A12" s="36" t="s">
        <v>10</v>
      </c>
      <c r="B12" s="112" t="s">
        <v>41</v>
      </c>
      <c r="C12" s="112"/>
      <c r="D12" s="112"/>
      <c r="E12" s="112"/>
      <c r="F12" s="112"/>
      <c r="G12" s="40"/>
      <c r="H12" s="41"/>
      <c r="I12" s="40"/>
      <c r="J12" s="40"/>
      <c r="K12" s="41"/>
      <c r="N12" s="31"/>
      <c r="O12" s="31"/>
      <c r="P12" s="31"/>
      <c r="Q12" s="31"/>
      <c r="R12" s="19"/>
    </row>
    <row r="13" spans="1:18" s="24" customFormat="1" ht="15.6" x14ac:dyDescent="0.3">
      <c r="A13" s="36"/>
      <c r="B13" s="42" t="s">
        <v>42</v>
      </c>
      <c r="C13" s="42"/>
      <c r="D13" s="42"/>
      <c r="E13" s="42"/>
      <c r="F13" s="42"/>
      <c r="G13" s="42"/>
      <c r="H13" s="42"/>
      <c r="I13" s="42"/>
      <c r="J13" s="42"/>
      <c r="K13" s="42"/>
      <c r="N13" s="31"/>
      <c r="O13" s="31"/>
      <c r="P13" s="31"/>
      <c r="Q13" s="31"/>
      <c r="R13" s="19"/>
    </row>
    <row r="14" spans="1:18" s="24" customFormat="1" ht="15.6" x14ac:dyDescent="0.3">
      <c r="A14" s="36"/>
      <c r="B14" s="42" t="s">
        <v>43</v>
      </c>
      <c r="C14" s="42"/>
      <c r="D14" s="42"/>
      <c r="E14" s="42"/>
      <c r="F14" s="42"/>
      <c r="G14" s="42"/>
      <c r="H14" s="42"/>
      <c r="I14" s="42"/>
      <c r="J14" s="42"/>
      <c r="K14" s="42"/>
      <c r="N14" s="31"/>
      <c r="O14" s="31"/>
      <c r="P14" s="31"/>
      <c r="Q14" s="31"/>
      <c r="R14" s="19"/>
    </row>
    <row r="15" spans="1:18" s="24" customFormat="1" ht="15.6" x14ac:dyDescent="0.3">
      <c r="A15" s="36"/>
      <c r="B15" s="24" t="s">
        <v>44</v>
      </c>
      <c r="F15" s="40"/>
      <c r="G15" s="40"/>
      <c r="H15" s="41"/>
      <c r="I15" s="40"/>
      <c r="J15" s="40"/>
      <c r="K15" s="41"/>
      <c r="N15" s="31"/>
      <c r="O15" s="31"/>
      <c r="P15" s="31"/>
      <c r="Q15" s="31"/>
      <c r="R15" s="19"/>
    </row>
    <row r="16" spans="1:18" s="24" customFormat="1" ht="15.6" x14ac:dyDescent="0.3">
      <c r="A16" s="36" t="s">
        <v>11</v>
      </c>
      <c r="B16" s="24" t="s">
        <v>12</v>
      </c>
      <c r="E16" s="27"/>
      <c r="H16" s="23"/>
      <c r="K16" s="23"/>
      <c r="N16" s="31"/>
      <c r="O16" s="31"/>
      <c r="P16" s="31"/>
      <c r="Q16" s="31"/>
      <c r="R16" s="19"/>
    </row>
    <row r="17" spans="1:18" s="53" customFormat="1" ht="15.6" x14ac:dyDescent="0.3">
      <c r="A17" s="51" t="s">
        <v>13</v>
      </c>
      <c r="B17" s="121" t="s">
        <v>14</v>
      </c>
      <c r="C17" s="122"/>
      <c r="D17" s="125" t="s">
        <v>15</v>
      </c>
      <c r="E17" s="122"/>
      <c r="F17" s="114" t="s">
        <v>16</v>
      </c>
      <c r="G17" s="114" t="s">
        <v>17</v>
      </c>
      <c r="H17" s="114" t="s">
        <v>18</v>
      </c>
      <c r="I17" s="114" t="s">
        <v>19</v>
      </c>
      <c r="J17" s="52" t="s">
        <v>20</v>
      </c>
      <c r="K17" s="52" t="s">
        <v>21</v>
      </c>
      <c r="L17" s="116"/>
      <c r="M17" s="117"/>
      <c r="N17" s="63"/>
      <c r="O17" s="63"/>
      <c r="P17" s="63"/>
      <c r="Q17" s="63"/>
      <c r="R17" s="64"/>
    </row>
    <row r="18" spans="1:18" s="53" customFormat="1" ht="15.6" x14ac:dyDescent="0.3">
      <c r="A18" s="54" t="s">
        <v>22</v>
      </c>
      <c r="B18" s="123"/>
      <c r="C18" s="124"/>
      <c r="D18" s="126"/>
      <c r="E18" s="124"/>
      <c r="F18" s="115"/>
      <c r="G18" s="115"/>
      <c r="H18" s="115"/>
      <c r="I18" s="115"/>
      <c r="J18" s="55" t="s">
        <v>23</v>
      </c>
      <c r="K18" s="55" t="s">
        <v>24</v>
      </c>
      <c r="L18" s="116"/>
      <c r="M18" s="117"/>
      <c r="N18" s="63"/>
      <c r="O18" s="63"/>
      <c r="P18" s="63"/>
      <c r="Q18" s="65"/>
      <c r="R18" s="64"/>
    </row>
    <row r="19" spans="1:18" s="53" customFormat="1" ht="15.6" x14ac:dyDescent="0.3">
      <c r="A19" s="56" t="s">
        <v>215</v>
      </c>
      <c r="B19" s="69">
        <v>709</v>
      </c>
      <c r="C19" s="57" t="s">
        <v>33</v>
      </c>
      <c r="D19" s="58" t="s">
        <v>36</v>
      </c>
      <c r="E19" s="7" t="s">
        <v>37</v>
      </c>
      <c r="F19" s="59" t="s">
        <v>35</v>
      </c>
      <c r="G19" s="59" t="s">
        <v>34</v>
      </c>
      <c r="H19" s="59" t="s">
        <v>38</v>
      </c>
      <c r="I19" s="66">
        <v>6514</v>
      </c>
      <c r="J19" s="71">
        <v>0.7</v>
      </c>
      <c r="K19" s="60">
        <f t="shared" ref="K19:K82" si="0">J19*B19</f>
        <v>496.29999999999995</v>
      </c>
      <c r="N19" s="44"/>
      <c r="O19" s="44"/>
      <c r="P19" s="44"/>
      <c r="Q19" s="67"/>
      <c r="R19" s="64"/>
    </row>
    <row r="20" spans="1:18" s="53" customFormat="1" ht="15.6" x14ac:dyDescent="0.3">
      <c r="A20" s="56" t="s">
        <v>215</v>
      </c>
      <c r="B20" s="69">
        <v>709</v>
      </c>
      <c r="C20" s="57" t="s">
        <v>33</v>
      </c>
      <c r="D20" s="58" t="s">
        <v>36</v>
      </c>
      <c r="E20" s="7" t="s">
        <v>37</v>
      </c>
      <c r="F20" s="59" t="s">
        <v>35</v>
      </c>
      <c r="G20" s="59" t="s">
        <v>34</v>
      </c>
      <c r="H20" s="59" t="s">
        <v>39</v>
      </c>
      <c r="I20" s="66">
        <v>6514</v>
      </c>
      <c r="J20" s="71">
        <v>0.7</v>
      </c>
      <c r="K20" s="60">
        <f t="shared" si="0"/>
        <v>496.29999999999995</v>
      </c>
      <c r="N20" s="44"/>
      <c r="O20" s="44"/>
      <c r="P20" s="44"/>
      <c r="Q20" s="67"/>
      <c r="R20" s="64"/>
    </row>
    <row r="21" spans="1:18" s="53" customFormat="1" ht="15.6" x14ac:dyDescent="0.3">
      <c r="A21" s="56" t="s">
        <v>215</v>
      </c>
      <c r="B21" s="69">
        <v>53</v>
      </c>
      <c r="C21" s="57" t="s">
        <v>33</v>
      </c>
      <c r="D21" s="58" t="s">
        <v>36</v>
      </c>
      <c r="E21" s="7" t="s">
        <v>37</v>
      </c>
      <c r="F21" s="59" t="s">
        <v>35</v>
      </c>
      <c r="G21" s="59" t="s">
        <v>34</v>
      </c>
      <c r="H21" s="59" t="s">
        <v>39</v>
      </c>
      <c r="I21" s="66">
        <v>6514</v>
      </c>
      <c r="J21" s="71">
        <v>0.7</v>
      </c>
      <c r="K21" s="60">
        <f t="shared" si="0"/>
        <v>37.099999999999994</v>
      </c>
      <c r="N21" s="44"/>
      <c r="O21" s="44"/>
      <c r="P21" s="44"/>
      <c r="Q21" s="67"/>
      <c r="R21" s="64"/>
    </row>
    <row r="22" spans="1:18" s="53" customFormat="1" ht="15.6" x14ac:dyDescent="0.3">
      <c r="A22" s="56" t="s">
        <v>215</v>
      </c>
      <c r="B22" s="69">
        <v>47</v>
      </c>
      <c r="C22" s="57" t="s">
        <v>33</v>
      </c>
      <c r="D22" s="58" t="s">
        <v>36</v>
      </c>
      <c r="E22" s="7" t="s">
        <v>37</v>
      </c>
      <c r="F22" s="59" t="s">
        <v>35</v>
      </c>
      <c r="G22" s="59" t="s">
        <v>34</v>
      </c>
      <c r="H22" s="59" t="s">
        <v>38</v>
      </c>
      <c r="I22" s="66">
        <v>6514</v>
      </c>
      <c r="J22" s="71">
        <v>0.7</v>
      </c>
      <c r="K22" s="60">
        <f t="shared" si="0"/>
        <v>32.9</v>
      </c>
      <c r="N22" s="44"/>
      <c r="O22" s="44"/>
      <c r="P22" s="44"/>
      <c r="Q22" s="67"/>
      <c r="R22" s="64"/>
    </row>
    <row r="23" spans="1:18" s="53" customFormat="1" ht="15.6" x14ac:dyDescent="0.3">
      <c r="A23" s="56" t="s">
        <v>215</v>
      </c>
      <c r="B23" s="69">
        <v>394</v>
      </c>
      <c r="C23" s="57" t="s">
        <v>33</v>
      </c>
      <c r="D23" s="58" t="s">
        <v>36</v>
      </c>
      <c r="E23" s="7" t="s">
        <v>37</v>
      </c>
      <c r="F23" s="59" t="s">
        <v>35</v>
      </c>
      <c r="G23" s="59" t="s">
        <v>34</v>
      </c>
      <c r="H23" s="59" t="s">
        <v>39</v>
      </c>
      <c r="I23" s="66">
        <v>6514</v>
      </c>
      <c r="J23" s="71">
        <v>0.7</v>
      </c>
      <c r="K23" s="60">
        <f t="shared" si="0"/>
        <v>275.79999999999995</v>
      </c>
      <c r="N23" s="44"/>
      <c r="O23" s="44"/>
      <c r="P23" s="44"/>
      <c r="Q23" s="67"/>
      <c r="R23" s="64"/>
    </row>
    <row r="24" spans="1:18" s="53" customFormat="1" ht="15.6" x14ac:dyDescent="0.3">
      <c r="A24" s="56" t="s">
        <v>215</v>
      </c>
      <c r="B24" s="69">
        <v>96</v>
      </c>
      <c r="C24" s="57" t="s">
        <v>33</v>
      </c>
      <c r="D24" s="58" t="s">
        <v>36</v>
      </c>
      <c r="E24" s="7" t="s">
        <v>37</v>
      </c>
      <c r="F24" s="59" t="s">
        <v>35</v>
      </c>
      <c r="G24" s="59" t="s">
        <v>34</v>
      </c>
      <c r="H24" s="59" t="s">
        <v>38</v>
      </c>
      <c r="I24" s="66">
        <v>6514</v>
      </c>
      <c r="J24" s="71">
        <v>0.7</v>
      </c>
      <c r="K24" s="60">
        <f t="shared" si="0"/>
        <v>67.199999999999989</v>
      </c>
      <c r="N24" s="44"/>
      <c r="O24" s="44"/>
      <c r="P24" s="44"/>
      <c r="Q24" s="67"/>
      <c r="R24" s="64"/>
    </row>
    <row r="25" spans="1:18" s="53" customFormat="1" ht="15.6" x14ac:dyDescent="0.3">
      <c r="A25" s="56" t="s">
        <v>215</v>
      </c>
      <c r="B25" s="69">
        <v>753</v>
      </c>
      <c r="C25" s="57" t="s">
        <v>33</v>
      </c>
      <c r="D25" s="58" t="s">
        <v>36</v>
      </c>
      <c r="E25" s="7" t="s">
        <v>37</v>
      </c>
      <c r="F25" s="59" t="s">
        <v>35</v>
      </c>
      <c r="G25" s="59" t="s">
        <v>34</v>
      </c>
      <c r="H25" s="59" t="s">
        <v>38</v>
      </c>
      <c r="I25" s="66">
        <v>6514</v>
      </c>
      <c r="J25" s="71">
        <v>0.7</v>
      </c>
      <c r="K25" s="60">
        <f t="shared" si="0"/>
        <v>527.1</v>
      </c>
      <c r="N25" s="44"/>
      <c r="O25" s="44"/>
      <c r="P25" s="44"/>
      <c r="Q25" s="67"/>
      <c r="R25" s="64"/>
    </row>
    <row r="26" spans="1:18" s="53" customFormat="1" ht="15.6" x14ac:dyDescent="0.3">
      <c r="A26" s="56" t="s">
        <v>215</v>
      </c>
      <c r="B26" s="69">
        <v>37</v>
      </c>
      <c r="C26" s="57" t="s">
        <v>33</v>
      </c>
      <c r="D26" s="58" t="s">
        <v>36</v>
      </c>
      <c r="E26" s="7" t="s">
        <v>37</v>
      </c>
      <c r="F26" s="59" t="s">
        <v>35</v>
      </c>
      <c r="G26" s="59" t="s">
        <v>34</v>
      </c>
      <c r="H26" s="59" t="s">
        <v>39</v>
      </c>
      <c r="I26" s="66">
        <v>6514</v>
      </c>
      <c r="J26" s="71">
        <v>0.7</v>
      </c>
      <c r="K26" s="60">
        <f t="shared" si="0"/>
        <v>25.9</v>
      </c>
      <c r="N26" s="44"/>
      <c r="O26" s="44"/>
      <c r="P26" s="44"/>
      <c r="Q26" s="67"/>
      <c r="R26" s="64"/>
    </row>
    <row r="27" spans="1:18" s="53" customFormat="1" ht="15.6" x14ac:dyDescent="0.3">
      <c r="A27" s="56" t="s">
        <v>215</v>
      </c>
      <c r="B27" s="69">
        <v>849</v>
      </c>
      <c r="C27" s="57" t="s">
        <v>33</v>
      </c>
      <c r="D27" s="58" t="s">
        <v>36</v>
      </c>
      <c r="E27" s="7" t="s">
        <v>37</v>
      </c>
      <c r="F27" s="59" t="s">
        <v>35</v>
      </c>
      <c r="G27" s="59" t="s">
        <v>34</v>
      </c>
      <c r="H27" s="59" t="s">
        <v>39</v>
      </c>
      <c r="I27" s="66">
        <v>6514</v>
      </c>
      <c r="J27" s="71">
        <v>0.7</v>
      </c>
      <c r="K27" s="60">
        <f t="shared" si="0"/>
        <v>594.29999999999995</v>
      </c>
      <c r="N27" s="44"/>
      <c r="O27" s="44"/>
      <c r="P27" s="44"/>
      <c r="Q27" s="67"/>
      <c r="R27" s="64"/>
    </row>
    <row r="28" spans="1:18" s="53" customFormat="1" ht="15.6" x14ac:dyDescent="0.3">
      <c r="A28" s="56" t="s">
        <v>215</v>
      </c>
      <c r="B28" s="69">
        <v>52</v>
      </c>
      <c r="C28" s="57" t="s">
        <v>33</v>
      </c>
      <c r="D28" s="58" t="s">
        <v>36</v>
      </c>
      <c r="E28" s="7" t="s">
        <v>37</v>
      </c>
      <c r="F28" s="59" t="s">
        <v>35</v>
      </c>
      <c r="G28" s="59" t="s">
        <v>34</v>
      </c>
      <c r="H28" s="59" t="s">
        <v>39</v>
      </c>
      <c r="I28" s="66">
        <v>6514</v>
      </c>
      <c r="J28" s="71">
        <v>0.7</v>
      </c>
      <c r="K28" s="60">
        <f t="shared" si="0"/>
        <v>36.4</v>
      </c>
      <c r="N28" s="44"/>
      <c r="O28" s="44"/>
      <c r="P28" s="44"/>
      <c r="Q28" s="67"/>
      <c r="R28" s="64"/>
    </row>
    <row r="29" spans="1:18" s="53" customFormat="1" ht="15.6" x14ac:dyDescent="0.3">
      <c r="A29" s="56" t="s">
        <v>47</v>
      </c>
      <c r="B29" s="70">
        <v>215</v>
      </c>
      <c r="C29" s="57" t="s">
        <v>48</v>
      </c>
      <c r="D29" s="58" t="s">
        <v>36</v>
      </c>
      <c r="E29" s="7" t="s">
        <v>37</v>
      </c>
      <c r="F29" s="59" t="s">
        <v>49</v>
      </c>
      <c r="G29" s="59" t="s">
        <v>50</v>
      </c>
      <c r="H29" s="56" t="s">
        <v>51</v>
      </c>
      <c r="I29" s="66">
        <v>6514</v>
      </c>
      <c r="J29" s="71">
        <v>0.7</v>
      </c>
      <c r="K29" s="60">
        <f t="shared" si="0"/>
        <v>150.5</v>
      </c>
      <c r="N29" s="44"/>
      <c r="O29" s="63"/>
      <c r="P29" s="63"/>
      <c r="Q29" s="65"/>
      <c r="R29" s="64"/>
    </row>
    <row r="30" spans="1:18" s="53" customFormat="1" ht="15.6" x14ac:dyDescent="0.3">
      <c r="A30" s="56" t="s">
        <v>52</v>
      </c>
      <c r="B30" s="70">
        <v>37</v>
      </c>
      <c r="C30" s="57" t="s">
        <v>48</v>
      </c>
      <c r="D30" s="58" t="s">
        <v>36</v>
      </c>
      <c r="E30" s="7" t="s">
        <v>37</v>
      </c>
      <c r="F30" s="59" t="s">
        <v>49</v>
      </c>
      <c r="G30" s="59" t="s">
        <v>50</v>
      </c>
      <c r="H30" s="56" t="s">
        <v>53</v>
      </c>
      <c r="I30" s="66">
        <v>6514</v>
      </c>
      <c r="J30" s="71">
        <v>0.7</v>
      </c>
      <c r="K30" s="60">
        <f t="shared" si="0"/>
        <v>25.9</v>
      </c>
      <c r="N30" s="44"/>
      <c r="O30" s="63"/>
      <c r="P30" s="63"/>
      <c r="Q30" s="65"/>
      <c r="R30" s="64"/>
    </row>
    <row r="31" spans="1:18" s="53" customFormat="1" ht="15.6" x14ac:dyDescent="0.3">
      <c r="A31" s="56" t="s">
        <v>54</v>
      </c>
      <c r="B31" s="70">
        <v>230</v>
      </c>
      <c r="C31" s="57" t="s">
        <v>48</v>
      </c>
      <c r="D31" s="58" t="s">
        <v>36</v>
      </c>
      <c r="E31" s="7" t="s">
        <v>37</v>
      </c>
      <c r="F31" s="59" t="s">
        <v>49</v>
      </c>
      <c r="G31" s="59" t="s">
        <v>50</v>
      </c>
      <c r="H31" s="56" t="s">
        <v>51</v>
      </c>
      <c r="I31" s="66">
        <v>6515</v>
      </c>
      <c r="J31" s="71">
        <v>0.7</v>
      </c>
      <c r="K31" s="60">
        <f t="shared" si="0"/>
        <v>161</v>
      </c>
      <c r="N31" s="44"/>
      <c r="O31" s="63"/>
      <c r="P31" s="63"/>
      <c r="Q31" s="65"/>
      <c r="R31" s="64"/>
    </row>
    <row r="32" spans="1:18" s="53" customFormat="1" ht="15.6" x14ac:dyDescent="0.3">
      <c r="A32" s="56" t="s">
        <v>55</v>
      </c>
      <c r="B32" s="70">
        <v>39</v>
      </c>
      <c r="C32" s="57" t="s">
        <v>48</v>
      </c>
      <c r="D32" s="58" t="s">
        <v>36</v>
      </c>
      <c r="E32" s="7" t="s">
        <v>37</v>
      </c>
      <c r="F32" s="59" t="s">
        <v>49</v>
      </c>
      <c r="G32" s="59" t="s">
        <v>50</v>
      </c>
      <c r="H32" s="56" t="s">
        <v>51</v>
      </c>
      <c r="I32" s="66">
        <v>6515</v>
      </c>
      <c r="J32" s="71">
        <v>0.7</v>
      </c>
      <c r="K32" s="60">
        <f t="shared" si="0"/>
        <v>27.299999999999997</v>
      </c>
      <c r="N32" s="44"/>
      <c r="O32" s="63"/>
      <c r="P32" s="63"/>
      <c r="Q32" s="65"/>
      <c r="R32" s="64"/>
    </row>
    <row r="33" spans="1:18" s="53" customFormat="1" ht="15.6" x14ac:dyDescent="0.3">
      <c r="A33" s="56" t="s">
        <v>56</v>
      </c>
      <c r="B33" s="70">
        <v>37</v>
      </c>
      <c r="C33" s="57" t="s">
        <v>48</v>
      </c>
      <c r="D33" s="58" t="s">
        <v>36</v>
      </c>
      <c r="E33" s="7" t="s">
        <v>37</v>
      </c>
      <c r="F33" s="59" t="s">
        <v>49</v>
      </c>
      <c r="G33" s="59" t="s">
        <v>50</v>
      </c>
      <c r="H33" s="56" t="s">
        <v>53</v>
      </c>
      <c r="I33" s="66">
        <v>6515</v>
      </c>
      <c r="J33" s="71">
        <v>0.7</v>
      </c>
      <c r="K33" s="60">
        <f t="shared" si="0"/>
        <v>25.9</v>
      </c>
      <c r="N33" s="44"/>
      <c r="O33" s="63"/>
      <c r="P33" s="63"/>
      <c r="Q33" s="65"/>
      <c r="R33" s="64"/>
    </row>
    <row r="34" spans="1:18" s="53" customFormat="1" ht="15.6" x14ac:dyDescent="0.3">
      <c r="A34" s="56" t="s">
        <v>57</v>
      </c>
      <c r="B34" s="70">
        <v>260</v>
      </c>
      <c r="C34" s="57" t="s">
        <v>48</v>
      </c>
      <c r="D34" s="58" t="s">
        <v>36</v>
      </c>
      <c r="E34" s="7" t="s">
        <v>37</v>
      </c>
      <c r="F34" s="59" t="s">
        <v>49</v>
      </c>
      <c r="G34" s="59" t="s">
        <v>50</v>
      </c>
      <c r="H34" s="56" t="s">
        <v>53</v>
      </c>
      <c r="I34" s="66">
        <v>6515</v>
      </c>
      <c r="J34" s="71">
        <v>0.7</v>
      </c>
      <c r="K34" s="60">
        <f t="shared" si="0"/>
        <v>182</v>
      </c>
      <c r="N34" s="44"/>
      <c r="O34" s="63"/>
      <c r="P34" s="63"/>
      <c r="Q34" s="65"/>
      <c r="R34" s="64"/>
    </row>
    <row r="35" spans="1:18" s="53" customFormat="1" ht="15.6" x14ac:dyDescent="0.3">
      <c r="A35" s="56" t="s">
        <v>58</v>
      </c>
      <c r="B35" s="70">
        <v>322</v>
      </c>
      <c r="C35" s="57" t="s">
        <v>48</v>
      </c>
      <c r="D35" s="58" t="s">
        <v>36</v>
      </c>
      <c r="E35" s="7" t="s">
        <v>37</v>
      </c>
      <c r="F35" s="59" t="s">
        <v>49</v>
      </c>
      <c r="G35" s="59" t="s">
        <v>50</v>
      </c>
      <c r="H35" s="56" t="s">
        <v>53</v>
      </c>
      <c r="I35" s="66">
        <v>6515</v>
      </c>
      <c r="J35" s="71">
        <v>0.7</v>
      </c>
      <c r="K35" s="60">
        <f t="shared" si="0"/>
        <v>225.39999999999998</v>
      </c>
      <c r="N35" s="44"/>
      <c r="O35" s="63"/>
      <c r="P35" s="63"/>
      <c r="Q35" s="65"/>
      <c r="R35" s="64"/>
    </row>
    <row r="36" spans="1:18" s="53" customFormat="1" ht="15.6" x14ac:dyDescent="0.3">
      <c r="A36" s="56" t="s">
        <v>59</v>
      </c>
      <c r="B36" s="70">
        <v>1641</v>
      </c>
      <c r="C36" s="57" t="s">
        <v>48</v>
      </c>
      <c r="D36" s="58" t="s">
        <v>36</v>
      </c>
      <c r="E36" s="7" t="s">
        <v>37</v>
      </c>
      <c r="F36" s="59" t="s">
        <v>49</v>
      </c>
      <c r="G36" s="59" t="s">
        <v>50</v>
      </c>
      <c r="H36" s="56" t="s">
        <v>53</v>
      </c>
      <c r="I36" s="66">
        <v>6515</v>
      </c>
      <c r="J36" s="71">
        <v>0.7</v>
      </c>
      <c r="K36" s="60">
        <f t="shared" si="0"/>
        <v>1148.6999999999998</v>
      </c>
      <c r="N36" s="44"/>
      <c r="O36" s="63"/>
      <c r="P36" s="63"/>
      <c r="Q36" s="65"/>
      <c r="R36" s="64"/>
    </row>
    <row r="37" spans="1:18" s="53" customFormat="1" ht="15.6" x14ac:dyDescent="0.3">
      <c r="A37" s="56" t="s">
        <v>60</v>
      </c>
      <c r="B37" s="70">
        <v>69</v>
      </c>
      <c r="C37" s="57" t="s">
        <v>48</v>
      </c>
      <c r="D37" s="58" t="s">
        <v>36</v>
      </c>
      <c r="E37" s="7" t="s">
        <v>37</v>
      </c>
      <c r="F37" s="59" t="s">
        <v>49</v>
      </c>
      <c r="G37" s="59" t="s">
        <v>50</v>
      </c>
      <c r="H37" s="56" t="s">
        <v>53</v>
      </c>
      <c r="I37" s="66">
        <v>6515</v>
      </c>
      <c r="J37" s="71">
        <v>0.7</v>
      </c>
      <c r="K37" s="60">
        <f t="shared" si="0"/>
        <v>48.3</v>
      </c>
      <c r="N37" s="44"/>
      <c r="O37" s="63"/>
      <c r="P37" s="63"/>
      <c r="Q37" s="65"/>
      <c r="R37" s="64"/>
    </row>
    <row r="38" spans="1:18" s="53" customFormat="1" ht="15.6" x14ac:dyDescent="0.3">
      <c r="A38" s="56" t="s">
        <v>61</v>
      </c>
      <c r="B38" s="70">
        <v>72</v>
      </c>
      <c r="C38" s="57" t="s">
        <v>48</v>
      </c>
      <c r="D38" s="58" t="s">
        <v>36</v>
      </c>
      <c r="E38" s="7" t="s">
        <v>37</v>
      </c>
      <c r="F38" s="59" t="s">
        <v>49</v>
      </c>
      <c r="G38" s="59" t="s">
        <v>50</v>
      </c>
      <c r="H38" s="56" t="s">
        <v>53</v>
      </c>
      <c r="I38" s="66">
        <v>6515</v>
      </c>
      <c r="J38" s="71">
        <v>0.7</v>
      </c>
      <c r="K38" s="60">
        <f t="shared" si="0"/>
        <v>50.4</v>
      </c>
      <c r="N38" s="44"/>
      <c r="O38" s="63"/>
      <c r="P38" s="63"/>
      <c r="Q38" s="65"/>
      <c r="R38" s="64"/>
    </row>
    <row r="39" spans="1:18" s="53" customFormat="1" ht="15.6" x14ac:dyDescent="0.3">
      <c r="A39" s="56" t="s">
        <v>62</v>
      </c>
      <c r="B39" s="70">
        <v>1311</v>
      </c>
      <c r="C39" s="57" t="s">
        <v>48</v>
      </c>
      <c r="D39" s="58" t="s">
        <v>36</v>
      </c>
      <c r="E39" s="7" t="s">
        <v>37</v>
      </c>
      <c r="F39" s="59" t="s">
        <v>49</v>
      </c>
      <c r="G39" s="59" t="s">
        <v>50</v>
      </c>
      <c r="H39" s="56" t="s">
        <v>53</v>
      </c>
      <c r="I39" s="66">
        <v>6515</v>
      </c>
      <c r="J39" s="71">
        <v>0.7</v>
      </c>
      <c r="K39" s="60">
        <f t="shared" si="0"/>
        <v>917.69999999999993</v>
      </c>
      <c r="N39" s="44"/>
      <c r="O39" s="63"/>
      <c r="P39" s="63"/>
      <c r="Q39" s="65"/>
      <c r="R39" s="64"/>
    </row>
    <row r="40" spans="1:18" s="53" customFormat="1" ht="15.6" x14ac:dyDescent="0.3">
      <c r="A40" s="56" t="s">
        <v>63</v>
      </c>
      <c r="B40" s="70">
        <v>60</v>
      </c>
      <c r="C40" s="57" t="s">
        <v>48</v>
      </c>
      <c r="D40" s="58" t="s">
        <v>36</v>
      </c>
      <c r="E40" s="7" t="s">
        <v>37</v>
      </c>
      <c r="F40" s="59" t="s">
        <v>49</v>
      </c>
      <c r="G40" s="59" t="s">
        <v>50</v>
      </c>
      <c r="H40" s="56" t="s">
        <v>51</v>
      </c>
      <c r="I40" s="66">
        <v>6515</v>
      </c>
      <c r="J40" s="71">
        <v>0.7</v>
      </c>
      <c r="K40" s="60">
        <f t="shared" si="0"/>
        <v>42</v>
      </c>
      <c r="N40" s="44"/>
      <c r="O40" s="63"/>
      <c r="P40" s="63"/>
      <c r="Q40" s="65"/>
      <c r="R40" s="64"/>
    </row>
    <row r="41" spans="1:18" s="53" customFormat="1" ht="15.6" x14ac:dyDescent="0.3">
      <c r="A41" s="56" t="s">
        <v>64</v>
      </c>
      <c r="B41" s="70">
        <v>62</v>
      </c>
      <c r="C41" s="57" t="s">
        <v>48</v>
      </c>
      <c r="D41" s="58" t="s">
        <v>36</v>
      </c>
      <c r="E41" s="7" t="s">
        <v>37</v>
      </c>
      <c r="F41" s="59" t="s">
        <v>49</v>
      </c>
      <c r="G41" s="59" t="s">
        <v>50</v>
      </c>
      <c r="H41" s="56" t="s">
        <v>53</v>
      </c>
      <c r="I41" s="66">
        <v>6515</v>
      </c>
      <c r="J41" s="71">
        <v>0.7</v>
      </c>
      <c r="K41" s="60">
        <f t="shared" si="0"/>
        <v>43.4</v>
      </c>
      <c r="N41" s="44"/>
      <c r="O41" s="63"/>
      <c r="P41" s="63"/>
      <c r="Q41" s="65"/>
      <c r="R41" s="64"/>
    </row>
    <row r="42" spans="1:18" s="53" customFormat="1" ht="15.6" x14ac:dyDescent="0.3">
      <c r="A42" s="56" t="s">
        <v>65</v>
      </c>
      <c r="B42" s="70">
        <v>39</v>
      </c>
      <c r="C42" s="57" t="s">
        <v>48</v>
      </c>
      <c r="D42" s="58" t="s">
        <v>36</v>
      </c>
      <c r="E42" s="7" t="s">
        <v>37</v>
      </c>
      <c r="F42" s="59" t="s">
        <v>49</v>
      </c>
      <c r="G42" s="59" t="s">
        <v>50</v>
      </c>
      <c r="H42" s="56" t="s">
        <v>53</v>
      </c>
      <c r="I42" s="66">
        <v>6515</v>
      </c>
      <c r="J42" s="71">
        <v>0.7</v>
      </c>
      <c r="K42" s="60">
        <f t="shared" si="0"/>
        <v>27.299999999999997</v>
      </c>
      <c r="N42" s="44"/>
      <c r="O42" s="63"/>
      <c r="P42" s="63"/>
      <c r="Q42" s="65"/>
      <c r="R42" s="64"/>
    </row>
    <row r="43" spans="1:18" s="53" customFormat="1" ht="15.6" x14ac:dyDescent="0.3">
      <c r="A43" s="56" t="s">
        <v>66</v>
      </c>
      <c r="B43" s="70">
        <v>92</v>
      </c>
      <c r="C43" s="57" t="s">
        <v>48</v>
      </c>
      <c r="D43" s="58" t="s">
        <v>36</v>
      </c>
      <c r="E43" s="7" t="s">
        <v>37</v>
      </c>
      <c r="F43" s="59" t="s">
        <v>49</v>
      </c>
      <c r="G43" s="59" t="s">
        <v>50</v>
      </c>
      <c r="H43" s="56" t="s">
        <v>51</v>
      </c>
      <c r="I43" s="66">
        <v>6516</v>
      </c>
      <c r="J43" s="71">
        <v>0.7</v>
      </c>
      <c r="K43" s="60">
        <f t="shared" si="0"/>
        <v>64.399999999999991</v>
      </c>
      <c r="N43" s="44"/>
      <c r="O43" s="63"/>
      <c r="P43" s="63"/>
      <c r="Q43" s="65"/>
      <c r="R43" s="64"/>
    </row>
    <row r="44" spans="1:18" s="53" customFormat="1" ht="15.6" x14ac:dyDescent="0.3">
      <c r="A44" s="56" t="s">
        <v>67</v>
      </c>
      <c r="B44" s="70">
        <v>307</v>
      </c>
      <c r="C44" s="57" t="s">
        <v>48</v>
      </c>
      <c r="D44" s="58" t="s">
        <v>36</v>
      </c>
      <c r="E44" s="7" t="s">
        <v>37</v>
      </c>
      <c r="F44" s="59" t="s">
        <v>49</v>
      </c>
      <c r="G44" s="59" t="s">
        <v>50</v>
      </c>
      <c r="H44" s="56" t="s">
        <v>51</v>
      </c>
      <c r="I44" s="66">
        <v>6516</v>
      </c>
      <c r="J44" s="71">
        <v>0.7</v>
      </c>
      <c r="K44" s="60">
        <f t="shared" si="0"/>
        <v>214.89999999999998</v>
      </c>
      <c r="N44" s="44"/>
      <c r="O44" s="63"/>
      <c r="P44" s="63"/>
      <c r="Q44" s="65"/>
      <c r="R44" s="64"/>
    </row>
    <row r="45" spans="1:18" s="53" customFormat="1" ht="15.6" x14ac:dyDescent="0.3">
      <c r="A45" s="56" t="s">
        <v>68</v>
      </c>
      <c r="B45" s="70">
        <v>682</v>
      </c>
      <c r="C45" s="57" t="s">
        <v>48</v>
      </c>
      <c r="D45" s="58" t="s">
        <v>36</v>
      </c>
      <c r="E45" s="7" t="s">
        <v>37</v>
      </c>
      <c r="F45" s="59" t="s">
        <v>49</v>
      </c>
      <c r="G45" s="59" t="s">
        <v>50</v>
      </c>
      <c r="H45" s="56" t="s">
        <v>51</v>
      </c>
      <c r="I45" s="66">
        <v>6516</v>
      </c>
      <c r="J45" s="71">
        <v>0.7</v>
      </c>
      <c r="K45" s="60">
        <f t="shared" si="0"/>
        <v>477.4</v>
      </c>
      <c r="N45" s="44"/>
      <c r="O45" s="63"/>
      <c r="P45" s="63"/>
      <c r="Q45" s="65"/>
      <c r="R45" s="64"/>
    </row>
    <row r="46" spans="1:18" s="53" customFormat="1" ht="15.6" x14ac:dyDescent="0.3">
      <c r="A46" s="56" t="s">
        <v>69</v>
      </c>
      <c r="B46" s="70">
        <v>157</v>
      </c>
      <c r="C46" s="57" t="s">
        <v>48</v>
      </c>
      <c r="D46" s="58" t="s">
        <v>36</v>
      </c>
      <c r="E46" s="7" t="s">
        <v>37</v>
      </c>
      <c r="F46" s="59" t="s">
        <v>49</v>
      </c>
      <c r="G46" s="59" t="s">
        <v>50</v>
      </c>
      <c r="H46" s="56" t="s">
        <v>53</v>
      </c>
      <c r="I46" s="66">
        <v>6516</v>
      </c>
      <c r="J46" s="71">
        <v>0.7</v>
      </c>
      <c r="K46" s="60">
        <f t="shared" si="0"/>
        <v>109.89999999999999</v>
      </c>
      <c r="N46" s="44"/>
      <c r="O46" s="63"/>
      <c r="P46" s="63"/>
      <c r="Q46" s="65"/>
      <c r="R46" s="64"/>
    </row>
    <row r="47" spans="1:18" s="53" customFormat="1" ht="15.6" x14ac:dyDescent="0.3">
      <c r="A47" s="56" t="s">
        <v>70</v>
      </c>
      <c r="B47" s="70">
        <v>92</v>
      </c>
      <c r="C47" s="57" t="s">
        <v>48</v>
      </c>
      <c r="D47" s="58" t="s">
        <v>36</v>
      </c>
      <c r="E47" s="7" t="s">
        <v>37</v>
      </c>
      <c r="F47" s="59" t="s">
        <v>49</v>
      </c>
      <c r="G47" s="59" t="s">
        <v>50</v>
      </c>
      <c r="H47" s="56" t="s">
        <v>53</v>
      </c>
      <c r="I47" s="66">
        <v>6516</v>
      </c>
      <c r="J47" s="71">
        <v>0.7</v>
      </c>
      <c r="K47" s="60">
        <f t="shared" si="0"/>
        <v>64.399999999999991</v>
      </c>
      <c r="N47" s="44"/>
      <c r="O47" s="63"/>
      <c r="P47" s="63"/>
      <c r="Q47" s="65"/>
      <c r="R47" s="64"/>
    </row>
    <row r="48" spans="1:18" s="53" customFormat="1" ht="15.6" x14ac:dyDescent="0.3">
      <c r="A48" s="56" t="s">
        <v>71</v>
      </c>
      <c r="B48" s="70">
        <v>39</v>
      </c>
      <c r="C48" s="57" t="s">
        <v>48</v>
      </c>
      <c r="D48" s="58" t="s">
        <v>36</v>
      </c>
      <c r="E48" s="7" t="s">
        <v>37</v>
      </c>
      <c r="F48" s="59" t="s">
        <v>49</v>
      </c>
      <c r="G48" s="59" t="s">
        <v>50</v>
      </c>
      <c r="H48" s="56" t="s">
        <v>53</v>
      </c>
      <c r="I48" s="66">
        <v>6516</v>
      </c>
      <c r="J48" s="71">
        <v>0.7</v>
      </c>
      <c r="K48" s="60">
        <f t="shared" si="0"/>
        <v>27.299999999999997</v>
      </c>
      <c r="N48" s="44"/>
      <c r="O48" s="63"/>
      <c r="P48" s="63"/>
      <c r="Q48" s="65"/>
      <c r="R48" s="64"/>
    </row>
    <row r="49" spans="1:18" s="53" customFormat="1" ht="15.6" x14ac:dyDescent="0.3">
      <c r="A49" s="56" t="s">
        <v>72</v>
      </c>
      <c r="B49" s="70">
        <v>382</v>
      </c>
      <c r="C49" s="57" t="s">
        <v>48</v>
      </c>
      <c r="D49" s="58" t="s">
        <v>36</v>
      </c>
      <c r="E49" s="7" t="s">
        <v>37</v>
      </c>
      <c r="F49" s="59" t="s">
        <v>49</v>
      </c>
      <c r="G49" s="59" t="s">
        <v>50</v>
      </c>
      <c r="H49" s="56" t="s">
        <v>51</v>
      </c>
      <c r="I49" s="66">
        <v>6516</v>
      </c>
      <c r="J49" s="71">
        <v>0.7</v>
      </c>
      <c r="K49" s="60">
        <f t="shared" si="0"/>
        <v>267.39999999999998</v>
      </c>
      <c r="N49" s="44"/>
      <c r="O49" s="63"/>
      <c r="P49" s="63"/>
      <c r="Q49" s="65"/>
      <c r="R49" s="64"/>
    </row>
    <row r="50" spans="1:18" s="53" customFormat="1" ht="15.6" x14ac:dyDescent="0.3">
      <c r="A50" s="56" t="s">
        <v>73</v>
      </c>
      <c r="B50" s="70">
        <v>581</v>
      </c>
      <c r="C50" s="57" t="s">
        <v>48</v>
      </c>
      <c r="D50" s="58" t="s">
        <v>36</v>
      </c>
      <c r="E50" s="7" t="s">
        <v>37</v>
      </c>
      <c r="F50" s="59" t="s">
        <v>49</v>
      </c>
      <c r="G50" s="59" t="s">
        <v>50</v>
      </c>
      <c r="H50" s="56" t="s">
        <v>53</v>
      </c>
      <c r="I50" s="66">
        <v>6516</v>
      </c>
      <c r="J50" s="71">
        <v>0.7</v>
      </c>
      <c r="K50" s="60">
        <f t="shared" si="0"/>
        <v>406.7</v>
      </c>
      <c r="N50" s="44"/>
      <c r="O50" s="63"/>
      <c r="P50" s="63"/>
      <c r="Q50" s="65"/>
      <c r="R50" s="64"/>
    </row>
    <row r="51" spans="1:18" s="53" customFormat="1" ht="15.6" x14ac:dyDescent="0.3">
      <c r="A51" s="56" t="s">
        <v>74</v>
      </c>
      <c r="B51" s="70">
        <v>69</v>
      </c>
      <c r="C51" s="57" t="s">
        <v>48</v>
      </c>
      <c r="D51" s="58" t="s">
        <v>36</v>
      </c>
      <c r="E51" s="7" t="s">
        <v>37</v>
      </c>
      <c r="F51" s="59" t="s">
        <v>49</v>
      </c>
      <c r="G51" s="59" t="s">
        <v>50</v>
      </c>
      <c r="H51" s="56" t="s">
        <v>53</v>
      </c>
      <c r="I51" s="66">
        <v>6516</v>
      </c>
      <c r="J51" s="71">
        <v>0.7</v>
      </c>
      <c r="K51" s="60">
        <f t="shared" si="0"/>
        <v>48.3</v>
      </c>
      <c r="N51" s="44"/>
      <c r="O51" s="63"/>
      <c r="P51" s="63"/>
      <c r="Q51" s="65"/>
      <c r="R51" s="64"/>
    </row>
    <row r="52" spans="1:18" s="53" customFormat="1" ht="15.6" x14ac:dyDescent="0.3">
      <c r="A52" s="56" t="s">
        <v>75</v>
      </c>
      <c r="B52" s="70">
        <v>59</v>
      </c>
      <c r="C52" s="57" t="s">
        <v>48</v>
      </c>
      <c r="D52" s="58" t="s">
        <v>36</v>
      </c>
      <c r="E52" s="7" t="s">
        <v>37</v>
      </c>
      <c r="F52" s="59" t="s">
        <v>49</v>
      </c>
      <c r="G52" s="59" t="s">
        <v>50</v>
      </c>
      <c r="H52" s="56" t="s">
        <v>53</v>
      </c>
      <c r="I52" s="66">
        <v>6516</v>
      </c>
      <c r="J52" s="71">
        <v>0.7</v>
      </c>
      <c r="K52" s="60">
        <f t="shared" si="0"/>
        <v>41.3</v>
      </c>
      <c r="N52" s="44"/>
      <c r="O52" s="63"/>
      <c r="P52" s="63"/>
      <c r="Q52" s="65"/>
      <c r="R52" s="64"/>
    </row>
    <row r="53" spans="1:18" s="53" customFormat="1" ht="15.6" x14ac:dyDescent="0.3">
      <c r="A53" s="56" t="s">
        <v>76</v>
      </c>
      <c r="B53" s="70">
        <v>92</v>
      </c>
      <c r="C53" s="57" t="s">
        <v>48</v>
      </c>
      <c r="D53" s="58" t="s">
        <v>36</v>
      </c>
      <c r="E53" s="7" t="s">
        <v>37</v>
      </c>
      <c r="F53" s="59" t="s">
        <v>49</v>
      </c>
      <c r="G53" s="59" t="s">
        <v>50</v>
      </c>
      <c r="H53" s="56" t="s">
        <v>53</v>
      </c>
      <c r="I53" s="66">
        <v>6516</v>
      </c>
      <c r="J53" s="71">
        <v>0.7</v>
      </c>
      <c r="K53" s="60">
        <f t="shared" si="0"/>
        <v>64.399999999999991</v>
      </c>
      <c r="N53" s="44"/>
      <c r="O53" s="63"/>
      <c r="P53" s="63"/>
      <c r="Q53" s="65"/>
      <c r="R53" s="64"/>
    </row>
    <row r="54" spans="1:18" s="53" customFormat="1" ht="15.6" x14ac:dyDescent="0.3">
      <c r="A54" s="56" t="s">
        <v>77</v>
      </c>
      <c r="B54" s="70">
        <v>154</v>
      </c>
      <c r="C54" s="57" t="s">
        <v>48</v>
      </c>
      <c r="D54" s="58" t="s">
        <v>36</v>
      </c>
      <c r="E54" s="7" t="s">
        <v>37</v>
      </c>
      <c r="F54" s="59" t="s">
        <v>49</v>
      </c>
      <c r="G54" s="59" t="s">
        <v>50</v>
      </c>
      <c r="H54" s="56" t="s">
        <v>53</v>
      </c>
      <c r="I54" s="66">
        <v>6516</v>
      </c>
      <c r="J54" s="71">
        <v>0.7</v>
      </c>
      <c r="K54" s="60">
        <f t="shared" si="0"/>
        <v>107.8</v>
      </c>
      <c r="N54" s="44"/>
      <c r="O54" s="63"/>
      <c r="P54" s="63"/>
      <c r="Q54" s="65"/>
      <c r="R54" s="64"/>
    </row>
    <row r="55" spans="1:18" s="53" customFormat="1" ht="15.6" x14ac:dyDescent="0.3">
      <c r="A55" s="56" t="s">
        <v>78</v>
      </c>
      <c r="B55" s="70">
        <v>203</v>
      </c>
      <c r="C55" s="57" t="s">
        <v>48</v>
      </c>
      <c r="D55" s="58" t="s">
        <v>36</v>
      </c>
      <c r="E55" s="7" t="s">
        <v>37</v>
      </c>
      <c r="F55" s="59" t="s">
        <v>49</v>
      </c>
      <c r="G55" s="59" t="s">
        <v>50</v>
      </c>
      <c r="H55" s="56" t="s">
        <v>53</v>
      </c>
      <c r="I55" s="66">
        <v>6517</v>
      </c>
      <c r="J55" s="71">
        <v>0.7</v>
      </c>
      <c r="K55" s="60">
        <f t="shared" si="0"/>
        <v>142.1</v>
      </c>
      <c r="N55" s="44"/>
      <c r="O55" s="63"/>
      <c r="P55" s="63"/>
      <c r="Q55" s="65"/>
      <c r="R55" s="64"/>
    </row>
    <row r="56" spans="1:18" s="53" customFormat="1" ht="15.6" x14ac:dyDescent="0.3">
      <c r="A56" s="56" t="s">
        <v>79</v>
      </c>
      <c r="B56" s="70">
        <v>202</v>
      </c>
      <c r="C56" s="57" t="s">
        <v>48</v>
      </c>
      <c r="D56" s="58" t="s">
        <v>36</v>
      </c>
      <c r="E56" s="7" t="s">
        <v>37</v>
      </c>
      <c r="F56" s="59" t="s">
        <v>49</v>
      </c>
      <c r="G56" s="59" t="s">
        <v>50</v>
      </c>
      <c r="H56" s="56" t="s">
        <v>51</v>
      </c>
      <c r="I56" s="66">
        <v>6517</v>
      </c>
      <c r="J56" s="71">
        <v>0.7</v>
      </c>
      <c r="K56" s="60">
        <f t="shared" si="0"/>
        <v>141.39999999999998</v>
      </c>
      <c r="N56" s="44"/>
      <c r="O56" s="63"/>
      <c r="P56" s="63"/>
      <c r="Q56" s="65"/>
      <c r="R56" s="64"/>
    </row>
    <row r="57" spans="1:18" s="53" customFormat="1" ht="15.6" x14ac:dyDescent="0.3">
      <c r="A57" s="56" t="s">
        <v>80</v>
      </c>
      <c r="B57" s="70">
        <v>92</v>
      </c>
      <c r="C57" s="57" t="s">
        <v>48</v>
      </c>
      <c r="D57" s="58" t="s">
        <v>36</v>
      </c>
      <c r="E57" s="7" t="s">
        <v>37</v>
      </c>
      <c r="F57" s="59" t="s">
        <v>49</v>
      </c>
      <c r="G57" s="59" t="s">
        <v>50</v>
      </c>
      <c r="H57" s="56" t="s">
        <v>53</v>
      </c>
      <c r="I57" s="66">
        <v>6517</v>
      </c>
      <c r="J57" s="71">
        <v>0.7</v>
      </c>
      <c r="K57" s="60">
        <f t="shared" si="0"/>
        <v>64.399999999999991</v>
      </c>
      <c r="N57" s="44"/>
      <c r="O57" s="63"/>
      <c r="P57" s="63"/>
      <c r="Q57" s="65"/>
      <c r="R57" s="64"/>
    </row>
    <row r="58" spans="1:18" s="53" customFormat="1" ht="15.6" x14ac:dyDescent="0.3">
      <c r="A58" s="56" t="s">
        <v>81</v>
      </c>
      <c r="B58" s="70">
        <v>345</v>
      </c>
      <c r="C58" s="57" t="s">
        <v>48</v>
      </c>
      <c r="D58" s="58" t="s">
        <v>36</v>
      </c>
      <c r="E58" s="7" t="s">
        <v>37</v>
      </c>
      <c r="F58" s="59" t="s">
        <v>49</v>
      </c>
      <c r="G58" s="59" t="s">
        <v>50</v>
      </c>
      <c r="H58" s="56" t="s">
        <v>51</v>
      </c>
      <c r="I58" s="66">
        <v>6517</v>
      </c>
      <c r="J58" s="71">
        <v>0.7</v>
      </c>
      <c r="K58" s="60">
        <f t="shared" si="0"/>
        <v>241.49999999999997</v>
      </c>
      <c r="N58" s="44"/>
      <c r="O58" s="63"/>
      <c r="P58" s="63"/>
      <c r="Q58" s="65"/>
      <c r="R58" s="64"/>
    </row>
    <row r="59" spans="1:18" s="53" customFormat="1" ht="15.6" x14ac:dyDescent="0.3">
      <c r="A59" s="56" t="s">
        <v>82</v>
      </c>
      <c r="B59" s="70">
        <v>79</v>
      </c>
      <c r="C59" s="57" t="s">
        <v>48</v>
      </c>
      <c r="D59" s="58" t="s">
        <v>36</v>
      </c>
      <c r="E59" s="7" t="s">
        <v>37</v>
      </c>
      <c r="F59" s="59" t="s">
        <v>49</v>
      </c>
      <c r="G59" s="59" t="s">
        <v>50</v>
      </c>
      <c r="H59" s="56" t="s">
        <v>51</v>
      </c>
      <c r="I59" s="66">
        <v>6517</v>
      </c>
      <c r="J59" s="71">
        <v>0.7</v>
      </c>
      <c r="K59" s="60">
        <f t="shared" si="0"/>
        <v>55.3</v>
      </c>
      <c r="N59" s="44"/>
      <c r="O59" s="63"/>
      <c r="P59" s="63"/>
      <c r="Q59" s="65"/>
      <c r="R59" s="64"/>
    </row>
    <row r="60" spans="1:18" s="53" customFormat="1" ht="15.6" x14ac:dyDescent="0.3">
      <c r="A60" s="56" t="s">
        <v>83</v>
      </c>
      <c r="B60" s="70">
        <v>460</v>
      </c>
      <c r="C60" s="57" t="s">
        <v>48</v>
      </c>
      <c r="D60" s="58" t="s">
        <v>36</v>
      </c>
      <c r="E60" s="7" t="s">
        <v>37</v>
      </c>
      <c r="F60" s="59" t="s">
        <v>49</v>
      </c>
      <c r="G60" s="59" t="s">
        <v>50</v>
      </c>
      <c r="H60" s="56" t="s">
        <v>53</v>
      </c>
      <c r="I60" s="66">
        <v>6517</v>
      </c>
      <c r="J60" s="71">
        <v>0.7</v>
      </c>
      <c r="K60" s="60">
        <f t="shared" si="0"/>
        <v>322</v>
      </c>
      <c r="N60" s="44"/>
      <c r="O60" s="63"/>
      <c r="P60" s="63"/>
      <c r="Q60" s="65"/>
      <c r="R60" s="64"/>
    </row>
    <row r="61" spans="1:18" s="53" customFormat="1" ht="15.6" x14ac:dyDescent="0.3">
      <c r="A61" s="56" t="s">
        <v>84</v>
      </c>
      <c r="B61" s="70">
        <v>299</v>
      </c>
      <c r="C61" s="57" t="s">
        <v>48</v>
      </c>
      <c r="D61" s="58" t="s">
        <v>36</v>
      </c>
      <c r="E61" s="7" t="s">
        <v>37</v>
      </c>
      <c r="F61" s="59" t="s">
        <v>49</v>
      </c>
      <c r="G61" s="59" t="s">
        <v>50</v>
      </c>
      <c r="H61" s="56" t="s">
        <v>51</v>
      </c>
      <c r="I61" s="66">
        <v>6517</v>
      </c>
      <c r="J61" s="71">
        <v>0.7</v>
      </c>
      <c r="K61" s="60">
        <f t="shared" si="0"/>
        <v>209.29999999999998</v>
      </c>
      <c r="N61" s="44"/>
      <c r="O61" s="63"/>
      <c r="P61" s="63"/>
      <c r="Q61" s="65"/>
      <c r="R61" s="64"/>
    </row>
    <row r="62" spans="1:18" s="53" customFormat="1" ht="15.6" x14ac:dyDescent="0.3">
      <c r="A62" s="56" t="s">
        <v>85</v>
      </c>
      <c r="B62" s="70">
        <v>547</v>
      </c>
      <c r="C62" s="57" t="s">
        <v>48</v>
      </c>
      <c r="D62" s="58" t="s">
        <v>36</v>
      </c>
      <c r="E62" s="7" t="s">
        <v>37</v>
      </c>
      <c r="F62" s="59" t="s">
        <v>49</v>
      </c>
      <c r="G62" s="59" t="s">
        <v>50</v>
      </c>
      <c r="H62" s="56" t="s">
        <v>53</v>
      </c>
      <c r="I62" s="66">
        <v>6517</v>
      </c>
      <c r="J62" s="71">
        <v>0.7</v>
      </c>
      <c r="K62" s="60">
        <f t="shared" si="0"/>
        <v>382.9</v>
      </c>
      <c r="N62" s="44"/>
      <c r="O62" s="63"/>
      <c r="P62" s="63"/>
      <c r="Q62" s="65"/>
      <c r="R62" s="64"/>
    </row>
    <row r="63" spans="1:18" s="53" customFormat="1" ht="15.6" x14ac:dyDescent="0.3">
      <c r="A63" s="56" t="s">
        <v>86</v>
      </c>
      <c r="B63" s="70">
        <v>147</v>
      </c>
      <c r="C63" s="57" t="s">
        <v>48</v>
      </c>
      <c r="D63" s="58" t="s">
        <v>36</v>
      </c>
      <c r="E63" s="7" t="s">
        <v>37</v>
      </c>
      <c r="F63" s="59" t="s">
        <v>49</v>
      </c>
      <c r="G63" s="59" t="s">
        <v>50</v>
      </c>
      <c r="H63" s="56" t="s">
        <v>53</v>
      </c>
      <c r="I63" s="66">
        <v>6517</v>
      </c>
      <c r="J63" s="71">
        <v>0.7</v>
      </c>
      <c r="K63" s="60">
        <f t="shared" si="0"/>
        <v>102.89999999999999</v>
      </c>
      <c r="N63" s="44"/>
      <c r="O63" s="63"/>
      <c r="P63" s="63"/>
      <c r="Q63" s="65"/>
      <c r="R63" s="64"/>
    </row>
    <row r="64" spans="1:18" s="53" customFormat="1" ht="15.6" x14ac:dyDescent="0.3">
      <c r="A64" s="56" t="s">
        <v>87</v>
      </c>
      <c r="B64" s="70">
        <v>108</v>
      </c>
      <c r="C64" s="57" t="s">
        <v>48</v>
      </c>
      <c r="D64" s="58" t="s">
        <v>36</v>
      </c>
      <c r="E64" s="7" t="s">
        <v>37</v>
      </c>
      <c r="F64" s="59" t="s">
        <v>49</v>
      </c>
      <c r="G64" s="59" t="s">
        <v>50</v>
      </c>
      <c r="H64" s="56" t="s">
        <v>53</v>
      </c>
      <c r="I64" s="66">
        <v>6517</v>
      </c>
      <c r="J64" s="71">
        <v>0.7</v>
      </c>
      <c r="K64" s="60">
        <f t="shared" si="0"/>
        <v>75.599999999999994</v>
      </c>
      <c r="N64" s="44"/>
      <c r="O64" s="63"/>
      <c r="P64" s="63"/>
      <c r="Q64" s="65"/>
      <c r="R64" s="64"/>
    </row>
    <row r="65" spans="1:18" s="53" customFormat="1" ht="15.6" x14ac:dyDescent="0.3">
      <c r="A65" s="56" t="s">
        <v>88</v>
      </c>
      <c r="B65" s="70">
        <v>37</v>
      </c>
      <c r="C65" s="57" t="s">
        <v>48</v>
      </c>
      <c r="D65" s="58" t="s">
        <v>36</v>
      </c>
      <c r="E65" s="7" t="s">
        <v>37</v>
      </c>
      <c r="F65" s="59" t="s">
        <v>49</v>
      </c>
      <c r="G65" s="59" t="s">
        <v>50</v>
      </c>
      <c r="H65" s="56" t="s">
        <v>53</v>
      </c>
      <c r="I65" s="66">
        <v>6517</v>
      </c>
      <c r="J65" s="71">
        <v>0.7</v>
      </c>
      <c r="K65" s="60">
        <f t="shared" si="0"/>
        <v>25.9</v>
      </c>
      <c r="N65" s="44"/>
      <c r="O65" s="63"/>
      <c r="P65" s="63"/>
      <c r="Q65" s="65"/>
      <c r="R65" s="64"/>
    </row>
    <row r="66" spans="1:18" s="53" customFormat="1" ht="15.6" x14ac:dyDescent="0.3">
      <c r="A66" s="56" t="s">
        <v>89</v>
      </c>
      <c r="B66" s="70">
        <v>77</v>
      </c>
      <c r="C66" s="57" t="s">
        <v>48</v>
      </c>
      <c r="D66" s="58" t="s">
        <v>36</v>
      </c>
      <c r="E66" s="7" t="s">
        <v>37</v>
      </c>
      <c r="F66" s="59" t="s">
        <v>49</v>
      </c>
      <c r="G66" s="59" t="s">
        <v>50</v>
      </c>
      <c r="H66" s="56" t="s">
        <v>53</v>
      </c>
      <c r="I66" s="66">
        <v>6517</v>
      </c>
      <c r="J66" s="71">
        <v>0.7</v>
      </c>
      <c r="K66" s="60">
        <f t="shared" si="0"/>
        <v>53.9</v>
      </c>
      <c r="N66" s="44"/>
      <c r="O66" s="63"/>
      <c r="P66" s="63"/>
      <c r="Q66" s="65"/>
      <c r="R66" s="64"/>
    </row>
    <row r="67" spans="1:18" s="53" customFormat="1" ht="15.6" x14ac:dyDescent="0.3">
      <c r="A67" s="56" t="s">
        <v>90</v>
      </c>
      <c r="B67" s="70">
        <v>382</v>
      </c>
      <c r="C67" s="57" t="s">
        <v>48</v>
      </c>
      <c r="D67" s="58" t="s">
        <v>36</v>
      </c>
      <c r="E67" s="7" t="s">
        <v>37</v>
      </c>
      <c r="F67" s="59" t="s">
        <v>49</v>
      </c>
      <c r="G67" s="59" t="s">
        <v>50</v>
      </c>
      <c r="H67" s="56" t="s">
        <v>53</v>
      </c>
      <c r="I67" s="66">
        <v>6518</v>
      </c>
      <c r="J67" s="71">
        <v>0.7</v>
      </c>
      <c r="K67" s="60">
        <f t="shared" si="0"/>
        <v>267.39999999999998</v>
      </c>
      <c r="N67" s="44"/>
      <c r="O67" s="63"/>
      <c r="P67" s="63"/>
      <c r="Q67" s="65"/>
      <c r="R67" s="64"/>
    </row>
    <row r="68" spans="1:18" s="53" customFormat="1" ht="15.6" x14ac:dyDescent="0.3">
      <c r="A68" s="56" t="s">
        <v>91</v>
      </c>
      <c r="B68" s="70">
        <v>303</v>
      </c>
      <c r="C68" s="57" t="s">
        <v>48</v>
      </c>
      <c r="D68" s="58" t="s">
        <v>36</v>
      </c>
      <c r="E68" s="7" t="s">
        <v>37</v>
      </c>
      <c r="F68" s="59" t="s">
        <v>49</v>
      </c>
      <c r="G68" s="59" t="s">
        <v>50</v>
      </c>
      <c r="H68" s="56" t="s">
        <v>53</v>
      </c>
      <c r="I68" s="66">
        <v>6518</v>
      </c>
      <c r="J68" s="71">
        <v>0.7</v>
      </c>
      <c r="K68" s="60">
        <f t="shared" si="0"/>
        <v>212.1</v>
      </c>
      <c r="N68" s="44"/>
      <c r="O68" s="63"/>
      <c r="P68" s="63"/>
      <c r="Q68" s="65"/>
      <c r="R68" s="64"/>
    </row>
    <row r="69" spans="1:18" s="53" customFormat="1" ht="15.6" x14ac:dyDescent="0.3">
      <c r="A69" s="56" t="s">
        <v>92</v>
      </c>
      <c r="B69" s="70">
        <v>100</v>
      </c>
      <c r="C69" s="57" t="s">
        <v>48</v>
      </c>
      <c r="D69" s="58" t="s">
        <v>36</v>
      </c>
      <c r="E69" s="7" t="s">
        <v>37</v>
      </c>
      <c r="F69" s="59" t="s">
        <v>49</v>
      </c>
      <c r="G69" s="59" t="s">
        <v>50</v>
      </c>
      <c r="H69" s="56" t="s">
        <v>53</v>
      </c>
      <c r="I69" s="66">
        <v>6518</v>
      </c>
      <c r="J69" s="71">
        <v>0.7</v>
      </c>
      <c r="K69" s="60">
        <f t="shared" si="0"/>
        <v>70</v>
      </c>
      <c r="N69" s="44"/>
      <c r="O69" s="63"/>
      <c r="P69" s="63"/>
      <c r="Q69" s="65"/>
      <c r="R69" s="64"/>
    </row>
    <row r="70" spans="1:18" s="53" customFormat="1" ht="15.6" x14ac:dyDescent="0.3">
      <c r="A70" s="56" t="s">
        <v>93</v>
      </c>
      <c r="B70" s="70">
        <v>66</v>
      </c>
      <c r="C70" s="57" t="s">
        <v>48</v>
      </c>
      <c r="D70" s="58" t="s">
        <v>36</v>
      </c>
      <c r="E70" s="7" t="s">
        <v>37</v>
      </c>
      <c r="F70" s="59" t="s">
        <v>49</v>
      </c>
      <c r="G70" s="59" t="s">
        <v>50</v>
      </c>
      <c r="H70" s="56" t="s">
        <v>53</v>
      </c>
      <c r="I70" s="66">
        <v>6518</v>
      </c>
      <c r="J70" s="71">
        <v>0.7</v>
      </c>
      <c r="K70" s="60">
        <f t="shared" si="0"/>
        <v>46.199999999999996</v>
      </c>
      <c r="N70" s="44"/>
      <c r="O70" s="63"/>
      <c r="P70" s="63"/>
      <c r="Q70" s="65"/>
      <c r="R70" s="64"/>
    </row>
    <row r="71" spans="1:18" s="53" customFormat="1" ht="15.6" x14ac:dyDescent="0.3">
      <c r="A71" s="56" t="s">
        <v>94</v>
      </c>
      <c r="B71" s="70">
        <v>128</v>
      </c>
      <c r="C71" s="57" t="s">
        <v>48</v>
      </c>
      <c r="D71" s="58" t="s">
        <v>36</v>
      </c>
      <c r="E71" s="7" t="s">
        <v>37</v>
      </c>
      <c r="F71" s="59" t="s">
        <v>49</v>
      </c>
      <c r="G71" s="59" t="s">
        <v>50</v>
      </c>
      <c r="H71" s="56" t="s">
        <v>53</v>
      </c>
      <c r="I71" s="66">
        <v>6518</v>
      </c>
      <c r="J71" s="71">
        <v>0.7</v>
      </c>
      <c r="K71" s="60">
        <f t="shared" si="0"/>
        <v>89.6</v>
      </c>
      <c r="N71" s="44"/>
      <c r="O71" s="63"/>
      <c r="P71" s="63"/>
      <c r="Q71" s="65"/>
      <c r="R71" s="64"/>
    </row>
    <row r="72" spans="1:18" s="53" customFormat="1" ht="15.6" x14ac:dyDescent="0.3">
      <c r="A72" s="56" t="s">
        <v>95</v>
      </c>
      <c r="B72" s="70">
        <v>69</v>
      </c>
      <c r="C72" s="57" t="s">
        <v>48</v>
      </c>
      <c r="D72" s="58" t="s">
        <v>36</v>
      </c>
      <c r="E72" s="7" t="s">
        <v>37</v>
      </c>
      <c r="F72" s="59" t="s">
        <v>49</v>
      </c>
      <c r="G72" s="59" t="s">
        <v>50</v>
      </c>
      <c r="H72" s="56" t="s">
        <v>51</v>
      </c>
      <c r="I72" s="66">
        <v>6518</v>
      </c>
      <c r="J72" s="71">
        <v>0.7</v>
      </c>
      <c r="K72" s="60">
        <f t="shared" si="0"/>
        <v>48.3</v>
      </c>
      <c r="N72" s="44"/>
      <c r="O72" s="63"/>
      <c r="P72" s="63"/>
      <c r="Q72" s="65"/>
      <c r="R72" s="64"/>
    </row>
    <row r="73" spans="1:18" s="53" customFormat="1" ht="15.6" x14ac:dyDescent="0.3">
      <c r="A73" s="56" t="s">
        <v>96</v>
      </c>
      <c r="B73" s="70">
        <v>127</v>
      </c>
      <c r="C73" s="57" t="s">
        <v>48</v>
      </c>
      <c r="D73" s="58" t="s">
        <v>36</v>
      </c>
      <c r="E73" s="7" t="s">
        <v>37</v>
      </c>
      <c r="F73" s="59" t="s">
        <v>49</v>
      </c>
      <c r="G73" s="59" t="s">
        <v>50</v>
      </c>
      <c r="H73" s="56" t="s">
        <v>53</v>
      </c>
      <c r="I73" s="66">
        <v>6518</v>
      </c>
      <c r="J73" s="71">
        <v>0.7</v>
      </c>
      <c r="K73" s="60">
        <f t="shared" si="0"/>
        <v>88.899999999999991</v>
      </c>
      <c r="N73" s="44"/>
      <c r="O73" s="63"/>
      <c r="P73" s="63"/>
      <c r="Q73" s="65"/>
      <c r="R73" s="64"/>
    </row>
    <row r="74" spans="1:18" s="53" customFormat="1" ht="15.6" x14ac:dyDescent="0.3">
      <c r="A74" s="56" t="s">
        <v>97</v>
      </c>
      <c r="B74" s="70">
        <v>41</v>
      </c>
      <c r="C74" s="57" t="s">
        <v>48</v>
      </c>
      <c r="D74" s="58" t="s">
        <v>36</v>
      </c>
      <c r="E74" s="7" t="s">
        <v>37</v>
      </c>
      <c r="F74" s="59" t="s">
        <v>49</v>
      </c>
      <c r="G74" s="59" t="s">
        <v>50</v>
      </c>
      <c r="H74" s="56" t="s">
        <v>51</v>
      </c>
      <c r="I74" s="66">
        <v>6518</v>
      </c>
      <c r="J74" s="71">
        <v>0.7</v>
      </c>
      <c r="K74" s="60">
        <f t="shared" si="0"/>
        <v>28.7</v>
      </c>
      <c r="N74" s="44"/>
      <c r="O74" s="63"/>
      <c r="P74" s="63"/>
      <c r="Q74" s="65"/>
      <c r="R74" s="64"/>
    </row>
    <row r="75" spans="1:18" s="53" customFormat="1" ht="15.6" x14ac:dyDescent="0.3">
      <c r="A75" s="56" t="s">
        <v>98</v>
      </c>
      <c r="B75" s="70">
        <v>39</v>
      </c>
      <c r="C75" s="57" t="s">
        <v>48</v>
      </c>
      <c r="D75" s="58" t="s">
        <v>36</v>
      </c>
      <c r="E75" s="7" t="s">
        <v>37</v>
      </c>
      <c r="F75" s="59" t="s">
        <v>49</v>
      </c>
      <c r="G75" s="59" t="s">
        <v>50</v>
      </c>
      <c r="H75" s="56" t="s">
        <v>53</v>
      </c>
      <c r="I75" s="66">
        <v>6518</v>
      </c>
      <c r="J75" s="71">
        <v>0.7</v>
      </c>
      <c r="K75" s="60">
        <f t="shared" si="0"/>
        <v>27.299999999999997</v>
      </c>
      <c r="N75" s="44"/>
      <c r="O75" s="63"/>
      <c r="P75" s="63"/>
      <c r="Q75" s="65"/>
      <c r="R75" s="64"/>
    </row>
    <row r="76" spans="1:18" s="53" customFormat="1" ht="15.6" x14ac:dyDescent="0.3">
      <c r="A76" s="56" t="s">
        <v>99</v>
      </c>
      <c r="B76" s="70">
        <v>80</v>
      </c>
      <c r="C76" s="57" t="s">
        <v>48</v>
      </c>
      <c r="D76" s="58" t="s">
        <v>36</v>
      </c>
      <c r="E76" s="7" t="s">
        <v>37</v>
      </c>
      <c r="F76" s="59" t="s">
        <v>49</v>
      </c>
      <c r="G76" s="59" t="s">
        <v>50</v>
      </c>
      <c r="H76" s="56" t="s">
        <v>51</v>
      </c>
      <c r="I76" s="66">
        <v>6518</v>
      </c>
      <c r="J76" s="71">
        <v>0.7</v>
      </c>
      <c r="K76" s="60">
        <f t="shared" si="0"/>
        <v>56</v>
      </c>
      <c r="N76" s="44"/>
      <c r="O76" s="63"/>
      <c r="P76" s="63"/>
      <c r="Q76" s="65"/>
      <c r="R76" s="64"/>
    </row>
    <row r="77" spans="1:18" s="53" customFormat="1" ht="15.6" x14ac:dyDescent="0.3">
      <c r="A77" s="56" t="s">
        <v>100</v>
      </c>
      <c r="B77" s="70">
        <v>674</v>
      </c>
      <c r="C77" s="57" t="s">
        <v>48</v>
      </c>
      <c r="D77" s="58" t="s">
        <v>36</v>
      </c>
      <c r="E77" s="7" t="s">
        <v>37</v>
      </c>
      <c r="F77" s="59" t="s">
        <v>49</v>
      </c>
      <c r="G77" s="59" t="s">
        <v>50</v>
      </c>
      <c r="H77" s="56" t="s">
        <v>53</v>
      </c>
      <c r="I77" s="66">
        <v>6518</v>
      </c>
      <c r="J77" s="71">
        <v>0.7</v>
      </c>
      <c r="K77" s="60">
        <f t="shared" si="0"/>
        <v>471.79999999999995</v>
      </c>
      <c r="N77" s="44"/>
      <c r="O77" s="63"/>
      <c r="P77" s="63"/>
      <c r="Q77" s="65"/>
      <c r="R77" s="64"/>
    </row>
    <row r="78" spans="1:18" s="53" customFormat="1" ht="15.6" x14ac:dyDescent="0.3">
      <c r="A78" s="56" t="s">
        <v>101</v>
      </c>
      <c r="B78" s="70">
        <v>157</v>
      </c>
      <c r="C78" s="57" t="s">
        <v>48</v>
      </c>
      <c r="D78" s="58" t="s">
        <v>36</v>
      </c>
      <c r="E78" s="7" t="s">
        <v>37</v>
      </c>
      <c r="F78" s="59" t="s">
        <v>49</v>
      </c>
      <c r="G78" s="59" t="s">
        <v>50</v>
      </c>
      <c r="H78" s="56" t="s">
        <v>51</v>
      </c>
      <c r="I78" s="66">
        <v>6518</v>
      </c>
      <c r="J78" s="71">
        <v>0.7</v>
      </c>
      <c r="K78" s="60">
        <f t="shared" si="0"/>
        <v>109.89999999999999</v>
      </c>
      <c r="N78" s="44"/>
      <c r="O78" s="63"/>
      <c r="P78" s="63"/>
      <c r="Q78" s="65"/>
      <c r="R78" s="64"/>
    </row>
    <row r="79" spans="1:18" s="53" customFormat="1" ht="15.6" x14ac:dyDescent="0.3">
      <c r="A79" s="56" t="s">
        <v>102</v>
      </c>
      <c r="B79" s="70">
        <v>230</v>
      </c>
      <c r="C79" s="57" t="s">
        <v>48</v>
      </c>
      <c r="D79" s="58" t="s">
        <v>36</v>
      </c>
      <c r="E79" s="7" t="s">
        <v>37</v>
      </c>
      <c r="F79" s="59" t="s">
        <v>49</v>
      </c>
      <c r="G79" s="59" t="s">
        <v>50</v>
      </c>
      <c r="H79" s="56" t="s">
        <v>53</v>
      </c>
      <c r="I79" s="66">
        <v>6519</v>
      </c>
      <c r="J79" s="71">
        <v>0.7</v>
      </c>
      <c r="K79" s="60">
        <f t="shared" si="0"/>
        <v>161</v>
      </c>
      <c r="N79" s="44"/>
      <c r="O79" s="63"/>
      <c r="P79" s="63"/>
      <c r="Q79" s="65"/>
      <c r="R79" s="64"/>
    </row>
    <row r="80" spans="1:18" s="53" customFormat="1" ht="15.6" x14ac:dyDescent="0.3">
      <c r="A80" s="56" t="s">
        <v>103</v>
      </c>
      <c r="B80" s="70">
        <v>92</v>
      </c>
      <c r="C80" s="57" t="s">
        <v>48</v>
      </c>
      <c r="D80" s="58" t="s">
        <v>36</v>
      </c>
      <c r="E80" s="7" t="s">
        <v>37</v>
      </c>
      <c r="F80" s="59" t="s">
        <v>49</v>
      </c>
      <c r="G80" s="59" t="s">
        <v>50</v>
      </c>
      <c r="H80" s="56" t="s">
        <v>53</v>
      </c>
      <c r="I80" s="66">
        <v>6519</v>
      </c>
      <c r="J80" s="71">
        <v>0.7</v>
      </c>
      <c r="K80" s="60">
        <f t="shared" si="0"/>
        <v>64.399999999999991</v>
      </c>
      <c r="N80" s="44"/>
      <c r="O80" s="63"/>
      <c r="P80" s="63"/>
      <c r="Q80" s="65"/>
      <c r="R80" s="64"/>
    </row>
    <row r="81" spans="1:18" s="53" customFormat="1" ht="15.6" x14ac:dyDescent="0.3">
      <c r="A81" s="56" t="s">
        <v>104</v>
      </c>
      <c r="B81" s="70">
        <v>47</v>
      </c>
      <c r="C81" s="57" t="s">
        <v>48</v>
      </c>
      <c r="D81" s="58" t="s">
        <v>36</v>
      </c>
      <c r="E81" s="7" t="s">
        <v>37</v>
      </c>
      <c r="F81" s="59" t="s">
        <v>49</v>
      </c>
      <c r="G81" s="59" t="s">
        <v>50</v>
      </c>
      <c r="H81" s="56" t="s">
        <v>53</v>
      </c>
      <c r="I81" s="66">
        <v>6519</v>
      </c>
      <c r="J81" s="71">
        <v>0.7</v>
      </c>
      <c r="K81" s="60">
        <f t="shared" si="0"/>
        <v>32.9</v>
      </c>
      <c r="N81" s="44"/>
      <c r="O81" s="63"/>
      <c r="P81" s="63"/>
      <c r="Q81" s="65"/>
      <c r="R81" s="64"/>
    </row>
    <row r="82" spans="1:18" s="53" customFormat="1" ht="15.6" x14ac:dyDescent="0.3">
      <c r="A82" s="56" t="s">
        <v>105</v>
      </c>
      <c r="B82" s="70">
        <v>581</v>
      </c>
      <c r="C82" s="57" t="s">
        <v>48</v>
      </c>
      <c r="D82" s="58" t="s">
        <v>36</v>
      </c>
      <c r="E82" s="7" t="s">
        <v>37</v>
      </c>
      <c r="F82" s="59" t="s">
        <v>49</v>
      </c>
      <c r="G82" s="59" t="s">
        <v>50</v>
      </c>
      <c r="H82" s="56" t="s">
        <v>53</v>
      </c>
      <c r="I82" s="66">
        <v>6519</v>
      </c>
      <c r="J82" s="71">
        <v>0.7</v>
      </c>
      <c r="K82" s="60">
        <f t="shared" si="0"/>
        <v>406.7</v>
      </c>
      <c r="N82" s="44"/>
      <c r="O82" s="63"/>
      <c r="P82" s="63"/>
      <c r="Q82" s="65"/>
      <c r="R82" s="64"/>
    </row>
    <row r="83" spans="1:18" s="53" customFormat="1" ht="15.6" x14ac:dyDescent="0.3">
      <c r="A83" s="56" t="s">
        <v>106</v>
      </c>
      <c r="B83" s="70">
        <v>55</v>
      </c>
      <c r="C83" s="57" t="s">
        <v>48</v>
      </c>
      <c r="D83" s="58" t="s">
        <v>36</v>
      </c>
      <c r="E83" s="7" t="s">
        <v>37</v>
      </c>
      <c r="F83" s="59" t="s">
        <v>49</v>
      </c>
      <c r="G83" s="59" t="s">
        <v>50</v>
      </c>
      <c r="H83" s="56" t="s">
        <v>51</v>
      </c>
      <c r="I83" s="66">
        <v>6519</v>
      </c>
      <c r="J83" s="71">
        <v>0.7</v>
      </c>
      <c r="K83" s="60">
        <f t="shared" ref="K83:K101" si="1">J83*B83</f>
        <v>38.5</v>
      </c>
      <c r="N83" s="44"/>
      <c r="O83" s="63"/>
      <c r="P83" s="63"/>
      <c r="Q83" s="65"/>
      <c r="R83" s="64"/>
    </row>
    <row r="84" spans="1:18" s="53" customFormat="1" ht="15.6" x14ac:dyDescent="0.3">
      <c r="A84" s="56" t="s">
        <v>107</v>
      </c>
      <c r="B84" s="70">
        <v>92</v>
      </c>
      <c r="C84" s="57" t="s">
        <v>48</v>
      </c>
      <c r="D84" s="58" t="s">
        <v>36</v>
      </c>
      <c r="E84" s="7" t="s">
        <v>37</v>
      </c>
      <c r="F84" s="59" t="s">
        <v>49</v>
      </c>
      <c r="G84" s="59" t="s">
        <v>50</v>
      </c>
      <c r="H84" s="56" t="s">
        <v>51</v>
      </c>
      <c r="I84" s="66">
        <v>6519</v>
      </c>
      <c r="J84" s="71">
        <v>0.7</v>
      </c>
      <c r="K84" s="60">
        <f t="shared" si="1"/>
        <v>64.399999999999991</v>
      </c>
      <c r="N84" s="44"/>
      <c r="O84" s="63"/>
      <c r="P84" s="63"/>
      <c r="Q84" s="65"/>
      <c r="R84" s="64"/>
    </row>
    <row r="85" spans="1:18" s="53" customFormat="1" ht="15.6" x14ac:dyDescent="0.3">
      <c r="A85" s="56" t="s">
        <v>108</v>
      </c>
      <c r="B85" s="70">
        <v>85</v>
      </c>
      <c r="C85" s="57" t="s">
        <v>48</v>
      </c>
      <c r="D85" s="58" t="s">
        <v>36</v>
      </c>
      <c r="E85" s="7" t="s">
        <v>37</v>
      </c>
      <c r="F85" s="59" t="s">
        <v>49</v>
      </c>
      <c r="G85" s="59" t="s">
        <v>50</v>
      </c>
      <c r="H85" s="56" t="s">
        <v>53</v>
      </c>
      <c r="I85" s="66">
        <v>6519</v>
      </c>
      <c r="J85" s="71">
        <v>0.7</v>
      </c>
      <c r="K85" s="60">
        <f t="shared" si="1"/>
        <v>59.499999999999993</v>
      </c>
      <c r="N85" s="44"/>
      <c r="O85" s="63"/>
      <c r="P85" s="63"/>
      <c r="Q85" s="65"/>
      <c r="R85" s="64"/>
    </row>
    <row r="86" spans="1:18" s="53" customFormat="1" ht="15.6" x14ac:dyDescent="0.3">
      <c r="A86" s="56" t="s">
        <v>109</v>
      </c>
      <c r="B86" s="70">
        <v>46</v>
      </c>
      <c r="C86" s="57" t="s">
        <v>48</v>
      </c>
      <c r="D86" s="58" t="s">
        <v>36</v>
      </c>
      <c r="E86" s="7" t="s">
        <v>37</v>
      </c>
      <c r="F86" s="59" t="s">
        <v>49</v>
      </c>
      <c r="G86" s="59" t="s">
        <v>50</v>
      </c>
      <c r="H86" s="56" t="s">
        <v>53</v>
      </c>
      <c r="I86" s="66">
        <v>6519</v>
      </c>
      <c r="J86" s="71">
        <v>0.7</v>
      </c>
      <c r="K86" s="60">
        <f t="shared" si="1"/>
        <v>32.199999999999996</v>
      </c>
      <c r="N86" s="44"/>
      <c r="O86" s="63"/>
      <c r="P86" s="63"/>
      <c r="Q86" s="65"/>
      <c r="R86" s="64"/>
    </row>
    <row r="87" spans="1:18" s="53" customFormat="1" ht="15.6" x14ac:dyDescent="0.3">
      <c r="A87" s="56" t="s">
        <v>110</v>
      </c>
      <c r="B87" s="70">
        <v>209</v>
      </c>
      <c r="C87" s="57" t="s">
        <v>48</v>
      </c>
      <c r="D87" s="58" t="s">
        <v>36</v>
      </c>
      <c r="E87" s="7" t="s">
        <v>37</v>
      </c>
      <c r="F87" s="59" t="s">
        <v>49</v>
      </c>
      <c r="G87" s="59" t="s">
        <v>50</v>
      </c>
      <c r="H87" s="56" t="s">
        <v>53</v>
      </c>
      <c r="I87" s="66">
        <v>6519</v>
      </c>
      <c r="J87" s="71">
        <v>0.7</v>
      </c>
      <c r="K87" s="60">
        <f t="shared" si="1"/>
        <v>146.29999999999998</v>
      </c>
      <c r="N87" s="44"/>
      <c r="O87" s="63"/>
      <c r="P87" s="63"/>
      <c r="Q87" s="65"/>
      <c r="R87" s="64"/>
    </row>
    <row r="88" spans="1:18" s="53" customFormat="1" ht="15.6" x14ac:dyDescent="0.3">
      <c r="A88" s="56" t="s">
        <v>111</v>
      </c>
      <c r="B88" s="70">
        <v>345</v>
      </c>
      <c r="C88" s="57" t="s">
        <v>48</v>
      </c>
      <c r="D88" s="58" t="s">
        <v>36</v>
      </c>
      <c r="E88" s="7" t="s">
        <v>37</v>
      </c>
      <c r="F88" s="59" t="s">
        <v>49</v>
      </c>
      <c r="G88" s="59" t="s">
        <v>50</v>
      </c>
      <c r="H88" s="56" t="s">
        <v>51</v>
      </c>
      <c r="I88" s="66">
        <v>6519</v>
      </c>
      <c r="J88" s="71">
        <v>0.7</v>
      </c>
      <c r="K88" s="60">
        <f t="shared" si="1"/>
        <v>241.49999999999997</v>
      </c>
      <c r="N88" s="44"/>
      <c r="O88" s="63"/>
      <c r="P88" s="63"/>
      <c r="Q88" s="65"/>
      <c r="R88" s="64"/>
    </row>
    <row r="89" spans="1:18" s="53" customFormat="1" ht="15.6" x14ac:dyDescent="0.3">
      <c r="A89" s="56" t="s">
        <v>112</v>
      </c>
      <c r="B89" s="70">
        <v>40</v>
      </c>
      <c r="C89" s="57" t="s">
        <v>48</v>
      </c>
      <c r="D89" s="58" t="s">
        <v>36</v>
      </c>
      <c r="E89" s="7" t="s">
        <v>37</v>
      </c>
      <c r="F89" s="59" t="s">
        <v>49</v>
      </c>
      <c r="G89" s="59" t="s">
        <v>50</v>
      </c>
      <c r="H89" s="56" t="s">
        <v>51</v>
      </c>
      <c r="I89" s="66">
        <v>6519</v>
      </c>
      <c r="J89" s="71">
        <v>0.7</v>
      </c>
      <c r="K89" s="60">
        <f t="shared" si="1"/>
        <v>28</v>
      </c>
      <c r="N89" s="44"/>
      <c r="O89" s="63"/>
      <c r="P89" s="63"/>
      <c r="Q89" s="65"/>
      <c r="R89" s="64"/>
    </row>
    <row r="90" spans="1:18" s="53" customFormat="1" ht="15.6" x14ac:dyDescent="0.3">
      <c r="A90" s="56" t="s">
        <v>113</v>
      </c>
      <c r="B90" s="70">
        <v>39</v>
      </c>
      <c r="C90" s="57" t="s">
        <v>48</v>
      </c>
      <c r="D90" s="58" t="s">
        <v>36</v>
      </c>
      <c r="E90" s="7" t="s">
        <v>37</v>
      </c>
      <c r="F90" s="59" t="s">
        <v>49</v>
      </c>
      <c r="G90" s="59" t="s">
        <v>50</v>
      </c>
      <c r="H90" s="56" t="s">
        <v>51</v>
      </c>
      <c r="I90" s="66">
        <v>6519</v>
      </c>
      <c r="J90" s="71">
        <v>0.7</v>
      </c>
      <c r="K90" s="60">
        <f t="shared" si="1"/>
        <v>27.299999999999997</v>
      </c>
      <c r="N90" s="44"/>
      <c r="O90" s="63"/>
      <c r="P90" s="63"/>
      <c r="Q90" s="65"/>
      <c r="R90" s="64"/>
    </row>
    <row r="91" spans="1:18" s="53" customFormat="1" ht="15.6" x14ac:dyDescent="0.3">
      <c r="A91" s="56" t="s">
        <v>114</v>
      </c>
      <c r="B91" s="70">
        <v>171</v>
      </c>
      <c r="C91" s="57" t="s">
        <v>48</v>
      </c>
      <c r="D91" s="58" t="s">
        <v>36</v>
      </c>
      <c r="E91" s="7" t="s">
        <v>37</v>
      </c>
      <c r="F91" s="59" t="s">
        <v>49</v>
      </c>
      <c r="G91" s="59" t="s">
        <v>50</v>
      </c>
      <c r="H91" s="56" t="s">
        <v>51</v>
      </c>
      <c r="I91" s="66">
        <v>6520</v>
      </c>
      <c r="J91" s="71">
        <v>0.7</v>
      </c>
      <c r="K91" s="60">
        <f t="shared" si="1"/>
        <v>119.69999999999999</v>
      </c>
      <c r="N91" s="44"/>
      <c r="O91" s="63"/>
      <c r="P91" s="63"/>
      <c r="Q91" s="65"/>
      <c r="R91" s="64"/>
    </row>
    <row r="92" spans="1:18" s="53" customFormat="1" ht="15.6" x14ac:dyDescent="0.3">
      <c r="A92" s="56" t="s">
        <v>115</v>
      </c>
      <c r="B92" s="70">
        <v>467</v>
      </c>
      <c r="C92" s="57" t="s">
        <v>48</v>
      </c>
      <c r="D92" s="58" t="s">
        <v>36</v>
      </c>
      <c r="E92" s="7" t="s">
        <v>37</v>
      </c>
      <c r="F92" s="59" t="s">
        <v>49</v>
      </c>
      <c r="G92" s="59" t="s">
        <v>50</v>
      </c>
      <c r="H92" s="56" t="s">
        <v>51</v>
      </c>
      <c r="I92" s="66">
        <v>6520</v>
      </c>
      <c r="J92" s="71">
        <v>0.7</v>
      </c>
      <c r="K92" s="60">
        <f t="shared" si="1"/>
        <v>326.89999999999998</v>
      </c>
      <c r="N92" s="44"/>
      <c r="O92" s="63"/>
      <c r="P92" s="63"/>
      <c r="Q92" s="65"/>
      <c r="R92" s="64"/>
    </row>
    <row r="93" spans="1:18" s="53" customFormat="1" ht="15.6" x14ac:dyDescent="0.3">
      <c r="A93" s="56" t="s">
        <v>116</v>
      </c>
      <c r="B93" s="70">
        <v>154</v>
      </c>
      <c r="C93" s="57" t="s">
        <v>48</v>
      </c>
      <c r="D93" s="58" t="s">
        <v>36</v>
      </c>
      <c r="E93" s="7" t="s">
        <v>37</v>
      </c>
      <c r="F93" s="59" t="s">
        <v>49</v>
      </c>
      <c r="G93" s="59" t="s">
        <v>50</v>
      </c>
      <c r="H93" s="56" t="s">
        <v>53</v>
      </c>
      <c r="I93" s="66">
        <v>6520</v>
      </c>
      <c r="J93" s="71">
        <v>0.7</v>
      </c>
      <c r="K93" s="60">
        <f t="shared" si="1"/>
        <v>107.8</v>
      </c>
      <c r="N93" s="44"/>
      <c r="O93" s="63"/>
      <c r="P93" s="63"/>
      <c r="Q93" s="65"/>
      <c r="R93" s="64"/>
    </row>
    <row r="94" spans="1:18" s="53" customFormat="1" ht="15.6" x14ac:dyDescent="0.3">
      <c r="A94" s="56" t="s">
        <v>117</v>
      </c>
      <c r="B94" s="70">
        <v>46</v>
      </c>
      <c r="C94" s="57" t="s">
        <v>48</v>
      </c>
      <c r="D94" s="58" t="s">
        <v>36</v>
      </c>
      <c r="E94" s="7" t="s">
        <v>37</v>
      </c>
      <c r="F94" s="59" t="s">
        <v>49</v>
      </c>
      <c r="G94" s="59" t="s">
        <v>50</v>
      </c>
      <c r="H94" s="56" t="s">
        <v>51</v>
      </c>
      <c r="I94" s="66">
        <v>6520</v>
      </c>
      <c r="J94" s="71">
        <v>0.7</v>
      </c>
      <c r="K94" s="60">
        <f t="shared" si="1"/>
        <v>32.199999999999996</v>
      </c>
      <c r="N94" s="44"/>
      <c r="O94" s="63"/>
      <c r="P94" s="63"/>
      <c r="Q94" s="65"/>
      <c r="R94" s="64"/>
    </row>
    <row r="95" spans="1:18" s="53" customFormat="1" ht="15.6" x14ac:dyDescent="0.3">
      <c r="A95" s="56" t="s">
        <v>118</v>
      </c>
      <c r="B95" s="70">
        <v>382</v>
      </c>
      <c r="C95" s="57" t="s">
        <v>48</v>
      </c>
      <c r="D95" s="58" t="s">
        <v>36</v>
      </c>
      <c r="E95" s="7" t="s">
        <v>37</v>
      </c>
      <c r="F95" s="59" t="s">
        <v>49</v>
      </c>
      <c r="G95" s="59" t="s">
        <v>50</v>
      </c>
      <c r="H95" s="56" t="s">
        <v>51</v>
      </c>
      <c r="I95" s="66">
        <v>6520</v>
      </c>
      <c r="J95" s="71">
        <v>0.7</v>
      </c>
      <c r="K95" s="60">
        <f t="shared" si="1"/>
        <v>267.39999999999998</v>
      </c>
      <c r="N95" s="44"/>
      <c r="O95" s="63"/>
      <c r="P95" s="63"/>
      <c r="Q95" s="65"/>
      <c r="R95" s="64"/>
    </row>
    <row r="96" spans="1:18" s="53" customFormat="1" ht="15.6" x14ac:dyDescent="0.3">
      <c r="A96" s="56" t="s">
        <v>119</v>
      </c>
      <c r="B96" s="70">
        <v>39</v>
      </c>
      <c r="C96" s="57" t="s">
        <v>48</v>
      </c>
      <c r="D96" s="58" t="s">
        <v>36</v>
      </c>
      <c r="E96" s="7" t="s">
        <v>37</v>
      </c>
      <c r="F96" s="59" t="s">
        <v>49</v>
      </c>
      <c r="G96" s="59" t="s">
        <v>50</v>
      </c>
      <c r="H96" s="56" t="s">
        <v>53</v>
      </c>
      <c r="I96" s="66">
        <v>6520</v>
      </c>
      <c r="J96" s="71">
        <v>0.7</v>
      </c>
      <c r="K96" s="60">
        <f t="shared" si="1"/>
        <v>27.299999999999997</v>
      </c>
      <c r="N96" s="44"/>
      <c r="O96" s="63"/>
      <c r="P96" s="63"/>
      <c r="Q96" s="65"/>
      <c r="R96" s="64"/>
    </row>
    <row r="97" spans="1:18" s="53" customFormat="1" ht="15.6" x14ac:dyDescent="0.3">
      <c r="A97" s="56" t="s">
        <v>120</v>
      </c>
      <c r="B97" s="70">
        <v>69</v>
      </c>
      <c r="C97" s="57" t="s">
        <v>48</v>
      </c>
      <c r="D97" s="58" t="s">
        <v>36</v>
      </c>
      <c r="E97" s="7" t="s">
        <v>37</v>
      </c>
      <c r="F97" s="59" t="s">
        <v>49</v>
      </c>
      <c r="G97" s="59" t="s">
        <v>50</v>
      </c>
      <c r="H97" s="56" t="s">
        <v>53</v>
      </c>
      <c r="I97" s="66">
        <v>6520</v>
      </c>
      <c r="J97" s="71">
        <v>0.7</v>
      </c>
      <c r="K97" s="60">
        <f t="shared" si="1"/>
        <v>48.3</v>
      </c>
      <c r="N97" s="44"/>
      <c r="O97" s="63"/>
      <c r="P97" s="63"/>
      <c r="Q97" s="65"/>
      <c r="R97" s="64"/>
    </row>
    <row r="98" spans="1:18" s="53" customFormat="1" ht="15.6" x14ac:dyDescent="0.3">
      <c r="A98" s="56" t="s">
        <v>121</v>
      </c>
      <c r="B98" s="70">
        <v>154</v>
      </c>
      <c r="C98" s="57" t="s">
        <v>48</v>
      </c>
      <c r="D98" s="58" t="s">
        <v>36</v>
      </c>
      <c r="E98" s="7" t="s">
        <v>37</v>
      </c>
      <c r="F98" s="59" t="s">
        <v>49</v>
      </c>
      <c r="G98" s="59" t="s">
        <v>50</v>
      </c>
      <c r="H98" s="56" t="s">
        <v>51</v>
      </c>
      <c r="I98" s="66">
        <v>6520</v>
      </c>
      <c r="J98" s="71">
        <v>0.7</v>
      </c>
      <c r="K98" s="60">
        <f t="shared" si="1"/>
        <v>107.8</v>
      </c>
      <c r="N98" s="44"/>
      <c r="O98" s="63"/>
      <c r="P98" s="63"/>
      <c r="Q98" s="65"/>
      <c r="R98" s="64"/>
    </row>
    <row r="99" spans="1:18" s="53" customFormat="1" ht="15.6" x14ac:dyDescent="0.3">
      <c r="A99" s="56" t="s">
        <v>122</v>
      </c>
      <c r="B99" s="70">
        <v>247</v>
      </c>
      <c r="C99" s="57" t="s">
        <v>48</v>
      </c>
      <c r="D99" s="58" t="s">
        <v>36</v>
      </c>
      <c r="E99" s="7" t="s">
        <v>37</v>
      </c>
      <c r="F99" s="59" t="s">
        <v>49</v>
      </c>
      <c r="G99" s="59" t="s">
        <v>50</v>
      </c>
      <c r="H99" s="56" t="s">
        <v>53</v>
      </c>
      <c r="I99" s="66">
        <v>6520</v>
      </c>
      <c r="J99" s="71">
        <v>0.7</v>
      </c>
      <c r="K99" s="60">
        <f t="shared" si="1"/>
        <v>172.89999999999998</v>
      </c>
      <c r="N99" s="44"/>
      <c r="O99" s="63"/>
      <c r="P99" s="63"/>
      <c r="Q99" s="65"/>
      <c r="R99" s="64"/>
    </row>
    <row r="100" spans="1:18" s="53" customFormat="1" ht="15.6" x14ac:dyDescent="0.3">
      <c r="A100" s="56" t="s">
        <v>123</v>
      </c>
      <c r="B100" s="70">
        <v>279</v>
      </c>
      <c r="C100" s="57" t="s">
        <v>48</v>
      </c>
      <c r="D100" s="58" t="s">
        <v>36</v>
      </c>
      <c r="E100" s="7" t="s">
        <v>37</v>
      </c>
      <c r="F100" s="59" t="s">
        <v>49</v>
      </c>
      <c r="G100" s="59" t="s">
        <v>50</v>
      </c>
      <c r="H100" s="56" t="s">
        <v>53</v>
      </c>
      <c r="I100" s="66">
        <v>6520</v>
      </c>
      <c r="J100" s="71">
        <v>0.7</v>
      </c>
      <c r="K100" s="60">
        <f t="shared" si="1"/>
        <v>195.29999999999998</v>
      </c>
      <c r="N100" s="44"/>
      <c r="O100" s="63"/>
      <c r="P100" s="63"/>
      <c r="Q100" s="65"/>
      <c r="R100" s="64"/>
    </row>
    <row r="101" spans="1:18" s="53" customFormat="1" ht="15.6" x14ac:dyDescent="0.3">
      <c r="A101" s="56" t="s">
        <v>85</v>
      </c>
      <c r="B101" s="70">
        <v>1</v>
      </c>
      <c r="C101" s="57" t="s">
        <v>48</v>
      </c>
      <c r="D101" s="58" t="s">
        <v>36</v>
      </c>
      <c r="E101" s="7" t="s">
        <v>37</v>
      </c>
      <c r="F101" s="59" t="s">
        <v>49</v>
      </c>
      <c r="G101" s="59" t="s">
        <v>50</v>
      </c>
      <c r="H101" s="56" t="s">
        <v>53</v>
      </c>
      <c r="I101" s="66">
        <v>6520</v>
      </c>
      <c r="J101" s="71">
        <v>0.7</v>
      </c>
      <c r="K101" s="60">
        <f t="shared" si="1"/>
        <v>0.7</v>
      </c>
      <c r="N101" s="44"/>
      <c r="O101" s="63"/>
      <c r="P101" s="63"/>
      <c r="Q101" s="65"/>
      <c r="R101" s="64"/>
    </row>
    <row r="102" spans="1:18" s="53" customFormat="1" ht="15.6" x14ac:dyDescent="0.3">
      <c r="A102" s="56"/>
      <c r="B102" s="61">
        <f>SUM(B19:B101)</f>
        <v>19431</v>
      </c>
      <c r="C102" s="57" t="s">
        <v>33</v>
      </c>
      <c r="D102" s="118"/>
      <c r="E102" s="118"/>
      <c r="F102" s="118"/>
      <c r="G102" s="118"/>
      <c r="H102" s="118"/>
      <c r="I102" s="118"/>
      <c r="J102" s="119"/>
      <c r="K102" s="62">
        <f>SUM(K19:K101)</f>
        <v>13601.69999999999</v>
      </c>
      <c r="M102" s="68">
        <f>SUM(M19:M28)</f>
        <v>0</v>
      </c>
      <c r="N102" s="63"/>
      <c r="O102" s="63"/>
      <c r="P102" s="63"/>
      <c r="Q102" s="63"/>
    </row>
    <row r="103" spans="1:18" s="36" customFormat="1" ht="15.6" x14ac:dyDescent="0.3">
      <c r="A103" s="1"/>
      <c r="B103" s="37"/>
      <c r="C103" s="14"/>
      <c r="D103" s="45"/>
      <c r="E103" s="46"/>
      <c r="F103" s="46"/>
      <c r="G103" s="47"/>
      <c r="H103" s="48"/>
      <c r="I103" s="49"/>
      <c r="J103" s="50"/>
      <c r="K103" s="50"/>
      <c r="N103" s="11"/>
      <c r="O103" s="11"/>
      <c r="P103" s="11"/>
      <c r="Q103" s="11"/>
    </row>
    <row r="104" spans="1:18" s="36" customFormat="1" ht="15.6" x14ac:dyDescent="0.3">
      <c r="A104" s="120" t="s">
        <v>25</v>
      </c>
      <c r="B104" s="120"/>
      <c r="C104" s="120"/>
      <c r="D104" s="23"/>
      <c r="E104" s="24"/>
      <c r="F104" s="24"/>
      <c r="G104" s="24"/>
      <c r="H104" s="24" t="s">
        <v>26</v>
      </c>
      <c r="I104" s="24"/>
      <c r="J104" s="24"/>
      <c r="K104" s="24"/>
      <c r="N104" s="11"/>
      <c r="O104" s="11"/>
      <c r="P104" s="11"/>
      <c r="Q104" s="11"/>
    </row>
    <row r="105" spans="1:18" s="36" customFormat="1" ht="15.6" x14ac:dyDescent="0.3">
      <c r="A105" s="120" t="str">
        <f>B7</f>
        <v>Fu Kwok Knitting &amp; Garment Co., Ltd.</v>
      </c>
      <c r="B105" s="120"/>
      <c r="C105" s="120"/>
      <c r="D105" s="23"/>
      <c r="E105" s="24"/>
      <c r="F105" s="24"/>
      <c r="G105" s="24" t="s">
        <v>27</v>
      </c>
      <c r="H105" s="24"/>
      <c r="I105" s="24"/>
      <c r="J105" s="24"/>
      <c r="M105" s="11"/>
      <c r="N105" s="11"/>
      <c r="O105" s="11"/>
      <c r="P105" s="11"/>
    </row>
    <row r="106" spans="1:18" s="36" customFormat="1" ht="15.6" x14ac:dyDescent="0.3">
      <c r="A106" s="24"/>
      <c r="B106" s="24"/>
      <c r="C106" s="24"/>
      <c r="D106" s="24"/>
      <c r="E106" s="24"/>
      <c r="F106" s="24"/>
      <c r="G106" s="24"/>
      <c r="H106" s="23"/>
      <c r="I106" s="23"/>
      <c r="J106" s="23"/>
      <c r="K106" s="23"/>
      <c r="N106" s="11"/>
      <c r="O106" s="11"/>
      <c r="P106" s="11"/>
      <c r="Q106" s="11"/>
    </row>
    <row r="107" spans="1:18" s="36" customFormat="1" ht="15.6" x14ac:dyDescent="0.3">
      <c r="A107" s="24"/>
      <c r="B107" s="24"/>
      <c r="C107" s="24"/>
      <c r="D107" s="24"/>
      <c r="E107" s="24"/>
      <c r="F107" s="24"/>
      <c r="G107" s="24"/>
      <c r="H107" s="23"/>
      <c r="I107" s="23"/>
      <c r="J107" s="23"/>
      <c r="K107" s="23"/>
      <c r="N107" s="11"/>
      <c r="O107" s="11"/>
      <c r="P107" s="11"/>
      <c r="Q107" s="11"/>
    </row>
    <row r="108" spans="1:18" s="36" customFormat="1" ht="15.6" x14ac:dyDescent="0.3">
      <c r="A108" s="24"/>
      <c r="B108" s="24"/>
      <c r="C108" s="24"/>
      <c r="D108" s="24"/>
      <c r="E108" s="24"/>
      <c r="F108" s="24"/>
      <c r="G108" s="24"/>
      <c r="H108" s="23"/>
      <c r="I108" s="23"/>
      <c r="J108" s="23"/>
      <c r="K108" s="23"/>
      <c r="N108" s="11"/>
      <c r="O108" s="11"/>
      <c r="P108" s="11"/>
      <c r="Q108" s="11"/>
    </row>
    <row r="109" spans="1:18" s="36" customFormat="1" ht="15.6" x14ac:dyDescent="0.3">
      <c r="A109" s="24"/>
      <c r="B109" s="24"/>
      <c r="C109" s="24"/>
      <c r="D109" s="24"/>
      <c r="E109" s="24"/>
      <c r="F109" s="24"/>
      <c r="G109" s="24"/>
      <c r="H109" s="23"/>
      <c r="I109" s="24"/>
      <c r="J109" s="24"/>
      <c r="K109" s="23"/>
      <c r="N109" s="11"/>
      <c r="O109" s="11"/>
      <c r="P109" s="11"/>
      <c r="Q109" s="11"/>
    </row>
    <row r="110" spans="1:18" s="36" customFormat="1" ht="15.6" x14ac:dyDescent="0.3">
      <c r="A110" s="35"/>
      <c r="B110" s="113"/>
      <c r="C110" s="113"/>
      <c r="D110" s="23"/>
      <c r="E110" s="24"/>
      <c r="F110" s="24"/>
      <c r="G110" s="24"/>
      <c r="H110" s="113"/>
      <c r="I110" s="113"/>
      <c r="J110" s="113"/>
      <c r="K110" s="113"/>
      <c r="N110" s="11"/>
      <c r="O110" s="11"/>
      <c r="P110" s="11"/>
      <c r="Q110" s="11"/>
    </row>
    <row r="111" spans="1:18" s="36" customFormat="1" ht="15.6" x14ac:dyDescent="0.3">
      <c r="H111" s="43"/>
      <c r="K111" s="43"/>
      <c r="N111" s="11"/>
      <c r="O111" s="11"/>
      <c r="P111" s="11"/>
      <c r="Q111" s="11"/>
    </row>
    <row r="112" spans="1:18" s="36" customFormat="1" ht="15.6" x14ac:dyDescent="0.3">
      <c r="H112" s="43"/>
      <c r="K112" s="43"/>
      <c r="N112" s="11"/>
      <c r="O112" s="11"/>
      <c r="P112" s="11"/>
      <c r="Q112" s="11"/>
    </row>
    <row r="113" spans="8:17" s="36" customFormat="1" ht="15.6" x14ac:dyDescent="0.3">
      <c r="H113" s="43"/>
      <c r="K113" s="43"/>
      <c r="N113" s="11"/>
      <c r="O113" s="11"/>
      <c r="P113" s="11"/>
      <c r="Q113" s="11"/>
    </row>
    <row r="114" spans="8:17" s="36" customFormat="1" ht="15.6" x14ac:dyDescent="0.3">
      <c r="H114" s="43"/>
      <c r="K114" s="43"/>
      <c r="N114" s="11"/>
      <c r="O114" s="11"/>
      <c r="P114" s="11"/>
      <c r="Q114" s="11"/>
    </row>
    <row r="115" spans="8:17" s="36" customFormat="1" ht="15.6" x14ac:dyDescent="0.3">
      <c r="H115" s="43"/>
      <c r="K115" s="43"/>
      <c r="N115" s="11"/>
      <c r="O115" s="11"/>
      <c r="P115" s="11"/>
      <c r="Q115" s="11"/>
    </row>
    <row r="116" spans="8:17" s="36" customFormat="1" ht="15.6" x14ac:dyDescent="0.3">
      <c r="H116" s="43"/>
      <c r="K116" s="43"/>
      <c r="N116" s="11"/>
      <c r="O116" s="11"/>
      <c r="P116" s="11"/>
      <c r="Q116" s="11"/>
    </row>
    <row r="117" spans="8:17" s="36" customFormat="1" ht="15.6" x14ac:dyDescent="0.3">
      <c r="H117" s="43"/>
      <c r="K117" s="43"/>
      <c r="N117" s="11"/>
      <c r="O117" s="11"/>
      <c r="P117" s="11"/>
      <c r="Q117" s="11"/>
    </row>
  </sheetData>
  <mergeCells count="24">
    <mergeCell ref="A1:K1"/>
    <mergeCell ref="A2:K2"/>
    <mergeCell ref="A3:K3"/>
    <mergeCell ref="A4:K4"/>
    <mergeCell ref="A5:K5"/>
    <mergeCell ref="H6:K6"/>
    <mergeCell ref="A6:G6"/>
    <mergeCell ref="B9:C9"/>
    <mergeCell ref="B10:K10"/>
    <mergeCell ref="B11:C11"/>
    <mergeCell ref="E11:F11"/>
    <mergeCell ref="B12:F12"/>
    <mergeCell ref="B110:C110"/>
    <mergeCell ref="H110:K110"/>
    <mergeCell ref="I17:I18"/>
    <mergeCell ref="L17:M18"/>
    <mergeCell ref="D102:J102"/>
    <mergeCell ref="A104:C104"/>
    <mergeCell ref="A105:C105"/>
    <mergeCell ref="B17:C18"/>
    <mergeCell ref="D17:E18"/>
    <mergeCell ref="F17:F18"/>
    <mergeCell ref="G17:G18"/>
    <mergeCell ref="H17:H18"/>
  </mergeCells>
  <phoneticPr fontId="2" type="noConversion"/>
  <hyperlinks>
    <hyperlink ref="A110" r:id="rId1" display="tel:84-650-378-2260" xr:uid="{00000000-0004-0000-0000-000000000000}"/>
  </hyperlinks>
  <printOptions horizontalCentered="1"/>
  <pageMargins left="0.19685039370078741" right="0.19685039370078741" top="0.19685039370078741" bottom="0.19685039370078741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7"/>
  <sheetViews>
    <sheetView view="pageBreakPreview" topLeftCell="A64" zoomScale="90" zoomScaleNormal="100" zoomScaleSheetLayoutView="90" workbookViewId="0">
      <selection activeCell="G106" sqref="G106"/>
    </sheetView>
  </sheetViews>
  <sheetFormatPr defaultColWidth="8.109375" defaultRowHeight="13.2" x14ac:dyDescent="0.3"/>
  <cols>
    <col min="1" max="1" width="15.44140625" style="20" customWidth="1"/>
    <col min="2" max="2" width="7.44140625" style="20" customWidth="1"/>
    <col min="3" max="3" width="3.6640625" style="20" customWidth="1"/>
    <col min="4" max="4" width="7.77734375" style="20" customWidth="1"/>
    <col min="5" max="5" width="14.109375" style="20" customWidth="1"/>
    <col min="6" max="6" width="10.109375" style="20" bestFit="1" customWidth="1"/>
    <col min="7" max="7" width="6.33203125" style="20" bestFit="1" customWidth="1"/>
    <col min="8" max="8" width="8.109375" style="29" bestFit="1" customWidth="1"/>
    <col min="9" max="9" width="8" style="20" bestFit="1" customWidth="1"/>
    <col min="10" max="10" width="6" style="20" customWidth="1"/>
    <col min="11" max="12" width="8" style="20" customWidth="1"/>
    <col min="13" max="13" width="10.44140625" style="29" customWidth="1"/>
    <col min="14" max="14" width="33.44140625" style="20" customWidth="1"/>
    <col min="15" max="15" width="13" style="20" bestFit="1" customWidth="1"/>
    <col min="16" max="16384" width="8.109375" style="20"/>
  </cols>
  <sheetData>
    <row r="1" spans="1:20" s="3" customFormat="1" ht="29.4" x14ac:dyDescent="0.55000000000000004">
      <c r="A1" s="132" t="s">
        <v>30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2"/>
    </row>
    <row r="2" spans="1:20" s="3" customFormat="1" ht="24" x14ac:dyDescent="0.4">
      <c r="A2" s="133" t="s">
        <v>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4"/>
    </row>
    <row r="3" spans="1:20" s="6" customFormat="1" ht="16.2" x14ac:dyDescent="0.3">
      <c r="A3" s="134" t="s">
        <v>216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5"/>
    </row>
    <row r="4" spans="1:20" s="6" customFormat="1" ht="15.6" x14ac:dyDescent="0.3">
      <c r="A4" s="134" t="s">
        <v>31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5"/>
    </row>
    <row r="5" spans="1:20" s="6" customFormat="1" ht="15.6" x14ac:dyDescent="0.3">
      <c r="A5" s="135" t="s">
        <v>32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5"/>
    </row>
    <row r="6" spans="1:20" s="10" customFormat="1" ht="24.6" x14ac:dyDescent="0.4">
      <c r="A6" s="127" t="s">
        <v>218</v>
      </c>
      <c r="B6" s="127"/>
      <c r="C6" s="127"/>
      <c r="D6" s="127"/>
      <c r="E6" s="127"/>
      <c r="F6" s="127"/>
      <c r="G6" s="127"/>
      <c r="H6" s="127"/>
      <c r="I6" s="127"/>
      <c r="J6" s="127" t="s">
        <v>217</v>
      </c>
      <c r="K6" s="127"/>
      <c r="L6" s="127"/>
      <c r="M6" s="127"/>
    </row>
    <row r="7" spans="1:20" s="13" customFormat="1" ht="16.5" customHeight="1" x14ac:dyDescent="0.25">
      <c r="A7" s="12" t="s">
        <v>2</v>
      </c>
      <c r="B7" s="13" t="s">
        <v>46</v>
      </c>
      <c r="H7" s="12"/>
      <c r="I7" s="25"/>
      <c r="J7" s="25"/>
      <c r="K7" s="13" t="s">
        <v>28</v>
      </c>
      <c r="L7" s="145" t="s">
        <v>40</v>
      </c>
      <c r="M7" s="145"/>
    </row>
    <row r="8" spans="1:20" s="13" customFormat="1" ht="16.5" customHeight="1" x14ac:dyDescent="0.25">
      <c r="A8" s="12" t="s">
        <v>3</v>
      </c>
      <c r="B8" s="13" t="s">
        <v>45</v>
      </c>
      <c r="H8" s="12"/>
      <c r="I8" s="25"/>
      <c r="J8" s="25"/>
      <c r="K8" s="15" t="s">
        <v>4</v>
      </c>
      <c r="L8" s="156">
        <v>46256</v>
      </c>
      <c r="M8" s="156"/>
    </row>
    <row r="9" spans="1:20" s="13" customFormat="1" ht="16.5" customHeight="1" x14ac:dyDescent="0.25">
      <c r="A9" s="16" t="s">
        <v>5</v>
      </c>
      <c r="B9" s="141" t="s">
        <v>6</v>
      </c>
      <c r="C9" s="141"/>
      <c r="D9" s="18"/>
      <c r="E9" s="18"/>
      <c r="F9" s="18"/>
      <c r="G9" s="18"/>
      <c r="H9" s="16"/>
      <c r="I9" s="18"/>
      <c r="J9" s="18"/>
      <c r="K9" s="17" t="s">
        <v>7</v>
      </c>
      <c r="L9" s="141" t="s">
        <v>29</v>
      </c>
      <c r="M9" s="141"/>
      <c r="T9" s="72"/>
    </row>
    <row r="10" spans="1:20" s="13" customFormat="1" ht="13.8" x14ac:dyDescent="0.25">
      <c r="A10" s="73" t="s">
        <v>8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T10" s="72"/>
    </row>
    <row r="11" spans="1:20" s="13" customFormat="1" ht="13.8" x14ac:dyDescent="0.25">
      <c r="A11" s="73" t="s">
        <v>9</v>
      </c>
      <c r="B11" s="143"/>
      <c r="C11" s="143"/>
      <c r="D11" s="22"/>
      <c r="E11" s="144"/>
      <c r="F11" s="144"/>
      <c r="G11" s="74"/>
      <c r="H11" s="12"/>
      <c r="M11" s="12"/>
      <c r="T11" s="72"/>
    </row>
    <row r="12" spans="1:20" s="13" customFormat="1" ht="13.8" x14ac:dyDescent="0.25">
      <c r="A12" s="73" t="s">
        <v>10</v>
      </c>
      <c r="B12" s="145" t="s">
        <v>41</v>
      </c>
      <c r="C12" s="145"/>
      <c r="D12" s="145"/>
      <c r="E12" s="145"/>
      <c r="F12" s="145"/>
      <c r="G12" s="75"/>
      <c r="H12" s="76"/>
      <c r="I12" s="75"/>
      <c r="J12" s="75"/>
      <c r="K12" s="75"/>
      <c r="L12" s="75"/>
      <c r="M12" s="76"/>
      <c r="T12" s="72"/>
    </row>
    <row r="13" spans="1:20" s="13" customFormat="1" ht="13.8" x14ac:dyDescent="0.25">
      <c r="A13" s="73"/>
      <c r="B13" s="26" t="s">
        <v>42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T13" s="72"/>
    </row>
    <row r="14" spans="1:20" s="13" customFormat="1" ht="13.8" x14ac:dyDescent="0.25">
      <c r="A14" s="73"/>
      <c r="B14" s="26" t="s">
        <v>43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T14" s="72"/>
    </row>
    <row r="15" spans="1:20" s="13" customFormat="1" ht="13.8" x14ac:dyDescent="0.25">
      <c r="A15" s="73"/>
      <c r="B15" s="13" t="s">
        <v>44</v>
      </c>
      <c r="F15" s="75"/>
      <c r="G15" s="75"/>
      <c r="H15" s="76"/>
      <c r="I15" s="75"/>
      <c r="J15" s="75"/>
      <c r="K15" s="75"/>
      <c r="L15" s="75"/>
      <c r="M15" s="76"/>
      <c r="T15" s="72"/>
    </row>
    <row r="16" spans="1:20" s="13" customFormat="1" ht="13.8" x14ac:dyDescent="0.25">
      <c r="A16" s="73" t="s">
        <v>11</v>
      </c>
      <c r="B16" s="13" t="s">
        <v>12</v>
      </c>
      <c r="E16" s="77"/>
      <c r="H16" s="12"/>
      <c r="M16" s="12"/>
      <c r="T16" s="72"/>
    </row>
    <row r="17" spans="1:20" s="91" customFormat="1" ht="13.8" x14ac:dyDescent="0.25">
      <c r="A17" s="89" t="s">
        <v>13</v>
      </c>
      <c r="B17" s="149" t="s">
        <v>14</v>
      </c>
      <c r="C17" s="150"/>
      <c r="D17" s="149" t="s">
        <v>15</v>
      </c>
      <c r="E17" s="150"/>
      <c r="F17" s="136" t="s">
        <v>16</v>
      </c>
      <c r="G17" s="136" t="s">
        <v>17</v>
      </c>
      <c r="H17" s="136" t="s">
        <v>18</v>
      </c>
      <c r="I17" s="136" t="s">
        <v>19</v>
      </c>
      <c r="J17" s="136" t="s">
        <v>213</v>
      </c>
      <c r="K17" s="138" t="s">
        <v>124</v>
      </c>
      <c r="L17" s="148" t="s">
        <v>127</v>
      </c>
      <c r="M17" s="148"/>
      <c r="N17" s="138" t="s">
        <v>125</v>
      </c>
      <c r="O17" s="90"/>
      <c r="T17" s="92"/>
    </row>
    <row r="18" spans="1:20" s="91" customFormat="1" ht="13.8" x14ac:dyDescent="0.25">
      <c r="A18" s="93" t="s">
        <v>22</v>
      </c>
      <c r="B18" s="151"/>
      <c r="C18" s="152"/>
      <c r="D18" s="151"/>
      <c r="E18" s="152"/>
      <c r="F18" s="137"/>
      <c r="G18" s="137"/>
      <c r="H18" s="137"/>
      <c r="I18" s="137"/>
      <c r="J18" s="137"/>
      <c r="K18" s="140" t="s">
        <v>126</v>
      </c>
      <c r="L18" s="78" t="s">
        <v>128</v>
      </c>
      <c r="M18" s="78" t="s">
        <v>129</v>
      </c>
      <c r="N18" s="140"/>
      <c r="O18" s="90"/>
      <c r="S18" s="94"/>
      <c r="T18" s="92"/>
    </row>
    <row r="19" spans="1:20" s="91" customFormat="1" ht="13.8" x14ac:dyDescent="0.25">
      <c r="A19" s="95" t="s">
        <v>215</v>
      </c>
      <c r="B19" s="110">
        <v>709</v>
      </c>
      <c r="C19" s="96" t="s">
        <v>33</v>
      </c>
      <c r="D19" s="97" t="s">
        <v>36</v>
      </c>
      <c r="E19" s="95" t="s">
        <v>37</v>
      </c>
      <c r="F19" s="98" t="s">
        <v>35</v>
      </c>
      <c r="G19" s="98" t="s">
        <v>34</v>
      </c>
      <c r="H19" s="98" t="s">
        <v>38</v>
      </c>
      <c r="I19" s="80">
        <v>6514</v>
      </c>
      <c r="J19" s="138">
        <v>2237</v>
      </c>
      <c r="K19" s="138">
        <v>1</v>
      </c>
      <c r="L19" s="138">
        <v>28.36</v>
      </c>
      <c r="M19" s="138">
        <v>30.36</v>
      </c>
      <c r="N19" s="99" t="s">
        <v>214</v>
      </c>
      <c r="O19" s="100" t="s">
        <v>130</v>
      </c>
      <c r="S19" s="94"/>
      <c r="T19" s="92"/>
    </row>
    <row r="20" spans="1:20" s="91" customFormat="1" ht="13.8" x14ac:dyDescent="0.25">
      <c r="A20" s="95" t="s">
        <v>215</v>
      </c>
      <c r="B20" s="110">
        <v>53</v>
      </c>
      <c r="C20" s="96" t="s">
        <v>33</v>
      </c>
      <c r="D20" s="97" t="s">
        <v>36</v>
      </c>
      <c r="E20" s="95" t="s">
        <v>37</v>
      </c>
      <c r="F20" s="98" t="s">
        <v>35</v>
      </c>
      <c r="G20" s="98" t="s">
        <v>34</v>
      </c>
      <c r="H20" s="98" t="s">
        <v>39</v>
      </c>
      <c r="I20" s="80">
        <v>6514</v>
      </c>
      <c r="J20" s="139"/>
      <c r="K20" s="139"/>
      <c r="L20" s="139"/>
      <c r="M20" s="139"/>
      <c r="N20" s="99" t="s">
        <v>214</v>
      </c>
      <c r="O20" s="100" t="s">
        <v>132</v>
      </c>
      <c r="S20" s="94"/>
      <c r="T20" s="92"/>
    </row>
    <row r="21" spans="1:20" s="91" customFormat="1" ht="13.8" x14ac:dyDescent="0.25">
      <c r="A21" s="95" t="s">
        <v>215</v>
      </c>
      <c r="B21" s="110">
        <v>47</v>
      </c>
      <c r="C21" s="96" t="s">
        <v>33</v>
      </c>
      <c r="D21" s="97" t="s">
        <v>36</v>
      </c>
      <c r="E21" s="95" t="s">
        <v>37</v>
      </c>
      <c r="F21" s="98" t="s">
        <v>35</v>
      </c>
      <c r="G21" s="98" t="s">
        <v>34</v>
      </c>
      <c r="H21" s="98" t="s">
        <v>38</v>
      </c>
      <c r="I21" s="80">
        <v>6514</v>
      </c>
      <c r="J21" s="139"/>
      <c r="K21" s="139"/>
      <c r="L21" s="139"/>
      <c r="M21" s="139"/>
      <c r="N21" s="99" t="s">
        <v>214</v>
      </c>
      <c r="O21" s="100" t="s">
        <v>133</v>
      </c>
      <c r="S21" s="94"/>
      <c r="T21" s="92"/>
    </row>
    <row r="22" spans="1:20" s="91" customFormat="1" ht="13.8" x14ac:dyDescent="0.25">
      <c r="A22" s="95" t="s">
        <v>215</v>
      </c>
      <c r="B22" s="110">
        <v>394</v>
      </c>
      <c r="C22" s="96" t="s">
        <v>33</v>
      </c>
      <c r="D22" s="97" t="s">
        <v>36</v>
      </c>
      <c r="E22" s="95" t="s">
        <v>37</v>
      </c>
      <c r="F22" s="98" t="s">
        <v>35</v>
      </c>
      <c r="G22" s="98" t="s">
        <v>34</v>
      </c>
      <c r="H22" s="98" t="s">
        <v>39</v>
      </c>
      <c r="I22" s="80">
        <v>6514</v>
      </c>
      <c r="J22" s="139"/>
      <c r="K22" s="139"/>
      <c r="L22" s="139"/>
      <c r="M22" s="139"/>
      <c r="N22" s="99" t="s">
        <v>214</v>
      </c>
      <c r="O22" s="100" t="s">
        <v>134</v>
      </c>
      <c r="S22" s="94"/>
      <c r="T22" s="92"/>
    </row>
    <row r="23" spans="1:20" s="91" customFormat="1" ht="13.8" x14ac:dyDescent="0.25">
      <c r="A23" s="95" t="s">
        <v>215</v>
      </c>
      <c r="B23" s="110">
        <v>96</v>
      </c>
      <c r="C23" s="96" t="s">
        <v>33</v>
      </c>
      <c r="D23" s="97" t="s">
        <v>36</v>
      </c>
      <c r="E23" s="95" t="s">
        <v>37</v>
      </c>
      <c r="F23" s="98" t="s">
        <v>35</v>
      </c>
      <c r="G23" s="98" t="s">
        <v>34</v>
      </c>
      <c r="H23" s="98" t="s">
        <v>38</v>
      </c>
      <c r="I23" s="80">
        <v>6514</v>
      </c>
      <c r="J23" s="139"/>
      <c r="K23" s="139"/>
      <c r="L23" s="139"/>
      <c r="M23" s="139"/>
      <c r="N23" s="99" t="s">
        <v>214</v>
      </c>
      <c r="O23" s="100" t="s">
        <v>135</v>
      </c>
      <c r="S23" s="94"/>
      <c r="T23" s="92"/>
    </row>
    <row r="24" spans="1:20" s="91" customFormat="1" ht="13.8" x14ac:dyDescent="0.25">
      <c r="A24" s="95" t="s">
        <v>215</v>
      </c>
      <c r="B24" s="110">
        <v>37</v>
      </c>
      <c r="C24" s="96" t="s">
        <v>33</v>
      </c>
      <c r="D24" s="97" t="s">
        <v>36</v>
      </c>
      <c r="E24" s="95" t="s">
        <v>37</v>
      </c>
      <c r="F24" s="98" t="s">
        <v>35</v>
      </c>
      <c r="G24" s="98" t="s">
        <v>34</v>
      </c>
      <c r="H24" s="98" t="s">
        <v>39</v>
      </c>
      <c r="I24" s="80">
        <v>6514</v>
      </c>
      <c r="J24" s="139"/>
      <c r="K24" s="139"/>
      <c r="L24" s="139"/>
      <c r="M24" s="139"/>
      <c r="N24" s="99" t="s">
        <v>214</v>
      </c>
      <c r="O24" s="100" t="s">
        <v>137</v>
      </c>
      <c r="S24" s="94"/>
      <c r="T24" s="92"/>
    </row>
    <row r="25" spans="1:20" s="91" customFormat="1" ht="13.8" x14ac:dyDescent="0.25">
      <c r="A25" s="95" t="s">
        <v>215</v>
      </c>
      <c r="B25" s="110">
        <v>849</v>
      </c>
      <c r="C25" s="96" t="s">
        <v>33</v>
      </c>
      <c r="D25" s="97" t="s">
        <v>36</v>
      </c>
      <c r="E25" s="95" t="s">
        <v>37</v>
      </c>
      <c r="F25" s="98" t="s">
        <v>35</v>
      </c>
      <c r="G25" s="98" t="s">
        <v>34</v>
      </c>
      <c r="H25" s="98" t="s">
        <v>39</v>
      </c>
      <c r="I25" s="80">
        <v>6514</v>
      </c>
      <c r="J25" s="139"/>
      <c r="K25" s="139"/>
      <c r="L25" s="139"/>
      <c r="M25" s="139"/>
      <c r="N25" s="99" t="s">
        <v>214</v>
      </c>
      <c r="O25" s="100" t="s">
        <v>138</v>
      </c>
      <c r="S25" s="94"/>
      <c r="T25" s="92"/>
    </row>
    <row r="26" spans="1:20" s="91" customFormat="1" ht="13.8" x14ac:dyDescent="0.25">
      <c r="A26" s="95" t="s">
        <v>215</v>
      </c>
      <c r="B26" s="110">
        <v>52</v>
      </c>
      <c r="C26" s="96" t="s">
        <v>33</v>
      </c>
      <c r="D26" s="97" t="s">
        <v>36</v>
      </c>
      <c r="E26" s="95" t="s">
        <v>37</v>
      </c>
      <c r="F26" s="98" t="s">
        <v>35</v>
      </c>
      <c r="G26" s="98" t="s">
        <v>34</v>
      </c>
      <c r="H26" s="98" t="s">
        <v>39</v>
      </c>
      <c r="I26" s="80">
        <v>6514</v>
      </c>
      <c r="J26" s="140"/>
      <c r="K26" s="140"/>
      <c r="L26" s="140"/>
      <c r="M26" s="140"/>
      <c r="N26" s="99" t="s">
        <v>214</v>
      </c>
      <c r="O26" s="100" t="s">
        <v>139</v>
      </c>
      <c r="S26" s="94"/>
      <c r="T26" s="92"/>
    </row>
    <row r="27" spans="1:20" s="91" customFormat="1" ht="13.8" x14ac:dyDescent="0.25">
      <c r="A27" s="95" t="s">
        <v>215</v>
      </c>
      <c r="B27" s="110">
        <v>709</v>
      </c>
      <c r="C27" s="96" t="s">
        <v>33</v>
      </c>
      <c r="D27" s="97" t="s">
        <v>36</v>
      </c>
      <c r="E27" s="95" t="s">
        <v>37</v>
      </c>
      <c r="F27" s="98" t="s">
        <v>35</v>
      </c>
      <c r="G27" s="98" t="s">
        <v>34</v>
      </c>
      <c r="H27" s="98" t="s">
        <v>39</v>
      </c>
      <c r="I27" s="80">
        <v>6514</v>
      </c>
      <c r="J27" s="138">
        <v>2280</v>
      </c>
      <c r="K27" s="138">
        <v>2</v>
      </c>
      <c r="L27" s="138">
        <v>28.86</v>
      </c>
      <c r="M27" s="138">
        <v>30.86</v>
      </c>
      <c r="N27" s="99" t="s">
        <v>214</v>
      </c>
      <c r="O27" s="100" t="s">
        <v>131</v>
      </c>
      <c r="S27" s="94"/>
      <c r="T27" s="92"/>
    </row>
    <row r="28" spans="1:20" s="91" customFormat="1" ht="13.8" x14ac:dyDescent="0.25">
      <c r="A28" s="95" t="s">
        <v>215</v>
      </c>
      <c r="B28" s="110">
        <v>753</v>
      </c>
      <c r="C28" s="96" t="s">
        <v>33</v>
      </c>
      <c r="D28" s="97" t="s">
        <v>36</v>
      </c>
      <c r="E28" s="95" t="s">
        <v>37</v>
      </c>
      <c r="F28" s="98" t="s">
        <v>35</v>
      </c>
      <c r="G28" s="98" t="s">
        <v>34</v>
      </c>
      <c r="H28" s="98" t="s">
        <v>38</v>
      </c>
      <c r="I28" s="80">
        <v>6514</v>
      </c>
      <c r="J28" s="139"/>
      <c r="K28" s="139"/>
      <c r="L28" s="139"/>
      <c r="M28" s="139"/>
      <c r="N28" s="99" t="s">
        <v>214</v>
      </c>
      <c r="O28" s="100" t="s">
        <v>136</v>
      </c>
      <c r="S28" s="94"/>
      <c r="T28" s="92"/>
    </row>
    <row r="29" spans="1:20" s="91" customFormat="1" ht="13.8" x14ac:dyDescent="0.25">
      <c r="A29" s="101" t="s">
        <v>47</v>
      </c>
      <c r="B29" s="111">
        <v>215</v>
      </c>
      <c r="C29" s="102" t="s">
        <v>48</v>
      </c>
      <c r="D29" s="103" t="s">
        <v>36</v>
      </c>
      <c r="E29" s="78" t="s">
        <v>37</v>
      </c>
      <c r="F29" s="104" t="s">
        <v>49</v>
      </c>
      <c r="G29" s="104" t="s">
        <v>50</v>
      </c>
      <c r="H29" s="101" t="s">
        <v>51</v>
      </c>
      <c r="I29" s="81">
        <v>6514</v>
      </c>
      <c r="J29" s="139"/>
      <c r="K29" s="139"/>
      <c r="L29" s="139"/>
      <c r="M29" s="139"/>
      <c r="N29" s="99" t="s">
        <v>214</v>
      </c>
      <c r="O29" s="100" t="s">
        <v>140</v>
      </c>
      <c r="S29" s="94"/>
      <c r="T29" s="92"/>
    </row>
    <row r="30" spans="1:20" s="91" customFormat="1" ht="13.8" x14ac:dyDescent="0.25">
      <c r="A30" s="101" t="s">
        <v>52</v>
      </c>
      <c r="B30" s="111">
        <v>37</v>
      </c>
      <c r="C30" s="102" t="s">
        <v>48</v>
      </c>
      <c r="D30" s="103" t="s">
        <v>36</v>
      </c>
      <c r="E30" s="78" t="s">
        <v>37</v>
      </c>
      <c r="F30" s="104" t="s">
        <v>49</v>
      </c>
      <c r="G30" s="104" t="s">
        <v>50</v>
      </c>
      <c r="H30" s="101" t="s">
        <v>53</v>
      </c>
      <c r="I30" s="81">
        <v>6514</v>
      </c>
      <c r="J30" s="139"/>
      <c r="K30" s="139"/>
      <c r="L30" s="139"/>
      <c r="M30" s="139"/>
      <c r="N30" s="99" t="s">
        <v>214</v>
      </c>
      <c r="O30" s="100" t="s">
        <v>141</v>
      </c>
      <c r="S30" s="94"/>
      <c r="T30" s="92"/>
    </row>
    <row r="31" spans="1:20" s="91" customFormat="1" ht="13.8" x14ac:dyDescent="0.25">
      <c r="A31" s="101" t="s">
        <v>54</v>
      </c>
      <c r="B31" s="111">
        <v>230</v>
      </c>
      <c r="C31" s="102" t="s">
        <v>48</v>
      </c>
      <c r="D31" s="103" t="s">
        <v>36</v>
      </c>
      <c r="E31" s="78" t="s">
        <v>37</v>
      </c>
      <c r="F31" s="104" t="s">
        <v>49</v>
      </c>
      <c r="G31" s="104" t="s">
        <v>50</v>
      </c>
      <c r="H31" s="101" t="s">
        <v>51</v>
      </c>
      <c r="I31" s="81">
        <v>6515</v>
      </c>
      <c r="J31" s="139"/>
      <c r="K31" s="139"/>
      <c r="L31" s="139"/>
      <c r="M31" s="139"/>
      <c r="N31" s="99" t="s">
        <v>214</v>
      </c>
      <c r="O31" s="100" t="s">
        <v>142</v>
      </c>
      <c r="S31" s="94"/>
      <c r="T31" s="92"/>
    </row>
    <row r="32" spans="1:20" s="91" customFormat="1" ht="13.8" x14ac:dyDescent="0.25">
      <c r="A32" s="101" t="s">
        <v>55</v>
      </c>
      <c r="B32" s="111">
        <v>39</v>
      </c>
      <c r="C32" s="102" t="s">
        <v>48</v>
      </c>
      <c r="D32" s="103" t="s">
        <v>36</v>
      </c>
      <c r="E32" s="78" t="s">
        <v>37</v>
      </c>
      <c r="F32" s="104" t="s">
        <v>49</v>
      </c>
      <c r="G32" s="104" t="s">
        <v>50</v>
      </c>
      <c r="H32" s="101" t="s">
        <v>51</v>
      </c>
      <c r="I32" s="81">
        <v>6515</v>
      </c>
      <c r="J32" s="139"/>
      <c r="K32" s="139"/>
      <c r="L32" s="139"/>
      <c r="M32" s="139"/>
      <c r="N32" s="99" t="s">
        <v>214</v>
      </c>
      <c r="O32" s="100" t="s">
        <v>143</v>
      </c>
      <c r="S32" s="94"/>
      <c r="T32" s="92"/>
    </row>
    <row r="33" spans="1:20" s="91" customFormat="1" ht="13.8" x14ac:dyDescent="0.25">
      <c r="A33" s="101" t="s">
        <v>56</v>
      </c>
      <c r="B33" s="111">
        <v>37</v>
      </c>
      <c r="C33" s="102" t="s">
        <v>48</v>
      </c>
      <c r="D33" s="103" t="s">
        <v>36</v>
      </c>
      <c r="E33" s="78" t="s">
        <v>37</v>
      </c>
      <c r="F33" s="104" t="s">
        <v>49</v>
      </c>
      <c r="G33" s="104" t="s">
        <v>50</v>
      </c>
      <c r="H33" s="101" t="s">
        <v>53</v>
      </c>
      <c r="I33" s="81">
        <v>6515</v>
      </c>
      <c r="J33" s="139"/>
      <c r="K33" s="139"/>
      <c r="L33" s="139"/>
      <c r="M33" s="139"/>
      <c r="N33" s="99" t="s">
        <v>214</v>
      </c>
      <c r="O33" s="100" t="s">
        <v>144</v>
      </c>
      <c r="S33" s="94"/>
      <c r="T33" s="92"/>
    </row>
    <row r="34" spans="1:20" s="91" customFormat="1" ht="13.8" x14ac:dyDescent="0.25">
      <c r="A34" s="101" t="s">
        <v>57</v>
      </c>
      <c r="B34" s="111">
        <v>260</v>
      </c>
      <c r="C34" s="102" t="s">
        <v>48</v>
      </c>
      <c r="D34" s="103" t="s">
        <v>36</v>
      </c>
      <c r="E34" s="78" t="s">
        <v>37</v>
      </c>
      <c r="F34" s="104" t="s">
        <v>49</v>
      </c>
      <c r="G34" s="104" t="s">
        <v>50</v>
      </c>
      <c r="H34" s="101" t="s">
        <v>53</v>
      </c>
      <c r="I34" s="81">
        <v>6515</v>
      </c>
      <c r="J34" s="140"/>
      <c r="K34" s="140"/>
      <c r="L34" s="140"/>
      <c r="M34" s="140"/>
      <c r="N34" s="99" t="s">
        <v>214</v>
      </c>
      <c r="O34" s="100" t="s">
        <v>145</v>
      </c>
      <c r="S34" s="94"/>
      <c r="T34" s="92"/>
    </row>
    <row r="35" spans="1:20" s="91" customFormat="1" ht="13.8" x14ac:dyDescent="0.25">
      <c r="A35" s="101" t="s">
        <v>58</v>
      </c>
      <c r="B35" s="111">
        <v>322</v>
      </c>
      <c r="C35" s="102" t="s">
        <v>48</v>
      </c>
      <c r="D35" s="103" t="s">
        <v>36</v>
      </c>
      <c r="E35" s="78" t="s">
        <v>37</v>
      </c>
      <c r="F35" s="104" t="s">
        <v>49</v>
      </c>
      <c r="G35" s="104" t="s">
        <v>50</v>
      </c>
      <c r="H35" s="101" t="s">
        <v>53</v>
      </c>
      <c r="I35" s="81">
        <v>6515</v>
      </c>
      <c r="J35" s="138">
        <v>2265</v>
      </c>
      <c r="K35" s="138">
        <v>3</v>
      </c>
      <c r="L35" s="138">
        <v>28.7</v>
      </c>
      <c r="M35" s="138">
        <v>30.7</v>
      </c>
      <c r="N35" s="99" t="s">
        <v>214</v>
      </c>
      <c r="O35" s="100" t="s">
        <v>146</v>
      </c>
      <c r="S35" s="94"/>
      <c r="T35" s="92"/>
    </row>
    <row r="36" spans="1:20" s="91" customFormat="1" ht="13.8" x14ac:dyDescent="0.25">
      <c r="A36" s="101" t="s">
        <v>59</v>
      </c>
      <c r="B36" s="111">
        <v>1641</v>
      </c>
      <c r="C36" s="102" t="s">
        <v>48</v>
      </c>
      <c r="D36" s="103" t="s">
        <v>36</v>
      </c>
      <c r="E36" s="78" t="s">
        <v>37</v>
      </c>
      <c r="F36" s="104" t="s">
        <v>49</v>
      </c>
      <c r="G36" s="104" t="s">
        <v>50</v>
      </c>
      <c r="H36" s="101" t="s">
        <v>53</v>
      </c>
      <c r="I36" s="81">
        <v>6515</v>
      </c>
      <c r="J36" s="139"/>
      <c r="K36" s="139"/>
      <c r="L36" s="139"/>
      <c r="M36" s="139"/>
      <c r="N36" s="99" t="s">
        <v>214</v>
      </c>
      <c r="O36" s="100" t="s">
        <v>147</v>
      </c>
      <c r="S36" s="94"/>
      <c r="T36" s="92"/>
    </row>
    <row r="37" spans="1:20" s="91" customFormat="1" ht="13.8" x14ac:dyDescent="0.25">
      <c r="A37" s="101" t="s">
        <v>60</v>
      </c>
      <c r="B37" s="111">
        <v>69</v>
      </c>
      <c r="C37" s="102" t="s">
        <v>48</v>
      </c>
      <c r="D37" s="103" t="s">
        <v>36</v>
      </c>
      <c r="E37" s="78" t="s">
        <v>37</v>
      </c>
      <c r="F37" s="104" t="s">
        <v>49</v>
      </c>
      <c r="G37" s="104" t="s">
        <v>50</v>
      </c>
      <c r="H37" s="101" t="s">
        <v>53</v>
      </c>
      <c r="I37" s="81">
        <v>6515</v>
      </c>
      <c r="J37" s="139"/>
      <c r="K37" s="139"/>
      <c r="L37" s="139"/>
      <c r="M37" s="139"/>
      <c r="N37" s="99" t="s">
        <v>214</v>
      </c>
      <c r="O37" s="100" t="s">
        <v>148</v>
      </c>
      <c r="S37" s="94"/>
      <c r="T37" s="92"/>
    </row>
    <row r="38" spans="1:20" s="91" customFormat="1" ht="13.8" x14ac:dyDescent="0.25">
      <c r="A38" s="101" t="s">
        <v>61</v>
      </c>
      <c r="B38" s="111">
        <v>72</v>
      </c>
      <c r="C38" s="102" t="s">
        <v>48</v>
      </c>
      <c r="D38" s="103" t="s">
        <v>36</v>
      </c>
      <c r="E38" s="78" t="s">
        <v>37</v>
      </c>
      <c r="F38" s="104" t="s">
        <v>49</v>
      </c>
      <c r="G38" s="104" t="s">
        <v>50</v>
      </c>
      <c r="H38" s="101" t="s">
        <v>53</v>
      </c>
      <c r="I38" s="81">
        <v>6515</v>
      </c>
      <c r="J38" s="139"/>
      <c r="K38" s="139"/>
      <c r="L38" s="139"/>
      <c r="M38" s="139"/>
      <c r="N38" s="99" t="s">
        <v>214</v>
      </c>
      <c r="O38" s="100" t="s">
        <v>149</v>
      </c>
      <c r="S38" s="94"/>
      <c r="T38" s="92"/>
    </row>
    <row r="39" spans="1:20" s="91" customFormat="1" ht="13.8" x14ac:dyDescent="0.25">
      <c r="A39" s="101" t="s">
        <v>63</v>
      </c>
      <c r="B39" s="111">
        <v>60</v>
      </c>
      <c r="C39" s="102" t="s">
        <v>48</v>
      </c>
      <c r="D39" s="103" t="s">
        <v>36</v>
      </c>
      <c r="E39" s="78" t="s">
        <v>37</v>
      </c>
      <c r="F39" s="104" t="s">
        <v>49</v>
      </c>
      <c r="G39" s="104" t="s">
        <v>50</v>
      </c>
      <c r="H39" s="101" t="s">
        <v>51</v>
      </c>
      <c r="I39" s="81">
        <v>6515</v>
      </c>
      <c r="J39" s="139"/>
      <c r="K39" s="139"/>
      <c r="L39" s="139"/>
      <c r="M39" s="139"/>
      <c r="N39" s="99" t="s">
        <v>214</v>
      </c>
      <c r="O39" s="100" t="s">
        <v>151</v>
      </c>
      <c r="S39" s="94"/>
      <c r="T39" s="92"/>
    </row>
    <row r="40" spans="1:20" s="91" customFormat="1" ht="13.8" x14ac:dyDescent="0.25">
      <c r="A40" s="101" t="s">
        <v>64</v>
      </c>
      <c r="B40" s="111">
        <v>62</v>
      </c>
      <c r="C40" s="102" t="s">
        <v>48</v>
      </c>
      <c r="D40" s="103" t="s">
        <v>36</v>
      </c>
      <c r="E40" s="78" t="s">
        <v>37</v>
      </c>
      <c r="F40" s="104" t="s">
        <v>49</v>
      </c>
      <c r="G40" s="104" t="s">
        <v>50</v>
      </c>
      <c r="H40" s="101" t="s">
        <v>53</v>
      </c>
      <c r="I40" s="81">
        <v>6515</v>
      </c>
      <c r="J40" s="139"/>
      <c r="K40" s="139"/>
      <c r="L40" s="139"/>
      <c r="M40" s="139"/>
      <c r="N40" s="99" t="s">
        <v>214</v>
      </c>
      <c r="O40" s="100" t="s">
        <v>152</v>
      </c>
      <c r="S40" s="94"/>
      <c r="T40" s="92"/>
    </row>
    <row r="41" spans="1:20" s="91" customFormat="1" ht="13.8" x14ac:dyDescent="0.25">
      <c r="A41" s="101" t="s">
        <v>65</v>
      </c>
      <c r="B41" s="111">
        <v>39</v>
      </c>
      <c r="C41" s="102" t="s">
        <v>48</v>
      </c>
      <c r="D41" s="103" t="s">
        <v>36</v>
      </c>
      <c r="E41" s="78" t="s">
        <v>37</v>
      </c>
      <c r="F41" s="104" t="s">
        <v>49</v>
      </c>
      <c r="G41" s="104" t="s">
        <v>50</v>
      </c>
      <c r="H41" s="101" t="s">
        <v>53</v>
      </c>
      <c r="I41" s="81">
        <v>6515</v>
      </c>
      <c r="J41" s="140"/>
      <c r="K41" s="140"/>
      <c r="L41" s="140"/>
      <c r="M41" s="140"/>
      <c r="N41" s="99" t="s">
        <v>214</v>
      </c>
      <c r="O41" s="100" t="s">
        <v>153</v>
      </c>
      <c r="S41" s="94"/>
      <c r="T41" s="92"/>
    </row>
    <row r="42" spans="1:20" s="91" customFormat="1" ht="13.8" x14ac:dyDescent="0.25">
      <c r="A42" s="101" t="s">
        <v>62</v>
      </c>
      <c r="B42" s="111">
        <v>1311</v>
      </c>
      <c r="C42" s="102" t="s">
        <v>48</v>
      </c>
      <c r="D42" s="103" t="s">
        <v>36</v>
      </c>
      <c r="E42" s="78" t="s">
        <v>37</v>
      </c>
      <c r="F42" s="104" t="s">
        <v>49</v>
      </c>
      <c r="G42" s="104" t="s">
        <v>50</v>
      </c>
      <c r="H42" s="101" t="s">
        <v>53</v>
      </c>
      <c r="I42" s="81">
        <v>6515</v>
      </c>
      <c r="J42" s="138">
        <v>2218</v>
      </c>
      <c r="K42" s="138">
        <v>4</v>
      </c>
      <c r="L42" s="138">
        <v>28.15</v>
      </c>
      <c r="M42" s="138">
        <v>30.15</v>
      </c>
      <c r="N42" s="99" t="s">
        <v>214</v>
      </c>
      <c r="O42" s="100" t="s">
        <v>150</v>
      </c>
      <c r="S42" s="94"/>
      <c r="T42" s="92"/>
    </row>
    <row r="43" spans="1:20" s="91" customFormat="1" ht="13.8" x14ac:dyDescent="0.25">
      <c r="A43" s="101" t="s">
        <v>66</v>
      </c>
      <c r="B43" s="111">
        <v>92</v>
      </c>
      <c r="C43" s="102" t="s">
        <v>48</v>
      </c>
      <c r="D43" s="103" t="s">
        <v>36</v>
      </c>
      <c r="E43" s="78" t="s">
        <v>37</v>
      </c>
      <c r="F43" s="104" t="s">
        <v>49</v>
      </c>
      <c r="G43" s="104" t="s">
        <v>50</v>
      </c>
      <c r="H43" s="101" t="s">
        <v>51</v>
      </c>
      <c r="I43" s="81">
        <v>6516</v>
      </c>
      <c r="J43" s="139"/>
      <c r="K43" s="139"/>
      <c r="L43" s="139"/>
      <c r="M43" s="139"/>
      <c r="N43" s="99" t="s">
        <v>214</v>
      </c>
      <c r="O43" s="100" t="s">
        <v>154</v>
      </c>
      <c r="S43" s="94"/>
      <c r="T43" s="92"/>
    </row>
    <row r="44" spans="1:20" s="91" customFormat="1" ht="13.8" x14ac:dyDescent="0.25">
      <c r="A44" s="101" t="s">
        <v>67</v>
      </c>
      <c r="B44" s="111">
        <v>307</v>
      </c>
      <c r="C44" s="102" t="s">
        <v>48</v>
      </c>
      <c r="D44" s="103" t="s">
        <v>36</v>
      </c>
      <c r="E44" s="78" t="s">
        <v>37</v>
      </c>
      <c r="F44" s="104" t="s">
        <v>49</v>
      </c>
      <c r="G44" s="104" t="s">
        <v>50</v>
      </c>
      <c r="H44" s="101" t="s">
        <v>51</v>
      </c>
      <c r="I44" s="81">
        <v>6516</v>
      </c>
      <c r="J44" s="139"/>
      <c r="K44" s="139"/>
      <c r="L44" s="139"/>
      <c r="M44" s="139"/>
      <c r="N44" s="99" t="s">
        <v>214</v>
      </c>
      <c r="O44" s="100" t="s">
        <v>155</v>
      </c>
      <c r="S44" s="94"/>
      <c r="T44" s="92"/>
    </row>
    <row r="45" spans="1:20" s="91" customFormat="1" ht="13.8" x14ac:dyDescent="0.25">
      <c r="A45" s="101" t="s">
        <v>69</v>
      </c>
      <c r="B45" s="111">
        <v>157</v>
      </c>
      <c r="C45" s="102" t="s">
        <v>48</v>
      </c>
      <c r="D45" s="103" t="s">
        <v>36</v>
      </c>
      <c r="E45" s="78" t="s">
        <v>37</v>
      </c>
      <c r="F45" s="104" t="s">
        <v>49</v>
      </c>
      <c r="G45" s="104" t="s">
        <v>50</v>
      </c>
      <c r="H45" s="101" t="s">
        <v>53</v>
      </c>
      <c r="I45" s="81">
        <v>6516</v>
      </c>
      <c r="J45" s="139"/>
      <c r="K45" s="139"/>
      <c r="L45" s="139"/>
      <c r="M45" s="139"/>
      <c r="N45" s="99" t="s">
        <v>214</v>
      </c>
      <c r="O45" s="100" t="s">
        <v>157</v>
      </c>
      <c r="S45" s="94"/>
      <c r="T45" s="92"/>
    </row>
    <row r="46" spans="1:20" s="91" customFormat="1" ht="13.8" x14ac:dyDescent="0.25">
      <c r="A46" s="101" t="s">
        <v>70</v>
      </c>
      <c r="B46" s="111">
        <v>92</v>
      </c>
      <c r="C46" s="102" t="s">
        <v>48</v>
      </c>
      <c r="D46" s="103" t="s">
        <v>36</v>
      </c>
      <c r="E46" s="78" t="s">
        <v>37</v>
      </c>
      <c r="F46" s="104" t="s">
        <v>49</v>
      </c>
      <c r="G46" s="104" t="s">
        <v>50</v>
      </c>
      <c r="H46" s="101" t="s">
        <v>53</v>
      </c>
      <c r="I46" s="81">
        <v>6516</v>
      </c>
      <c r="J46" s="139"/>
      <c r="K46" s="139"/>
      <c r="L46" s="139"/>
      <c r="M46" s="139"/>
      <c r="N46" s="99" t="s">
        <v>214</v>
      </c>
      <c r="O46" s="100" t="s">
        <v>158</v>
      </c>
      <c r="S46" s="94"/>
      <c r="T46" s="92"/>
    </row>
    <row r="47" spans="1:20" s="91" customFormat="1" ht="13.8" x14ac:dyDescent="0.25">
      <c r="A47" s="101" t="s">
        <v>71</v>
      </c>
      <c r="B47" s="111">
        <v>39</v>
      </c>
      <c r="C47" s="102" t="s">
        <v>48</v>
      </c>
      <c r="D47" s="103" t="s">
        <v>36</v>
      </c>
      <c r="E47" s="78" t="s">
        <v>37</v>
      </c>
      <c r="F47" s="104" t="s">
        <v>49</v>
      </c>
      <c r="G47" s="104" t="s">
        <v>50</v>
      </c>
      <c r="H47" s="101" t="s">
        <v>53</v>
      </c>
      <c r="I47" s="81">
        <v>6516</v>
      </c>
      <c r="J47" s="139"/>
      <c r="K47" s="139"/>
      <c r="L47" s="139"/>
      <c r="M47" s="139"/>
      <c r="N47" s="99" t="s">
        <v>214</v>
      </c>
      <c r="O47" s="100" t="s">
        <v>159</v>
      </c>
      <c r="S47" s="94"/>
      <c r="T47" s="92"/>
    </row>
    <row r="48" spans="1:20" s="91" customFormat="1" ht="13.8" x14ac:dyDescent="0.25">
      <c r="A48" s="101" t="s">
        <v>74</v>
      </c>
      <c r="B48" s="111">
        <v>69</v>
      </c>
      <c r="C48" s="102" t="s">
        <v>48</v>
      </c>
      <c r="D48" s="103" t="s">
        <v>36</v>
      </c>
      <c r="E48" s="78" t="s">
        <v>37</v>
      </c>
      <c r="F48" s="104" t="s">
        <v>49</v>
      </c>
      <c r="G48" s="104" t="s">
        <v>50</v>
      </c>
      <c r="H48" s="101" t="s">
        <v>53</v>
      </c>
      <c r="I48" s="81">
        <v>6516</v>
      </c>
      <c r="J48" s="139"/>
      <c r="K48" s="139"/>
      <c r="L48" s="139"/>
      <c r="M48" s="139"/>
      <c r="N48" s="99" t="s">
        <v>214</v>
      </c>
      <c r="O48" s="100" t="s">
        <v>162</v>
      </c>
      <c r="S48" s="94"/>
      <c r="T48" s="92"/>
    </row>
    <row r="49" spans="1:20" s="91" customFormat="1" ht="13.8" x14ac:dyDescent="0.25">
      <c r="A49" s="101" t="s">
        <v>75</v>
      </c>
      <c r="B49" s="111">
        <v>59</v>
      </c>
      <c r="C49" s="102" t="s">
        <v>48</v>
      </c>
      <c r="D49" s="103" t="s">
        <v>36</v>
      </c>
      <c r="E49" s="78" t="s">
        <v>37</v>
      </c>
      <c r="F49" s="104" t="s">
        <v>49</v>
      </c>
      <c r="G49" s="104" t="s">
        <v>50</v>
      </c>
      <c r="H49" s="101" t="s">
        <v>53</v>
      </c>
      <c r="I49" s="81">
        <v>6516</v>
      </c>
      <c r="J49" s="139"/>
      <c r="K49" s="139"/>
      <c r="L49" s="139"/>
      <c r="M49" s="139"/>
      <c r="N49" s="99" t="s">
        <v>214</v>
      </c>
      <c r="O49" s="100" t="s">
        <v>163</v>
      </c>
      <c r="S49" s="94"/>
      <c r="T49" s="92"/>
    </row>
    <row r="50" spans="1:20" s="91" customFormat="1" ht="13.8" x14ac:dyDescent="0.25">
      <c r="A50" s="101" t="s">
        <v>76</v>
      </c>
      <c r="B50" s="111">
        <v>92</v>
      </c>
      <c r="C50" s="102" t="s">
        <v>48</v>
      </c>
      <c r="D50" s="103" t="s">
        <v>36</v>
      </c>
      <c r="E50" s="78" t="s">
        <v>37</v>
      </c>
      <c r="F50" s="104" t="s">
        <v>49</v>
      </c>
      <c r="G50" s="104" t="s">
        <v>50</v>
      </c>
      <c r="H50" s="101" t="s">
        <v>53</v>
      </c>
      <c r="I50" s="81">
        <v>6516</v>
      </c>
      <c r="J50" s="140"/>
      <c r="K50" s="140"/>
      <c r="L50" s="140"/>
      <c r="M50" s="140"/>
      <c r="N50" s="99" t="s">
        <v>214</v>
      </c>
      <c r="O50" s="100" t="s">
        <v>164</v>
      </c>
      <c r="S50" s="94"/>
      <c r="T50" s="92"/>
    </row>
    <row r="51" spans="1:20" s="91" customFormat="1" ht="13.8" x14ac:dyDescent="0.25">
      <c r="A51" s="101" t="s">
        <v>68</v>
      </c>
      <c r="B51" s="111">
        <v>682</v>
      </c>
      <c r="C51" s="102" t="s">
        <v>48</v>
      </c>
      <c r="D51" s="103" t="s">
        <v>36</v>
      </c>
      <c r="E51" s="78" t="s">
        <v>37</v>
      </c>
      <c r="F51" s="104" t="s">
        <v>49</v>
      </c>
      <c r="G51" s="104" t="s">
        <v>50</v>
      </c>
      <c r="H51" s="101" t="s">
        <v>51</v>
      </c>
      <c r="I51" s="81">
        <v>6516</v>
      </c>
      <c r="J51" s="138">
        <v>2296</v>
      </c>
      <c r="K51" s="138">
        <v>5</v>
      </c>
      <c r="L51" s="138">
        <v>28.96</v>
      </c>
      <c r="M51" s="138">
        <v>30.96</v>
      </c>
      <c r="N51" s="99" t="s">
        <v>214</v>
      </c>
      <c r="O51" s="100" t="s">
        <v>156</v>
      </c>
      <c r="S51" s="94"/>
      <c r="T51" s="92"/>
    </row>
    <row r="52" spans="1:20" s="91" customFormat="1" ht="13.8" x14ac:dyDescent="0.25">
      <c r="A52" s="101" t="s">
        <v>72</v>
      </c>
      <c r="B52" s="111">
        <v>382</v>
      </c>
      <c r="C52" s="102" t="s">
        <v>48</v>
      </c>
      <c r="D52" s="103" t="s">
        <v>36</v>
      </c>
      <c r="E52" s="78" t="s">
        <v>37</v>
      </c>
      <c r="F52" s="104" t="s">
        <v>49</v>
      </c>
      <c r="G52" s="104" t="s">
        <v>50</v>
      </c>
      <c r="H52" s="101" t="s">
        <v>51</v>
      </c>
      <c r="I52" s="81">
        <v>6516</v>
      </c>
      <c r="J52" s="139"/>
      <c r="K52" s="139"/>
      <c r="L52" s="139"/>
      <c r="M52" s="139"/>
      <c r="N52" s="99" t="s">
        <v>214</v>
      </c>
      <c r="O52" s="100" t="s">
        <v>160</v>
      </c>
      <c r="S52" s="94"/>
      <c r="T52" s="92"/>
    </row>
    <row r="53" spans="1:20" s="91" customFormat="1" ht="13.8" x14ac:dyDescent="0.25">
      <c r="A53" s="101" t="s">
        <v>73</v>
      </c>
      <c r="B53" s="111">
        <v>581</v>
      </c>
      <c r="C53" s="102" t="s">
        <v>48</v>
      </c>
      <c r="D53" s="103" t="s">
        <v>36</v>
      </c>
      <c r="E53" s="78" t="s">
        <v>37</v>
      </c>
      <c r="F53" s="104" t="s">
        <v>49</v>
      </c>
      <c r="G53" s="104" t="s">
        <v>50</v>
      </c>
      <c r="H53" s="101" t="s">
        <v>53</v>
      </c>
      <c r="I53" s="81">
        <v>6516</v>
      </c>
      <c r="J53" s="139"/>
      <c r="K53" s="139"/>
      <c r="L53" s="139"/>
      <c r="M53" s="139"/>
      <c r="N53" s="99" t="s">
        <v>214</v>
      </c>
      <c r="O53" s="100" t="s">
        <v>161</v>
      </c>
      <c r="S53" s="94"/>
      <c r="T53" s="92"/>
    </row>
    <row r="54" spans="1:20" s="91" customFormat="1" ht="13.8" x14ac:dyDescent="0.25">
      <c r="A54" s="101" t="s">
        <v>77</v>
      </c>
      <c r="B54" s="111">
        <v>154</v>
      </c>
      <c r="C54" s="102" t="s">
        <v>48</v>
      </c>
      <c r="D54" s="103" t="s">
        <v>36</v>
      </c>
      <c r="E54" s="78" t="s">
        <v>37</v>
      </c>
      <c r="F54" s="104" t="s">
        <v>49</v>
      </c>
      <c r="G54" s="104" t="s">
        <v>50</v>
      </c>
      <c r="H54" s="101" t="s">
        <v>53</v>
      </c>
      <c r="I54" s="81">
        <v>6516</v>
      </c>
      <c r="J54" s="139"/>
      <c r="K54" s="139"/>
      <c r="L54" s="139"/>
      <c r="M54" s="139"/>
      <c r="N54" s="99" t="s">
        <v>214</v>
      </c>
      <c r="O54" s="100" t="s">
        <v>165</v>
      </c>
      <c r="S54" s="94"/>
      <c r="T54" s="92"/>
    </row>
    <row r="55" spans="1:20" s="91" customFormat="1" ht="13.8" x14ac:dyDescent="0.25">
      <c r="A55" s="101" t="s">
        <v>78</v>
      </c>
      <c r="B55" s="111">
        <v>203</v>
      </c>
      <c r="C55" s="102" t="s">
        <v>48</v>
      </c>
      <c r="D55" s="103" t="s">
        <v>36</v>
      </c>
      <c r="E55" s="78" t="s">
        <v>37</v>
      </c>
      <c r="F55" s="104" t="s">
        <v>49</v>
      </c>
      <c r="G55" s="104" t="s">
        <v>50</v>
      </c>
      <c r="H55" s="101" t="s">
        <v>53</v>
      </c>
      <c r="I55" s="81">
        <v>6517</v>
      </c>
      <c r="J55" s="139"/>
      <c r="K55" s="139"/>
      <c r="L55" s="139"/>
      <c r="M55" s="139"/>
      <c r="N55" s="99" t="s">
        <v>214</v>
      </c>
      <c r="O55" s="100" t="s">
        <v>166</v>
      </c>
      <c r="S55" s="94"/>
      <c r="T55" s="92"/>
    </row>
    <row r="56" spans="1:20" s="91" customFormat="1" ht="13.8" x14ac:dyDescent="0.25">
      <c r="A56" s="101" t="s">
        <v>79</v>
      </c>
      <c r="B56" s="111">
        <v>202</v>
      </c>
      <c r="C56" s="102" t="s">
        <v>48</v>
      </c>
      <c r="D56" s="103" t="s">
        <v>36</v>
      </c>
      <c r="E56" s="78" t="s">
        <v>37</v>
      </c>
      <c r="F56" s="104" t="s">
        <v>49</v>
      </c>
      <c r="G56" s="104" t="s">
        <v>50</v>
      </c>
      <c r="H56" s="101" t="s">
        <v>51</v>
      </c>
      <c r="I56" s="81">
        <v>6517</v>
      </c>
      <c r="J56" s="139"/>
      <c r="K56" s="139"/>
      <c r="L56" s="139"/>
      <c r="M56" s="139"/>
      <c r="N56" s="99" t="s">
        <v>214</v>
      </c>
      <c r="O56" s="100" t="s">
        <v>167</v>
      </c>
      <c r="S56" s="94"/>
      <c r="T56" s="92"/>
    </row>
    <row r="57" spans="1:20" s="91" customFormat="1" ht="13.8" x14ac:dyDescent="0.25">
      <c r="A57" s="101" t="s">
        <v>80</v>
      </c>
      <c r="B57" s="111">
        <v>92</v>
      </c>
      <c r="C57" s="102" t="s">
        <v>48</v>
      </c>
      <c r="D57" s="103" t="s">
        <v>36</v>
      </c>
      <c r="E57" s="78" t="s">
        <v>37</v>
      </c>
      <c r="F57" s="104" t="s">
        <v>49</v>
      </c>
      <c r="G57" s="104" t="s">
        <v>50</v>
      </c>
      <c r="H57" s="101" t="s">
        <v>53</v>
      </c>
      <c r="I57" s="81">
        <v>6517</v>
      </c>
      <c r="J57" s="139"/>
      <c r="K57" s="140"/>
      <c r="L57" s="139"/>
      <c r="M57" s="139"/>
      <c r="N57" s="99" t="s">
        <v>214</v>
      </c>
      <c r="O57" s="100" t="s">
        <v>168</v>
      </c>
      <c r="S57" s="94"/>
      <c r="T57" s="92"/>
    </row>
    <row r="58" spans="1:20" s="91" customFormat="1" ht="13.8" x14ac:dyDescent="0.25">
      <c r="A58" s="101" t="s">
        <v>81</v>
      </c>
      <c r="B58" s="111">
        <v>345</v>
      </c>
      <c r="C58" s="102" t="s">
        <v>48</v>
      </c>
      <c r="D58" s="103" t="s">
        <v>36</v>
      </c>
      <c r="E58" s="78" t="s">
        <v>37</v>
      </c>
      <c r="F58" s="104" t="s">
        <v>49</v>
      </c>
      <c r="G58" s="104" t="s">
        <v>50</v>
      </c>
      <c r="H58" s="101" t="s">
        <v>51</v>
      </c>
      <c r="I58" s="81">
        <v>6517</v>
      </c>
      <c r="J58" s="138">
        <v>2256</v>
      </c>
      <c r="K58" s="138">
        <v>6</v>
      </c>
      <c r="L58" s="138">
        <v>28.56</v>
      </c>
      <c r="M58" s="138">
        <v>30.56</v>
      </c>
      <c r="N58" s="99" t="s">
        <v>214</v>
      </c>
      <c r="O58" s="100" t="s">
        <v>169</v>
      </c>
      <c r="S58" s="94"/>
      <c r="T58" s="92"/>
    </row>
    <row r="59" spans="1:20" s="91" customFormat="1" ht="13.8" x14ac:dyDescent="0.25">
      <c r="A59" s="101" t="s">
        <v>82</v>
      </c>
      <c r="B59" s="111">
        <v>79</v>
      </c>
      <c r="C59" s="102" t="s">
        <v>48</v>
      </c>
      <c r="D59" s="103" t="s">
        <v>36</v>
      </c>
      <c r="E59" s="78" t="s">
        <v>37</v>
      </c>
      <c r="F59" s="104" t="s">
        <v>49</v>
      </c>
      <c r="G59" s="104" t="s">
        <v>50</v>
      </c>
      <c r="H59" s="101" t="s">
        <v>51</v>
      </c>
      <c r="I59" s="81">
        <v>6517</v>
      </c>
      <c r="J59" s="139"/>
      <c r="K59" s="139"/>
      <c r="L59" s="139"/>
      <c r="M59" s="139"/>
      <c r="N59" s="99" t="s">
        <v>214</v>
      </c>
      <c r="O59" s="100" t="s">
        <v>170</v>
      </c>
      <c r="S59" s="94"/>
      <c r="T59" s="92"/>
    </row>
    <row r="60" spans="1:20" s="91" customFormat="1" ht="13.8" x14ac:dyDescent="0.25">
      <c r="A60" s="101" t="s">
        <v>83</v>
      </c>
      <c r="B60" s="111">
        <v>460</v>
      </c>
      <c r="C60" s="102" t="s">
        <v>48</v>
      </c>
      <c r="D60" s="103" t="s">
        <v>36</v>
      </c>
      <c r="E60" s="78" t="s">
        <v>37</v>
      </c>
      <c r="F60" s="104" t="s">
        <v>49</v>
      </c>
      <c r="G60" s="104" t="s">
        <v>50</v>
      </c>
      <c r="H60" s="101" t="s">
        <v>53</v>
      </c>
      <c r="I60" s="81">
        <v>6517</v>
      </c>
      <c r="J60" s="139"/>
      <c r="K60" s="139"/>
      <c r="L60" s="139"/>
      <c r="M60" s="139"/>
      <c r="N60" s="99" t="s">
        <v>214</v>
      </c>
      <c r="O60" s="100" t="s">
        <v>171</v>
      </c>
      <c r="S60" s="94"/>
      <c r="T60" s="92"/>
    </row>
    <row r="61" spans="1:20" s="91" customFormat="1" ht="13.8" x14ac:dyDescent="0.25">
      <c r="A61" s="101" t="s">
        <v>84</v>
      </c>
      <c r="B61" s="111">
        <v>299</v>
      </c>
      <c r="C61" s="102" t="s">
        <v>48</v>
      </c>
      <c r="D61" s="103" t="s">
        <v>36</v>
      </c>
      <c r="E61" s="78" t="s">
        <v>37</v>
      </c>
      <c r="F61" s="104" t="s">
        <v>49</v>
      </c>
      <c r="G61" s="104" t="s">
        <v>50</v>
      </c>
      <c r="H61" s="101" t="s">
        <v>51</v>
      </c>
      <c r="I61" s="81">
        <v>6517</v>
      </c>
      <c r="J61" s="139"/>
      <c r="K61" s="139"/>
      <c r="L61" s="139"/>
      <c r="M61" s="139"/>
      <c r="N61" s="99" t="s">
        <v>214</v>
      </c>
      <c r="O61" s="100" t="s">
        <v>172</v>
      </c>
      <c r="S61" s="94"/>
      <c r="T61" s="92"/>
    </row>
    <row r="62" spans="1:20" s="91" customFormat="1" ht="13.8" x14ac:dyDescent="0.25">
      <c r="A62" s="101" t="s">
        <v>85</v>
      </c>
      <c r="B62" s="111">
        <v>547</v>
      </c>
      <c r="C62" s="102" t="s">
        <v>48</v>
      </c>
      <c r="D62" s="103" t="s">
        <v>36</v>
      </c>
      <c r="E62" s="78" t="s">
        <v>37</v>
      </c>
      <c r="F62" s="104" t="s">
        <v>49</v>
      </c>
      <c r="G62" s="104" t="s">
        <v>50</v>
      </c>
      <c r="H62" s="101" t="s">
        <v>53</v>
      </c>
      <c r="I62" s="81">
        <v>6517</v>
      </c>
      <c r="J62" s="139"/>
      <c r="K62" s="139"/>
      <c r="L62" s="139"/>
      <c r="M62" s="139"/>
      <c r="N62" s="99" t="s">
        <v>214</v>
      </c>
      <c r="O62" s="100" t="s">
        <v>173</v>
      </c>
      <c r="S62" s="94"/>
      <c r="T62" s="92"/>
    </row>
    <row r="63" spans="1:20" s="91" customFormat="1" ht="13.8" x14ac:dyDescent="0.25">
      <c r="A63" s="101" t="s">
        <v>86</v>
      </c>
      <c r="B63" s="111">
        <v>147</v>
      </c>
      <c r="C63" s="102" t="s">
        <v>48</v>
      </c>
      <c r="D63" s="103" t="s">
        <v>36</v>
      </c>
      <c r="E63" s="78" t="s">
        <v>37</v>
      </c>
      <c r="F63" s="104" t="s">
        <v>49</v>
      </c>
      <c r="G63" s="104" t="s">
        <v>50</v>
      </c>
      <c r="H63" s="101" t="s">
        <v>53</v>
      </c>
      <c r="I63" s="81">
        <v>6517</v>
      </c>
      <c r="J63" s="139"/>
      <c r="K63" s="139"/>
      <c r="L63" s="139"/>
      <c r="M63" s="139"/>
      <c r="N63" s="99" t="s">
        <v>214</v>
      </c>
      <c r="O63" s="100" t="s">
        <v>174</v>
      </c>
      <c r="S63" s="94"/>
      <c r="T63" s="92"/>
    </row>
    <row r="64" spans="1:20" s="91" customFormat="1" ht="13.8" x14ac:dyDescent="0.25">
      <c r="A64" s="101" t="s">
        <v>87</v>
      </c>
      <c r="B64" s="111">
        <v>108</v>
      </c>
      <c r="C64" s="102" t="s">
        <v>48</v>
      </c>
      <c r="D64" s="103" t="s">
        <v>36</v>
      </c>
      <c r="E64" s="78" t="s">
        <v>37</v>
      </c>
      <c r="F64" s="104" t="s">
        <v>49</v>
      </c>
      <c r="G64" s="104" t="s">
        <v>50</v>
      </c>
      <c r="H64" s="101" t="s">
        <v>53</v>
      </c>
      <c r="I64" s="81">
        <v>6517</v>
      </c>
      <c r="J64" s="139"/>
      <c r="K64" s="139"/>
      <c r="L64" s="139"/>
      <c r="M64" s="139"/>
      <c r="N64" s="99" t="s">
        <v>214</v>
      </c>
      <c r="O64" s="100" t="s">
        <v>175</v>
      </c>
      <c r="S64" s="94"/>
      <c r="T64" s="92"/>
    </row>
    <row r="65" spans="1:20" s="91" customFormat="1" ht="13.8" x14ac:dyDescent="0.25">
      <c r="A65" s="101" t="s">
        <v>88</v>
      </c>
      <c r="B65" s="111">
        <v>37</v>
      </c>
      <c r="C65" s="102" t="s">
        <v>48</v>
      </c>
      <c r="D65" s="103" t="s">
        <v>36</v>
      </c>
      <c r="E65" s="78" t="s">
        <v>37</v>
      </c>
      <c r="F65" s="104" t="s">
        <v>49</v>
      </c>
      <c r="G65" s="104" t="s">
        <v>50</v>
      </c>
      <c r="H65" s="101" t="s">
        <v>53</v>
      </c>
      <c r="I65" s="81">
        <v>6517</v>
      </c>
      <c r="J65" s="139"/>
      <c r="K65" s="139"/>
      <c r="L65" s="139"/>
      <c r="M65" s="139"/>
      <c r="N65" s="99" t="s">
        <v>214</v>
      </c>
      <c r="O65" s="100" t="s">
        <v>176</v>
      </c>
      <c r="S65" s="94"/>
      <c r="T65" s="92"/>
    </row>
    <row r="66" spans="1:20" s="91" customFormat="1" ht="13.8" x14ac:dyDescent="0.25">
      <c r="A66" s="101" t="s">
        <v>89</v>
      </c>
      <c r="B66" s="111">
        <v>77</v>
      </c>
      <c r="C66" s="102" t="s">
        <v>48</v>
      </c>
      <c r="D66" s="103" t="s">
        <v>36</v>
      </c>
      <c r="E66" s="78" t="s">
        <v>37</v>
      </c>
      <c r="F66" s="104" t="s">
        <v>49</v>
      </c>
      <c r="G66" s="104" t="s">
        <v>50</v>
      </c>
      <c r="H66" s="101" t="s">
        <v>53</v>
      </c>
      <c r="I66" s="81">
        <v>6517</v>
      </c>
      <c r="J66" s="139"/>
      <c r="K66" s="139"/>
      <c r="L66" s="139"/>
      <c r="M66" s="139"/>
      <c r="N66" s="99" t="s">
        <v>214</v>
      </c>
      <c r="O66" s="100" t="s">
        <v>177</v>
      </c>
      <c r="S66" s="94"/>
      <c r="T66" s="92"/>
    </row>
    <row r="67" spans="1:20" s="91" customFormat="1" ht="13.8" x14ac:dyDescent="0.25">
      <c r="A67" s="101" t="s">
        <v>101</v>
      </c>
      <c r="B67" s="111">
        <v>157</v>
      </c>
      <c r="C67" s="102" t="s">
        <v>48</v>
      </c>
      <c r="D67" s="103" t="s">
        <v>36</v>
      </c>
      <c r="E67" s="78" t="s">
        <v>37</v>
      </c>
      <c r="F67" s="104" t="s">
        <v>49</v>
      </c>
      <c r="G67" s="104" t="s">
        <v>50</v>
      </c>
      <c r="H67" s="101" t="s">
        <v>51</v>
      </c>
      <c r="I67" s="81">
        <v>6518</v>
      </c>
      <c r="J67" s="140"/>
      <c r="K67" s="140"/>
      <c r="L67" s="140"/>
      <c r="M67" s="140"/>
      <c r="N67" s="99" t="s">
        <v>214</v>
      </c>
      <c r="O67" s="100" t="s">
        <v>189</v>
      </c>
      <c r="S67" s="94"/>
      <c r="T67" s="92"/>
    </row>
    <row r="68" spans="1:20" s="91" customFormat="1" ht="13.8" x14ac:dyDescent="0.25">
      <c r="A68" s="101" t="s">
        <v>90</v>
      </c>
      <c r="B68" s="111">
        <v>382</v>
      </c>
      <c r="C68" s="102" t="s">
        <v>48</v>
      </c>
      <c r="D68" s="103" t="s">
        <v>36</v>
      </c>
      <c r="E68" s="78" t="s">
        <v>37</v>
      </c>
      <c r="F68" s="104" t="s">
        <v>49</v>
      </c>
      <c r="G68" s="104" t="s">
        <v>50</v>
      </c>
      <c r="H68" s="101" t="s">
        <v>53</v>
      </c>
      <c r="I68" s="81">
        <v>6518</v>
      </c>
      <c r="J68" s="138">
        <v>2239</v>
      </c>
      <c r="K68" s="138">
        <v>7</v>
      </c>
      <c r="L68" s="138">
        <v>28.37</v>
      </c>
      <c r="M68" s="138">
        <v>30.37</v>
      </c>
      <c r="N68" s="99" t="s">
        <v>214</v>
      </c>
      <c r="O68" s="100" t="s">
        <v>178</v>
      </c>
      <c r="S68" s="94"/>
      <c r="T68" s="92"/>
    </row>
    <row r="69" spans="1:20" s="91" customFormat="1" ht="13.8" x14ac:dyDescent="0.25">
      <c r="A69" s="101" t="s">
        <v>91</v>
      </c>
      <c r="B69" s="111">
        <v>303</v>
      </c>
      <c r="C69" s="102" t="s">
        <v>48</v>
      </c>
      <c r="D69" s="103" t="s">
        <v>36</v>
      </c>
      <c r="E69" s="78" t="s">
        <v>37</v>
      </c>
      <c r="F69" s="104" t="s">
        <v>49</v>
      </c>
      <c r="G69" s="104" t="s">
        <v>50</v>
      </c>
      <c r="H69" s="101" t="s">
        <v>53</v>
      </c>
      <c r="I69" s="81">
        <v>6518</v>
      </c>
      <c r="J69" s="139"/>
      <c r="K69" s="139"/>
      <c r="L69" s="139"/>
      <c r="M69" s="139"/>
      <c r="N69" s="99" t="s">
        <v>214</v>
      </c>
      <c r="O69" s="100" t="s">
        <v>179</v>
      </c>
      <c r="S69" s="94"/>
      <c r="T69" s="92"/>
    </row>
    <row r="70" spans="1:20" s="91" customFormat="1" ht="13.8" x14ac:dyDescent="0.25">
      <c r="A70" s="101" t="s">
        <v>92</v>
      </c>
      <c r="B70" s="111">
        <v>100</v>
      </c>
      <c r="C70" s="102" t="s">
        <v>48</v>
      </c>
      <c r="D70" s="103" t="s">
        <v>36</v>
      </c>
      <c r="E70" s="78" t="s">
        <v>37</v>
      </c>
      <c r="F70" s="104" t="s">
        <v>49</v>
      </c>
      <c r="G70" s="104" t="s">
        <v>50</v>
      </c>
      <c r="H70" s="101" t="s">
        <v>53</v>
      </c>
      <c r="I70" s="81">
        <v>6518</v>
      </c>
      <c r="J70" s="139"/>
      <c r="K70" s="139"/>
      <c r="L70" s="139"/>
      <c r="M70" s="139"/>
      <c r="N70" s="99" t="s">
        <v>214</v>
      </c>
      <c r="O70" s="100" t="s">
        <v>180</v>
      </c>
      <c r="S70" s="94"/>
      <c r="T70" s="92"/>
    </row>
    <row r="71" spans="1:20" s="91" customFormat="1" ht="13.8" x14ac:dyDescent="0.25">
      <c r="A71" s="101" t="s">
        <v>93</v>
      </c>
      <c r="B71" s="111">
        <v>66</v>
      </c>
      <c r="C71" s="102" t="s">
        <v>48</v>
      </c>
      <c r="D71" s="103" t="s">
        <v>36</v>
      </c>
      <c r="E71" s="78" t="s">
        <v>37</v>
      </c>
      <c r="F71" s="104" t="s">
        <v>49</v>
      </c>
      <c r="G71" s="104" t="s">
        <v>50</v>
      </c>
      <c r="H71" s="101" t="s">
        <v>53</v>
      </c>
      <c r="I71" s="81">
        <v>6518</v>
      </c>
      <c r="J71" s="139"/>
      <c r="K71" s="139"/>
      <c r="L71" s="139"/>
      <c r="M71" s="139"/>
      <c r="N71" s="99" t="s">
        <v>214</v>
      </c>
      <c r="O71" s="100" t="s">
        <v>181</v>
      </c>
      <c r="S71" s="94"/>
      <c r="T71" s="92"/>
    </row>
    <row r="72" spans="1:20" s="91" customFormat="1" ht="13.8" x14ac:dyDescent="0.25">
      <c r="A72" s="101" t="s">
        <v>94</v>
      </c>
      <c r="B72" s="111">
        <v>128</v>
      </c>
      <c r="C72" s="102" t="s">
        <v>48</v>
      </c>
      <c r="D72" s="103" t="s">
        <v>36</v>
      </c>
      <c r="E72" s="78" t="s">
        <v>37</v>
      </c>
      <c r="F72" s="104" t="s">
        <v>49</v>
      </c>
      <c r="G72" s="104" t="s">
        <v>50</v>
      </c>
      <c r="H72" s="101" t="s">
        <v>53</v>
      </c>
      <c r="I72" s="81">
        <v>6518</v>
      </c>
      <c r="J72" s="139"/>
      <c r="K72" s="139"/>
      <c r="L72" s="139"/>
      <c r="M72" s="139"/>
      <c r="N72" s="99" t="s">
        <v>214</v>
      </c>
      <c r="O72" s="100" t="s">
        <v>182</v>
      </c>
      <c r="S72" s="94"/>
      <c r="T72" s="92"/>
    </row>
    <row r="73" spans="1:20" s="91" customFormat="1" ht="13.8" x14ac:dyDescent="0.25">
      <c r="A73" s="101" t="s">
        <v>95</v>
      </c>
      <c r="B73" s="111">
        <v>69</v>
      </c>
      <c r="C73" s="102" t="s">
        <v>48</v>
      </c>
      <c r="D73" s="103" t="s">
        <v>36</v>
      </c>
      <c r="E73" s="78" t="s">
        <v>37</v>
      </c>
      <c r="F73" s="104" t="s">
        <v>49</v>
      </c>
      <c r="G73" s="104" t="s">
        <v>50</v>
      </c>
      <c r="H73" s="101" t="s">
        <v>51</v>
      </c>
      <c r="I73" s="81">
        <v>6518</v>
      </c>
      <c r="J73" s="139"/>
      <c r="K73" s="139"/>
      <c r="L73" s="139"/>
      <c r="M73" s="139"/>
      <c r="N73" s="99" t="s">
        <v>214</v>
      </c>
      <c r="O73" s="100" t="s">
        <v>183</v>
      </c>
      <c r="S73" s="94"/>
      <c r="T73" s="92"/>
    </row>
    <row r="74" spans="1:20" s="91" customFormat="1" ht="13.8" x14ac:dyDescent="0.25">
      <c r="A74" s="101" t="s">
        <v>96</v>
      </c>
      <c r="B74" s="111">
        <v>127</v>
      </c>
      <c r="C74" s="102" t="s">
        <v>48</v>
      </c>
      <c r="D74" s="103" t="s">
        <v>36</v>
      </c>
      <c r="E74" s="78" t="s">
        <v>37</v>
      </c>
      <c r="F74" s="104" t="s">
        <v>49</v>
      </c>
      <c r="G74" s="104" t="s">
        <v>50</v>
      </c>
      <c r="H74" s="101" t="s">
        <v>53</v>
      </c>
      <c r="I74" s="81">
        <v>6518</v>
      </c>
      <c r="J74" s="139"/>
      <c r="K74" s="139"/>
      <c r="L74" s="139"/>
      <c r="M74" s="139"/>
      <c r="N74" s="99" t="s">
        <v>214</v>
      </c>
      <c r="O74" s="100" t="s">
        <v>184</v>
      </c>
      <c r="S74" s="94"/>
      <c r="T74" s="92"/>
    </row>
    <row r="75" spans="1:20" s="91" customFormat="1" ht="13.8" x14ac:dyDescent="0.25">
      <c r="A75" s="101" t="s">
        <v>97</v>
      </c>
      <c r="B75" s="111">
        <v>41</v>
      </c>
      <c r="C75" s="102" t="s">
        <v>48</v>
      </c>
      <c r="D75" s="103" t="s">
        <v>36</v>
      </c>
      <c r="E75" s="78" t="s">
        <v>37</v>
      </c>
      <c r="F75" s="104" t="s">
        <v>49</v>
      </c>
      <c r="G75" s="104" t="s">
        <v>50</v>
      </c>
      <c r="H75" s="101" t="s">
        <v>51</v>
      </c>
      <c r="I75" s="81">
        <v>6518</v>
      </c>
      <c r="J75" s="139"/>
      <c r="K75" s="139"/>
      <c r="L75" s="139"/>
      <c r="M75" s="139"/>
      <c r="N75" s="99" t="s">
        <v>214</v>
      </c>
      <c r="O75" s="100" t="s">
        <v>185</v>
      </c>
      <c r="S75" s="94"/>
      <c r="T75" s="92"/>
    </row>
    <row r="76" spans="1:20" s="91" customFormat="1" ht="13.8" x14ac:dyDescent="0.25">
      <c r="A76" s="101" t="s">
        <v>98</v>
      </c>
      <c r="B76" s="111">
        <v>39</v>
      </c>
      <c r="C76" s="102" t="s">
        <v>48</v>
      </c>
      <c r="D76" s="103" t="s">
        <v>36</v>
      </c>
      <c r="E76" s="78" t="s">
        <v>37</v>
      </c>
      <c r="F76" s="104" t="s">
        <v>49</v>
      </c>
      <c r="G76" s="104" t="s">
        <v>50</v>
      </c>
      <c r="H76" s="101" t="s">
        <v>53</v>
      </c>
      <c r="I76" s="81">
        <v>6518</v>
      </c>
      <c r="J76" s="139"/>
      <c r="K76" s="139"/>
      <c r="L76" s="139"/>
      <c r="M76" s="139"/>
      <c r="N76" s="99" t="s">
        <v>214</v>
      </c>
      <c r="O76" s="100" t="s">
        <v>186</v>
      </c>
      <c r="S76" s="94"/>
      <c r="T76" s="92"/>
    </row>
    <row r="77" spans="1:20" s="91" customFormat="1" ht="13.8" x14ac:dyDescent="0.25">
      <c r="A77" s="101" t="s">
        <v>99</v>
      </c>
      <c r="B77" s="111">
        <v>80</v>
      </c>
      <c r="C77" s="102" t="s">
        <v>48</v>
      </c>
      <c r="D77" s="103" t="s">
        <v>36</v>
      </c>
      <c r="E77" s="78" t="s">
        <v>37</v>
      </c>
      <c r="F77" s="104" t="s">
        <v>49</v>
      </c>
      <c r="G77" s="104" t="s">
        <v>50</v>
      </c>
      <c r="H77" s="101" t="s">
        <v>51</v>
      </c>
      <c r="I77" s="81">
        <v>6518</v>
      </c>
      <c r="J77" s="139"/>
      <c r="K77" s="139"/>
      <c r="L77" s="139"/>
      <c r="M77" s="139"/>
      <c r="N77" s="99" t="s">
        <v>214</v>
      </c>
      <c r="O77" s="100" t="s">
        <v>187</v>
      </c>
      <c r="S77" s="94"/>
      <c r="T77" s="92"/>
    </row>
    <row r="78" spans="1:20" s="91" customFormat="1" ht="13.8" x14ac:dyDescent="0.25">
      <c r="A78" s="101" t="s">
        <v>100</v>
      </c>
      <c r="B78" s="111">
        <v>674</v>
      </c>
      <c r="C78" s="102" t="s">
        <v>48</v>
      </c>
      <c r="D78" s="103" t="s">
        <v>36</v>
      </c>
      <c r="E78" s="78" t="s">
        <v>37</v>
      </c>
      <c r="F78" s="104" t="s">
        <v>49</v>
      </c>
      <c r="G78" s="104" t="s">
        <v>50</v>
      </c>
      <c r="H78" s="101" t="s">
        <v>53</v>
      </c>
      <c r="I78" s="81">
        <v>6518</v>
      </c>
      <c r="J78" s="139"/>
      <c r="K78" s="139"/>
      <c r="L78" s="139"/>
      <c r="M78" s="139"/>
      <c r="N78" s="99" t="s">
        <v>214</v>
      </c>
      <c r="O78" s="100" t="s">
        <v>188</v>
      </c>
      <c r="S78" s="94"/>
      <c r="T78" s="92"/>
    </row>
    <row r="79" spans="1:20" s="91" customFormat="1" ht="13.8" x14ac:dyDescent="0.25">
      <c r="A79" s="101" t="s">
        <v>102</v>
      </c>
      <c r="B79" s="111">
        <v>230</v>
      </c>
      <c r="C79" s="102" t="s">
        <v>48</v>
      </c>
      <c r="D79" s="103" t="s">
        <v>36</v>
      </c>
      <c r="E79" s="78" t="s">
        <v>37</v>
      </c>
      <c r="F79" s="104" t="s">
        <v>49</v>
      </c>
      <c r="G79" s="104" t="s">
        <v>50</v>
      </c>
      <c r="H79" s="101" t="s">
        <v>53</v>
      </c>
      <c r="I79" s="81">
        <v>6519</v>
      </c>
      <c r="J79" s="140"/>
      <c r="K79" s="140"/>
      <c r="L79" s="140"/>
      <c r="M79" s="140"/>
      <c r="N79" s="99" t="s">
        <v>214</v>
      </c>
      <c r="O79" s="100" t="s">
        <v>190</v>
      </c>
      <c r="S79" s="94"/>
      <c r="T79" s="92"/>
    </row>
    <row r="80" spans="1:20" s="91" customFormat="1" ht="13.8" x14ac:dyDescent="0.25">
      <c r="A80" s="101" t="s">
        <v>103</v>
      </c>
      <c r="B80" s="111">
        <v>92</v>
      </c>
      <c r="C80" s="102" t="s">
        <v>48</v>
      </c>
      <c r="D80" s="103" t="s">
        <v>36</v>
      </c>
      <c r="E80" s="78" t="s">
        <v>37</v>
      </c>
      <c r="F80" s="104" t="s">
        <v>49</v>
      </c>
      <c r="G80" s="104" t="s">
        <v>50</v>
      </c>
      <c r="H80" s="101" t="s">
        <v>53</v>
      </c>
      <c r="I80" s="81">
        <v>6519</v>
      </c>
      <c r="J80" s="138">
        <v>1802</v>
      </c>
      <c r="K80" s="138">
        <v>8</v>
      </c>
      <c r="L80" s="138">
        <v>28.58</v>
      </c>
      <c r="M80" s="138">
        <v>30.58</v>
      </c>
      <c r="N80" s="99" t="s">
        <v>214</v>
      </c>
      <c r="O80" s="100" t="s">
        <v>191</v>
      </c>
      <c r="S80" s="94"/>
      <c r="T80" s="92"/>
    </row>
    <row r="81" spans="1:20" s="91" customFormat="1" ht="13.8" x14ac:dyDescent="0.25">
      <c r="A81" s="101" t="s">
        <v>104</v>
      </c>
      <c r="B81" s="111">
        <v>47</v>
      </c>
      <c r="C81" s="102" t="s">
        <v>48</v>
      </c>
      <c r="D81" s="103" t="s">
        <v>36</v>
      </c>
      <c r="E81" s="78" t="s">
        <v>37</v>
      </c>
      <c r="F81" s="104" t="s">
        <v>49</v>
      </c>
      <c r="G81" s="104" t="s">
        <v>50</v>
      </c>
      <c r="H81" s="101" t="s">
        <v>53</v>
      </c>
      <c r="I81" s="81">
        <v>6519</v>
      </c>
      <c r="J81" s="139"/>
      <c r="K81" s="139"/>
      <c r="L81" s="139"/>
      <c r="M81" s="139"/>
      <c r="N81" s="99" t="s">
        <v>214</v>
      </c>
      <c r="O81" s="100" t="s">
        <v>192</v>
      </c>
      <c r="S81" s="94"/>
      <c r="T81" s="92"/>
    </row>
    <row r="82" spans="1:20" s="91" customFormat="1" ht="13.8" x14ac:dyDescent="0.25">
      <c r="A82" s="101" t="s">
        <v>105</v>
      </c>
      <c r="B82" s="111">
        <v>581</v>
      </c>
      <c r="C82" s="102" t="s">
        <v>48</v>
      </c>
      <c r="D82" s="103" t="s">
        <v>36</v>
      </c>
      <c r="E82" s="78" t="s">
        <v>37</v>
      </c>
      <c r="F82" s="104" t="s">
        <v>49</v>
      </c>
      <c r="G82" s="104" t="s">
        <v>50</v>
      </c>
      <c r="H82" s="101" t="s">
        <v>53</v>
      </c>
      <c r="I82" s="81">
        <v>6519</v>
      </c>
      <c r="J82" s="139"/>
      <c r="K82" s="139"/>
      <c r="L82" s="139"/>
      <c r="M82" s="139"/>
      <c r="N82" s="99" t="s">
        <v>214</v>
      </c>
      <c r="O82" s="100" t="s">
        <v>193</v>
      </c>
      <c r="S82" s="94"/>
      <c r="T82" s="92"/>
    </row>
    <row r="83" spans="1:20" s="91" customFormat="1" ht="13.8" x14ac:dyDescent="0.25">
      <c r="A83" s="101" t="s">
        <v>106</v>
      </c>
      <c r="B83" s="111">
        <v>55</v>
      </c>
      <c r="C83" s="102" t="s">
        <v>48</v>
      </c>
      <c r="D83" s="103" t="s">
        <v>36</v>
      </c>
      <c r="E83" s="78" t="s">
        <v>37</v>
      </c>
      <c r="F83" s="104" t="s">
        <v>49</v>
      </c>
      <c r="G83" s="104" t="s">
        <v>50</v>
      </c>
      <c r="H83" s="101" t="s">
        <v>51</v>
      </c>
      <c r="I83" s="81">
        <v>6519</v>
      </c>
      <c r="J83" s="139"/>
      <c r="K83" s="139"/>
      <c r="L83" s="139"/>
      <c r="M83" s="139"/>
      <c r="N83" s="99" t="s">
        <v>214</v>
      </c>
      <c r="O83" s="100" t="s">
        <v>194</v>
      </c>
      <c r="S83" s="94"/>
      <c r="T83" s="92"/>
    </row>
    <row r="84" spans="1:20" s="91" customFormat="1" ht="13.8" x14ac:dyDescent="0.25">
      <c r="A84" s="101" t="s">
        <v>107</v>
      </c>
      <c r="B84" s="111">
        <v>92</v>
      </c>
      <c r="C84" s="102" t="s">
        <v>48</v>
      </c>
      <c r="D84" s="103" t="s">
        <v>36</v>
      </c>
      <c r="E84" s="78" t="s">
        <v>37</v>
      </c>
      <c r="F84" s="104" t="s">
        <v>49</v>
      </c>
      <c r="G84" s="104" t="s">
        <v>50</v>
      </c>
      <c r="H84" s="101" t="s">
        <v>51</v>
      </c>
      <c r="I84" s="81">
        <v>6519</v>
      </c>
      <c r="J84" s="139"/>
      <c r="K84" s="139"/>
      <c r="L84" s="139"/>
      <c r="M84" s="139"/>
      <c r="N84" s="99" t="s">
        <v>214</v>
      </c>
      <c r="O84" s="100" t="s">
        <v>195</v>
      </c>
      <c r="S84" s="94"/>
      <c r="T84" s="92"/>
    </row>
    <row r="85" spans="1:20" s="91" customFormat="1" ht="13.8" x14ac:dyDescent="0.25">
      <c r="A85" s="101" t="s">
        <v>108</v>
      </c>
      <c r="B85" s="111">
        <v>85</v>
      </c>
      <c r="C85" s="102" t="s">
        <v>48</v>
      </c>
      <c r="D85" s="103" t="s">
        <v>36</v>
      </c>
      <c r="E85" s="78" t="s">
        <v>37</v>
      </c>
      <c r="F85" s="104" t="s">
        <v>49</v>
      </c>
      <c r="G85" s="104" t="s">
        <v>50</v>
      </c>
      <c r="H85" s="101" t="s">
        <v>53</v>
      </c>
      <c r="I85" s="81">
        <v>6519</v>
      </c>
      <c r="J85" s="139"/>
      <c r="K85" s="139"/>
      <c r="L85" s="139"/>
      <c r="M85" s="139"/>
      <c r="N85" s="99" t="s">
        <v>214</v>
      </c>
      <c r="O85" s="100" t="s">
        <v>196</v>
      </c>
      <c r="S85" s="94"/>
      <c r="T85" s="92"/>
    </row>
    <row r="86" spans="1:20" s="91" customFormat="1" ht="13.8" x14ac:dyDescent="0.25">
      <c r="A86" s="101" t="s">
        <v>109</v>
      </c>
      <c r="B86" s="111">
        <v>46</v>
      </c>
      <c r="C86" s="102" t="s">
        <v>48</v>
      </c>
      <c r="D86" s="103" t="s">
        <v>36</v>
      </c>
      <c r="E86" s="78" t="s">
        <v>37</v>
      </c>
      <c r="F86" s="104" t="s">
        <v>49</v>
      </c>
      <c r="G86" s="104" t="s">
        <v>50</v>
      </c>
      <c r="H86" s="101" t="s">
        <v>53</v>
      </c>
      <c r="I86" s="81">
        <v>6519</v>
      </c>
      <c r="J86" s="139"/>
      <c r="K86" s="139"/>
      <c r="L86" s="139"/>
      <c r="M86" s="139"/>
      <c r="N86" s="99" t="s">
        <v>214</v>
      </c>
      <c r="O86" s="100" t="s">
        <v>197</v>
      </c>
      <c r="S86" s="94"/>
      <c r="T86" s="92"/>
    </row>
    <row r="87" spans="1:20" s="91" customFormat="1" ht="13.8" x14ac:dyDescent="0.25">
      <c r="A87" s="101" t="s">
        <v>110</v>
      </c>
      <c r="B87" s="111">
        <v>209</v>
      </c>
      <c r="C87" s="102" t="s">
        <v>48</v>
      </c>
      <c r="D87" s="103" t="s">
        <v>36</v>
      </c>
      <c r="E87" s="78" t="s">
        <v>37</v>
      </c>
      <c r="F87" s="104" t="s">
        <v>49</v>
      </c>
      <c r="G87" s="104" t="s">
        <v>50</v>
      </c>
      <c r="H87" s="101" t="s">
        <v>53</v>
      </c>
      <c r="I87" s="81">
        <v>6519</v>
      </c>
      <c r="J87" s="139"/>
      <c r="K87" s="139"/>
      <c r="L87" s="139"/>
      <c r="M87" s="139"/>
      <c r="N87" s="99" t="s">
        <v>214</v>
      </c>
      <c r="O87" s="100" t="s">
        <v>198</v>
      </c>
      <c r="S87" s="94"/>
      <c r="T87" s="92"/>
    </row>
    <row r="88" spans="1:20" s="91" customFormat="1" ht="13.8" x14ac:dyDescent="0.25">
      <c r="A88" s="101" t="s">
        <v>111</v>
      </c>
      <c r="B88" s="111">
        <v>345</v>
      </c>
      <c r="C88" s="102" t="s">
        <v>48</v>
      </c>
      <c r="D88" s="103" t="s">
        <v>36</v>
      </c>
      <c r="E88" s="78" t="s">
        <v>37</v>
      </c>
      <c r="F88" s="104" t="s">
        <v>49</v>
      </c>
      <c r="G88" s="104" t="s">
        <v>50</v>
      </c>
      <c r="H88" s="101" t="s">
        <v>51</v>
      </c>
      <c r="I88" s="81">
        <v>6519</v>
      </c>
      <c r="J88" s="139"/>
      <c r="K88" s="139"/>
      <c r="L88" s="139"/>
      <c r="M88" s="139"/>
      <c r="N88" s="99" t="s">
        <v>214</v>
      </c>
      <c r="O88" s="100" t="s">
        <v>199</v>
      </c>
      <c r="S88" s="94"/>
      <c r="T88" s="92"/>
    </row>
    <row r="89" spans="1:20" s="91" customFormat="1" ht="13.8" x14ac:dyDescent="0.25">
      <c r="A89" s="101" t="s">
        <v>112</v>
      </c>
      <c r="B89" s="111">
        <v>40</v>
      </c>
      <c r="C89" s="102" t="s">
        <v>48</v>
      </c>
      <c r="D89" s="103" t="s">
        <v>36</v>
      </c>
      <c r="E89" s="78" t="s">
        <v>37</v>
      </c>
      <c r="F89" s="104" t="s">
        <v>49</v>
      </c>
      <c r="G89" s="104" t="s">
        <v>50</v>
      </c>
      <c r="H89" s="101" t="s">
        <v>51</v>
      </c>
      <c r="I89" s="81">
        <v>6519</v>
      </c>
      <c r="J89" s="139"/>
      <c r="K89" s="139"/>
      <c r="L89" s="139"/>
      <c r="M89" s="139"/>
      <c r="N89" s="99" t="s">
        <v>214</v>
      </c>
      <c r="O89" s="100" t="s">
        <v>200</v>
      </c>
      <c r="S89" s="94"/>
      <c r="T89" s="92"/>
    </row>
    <row r="90" spans="1:20" s="91" customFormat="1" ht="13.8" x14ac:dyDescent="0.25">
      <c r="A90" s="101" t="s">
        <v>113</v>
      </c>
      <c r="B90" s="111">
        <v>39</v>
      </c>
      <c r="C90" s="102" t="s">
        <v>48</v>
      </c>
      <c r="D90" s="103" t="s">
        <v>36</v>
      </c>
      <c r="E90" s="78" t="s">
        <v>37</v>
      </c>
      <c r="F90" s="104" t="s">
        <v>49</v>
      </c>
      <c r="G90" s="104" t="s">
        <v>50</v>
      </c>
      <c r="H90" s="101" t="s">
        <v>51</v>
      </c>
      <c r="I90" s="81">
        <v>6519</v>
      </c>
      <c r="J90" s="139"/>
      <c r="K90" s="139"/>
      <c r="L90" s="139"/>
      <c r="M90" s="139"/>
      <c r="N90" s="99" t="s">
        <v>214</v>
      </c>
      <c r="O90" s="100" t="s">
        <v>201</v>
      </c>
      <c r="S90" s="94"/>
      <c r="T90" s="92"/>
    </row>
    <row r="91" spans="1:20" s="91" customFormat="1" ht="13.8" x14ac:dyDescent="0.25">
      <c r="A91" s="101" t="s">
        <v>114</v>
      </c>
      <c r="B91" s="111">
        <v>171</v>
      </c>
      <c r="C91" s="102" t="s">
        <v>48</v>
      </c>
      <c r="D91" s="103" t="s">
        <v>36</v>
      </c>
      <c r="E91" s="78" t="s">
        <v>37</v>
      </c>
      <c r="F91" s="104" t="s">
        <v>49</v>
      </c>
      <c r="G91" s="104" t="s">
        <v>50</v>
      </c>
      <c r="H91" s="101" t="s">
        <v>51</v>
      </c>
      <c r="I91" s="81">
        <v>6520</v>
      </c>
      <c r="J91" s="140"/>
      <c r="K91" s="140"/>
      <c r="L91" s="140"/>
      <c r="M91" s="140"/>
      <c r="N91" s="99" t="s">
        <v>214</v>
      </c>
      <c r="O91" s="100" t="s">
        <v>202</v>
      </c>
      <c r="S91" s="94"/>
      <c r="T91" s="92"/>
    </row>
    <row r="92" spans="1:20" s="91" customFormat="1" ht="13.8" x14ac:dyDescent="0.25">
      <c r="A92" s="101" t="s">
        <v>115</v>
      </c>
      <c r="B92" s="111">
        <v>467</v>
      </c>
      <c r="C92" s="102" t="s">
        <v>48</v>
      </c>
      <c r="D92" s="103" t="s">
        <v>36</v>
      </c>
      <c r="E92" s="78" t="s">
        <v>37</v>
      </c>
      <c r="F92" s="104" t="s">
        <v>49</v>
      </c>
      <c r="G92" s="104" t="s">
        <v>50</v>
      </c>
      <c r="H92" s="101" t="s">
        <v>51</v>
      </c>
      <c r="I92" s="81">
        <v>6520</v>
      </c>
      <c r="J92" s="138">
        <v>1838</v>
      </c>
      <c r="K92" s="138">
        <v>9</v>
      </c>
      <c r="L92" s="138">
        <v>13.45</v>
      </c>
      <c r="M92" s="138">
        <v>15.45</v>
      </c>
      <c r="N92" s="99" t="s">
        <v>214</v>
      </c>
      <c r="O92" s="100" t="s">
        <v>203</v>
      </c>
      <c r="S92" s="94"/>
      <c r="T92" s="92"/>
    </row>
    <row r="93" spans="1:20" s="91" customFormat="1" ht="13.8" x14ac:dyDescent="0.25">
      <c r="A93" s="101" t="s">
        <v>116</v>
      </c>
      <c r="B93" s="111">
        <v>154</v>
      </c>
      <c r="C93" s="102" t="s">
        <v>48</v>
      </c>
      <c r="D93" s="103" t="s">
        <v>36</v>
      </c>
      <c r="E93" s="78" t="s">
        <v>37</v>
      </c>
      <c r="F93" s="104" t="s">
        <v>49</v>
      </c>
      <c r="G93" s="104" t="s">
        <v>50</v>
      </c>
      <c r="H93" s="101" t="s">
        <v>53</v>
      </c>
      <c r="I93" s="81">
        <v>6520</v>
      </c>
      <c r="J93" s="139"/>
      <c r="K93" s="139"/>
      <c r="L93" s="139"/>
      <c r="M93" s="139"/>
      <c r="N93" s="99" t="s">
        <v>214</v>
      </c>
      <c r="O93" s="100" t="s">
        <v>204</v>
      </c>
      <c r="S93" s="94"/>
      <c r="T93" s="92"/>
    </row>
    <row r="94" spans="1:20" s="91" customFormat="1" ht="13.8" x14ac:dyDescent="0.25">
      <c r="A94" s="101" t="s">
        <v>117</v>
      </c>
      <c r="B94" s="111">
        <v>46</v>
      </c>
      <c r="C94" s="102" t="s">
        <v>48</v>
      </c>
      <c r="D94" s="103" t="s">
        <v>36</v>
      </c>
      <c r="E94" s="78" t="s">
        <v>37</v>
      </c>
      <c r="F94" s="104" t="s">
        <v>49</v>
      </c>
      <c r="G94" s="104" t="s">
        <v>50</v>
      </c>
      <c r="H94" s="101" t="s">
        <v>51</v>
      </c>
      <c r="I94" s="81">
        <v>6520</v>
      </c>
      <c r="J94" s="139"/>
      <c r="K94" s="139"/>
      <c r="L94" s="139"/>
      <c r="M94" s="139"/>
      <c r="N94" s="99" t="s">
        <v>214</v>
      </c>
      <c r="O94" s="100" t="s">
        <v>205</v>
      </c>
      <c r="S94" s="94"/>
      <c r="T94" s="92"/>
    </row>
    <row r="95" spans="1:20" s="91" customFormat="1" ht="13.8" x14ac:dyDescent="0.25">
      <c r="A95" s="101" t="s">
        <v>118</v>
      </c>
      <c r="B95" s="111">
        <v>382</v>
      </c>
      <c r="C95" s="102" t="s">
        <v>48</v>
      </c>
      <c r="D95" s="103" t="s">
        <v>36</v>
      </c>
      <c r="E95" s="78" t="s">
        <v>37</v>
      </c>
      <c r="F95" s="104" t="s">
        <v>49</v>
      </c>
      <c r="G95" s="104" t="s">
        <v>50</v>
      </c>
      <c r="H95" s="101" t="s">
        <v>51</v>
      </c>
      <c r="I95" s="81">
        <v>6520</v>
      </c>
      <c r="J95" s="139"/>
      <c r="K95" s="139"/>
      <c r="L95" s="139"/>
      <c r="M95" s="139"/>
      <c r="N95" s="99" t="s">
        <v>214</v>
      </c>
      <c r="O95" s="100" t="s">
        <v>206</v>
      </c>
      <c r="S95" s="94"/>
      <c r="T95" s="92"/>
    </row>
    <row r="96" spans="1:20" s="91" customFormat="1" ht="13.8" x14ac:dyDescent="0.25">
      <c r="A96" s="101" t="s">
        <v>119</v>
      </c>
      <c r="B96" s="111">
        <v>39</v>
      </c>
      <c r="C96" s="102" t="s">
        <v>48</v>
      </c>
      <c r="D96" s="103" t="s">
        <v>36</v>
      </c>
      <c r="E96" s="78" t="s">
        <v>37</v>
      </c>
      <c r="F96" s="104" t="s">
        <v>49</v>
      </c>
      <c r="G96" s="104" t="s">
        <v>50</v>
      </c>
      <c r="H96" s="101" t="s">
        <v>53</v>
      </c>
      <c r="I96" s="81">
        <v>6520</v>
      </c>
      <c r="J96" s="139"/>
      <c r="K96" s="139"/>
      <c r="L96" s="139"/>
      <c r="M96" s="139"/>
      <c r="N96" s="99" t="s">
        <v>214</v>
      </c>
      <c r="O96" s="100" t="s">
        <v>207</v>
      </c>
      <c r="S96" s="94"/>
      <c r="T96" s="92"/>
    </row>
    <row r="97" spans="1:20" s="91" customFormat="1" ht="13.8" x14ac:dyDescent="0.25">
      <c r="A97" s="101" t="s">
        <v>120</v>
      </c>
      <c r="B97" s="111">
        <v>69</v>
      </c>
      <c r="C97" s="102" t="s">
        <v>48</v>
      </c>
      <c r="D97" s="103" t="s">
        <v>36</v>
      </c>
      <c r="E97" s="78" t="s">
        <v>37</v>
      </c>
      <c r="F97" s="104" t="s">
        <v>49</v>
      </c>
      <c r="G97" s="104" t="s">
        <v>50</v>
      </c>
      <c r="H97" s="101" t="s">
        <v>53</v>
      </c>
      <c r="I97" s="81">
        <v>6520</v>
      </c>
      <c r="J97" s="139"/>
      <c r="K97" s="139"/>
      <c r="L97" s="139"/>
      <c r="M97" s="139"/>
      <c r="N97" s="99" t="s">
        <v>214</v>
      </c>
      <c r="O97" s="100" t="s">
        <v>208</v>
      </c>
      <c r="S97" s="94"/>
      <c r="T97" s="92"/>
    </row>
    <row r="98" spans="1:20" s="91" customFormat="1" ht="13.8" x14ac:dyDescent="0.25">
      <c r="A98" s="101" t="s">
        <v>121</v>
      </c>
      <c r="B98" s="111">
        <v>154</v>
      </c>
      <c r="C98" s="102" t="s">
        <v>48</v>
      </c>
      <c r="D98" s="103" t="s">
        <v>36</v>
      </c>
      <c r="E98" s="78" t="s">
        <v>37</v>
      </c>
      <c r="F98" s="104" t="s">
        <v>49</v>
      </c>
      <c r="G98" s="104" t="s">
        <v>50</v>
      </c>
      <c r="H98" s="101" t="s">
        <v>51</v>
      </c>
      <c r="I98" s="81">
        <v>6520</v>
      </c>
      <c r="J98" s="139"/>
      <c r="K98" s="139"/>
      <c r="L98" s="139"/>
      <c r="M98" s="139"/>
      <c r="N98" s="99" t="s">
        <v>214</v>
      </c>
      <c r="O98" s="100" t="s">
        <v>209</v>
      </c>
      <c r="S98" s="94"/>
      <c r="T98" s="92"/>
    </row>
    <row r="99" spans="1:20" s="91" customFormat="1" ht="13.8" x14ac:dyDescent="0.25">
      <c r="A99" s="101" t="s">
        <v>122</v>
      </c>
      <c r="B99" s="111">
        <v>247</v>
      </c>
      <c r="C99" s="102" t="s">
        <v>48</v>
      </c>
      <c r="D99" s="103" t="s">
        <v>36</v>
      </c>
      <c r="E99" s="78" t="s">
        <v>37</v>
      </c>
      <c r="F99" s="104" t="s">
        <v>49</v>
      </c>
      <c r="G99" s="104" t="s">
        <v>50</v>
      </c>
      <c r="H99" s="101" t="s">
        <v>53</v>
      </c>
      <c r="I99" s="81">
        <v>6520</v>
      </c>
      <c r="J99" s="139"/>
      <c r="K99" s="139"/>
      <c r="L99" s="139"/>
      <c r="M99" s="139"/>
      <c r="N99" s="99" t="s">
        <v>214</v>
      </c>
      <c r="O99" s="100" t="s">
        <v>210</v>
      </c>
      <c r="S99" s="94"/>
      <c r="T99" s="92"/>
    </row>
    <row r="100" spans="1:20" s="91" customFormat="1" ht="13.8" x14ac:dyDescent="0.25">
      <c r="A100" s="101" t="s">
        <v>123</v>
      </c>
      <c r="B100" s="111">
        <v>279</v>
      </c>
      <c r="C100" s="102" t="s">
        <v>48</v>
      </c>
      <c r="D100" s="103" t="s">
        <v>36</v>
      </c>
      <c r="E100" s="78" t="s">
        <v>37</v>
      </c>
      <c r="F100" s="104" t="s">
        <v>49</v>
      </c>
      <c r="G100" s="104" t="s">
        <v>50</v>
      </c>
      <c r="H100" s="101" t="s">
        <v>53</v>
      </c>
      <c r="I100" s="81">
        <v>6520</v>
      </c>
      <c r="J100" s="139"/>
      <c r="K100" s="139"/>
      <c r="L100" s="139"/>
      <c r="M100" s="139"/>
      <c r="N100" s="99" t="s">
        <v>214</v>
      </c>
      <c r="O100" s="100" t="s">
        <v>211</v>
      </c>
      <c r="S100" s="94"/>
      <c r="T100" s="92"/>
    </row>
    <row r="101" spans="1:20" s="91" customFormat="1" ht="13.8" x14ac:dyDescent="0.25">
      <c r="A101" s="101" t="s">
        <v>85</v>
      </c>
      <c r="B101" s="111">
        <v>1</v>
      </c>
      <c r="C101" s="102" t="s">
        <v>48</v>
      </c>
      <c r="D101" s="103" t="s">
        <v>36</v>
      </c>
      <c r="E101" s="78" t="s">
        <v>37</v>
      </c>
      <c r="F101" s="104" t="s">
        <v>49</v>
      </c>
      <c r="G101" s="104" t="s">
        <v>50</v>
      </c>
      <c r="H101" s="101" t="s">
        <v>53</v>
      </c>
      <c r="I101" s="81">
        <v>6520</v>
      </c>
      <c r="J101" s="140"/>
      <c r="K101" s="140"/>
      <c r="L101" s="140"/>
      <c r="M101" s="140"/>
      <c r="N101" s="99" t="s">
        <v>214</v>
      </c>
      <c r="O101" s="100" t="s">
        <v>212</v>
      </c>
      <c r="S101" s="94"/>
      <c r="T101" s="92"/>
    </row>
    <row r="102" spans="1:20" s="91" customFormat="1" ht="13.8" x14ac:dyDescent="0.25">
      <c r="A102" s="101"/>
      <c r="B102" s="105">
        <f>SUM(B19:B101)</f>
        <v>19431</v>
      </c>
      <c r="C102" s="102" t="s">
        <v>33</v>
      </c>
      <c r="D102" s="153"/>
      <c r="E102" s="154"/>
      <c r="F102" s="154"/>
      <c r="G102" s="154"/>
      <c r="H102" s="154"/>
      <c r="I102" s="155"/>
      <c r="J102" s="107"/>
      <c r="K102" s="107">
        <v>9</v>
      </c>
      <c r="L102" s="106">
        <f>SUM(L19:L101)</f>
        <v>241.99</v>
      </c>
      <c r="M102" s="108">
        <f>SUM(M19:M101)</f>
        <v>259.99</v>
      </c>
      <c r="N102" s="101"/>
      <c r="O102" s="109"/>
    </row>
    <row r="103" spans="1:20" s="73" customFormat="1" ht="13.8" x14ac:dyDescent="0.25">
      <c r="A103" s="82"/>
      <c r="B103" s="21"/>
      <c r="C103" s="25"/>
      <c r="D103" s="83"/>
      <c r="E103" s="84"/>
      <c r="F103" s="84"/>
      <c r="G103" s="85"/>
      <c r="H103" s="86"/>
      <c r="I103" s="87"/>
      <c r="J103" s="87"/>
      <c r="K103" s="88"/>
      <c r="L103" s="88"/>
      <c r="M103" s="88"/>
    </row>
    <row r="104" spans="1:20" s="73" customFormat="1" ht="13.8" x14ac:dyDescent="0.25">
      <c r="A104" s="147" t="s">
        <v>25</v>
      </c>
      <c r="B104" s="147"/>
      <c r="C104" s="147"/>
      <c r="D104" s="12"/>
      <c r="E104" s="13"/>
      <c r="F104" s="13"/>
      <c r="G104" s="13"/>
      <c r="H104" s="147" t="s">
        <v>26</v>
      </c>
      <c r="I104" s="147"/>
      <c r="J104" s="147"/>
      <c r="K104" s="147"/>
      <c r="L104" s="147"/>
      <c r="M104" s="147"/>
    </row>
    <row r="105" spans="1:20" s="73" customFormat="1" ht="13.8" x14ac:dyDescent="0.25">
      <c r="A105" s="147" t="str">
        <f>B7</f>
        <v>Fu Kwok Knitting &amp; Garment Co., Ltd.</v>
      </c>
      <c r="B105" s="147"/>
      <c r="C105" s="147"/>
      <c r="D105" s="12"/>
      <c r="E105" s="13"/>
      <c r="F105" s="13"/>
      <c r="G105" s="13"/>
      <c r="H105" s="147" t="s">
        <v>27</v>
      </c>
      <c r="I105" s="147"/>
      <c r="J105" s="147"/>
      <c r="K105" s="147"/>
      <c r="L105" s="147"/>
      <c r="M105" s="147"/>
    </row>
    <row r="106" spans="1:20" s="73" customFormat="1" ht="13.8" x14ac:dyDescent="0.25">
      <c r="A106" s="13"/>
      <c r="B106" s="13"/>
      <c r="C106" s="13"/>
      <c r="D106" s="13"/>
      <c r="E106" s="13"/>
      <c r="F106" s="13"/>
      <c r="G106" s="13"/>
      <c r="H106" s="12"/>
      <c r="I106" s="12"/>
      <c r="J106" s="12"/>
      <c r="K106" s="12"/>
      <c r="L106" s="12"/>
      <c r="M106" s="12"/>
    </row>
    <row r="107" spans="1:20" s="73" customFormat="1" ht="13.8" x14ac:dyDescent="0.25">
      <c r="A107" s="13"/>
      <c r="B107" s="13"/>
      <c r="C107" s="13"/>
      <c r="D107" s="13"/>
      <c r="E107" s="13"/>
      <c r="F107" s="13"/>
      <c r="G107" s="13"/>
      <c r="H107" s="12"/>
      <c r="I107" s="12"/>
      <c r="J107" s="12"/>
      <c r="K107" s="12"/>
      <c r="L107" s="12"/>
      <c r="M107" s="12"/>
    </row>
    <row r="108" spans="1:20" s="73" customFormat="1" ht="13.8" x14ac:dyDescent="0.25">
      <c r="A108" s="13"/>
      <c r="B108" s="13"/>
      <c r="C108" s="13"/>
      <c r="D108" s="13"/>
      <c r="E108" s="13"/>
      <c r="F108" s="13"/>
      <c r="G108" s="13"/>
      <c r="H108" s="12"/>
      <c r="I108" s="12"/>
      <c r="J108" s="12"/>
      <c r="K108" s="12"/>
      <c r="L108" s="12"/>
      <c r="M108" s="12"/>
    </row>
    <row r="109" spans="1:20" s="73" customFormat="1" ht="13.8" x14ac:dyDescent="0.25">
      <c r="A109" s="13"/>
      <c r="B109" s="13"/>
      <c r="C109" s="13"/>
      <c r="D109" s="13"/>
      <c r="E109" s="13"/>
      <c r="F109" s="13"/>
      <c r="G109" s="13"/>
      <c r="H109" s="12"/>
      <c r="I109" s="13"/>
      <c r="J109" s="13"/>
      <c r="K109" s="13"/>
      <c r="L109" s="13"/>
      <c r="M109" s="12"/>
    </row>
    <row r="110" spans="1:20" s="73" customFormat="1" ht="13.8" x14ac:dyDescent="0.25">
      <c r="A110" s="18"/>
      <c r="B110" s="146"/>
      <c r="C110" s="146"/>
      <c r="D110" s="12"/>
      <c r="E110" s="13"/>
      <c r="F110" s="13"/>
      <c r="G110" s="13"/>
      <c r="H110" s="146"/>
      <c r="I110" s="146"/>
      <c r="J110" s="146"/>
      <c r="K110" s="146"/>
      <c r="L110" s="146"/>
      <c r="M110" s="146"/>
    </row>
    <row r="111" spans="1:20" s="73" customFormat="1" ht="13.8" x14ac:dyDescent="0.3">
      <c r="H111" s="79"/>
      <c r="M111" s="79"/>
    </row>
    <row r="112" spans="1:20" s="36" customFormat="1" ht="15.6" x14ac:dyDescent="0.3">
      <c r="H112" s="43"/>
      <c r="M112" s="43"/>
    </row>
    <row r="113" spans="8:13" s="36" customFormat="1" ht="15.6" x14ac:dyDescent="0.3">
      <c r="H113" s="43"/>
      <c r="M113" s="43"/>
    </row>
    <row r="114" spans="8:13" s="36" customFormat="1" ht="15.6" x14ac:dyDescent="0.3">
      <c r="H114" s="43"/>
      <c r="M114" s="43"/>
    </row>
    <row r="115" spans="8:13" s="36" customFormat="1" ht="15.6" x14ac:dyDescent="0.3">
      <c r="H115" s="43"/>
      <c r="M115" s="43"/>
    </row>
    <row r="116" spans="8:13" s="36" customFormat="1" ht="15.6" x14ac:dyDescent="0.3">
      <c r="H116" s="43"/>
      <c r="M116" s="43"/>
    </row>
    <row r="117" spans="8:13" s="36" customFormat="1" ht="15.6" x14ac:dyDescent="0.3">
      <c r="H117" s="43"/>
      <c r="M117" s="43"/>
    </row>
  </sheetData>
  <mergeCells count="68">
    <mergeCell ref="A6:I6"/>
    <mergeCell ref="J92:J101"/>
    <mergeCell ref="L7:M7"/>
    <mergeCell ref="L8:M8"/>
    <mergeCell ref="J6:M6"/>
    <mergeCell ref="L9:M9"/>
    <mergeCell ref="L51:L57"/>
    <mergeCell ref="M51:M57"/>
    <mergeCell ref="L58:L67"/>
    <mergeCell ref="M58:M67"/>
    <mergeCell ref="D102:I102"/>
    <mergeCell ref="L68:L79"/>
    <mergeCell ref="M68:M79"/>
    <mergeCell ref="L80:L91"/>
    <mergeCell ref="M80:M91"/>
    <mergeCell ref="L92:L101"/>
    <mergeCell ref="M92:M101"/>
    <mergeCell ref="K68:K79"/>
    <mergeCell ref="K80:K91"/>
    <mergeCell ref="K92:K101"/>
    <mergeCell ref="J68:J79"/>
    <mergeCell ref="J80:J91"/>
    <mergeCell ref="L27:L34"/>
    <mergeCell ref="M27:M34"/>
    <mergeCell ref="L35:L41"/>
    <mergeCell ref="M35:M41"/>
    <mergeCell ref="L42:L50"/>
    <mergeCell ref="M42:M50"/>
    <mergeCell ref="K42:K50"/>
    <mergeCell ref="J42:J50"/>
    <mergeCell ref="K27:K34"/>
    <mergeCell ref="K35:K41"/>
    <mergeCell ref="K51:K57"/>
    <mergeCell ref="J27:J34"/>
    <mergeCell ref="J35:J41"/>
    <mergeCell ref="J51:J57"/>
    <mergeCell ref="K58:K67"/>
    <mergeCell ref="J58:J67"/>
    <mergeCell ref="N17:N18"/>
    <mergeCell ref="B110:C110"/>
    <mergeCell ref="H110:M110"/>
    <mergeCell ref="K17:K18"/>
    <mergeCell ref="I17:I18"/>
    <mergeCell ref="A104:C104"/>
    <mergeCell ref="H104:M104"/>
    <mergeCell ref="A105:C105"/>
    <mergeCell ref="H105:M105"/>
    <mergeCell ref="L17:M17"/>
    <mergeCell ref="B17:C18"/>
    <mergeCell ref="D17:E18"/>
    <mergeCell ref="F17:F18"/>
    <mergeCell ref="G17:G18"/>
    <mergeCell ref="H17:H18"/>
    <mergeCell ref="K19:K26"/>
    <mergeCell ref="B9:C9"/>
    <mergeCell ref="B10:M10"/>
    <mergeCell ref="B11:C11"/>
    <mergeCell ref="E11:F11"/>
    <mergeCell ref="B12:F12"/>
    <mergeCell ref="J17:J18"/>
    <mergeCell ref="J19:J26"/>
    <mergeCell ref="L19:L26"/>
    <mergeCell ref="M19:M26"/>
    <mergeCell ref="A1:M1"/>
    <mergeCell ref="A2:M2"/>
    <mergeCell ref="A3:M3"/>
    <mergeCell ref="A4:M4"/>
    <mergeCell ref="A5:M5"/>
  </mergeCells>
  <phoneticPr fontId="2" type="noConversion"/>
  <hyperlinks>
    <hyperlink ref="A110" r:id="rId1" display="tel:84-650-378-2260" xr:uid="{00000000-0004-0000-0100-000000000000}"/>
  </hyperlinks>
  <printOptions horizontalCentered="1"/>
  <pageMargins left="0.19685039370078741" right="0.19685039370078741" top="0.19685039370078741" bottom="0.19685039370078741" header="0.31496062992125984" footer="0.31496062992125984"/>
  <pageSetup paperSize="9" scale="8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INV001</vt:lpstr>
      <vt:lpstr>PKL001</vt:lpstr>
      <vt:lpstr>'INV001'!Print_Area</vt:lpstr>
      <vt:lpstr>'PKL001'!Print_Area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colleen Tasi</cp:lastModifiedBy>
  <cp:lastPrinted>2026-08-25T02:47:04Z</cp:lastPrinted>
  <dcterms:created xsi:type="dcterms:W3CDTF">2022-02-09T02:02:04Z</dcterms:created>
  <dcterms:modified xsi:type="dcterms:W3CDTF">2026-08-25T03:08:49Z</dcterms:modified>
</cp:coreProperties>
</file>