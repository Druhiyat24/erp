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0 DATA SRI\EKSPORT\1. GAP\Shipment GAP\2026\8. AGUSTUS\10.08.2026\"/>
    </mc:Choice>
  </mc:AlternateContent>
  <bookViews>
    <workbookView xWindow="-120" yWindow="-120" windowWidth="20730" windowHeight="11160" tabRatio="804" activeTab="2"/>
  </bookViews>
  <sheets>
    <sheet name="Sheet1" sheetId="128" r:id="rId1"/>
    <sheet name="reff" sheetId="162" r:id="rId2"/>
    <sheet name="99" sheetId="138" r:id="rId3"/>
    <sheet name="100" sheetId="129" r:id="rId4"/>
    <sheet name="101" sheetId="133" r:id="rId5"/>
    <sheet name="102" sheetId="134" r:id="rId6"/>
    <sheet name="103" sheetId="135" r:id="rId7"/>
    <sheet name="104" sheetId="137" r:id="rId8"/>
  </sheets>
  <externalReferences>
    <externalReference r:id="rId9"/>
    <externalReference r:id="rId10"/>
    <externalReference r:id="rId11"/>
  </externalReferences>
  <definedNames>
    <definedName name="_box2">[1]参数!$B$3</definedName>
    <definedName name="a" localSheetId="3">[2]xdata!#REF!</definedName>
    <definedName name="a" localSheetId="4">[2]xdata!#REF!</definedName>
    <definedName name="a" localSheetId="5">[2]xdata!#REF!</definedName>
    <definedName name="a" localSheetId="6">[2]xdata!#REF!</definedName>
    <definedName name="a" localSheetId="7">[2]xdata!#REF!</definedName>
    <definedName name="a" localSheetId="2">[2]xdata!#REF!</definedName>
    <definedName name="a">[2]xdata!#REF!</definedName>
    <definedName name="b" localSheetId="3">[2]xdata!#REF!</definedName>
    <definedName name="b" localSheetId="4">[2]xdata!#REF!</definedName>
    <definedName name="b" localSheetId="5">[2]xdata!#REF!</definedName>
    <definedName name="b" localSheetId="6">[2]xdata!#REF!</definedName>
    <definedName name="b" localSheetId="7">[2]xdata!#REF!</definedName>
    <definedName name="b" localSheetId="2">[2]xdata!#REF!</definedName>
    <definedName name="b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 localSheetId="6">[2]xdata!#REF!</definedName>
    <definedName name="C_O" localSheetId="7">[2]xdata!#REF!</definedName>
    <definedName name="C_O" localSheetId="2">[2]xdata!#REF!</definedName>
    <definedName name="C_O">[2]xdata!#REF!</definedName>
    <definedName name="CBM">[3]参数!$E$3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 localSheetId="6">[2]xdata!#REF!</definedName>
    <definedName name="Dept_no" localSheetId="7">[2]xdata!#REF!</definedName>
    <definedName name="Dept_no" localSheetId="2">[2]xdata!#REF!</definedName>
    <definedName name="Dept_no">[2]xdata!#REF!</definedName>
    <definedName name="Description">[3]参数!$E$1</definedName>
    <definedName name="E_L" localSheetId="3">[2]xdata!#REF!</definedName>
    <definedName name="E_L" localSheetId="4">[2]xdata!#REF!</definedName>
    <definedName name="E_L" localSheetId="5">[2]xdata!#REF!</definedName>
    <definedName name="E_L" localSheetId="6">[2]xdata!#REF!</definedName>
    <definedName name="E_L" localSheetId="7">[2]xdata!#REF!</definedName>
    <definedName name="E_L" localSheetId="2">[2]xdata!#REF!</definedName>
    <definedName name="E_L">[2]xdata!#REF!</definedName>
    <definedName name="INVOICE">[2]xdata!$B$2</definedName>
    <definedName name="_xlnm.Print_Area" localSheetId="3">'100'!$B$1:$I$58</definedName>
    <definedName name="_xlnm.Print_Area" localSheetId="4">'101'!$B$1:$I$57</definedName>
    <definedName name="_xlnm.Print_Area" localSheetId="5">'102'!$B$1:$I$57</definedName>
    <definedName name="_xlnm.Print_Area" localSheetId="6">'103'!$B$1:$I$57</definedName>
    <definedName name="_xlnm.Print_Area" localSheetId="7">'104'!$B$1:$I$57</definedName>
    <definedName name="_xlnm.Print_Area" localSheetId="2">'99'!$B$1:$I$58</definedName>
    <definedName name="v" localSheetId="3">[2]xdata!#REF!</definedName>
    <definedName name="v" localSheetId="4">[2]xdata!#REF!</definedName>
    <definedName name="v" localSheetId="5">[2]xdata!#REF!</definedName>
    <definedName name="v" localSheetId="6">[2]xdata!#REF!</definedName>
    <definedName name="v" localSheetId="7">[2]xdata!#REF!</definedName>
    <definedName name="v" localSheetId="2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3" i="129" l="1"/>
  <c r="F33" i="138"/>
  <c r="I33" i="129" l="1"/>
  <c r="I32" i="129"/>
  <c r="F32" i="135" l="1"/>
  <c r="F35" i="129"/>
  <c r="F35" i="138"/>
  <c r="I33" i="138"/>
  <c r="I35" i="129" l="1"/>
  <c r="I32" i="135" l="1"/>
  <c r="F34" i="135"/>
  <c r="B27" i="135"/>
  <c r="I32" i="138" l="1"/>
  <c r="I35" i="138" s="1"/>
  <c r="C3" i="129" l="1"/>
  <c r="F32" i="133" l="1"/>
  <c r="F32" i="134" l="1"/>
  <c r="F34" i="133" l="1"/>
  <c r="I32" i="134" l="1"/>
  <c r="C3" i="133"/>
  <c r="F32" i="137"/>
  <c r="F34" i="137" l="1"/>
  <c r="I32" i="137" l="1"/>
  <c r="F34" i="134"/>
  <c r="I32" i="133"/>
  <c r="B27" i="134" l="1"/>
  <c r="E21" i="129" l="1"/>
  <c r="E21" i="133" l="1"/>
  <c r="E21" i="135"/>
  <c r="E21" i="137"/>
  <c r="E21" i="138"/>
  <c r="E21" i="134"/>
  <c r="C21" i="129"/>
  <c r="C21" i="134"/>
  <c r="C21" i="135"/>
  <c r="C21" i="137"/>
  <c r="C21" i="138"/>
  <c r="C21" i="133"/>
  <c r="H53" i="129"/>
  <c r="H52" i="134"/>
  <c r="H52" i="135"/>
  <c r="H52" i="137"/>
  <c r="H53" i="138"/>
  <c r="H52" i="133"/>
  <c r="B27" i="138" l="1"/>
  <c r="I23" i="138"/>
  <c r="H23" i="138"/>
  <c r="G23" i="138"/>
  <c r="F23" i="138"/>
  <c r="E23" i="138"/>
  <c r="D21" i="138"/>
  <c r="B21" i="138"/>
  <c r="B15" i="138"/>
  <c r="B16" i="138" s="1"/>
  <c r="B17" i="138" s="1"/>
  <c r="B18" i="138" s="1"/>
  <c r="G14" i="138"/>
  <c r="G15" i="138" s="1"/>
  <c r="G16" i="138" s="1"/>
  <c r="G17" i="138" s="1"/>
  <c r="H21" i="138" s="1"/>
  <c r="I34" i="137"/>
  <c r="I36" i="137" s="1"/>
  <c r="I38" i="137" s="1"/>
  <c r="B27" i="137"/>
  <c r="I23" i="137"/>
  <c r="H23" i="137"/>
  <c r="G23" i="137"/>
  <c r="F23" i="137"/>
  <c r="E23" i="137"/>
  <c r="D21" i="137"/>
  <c r="B21" i="137"/>
  <c r="B15" i="137"/>
  <c r="B16" i="137" s="1"/>
  <c r="B17" i="137" s="1"/>
  <c r="B18" i="137" s="1"/>
  <c r="G14" i="137"/>
  <c r="G15" i="137" s="1"/>
  <c r="G16" i="137" s="1"/>
  <c r="G17" i="137" s="1"/>
  <c r="H21" i="137" s="1"/>
  <c r="I34" i="135"/>
  <c r="I23" i="135"/>
  <c r="H23" i="135"/>
  <c r="G23" i="135"/>
  <c r="F23" i="135"/>
  <c r="E23" i="135"/>
  <c r="D21" i="135"/>
  <c r="B21" i="135"/>
  <c r="B15" i="135"/>
  <c r="B16" i="135" s="1"/>
  <c r="B17" i="135" s="1"/>
  <c r="B18" i="135" s="1"/>
  <c r="G14" i="135"/>
  <c r="G15" i="135" s="1"/>
  <c r="G16" i="135" s="1"/>
  <c r="G17" i="135" s="1"/>
  <c r="H21" i="135" s="1"/>
  <c r="I36" i="135" l="1"/>
  <c r="I38" i="135" s="1"/>
  <c r="I37" i="138"/>
  <c r="I39" i="138" s="1"/>
  <c r="I34" i="134"/>
  <c r="I36" i="134" s="1"/>
  <c r="I38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C3" i="135" s="1"/>
  <c r="C3" i="137" s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7" i="129"/>
  <c r="I39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4" i="133" l="1"/>
  <c r="I36" i="133" s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<sst xmlns="http://schemas.openxmlformats.org/spreadsheetml/2006/main" count="643" uniqueCount="192">
  <si>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</si>
  <si>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</si>
  <si>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</si>
  <si>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</si>
  <si>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</si>
  <si>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</si>
  <si>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</si>
  <si>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</si>
  <si>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</si>
  <si>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</si>
  <si>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</si>
  <si>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</si>
  <si>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</si>
  <si>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</si>
  <si>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</si>
  <si>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</si>
  <si>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</si>
  <si>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</si>
  <si>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</si>
  <si>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</si>
  <si>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</si>
  <si>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</si>
  <si>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</si>
  <si>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</si>
  <si>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</si>
  <si>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</si>
  <si>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</si>
  <si>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</si>
  <si>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</si>
  <si>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</si>
  <si>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</si>
  <si>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</si>
  <si>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</si>
  <si>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</si>
  <si>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</si>
  <si>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</si>
  <si>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</si>
  <si>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</si>
  <si>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</si>
  <si>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</si>
  <si>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</si>
  <si>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</si>
  <si>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</si>
  <si>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</si>
  <si>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</si>
  <si>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</si>
  <si>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</si>
  <si>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</si>
  <si>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</si>
  <si>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</si>
  <si>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</si>
  <si>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</si>
  <si>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</si>
  <si>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</si>
  <si>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</si>
  <si>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</si>
  <si>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</si>
  <si>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</si>
  <si>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</si>
  <si>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</si>
  <si>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</si>
  <si>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</si>
  <si>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</si>
  <si>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</si>
  <si>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</si>
  <si>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</si>
  <si>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</si>
  <si>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</si>
  <si>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</si>
  <si>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</si>
  <si>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</si>
  <si>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</si>
  <si>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</si>
  <si>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</si>
  <si>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</si>
  <si>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</si>
  <si>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</si>
  <si>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</si>
  <si>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</si>
  <si>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</si>
  <si>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</si>
  <si>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</si>
  <si>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</si>
  <si>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</si>
  <si>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</si>
  <si>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</si>
  <si>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</si>
  <si>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</si>
  <si>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</si>
  <si>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</si>
  <si>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</si>
  <si>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</si>
  <si>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</si>
  <si>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</si>
  <si>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</si>
  <si>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</si>
  <si>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</si>
  <si>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</si>
  <si>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</si>
  <si>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</si>
  <si>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</si>
  <si>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</si>
  <si>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</si>
  <si>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</si>
  <si>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</si>
  <si>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</si>
  <si>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</si>
  <si>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</si>
  <si>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</si>
  <si>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</si>
  <si>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</si>
  <si>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</si>
  <si>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</si>
  <si>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</si>
  <si>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</si>
  <si>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</si>
  <si>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</si>
  <si>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</si>
  <si>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</si>
  <si>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</si>
  <si>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</si>
  <si>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</si>
  <si>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</si>
  <si>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</si>
  <si>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</si>
  <si>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</si>
  <si>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</si>
  <si>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</si>
  <si>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</si>
  <si>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</si>
  <si>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</si>
  <si>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</si>
  <si>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</si>
  <si>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</si>
  <si>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</si>
  <si>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</si>
  <si>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</si>
  <si>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</si>
  <si>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</si>
  <si>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</si>
  <si>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</si>
  <si>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</si>
  <si>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</si>
  <si>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</si>
  <si>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</si>
  <si>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</si>
  <si>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</si>
  <si>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</si>
  <si>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</si>
  <si>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</si>
  <si>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</si>
  <si>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</si>
  <si>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</si>
  <si>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</si>
  <si>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</si>
  <si>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</si>
  <si>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</si>
  <si>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</si>
  <si>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</si>
  <si>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</si>
  <si>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</si>
  <si>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</si>
  <si>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</si>
  <si>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</si>
  <si>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</si>
  <si>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</si>
  <si>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</si>
  <si>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</si>
  <si>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</si>
  <si>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</si>
  <si>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</si>
  <si>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</si>
  <si>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</si>
  <si>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</si>
  <si>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</si>
  <si>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</si>
  <si>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</si>
  <si>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02</t>
  </si>
  <si>
    <t>CALLA LILY 451</t>
  </si>
  <si>
    <t>01</t>
  </si>
  <si>
    <t>Online</t>
  </si>
  <si>
    <t>Retail</t>
  </si>
  <si>
    <t>265K0005</t>
  </si>
  <si>
    <t>265K0088</t>
  </si>
  <si>
    <t>00</t>
  </si>
  <si>
    <t>BLACKJACK JAS</t>
  </si>
  <si>
    <t>BLACKJACK JAS
BLUSH HUE</t>
  </si>
  <si>
    <t>01, 02</t>
  </si>
  <si>
    <t>GIRLS COTTON FIBERS, KNIT PULLOVER, WITH NO NECK CLOSURE, STITCH COUNT IS GREATER THAN 9/2CM, REACHES WAIST [60% COTTON 40% RECYCLED POLYESTER]</t>
  </si>
  <si>
    <t>BLUSH HUE</t>
  </si>
  <si>
    <t>Franchise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</si>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</sst>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826&quot;"/>
  </numFmts>
  <fonts count="16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Arial"/>
      <family val="2"/>
    </font>
    <font>
      <b/>
      <sz val="11"/>
      <color rgb="FF1616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3" fillId="0" borderId="0" xfId="0" applyFont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0" fontId="15" fillId="0" borderId="0" xfId="0" applyFont="1"/>
    <xf numFmtId="169" fontId="0" fillId="0" borderId="0" xfId="0" quotePrefix="1" applyNumberFormat="1" applyBorder="1" applyAlignment="1">
      <alignment horizontal="left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284060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245960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9"/>
  <sheetViews>
    <sheetView workbookViewId="0">
      <selection activeCell="I7" sqref="I7"/>
    </sheetView>
  </sheetViews>
  <sheetFormatPr defaultRowHeight="12.75" x14ac:dyDescent="0.2"/>
  <sheetData>
    <row r="2" spans="2:9" ht="15" x14ac:dyDescent="0.25">
      <c r="B2" s="57">
        <v>1</v>
      </c>
      <c r="C2" t="s">
        <v>182</v>
      </c>
      <c r="E2" s="57">
        <v>1</v>
      </c>
      <c r="F2">
        <v>867788</v>
      </c>
      <c r="H2" s="57">
        <v>1</v>
      </c>
      <c r="I2" s="65" t="s">
        <v>181</v>
      </c>
    </row>
    <row r="3" spans="2:9" ht="15" x14ac:dyDescent="0.25">
      <c r="B3" s="57">
        <v>2</v>
      </c>
      <c r="C3" t="s">
        <v>183</v>
      </c>
      <c r="E3" s="57">
        <v>2</v>
      </c>
      <c r="F3">
        <v>867788</v>
      </c>
      <c r="H3" s="57">
        <v>2</v>
      </c>
      <c r="I3" s="65" t="s">
        <v>181</v>
      </c>
    </row>
    <row r="4" spans="2:9" ht="15" x14ac:dyDescent="0.25">
      <c r="B4" s="57">
        <v>3</v>
      </c>
      <c r="C4" t="s">
        <v>183</v>
      </c>
      <c r="E4" s="57">
        <v>3</v>
      </c>
      <c r="F4">
        <v>867788</v>
      </c>
      <c r="H4" s="57">
        <v>3</v>
      </c>
      <c r="I4" s="65" t="s">
        <v>181</v>
      </c>
    </row>
    <row r="5" spans="2:9" ht="15" x14ac:dyDescent="0.25">
      <c r="B5" s="57">
        <v>4</v>
      </c>
      <c r="C5" t="s">
        <v>183</v>
      </c>
      <c r="E5" s="57">
        <v>4</v>
      </c>
      <c r="F5">
        <v>867788</v>
      </c>
      <c r="H5" s="57">
        <v>4</v>
      </c>
      <c r="I5" s="65" t="s">
        <v>180</v>
      </c>
    </row>
    <row r="6" spans="2:9" ht="15" x14ac:dyDescent="0.25">
      <c r="B6" s="57">
        <v>5</v>
      </c>
      <c r="C6" t="s">
        <v>183</v>
      </c>
      <c r="E6" s="57">
        <v>5</v>
      </c>
      <c r="F6">
        <v>867788</v>
      </c>
      <c r="H6" s="57">
        <v>5</v>
      </c>
      <c r="I6" s="65" t="s">
        <v>180</v>
      </c>
    </row>
    <row r="7" spans="2:9" ht="15" x14ac:dyDescent="0.25">
      <c r="B7" s="57">
        <v>6</v>
      </c>
      <c r="C7" t="s">
        <v>183</v>
      </c>
      <c r="E7" s="57">
        <v>6</v>
      </c>
      <c r="F7">
        <v>867788</v>
      </c>
      <c r="H7" s="57">
        <v>6</v>
      </c>
      <c r="I7" s="65" t="s">
        <v>190</v>
      </c>
    </row>
    <row r="8" spans="2:9" ht="15" x14ac:dyDescent="0.25">
      <c r="B8" s="57">
        <v>7</v>
      </c>
      <c r="E8" s="57">
        <v>7</v>
      </c>
      <c r="H8" s="57">
        <v>7</v>
      </c>
      <c r="I8" s="65"/>
    </row>
    <row r="9" spans="2:9" ht="15" x14ac:dyDescent="0.25">
      <c r="B9" s="57">
        <v>8</v>
      </c>
      <c r="E9" s="57">
        <v>8</v>
      </c>
      <c r="H9" s="57">
        <v>8</v>
      </c>
      <c r="I9" s="65"/>
    </row>
    <row r="10" spans="2:9" ht="15" x14ac:dyDescent="0.25">
      <c r="B10" s="57">
        <v>9</v>
      </c>
      <c r="E10" s="57">
        <v>9</v>
      </c>
      <c r="H10" s="57">
        <v>9</v>
      </c>
      <c r="I10" s="65"/>
    </row>
    <row r="11" spans="2:9" ht="15" x14ac:dyDescent="0.25">
      <c r="B11" s="57">
        <v>10</v>
      </c>
      <c r="E11" s="57">
        <v>10</v>
      </c>
      <c r="H11" s="57">
        <v>10</v>
      </c>
      <c r="I11" s="65"/>
    </row>
    <row r="12" spans="2:9" ht="15" x14ac:dyDescent="0.25">
      <c r="B12" s="57">
        <v>11</v>
      </c>
      <c r="E12" s="57">
        <v>11</v>
      </c>
      <c r="H12" s="57">
        <v>11</v>
      </c>
      <c r="I12" s="65"/>
    </row>
    <row r="13" spans="2:9" ht="15" x14ac:dyDescent="0.25">
      <c r="B13" s="57">
        <v>12</v>
      </c>
      <c r="E13" s="57">
        <v>12</v>
      </c>
      <c r="H13" s="57">
        <v>12</v>
      </c>
      <c r="I13" s="65"/>
    </row>
    <row r="14" spans="2:9" ht="15" x14ac:dyDescent="0.25">
      <c r="B14" s="57">
        <v>13</v>
      </c>
      <c r="E14" s="57">
        <v>13</v>
      </c>
      <c r="H14" s="57">
        <v>13</v>
      </c>
      <c r="I14" s="65"/>
    </row>
    <row r="15" spans="2:9" ht="15" x14ac:dyDescent="0.25">
      <c r="B15" s="57">
        <v>14</v>
      </c>
      <c r="E15" s="57">
        <v>14</v>
      </c>
      <c r="H15" s="57">
        <v>14</v>
      </c>
      <c r="I15" s="65"/>
    </row>
    <row r="16" spans="2:9" ht="15" x14ac:dyDescent="0.25">
      <c r="B16" s="57">
        <v>15</v>
      </c>
      <c r="E16" s="57">
        <v>15</v>
      </c>
      <c r="H16" s="57">
        <v>15</v>
      </c>
      <c r="I16" s="65"/>
    </row>
    <row r="17" spans="2:11" ht="15" x14ac:dyDescent="0.25">
      <c r="B17" s="57">
        <v>16</v>
      </c>
      <c r="E17" s="57">
        <v>16</v>
      </c>
      <c r="H17" s="57">
        <v>16</v>
      </c>
      <c r="I17" s="65"/>
    </row>
    <row r="18" spans="2:11" ht="15" x14ac:dyDescent="0.25">
      <c r="B18" s="57">
        <v>17</v>
      </c>
      <c r="E18" s="57">
        <v>17</v>
      </c>
      <c r="H18" s="57">
        <v>17</v>
      </c>
      <c r="I18" s="65"/>
    </row>
    <row r="19" spans="2:11" ht="15" x14ac:dyDescent="0.25">
      <c r="B19" s="57">
        <v>18</v>
      </c>
      <c r="E19" s="57">
        <v>18</v>
      </c>
      <c r="H19" s="57">
        <v>18</v>
      </c>
      <c r="I19" s="65"/>
    </row>
    <row r="20" spans="2:11" ht="15" x14ac:dyDescent="0.25">
      <c r="B20" s="57">
        <v>19</v>
      </c>
      <c r="E20" s="57">
        <v>19</v>
      </c>
      <c r="H20" s="57">
        <v>19</v>
      </c>
      <c r="I20" s="58"/>
    </row>
    <row r="21" spans="2:11" ht="15" x14ac:dyDescent="0.25">
      <c r="B21" s="57">
        <v>20</v>
      </c>
      <c r="E21" s="57">
        <v>20</v>
      </c>
      <c r="H21" s="57">
        <v>20</v>
      </c>
      <c r="I21" s="58"/>
    </row>
    <row r="22" spans="2:11" ht="15" x14ac:dyDescent="0.25">
      <c r="B22" s="57">
        <v>21</v>
      </c>
      <c r="E22" s="57">
        <v>21</v>
      </c>
      <c r="H22" s="57">
        <v>21</v>
      </c>
      <c r="I22" s="58"/>
      <c r="K22" t="s">
        <v>63</v>
      </c>
    </row>
    <row r="23" spans="2:11" ht="15" x14ac:dyDescent="0.25">
      <c r="B23" s="57">
        <v>22</v>
      </c>
      <c r="E23" s="57">
        <v>22</v>
      </c>
      <c r="H23" s="57">
        <v>22</v>
      </c>
      <c r="I23" s="58"/>
    </row>
    <row r="24" spans="2:11" ht="15" x14ac:dyDescent="0.25">
      <c r="B24" s="57">
        <v>23</v>
      </c>
      <c r="E24" s="57">
        <v>23</v>
      </c>
      <c r="H24" s="57">
        <v>23</v>
      </c>
      <c r="I24" s="58"/>
    </row>
    <row r="25" spans="2:11" ht="15" x14ac:dyDescent="0.25">
      <c r="B25" s="57">
        <v>24</v>
      </c>
      <c r="E25" s="57">
        <v>24</v>
      </c>
      <c r="H25" s="57">
        <v>24</v>
      </c>
      <c r="I25" s="58"/>
    </row>
    <row r="26" spans="2:11" ht="15" x14ac:dyDescent="0.25">
      <c r="B26" s="57">
        <v>25</v>
      </c>
      <c r="E26" s="57">
        <v>25</v>
      </c>
      <c r="H26" s="57">
        <v>25</v>
      </c>
      <c r="I26" s="58"/>
    </row>
    <row r="27" spans="2:11" ht="15" x14ac:dyDescent="0.25">
      <c r="B27" s="57">
        <v>26</v>
      </c>
      <c r="E27" s="57">
        <v>26</v>
      </c>
      <c r="H27" s="57">
        <v>26</v>
      </c>
      <c r="I27" s="58"/>
    </row>
    <row r="28" spans="2:11" x14ac:dyDescent="0.2">
      <c r="B28" s="57">
        <v>27</v>
      </c>
      <c r="E28" s="57">
        <v>27</v>
      </c>
      <c r="H28" s="57">
        <v>27</v>
      </c>
    </row>
    <row r="29" spans="2:11" x14ac:dyDescent="0.2">
      <c r="B29" s="57">
        <v>28</v>
      </c>
      <c r="E29" s="57">
        <v>28</v>
      </c>
      <c r="H29" s="57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tabSelected="1"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7" t="s">
        <v>191</v>
      </c>
      <c r="C2" s="68"/>
      <c r="D2" s="68"/>
      <c r="E2" s="68"/>
      <c r="F2" s="68"/>
      <c r="G2" s="68"/>
      <c r="H2" s="68"/>
      <c r="I2" s="69"/>
      <c r="J2" s="62">
        <v>62259505</v>
      </c>
      <c r="K2" s="63">
        <v>11710</v>
      </c>
      <c r="L2" s="64">
        <v>71</v>
      </c>
      <c r="M2" s="64">
        <v>895.4</v>
      </c>
      <c r="N2" s="64">
        <v>918.82</v>
      </c>
      <c r="O2" s="64">
        <v>989.82</v>
      </c>
      <c r="P2" s="64" t="s">
        <v>54</v>
      </c>
      <c r="Q2" s="64">
        <v>4.7640000000000002</v>
      </c>
      <c r="R2" s="64" t="s">
        <v>62</v>
      </c>
    </row>
    <row r="3" spans="2:22" x14ac:dyDescent="0.2">
      <c r="B3" s="6" t="s">
        <v>53</v>
      </c>
      <c r="C3" s="66">
        <v>99</v>
      </c>
      <c r="D3" s="5"/>
      <c r="E3" s="5"/>
      <c r="F3" s="5"/>
      <c r="G3" s="5" t="s">
        <v>52</v>
      </c>
      <c r="H3" s="31">
        <v>46252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62259505</v>
      </c>
      <c r="C21" s="56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989.82</v>
      </c>
      <c r="G23" s="23">
        <f>+N2</f>
        <v>918.82</v>
      </c>
      <c r="H23" s="23">
        <f>+M2</f>
        <v>895.4</v>
      </c>
      <c r="I23" s="55">
        <f>+L2</f>
        <v>71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1"/>
      <c r="D26" s="71"/>
      <c r="E26" s="71"/>
      <c r="F26" s="71"/>
      <c r="G26" s="71"/>
      <c r="H26" s="71"/>
      <c r="I26" s="72"/>
    </row>
    <row r="27" spans="2:13" ht="24.75" customHeight="1" x14ac:dyDescent="0.2">
      <c r="B27" s="73" t="str">
        <f>+K4</f>
        <v>GIRLS COTTON FIBERS, KNIT PULLOVER, WITH NO NECK CLOSURE, STITCH COUNT IS GREATER THAN 9/2CM, REACHES WAIST [60% COTTON 40% RECYCLED POLYESTER]</v>
      </c>
      <c r="C27" s="74"/>
      <c r="D27" s="74"/>
      <c r="E27" s="74"/>
      <c r="F27" s="74"/>
      <c r="G27" s="74"/>
      <c r="H27" s="74"/>
      <c r="I27" s="7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76" t="s">
        <v>19</v>
      </c>
      <c r="E31" s="76"/>
      <c r="F31" s="76" t="s">
        <v>18</v>
      </c>
      <c r="G31" s="76"/>
      <c r="H31" s="55" t="s">
        <v>17</v>
      </c>
      <c r="I31" s="19" t="s">
        <v>16</v>
      </c>
      <c r="M31"/>
    </row>
    <row r="32" spans="2:13" ht="24.95" customHeight="1" x14ac:dyDescent="0.2">
      <c r="B32" s="41" t="s">
        <v>184</v>
      </c>
      <c r="C32" s="19" t="s">
        <v>178</v>
      </c>
      <c r="D32" s="81"/>
      <c r="E32" s="82"/>
      <c r="F32" s="81">
        <v>7580</v>
      </c>
      <c r="G32" s="82"/>
      <c r="H32" s="17">
        <v>0.71</v>
      </c>
      <c r="I32" s="18">
        <f>+H32*F32</f>
        <v>5381.8</v>
      </c>
      <c r="K32" s="46"/>
      <c r="M32" s="39"/>
    </row>
    <row r="33" spans="2:13" ht="41.25" customHeight="1" x14ac:dyDescent="0.2">
      <c r="B33" s="41" t="s">
        <v>187</v>
      </c>
      <c r="C33" s="19" t="s">
        <v>186</v>
      </c>
      <c r="D33" s="81"/>
      <c r="E33" s="82"/>
      <c r="F33" s="81">
        <f>+K2-F32</f>
        <v>4130</v>
      </c>
      <c r="G33" s="82"/>
      <c r="H33" s="17">
        <v>0.71</v>
      </c>
      <c r="I33" s="18">
        <f>+H33*F33</f>
        <v>2932.2999999999997</v>
      </c>
      <c r="K33" s="46"/>
      <c r="M33" s="39"/>
    </row>
    <row r="34" spans="2:13" ht="21" customHeight="1" x14ac:dyDescent="0.2">
      <c r="B34" s="15" t="s">
        <v>15</v>
      </c>
      <c r="C34" s="15"/>
      <c r="D34" s="70"/>
      <c r="E34" s="72"/>
      <c r="F34" s="70"/>
      <c r="G34" s="72"/>
      <c r="H34" s="17"/>
      <c r="I34" s="60"/>
    </row>
    <row r="35" spans="2:13" ht="21.75" customHeight="1" x14ac:dyDescent="0.2">
      <c r="B35" s="15" t="s">
        <v>14</v>
      </c>
      <c r="C35" s="15"/>
      <c r="D35" s="83"/>
      <c r="E35" s="84"/>
      <c r="F35" s="81">
        <f>SUM(F32:G34)</f>
        <v>11710</v>
      </c>
      <c r="G35" s="82"/>
      <c r="H35" s="15"/>
      <c r="I35" s="14">
        <f>SUM(I32:I34)</f>
        <v>8314.1</v>
      </c>
      <c r="J35" s="40"/>
      <c r="K35" s="40"/>
    </row>
    <row r="36" spans="2:13" ht="21.75" customHeight="1" x14ac:dyDescent="0.2">
      <c r="B36" s="16" t="s">
        <v>13</v>
      </c>
      <c r="C36" s="15"/>
      <c r="D36" s="70"/>
      <c r="E36" s="72"/>
      <c r="F36" s="70"/>
      <c r="G36" s="72"/>
      <c r="H36" s="15"/>
      <c r="I36" s="55"/>
      <c r="J36" s="40"/>
    </row>
    <row r="37" spans="2:13" ht="21.75" customHeight="1" x14ac:dyDescent="0.2">
      <c r="B37" s="16" t="s">
        <v>12</v>
      </c>
      <c r="C37" s="15"/>
      <c r="D37" s="70"/>
      <c r="E37" s="72"/>
      <c r="F37" s="70"/>
      <c r="G37" s="72"/>
      <c r="H37" s="15"/>
      <c r="I37" s="14">
        <f>+I35</f>
        <v>8314.1</v>
      </c>
    </row>
    <row r="38" spans="2:13" ht="20.25" customHeight="1" x14ac:dyDescent="0.2">
      <c r="B38" s="15" t="s">
        <v>80</v>
      </c>
      <c r="C38" s="70" t="s">
        <v>11</v>
      </c>
      <c r="D38" s="71"/>
      <c r="E38" s="71"/>
      <c r="F38" s="71"/>
      <c r="G38" s="71"/>
      <c r="H38" s="72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8314.1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8" t="s">
        <v>7</v>
      </c>
      <c r="C47" s="78"/>
      <c r="D47" s="78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265K0005</v>
      </c>
      <c r="I53" s="8"/>
      <c r="K53">
        <v>1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9" t="s">
        <v>1</v>
      </c>
      <c r="D56" s="79"/>
      <c r="E56" s="5"/>
      <c r="F56" s="5"/>
      <c r="G56" s="5"/>
      <c r="H56" s="5"/>
      <c r="I56" s="4"/>
    </row>
    <row r="57" spans="2:11" x14ac:dyDescent="0.2">
      <c r="B57" s="6"/>
      <c r="C57" s="80" t="s">
        <v>0</v>
      </c>
      <c r="D57" s="80"/>
      <c r="E57" s="5"/>
      <c r="F57" s="5"/>
      <c r="G57" s="5"/>
      <c r="H57" s="5"/>
      <c r="I57" s="4"/>
      <c r="K57">
        <v>1</v>
      </c>
    </row>
    <row r="58" spans="2:11" x14ac:dyDescent="0.2">
      <c r="B58" s="2"/>
      <c r="C58" s="77"/>
      <c r="D58" s="77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2:E32"/>
    <mergeCell ref="F32:G32"/>
    <mergeCell ref="D34:E34"/>
    <mergeCell ref="F34:G34"/>
    <mergeCell ref="D35:E35"/>
    <mergeCell ref="F35:G35"/>
    <mergeCell ref="D33:E33"/>
    <mergeCell ref="F33:G33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7" t="s">
        <v>191</v>
      </c>
      <c r="C2" s="68"/>
      <c r="D2" s="68"/>
      <c r="E2" s="68"/>
      <c r="F2" s="68"/>
      <c r="G2" s="68"/>
      <c r="H2" s="68"/>
      <c r="I2" s="69"/>
      <c r="J2" s="62">
        <v>61995932</v>
      </c>
      <c r="K2" s="63">
        <v>1615</v>
      </c>
      <c r="L2" s="64">
        <v>14</v>
      </c>
      <c r="M2" s="64">
        <v>110.105</v>
      </c>
      <c r="N2" s="64">
        <v>113.33499999999999</v>
      </c>
      <c r="O2" s="64">
        <v>124.38500000000001</v>
      </c>
      <c r="P2" s="64" t="s">
        <v>54</v>
      </c>
      <c r="Q2" s="64">
        <v>0.65400000000000003</v>
      </c>
      <c r="R2" s="64" t="s">
        <v>62</v>
      </c>
    </row>
    <row r="3" spans="2:22" x14ac:dyDescent="0.2">
      <c r="B3" s="6" t="s">
        <v>53</v>
      </c>
      <c r="C3" s="66">
        <f>+'99'!C3+1</f>
        <v>100</v>
      </c>
      <c r="D3" s="5"/>
      <c r="E3" s="5"/>
      <c r="F3" s="5"/>
      <c r="G3" s="5" t="s">
        <v>52</v>
      </c>
      <c r="H3" s="31">
        <v>46252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61995932</v>
      </c>
      <c r="C21" s="49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CA</v>
      </c>
      <c r="I21" s="48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124.38500000000001</v>
      </c>
      <c r="G23" s="23">
        <f>+N2</f>
        <v>113.33499999999999</v>
      </c>
      <c r="H23" s="23">
        <f>+M2</f>
        <v>110.105</v>
      </c>
      <c r="I23" s="48">
        <f>+L2</f>
        <v>14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1"/>
      <c r="D26" s="71"/>
      <c r="E26" s="71"/>
      <c r="F26" s="71"/>
      <c r="G26" s="71"/>
      <c r="H26" s="71"/>
      <c r="I26" s="72"/>
    </row>
    <row r="27" spans="2:13" ht="24.75" customHeight="1" x14ac:dyDescent="0.2">
      <c r="B27" s="73" t="str">
        <f>+K4</f>
        <v>GIRLS COTTON FIBERS, KNIT PULLOVER, WITH NO NECK CLOSURE, STITCH COUNT IS GREATER THAN 9/2CM, REACHES WAIST [60% COTTON 40% RECYCLED POLYESTER]</v>
      </c>
      <c r="C27" s="74"/>
      <c r="D27" s="74"/>
      <c r="E27" s="74"/>
      <c r="F27" s="74"/>
      <c r="G27" s="74"/>
      <c r="H27" s="74"/>
      <c r="I27" s="7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76" t="s">
        <v>19</v>
      </c>
      <c r="E31" s="76"/>
      <c r="F31" s="76" t="s">
        <v>18</v>
      </c>
      <c r="G31" s="76"/>
      <c r="H31" s="48" t="s">
        <v>17</v>
      </c>
      <c r="I31" s="19" t="s">
        <v>16</v>
      </c>
      <c r="M31"/>
    </row>
    <row r="32" spans="2:13" ht="27" customHeight="1" x14ac:dyDescent="0.2">
      <c r="B32" s="41" t="s">
        <v>184</v>
      </c>
      <c r="C32" s="19" t="s">
        <v>178</v>
      </c>
      <c r="D32" s="81"/>
      <c r="E32" s="82"/>
      <c r="F32" s="81">
        <v>615</v>
      </c>
      <c r="G32" s="82"/>
      <c r="H32" s="17">
        <v>0.71</v>
      </c>
      <c r="I32" s="18">
        <f>+H32*F32</f>
        <v>436.65</v>
      </c>
      <c r="K32" s="46"/>
      <c r="M32" s="39"/>
    </row>
    <row r="33" spans="2:13" ht="27" customHeight="1" x14ac:dyDescent="0.2">
      <c r="B33" s="41" t="s">
        <v>177</v>
      </c>
      <c r="C33" s="19" t="s">
        <v>189</v>
      </c>
      <c r="D33" s="81"/>
      <c r="E33" s="82"/>
      <c r="F33" s="81">
        <f>+K2-F32</f>
        <v>1000</v>
      </c>
      <c r="G33" s="82"/>
      <c r="H33" s="17">
        <v>0.71</v>
      </c>
      <c r="I33" s="18">
        <f>+H33*F33</f>
        <v>710</v>
      </c>
      <c r="K33" s="46"/>
      <c r="M33" s="39"/>
    </row>
    <row r="34" spans="2:13" ht="21" customHeight="1" x14ac:dyDescent="0.2">
      <c r="B34" s="15" t="s">
        <v>15</v>
      </c>
      <c r="C34" s="15"/>
      <c r="D34" s="70"/>
      <c r="E34" s="72"/>
      <c r="F34" s="70"/>
      <c r="G34" s="72"/>
      <c r="H34" s="17"/>
      <c r="I34" s="48"/>
    </row>
    <row r="35" spans="2:13" ht="21.75" customHeight="1" x14ac:dyDescent="0.2">
      <c r="B35" s="15" t="s">
        <v>14</v>
      </c>
      <c r="C35" s="15"/>
      <c r="D35" s="83"/>
      <c r="E35" s="84"/>
      <c r="F35" s="81">
        <f>SUM(F32:G34)</f>
        <v>1615</v>
      </c>
      <c r="G35" s="82"/>
      <c r="H35" s="15"/>
      <c r="I35" s="14">
        <f>SUM(I32:I34)</f>
        <v>1146.6500000000001</v>
      </c>
      <c r="J35" s="40"/>
      <c r="K35" s="40"/>
    </row>
    <row r="36" spans="2:13" ht="21.75" customHeight="1" x14ac:dyDescent="0.2">
      <c r="B36" s="16" t="s">
        <v>13</v>
      </c>
      <c r="C36" s="15"/>
      <c r="D36" s="70"/>
      <c r="E36" s="72"/>
      <c r="F36" s="70"/>
      <c r="G36" s="72"/>
      <c r="H36" s="15"/>
      <c r="I36" s="48"/>
      <c r="J36" s="40"/>
    </row>
    <row r="37" spans="2:13" ht="21.75" customHeight="1" x14ac:dyDescent="0.2">
      <c r="B37" s="16" t="s">
        <v>12</v>
      </c>
      <c r="C37" s="15"/>
      <c r="D37" s="70"/>
      <c r="E37" s="72"/>
      <c r="F37" s="70"/>
      <c r="G37" s="72"/>
      <c r="H37" s="15"/>
      <c r="I37" s="14">
        <f>+I35</f>
        <v>1146.6500000000001</v>
      </c>
    </row>
    <row r="38" spans="2:13" ht="20.25" customHeight="1" x14ac:dyDescent="0.2">
      <c r="B38" s="15" t="s">
        <v>80</v>
      </c>
      <c r="C38" s="70" t="s">
        <v>11</v>
      </c>
      <c r="D38" s="71"/>
      <c r="E38" s="71"/>
      <c r="F38" s="71"/>
      <c r="G38" s="71"/>
      <c r="H38" s="72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1146.6500000000001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8" t="s">
        <v>7</v>
      </c>
      <c r="C47" s="78"/>
      <c r="D47" s="78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265K0088</v>
      </c>
      <c r="I53" s="8"/>
      <c r="K53">
        <v>2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9" t="s">
        <v>1</v>
      </c>
      <c r="D56" s="79"/>
      <c r="E56" s="5"/>
      <c r="F56" s="5"/>
      <c r="G56" s="5"/>
      <c r="H56" s="5"/>
      <c r="I56" s="4"/>
    </row>
    <row r="57" spans="2:11" x14ac:dyDescent="0.2">
      <c r="B57" s="6"/>
      <c r="C57" s="80" t="s">
        <v>0</v>
      </c>
      <c r="D57" s="80"/>
      <c r="E57" s="5"/>
      <c r="F57" s="5"/>
      <c r="G57" s="5"/>
      <c r="H57" s="5"/>
      <c r="I57" s="4"/>
      <c r="K57">
        <v>2</v>
      </c>
    </row>
    <row r="58" spans="2:11" x14ac:dyDescent="0.2">
      <c r="B58" s="2"/>
      <c r="C58" s="77"/>
      <c r="D58" s="77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2:E32"/>
    <mergeCell ref="F32:G32"/>
    <mergeCell ref="B2:I2"/>
    <mergeCell ref="B26:I26"/>
    <mergeCell ref="B27:I27"/>
    <mergeCell ref="D31:E31"/>
    <mergeCell ref="F31:G31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7" t="s">
        <v>191</v>
      </c>
      <c r="C2" s="68"/>
      <c r="D2" s="68"/>
      <c r="E2" s="68"/>
      <c r="F2" s="68"/>
      <c r="G2" s="68"/>
      <c r="H2" s="68"/>
      <c r="I2" s="69"/>
      <c r="J2" s="62">
        <v>62031205</v>
      </c>
      <c r="K2" s="64">
        <v>576</v>
      </c>
      <c r="L2" s="64">
        <v>8</v>
      </c>
      <c r="M2" s="64">
        <v>40.463000000000001</v>
      </c>
      <c r="N2" s="64">
        <v>41.615000000000002</v>
      </c>
      <c r="O2" s="64">
        <v>47.015000000000001</v>
      </c>
      <c r="P2" s="64" t="s">
        <v>54</v>
      </c>
      <c r="Q2" s="64">
        <v>0.26800000000000002</v>
      </c>
      <c r="R2" s="64" t="s">
        <v>62</v>
      </c>
    </row>
    <row r="3" spans="2:22" x14ac:dyDescent="0.2">
      <c r="B3" s="6" t="s">
        <v>53</v>
      </c>
      <c r="C3" s="66">
        <f>+'100'!C3+1</f>
        <v>101</v>
      </c>
      <c r="D3" s="5"/>
      <c r="E3" s="5"/>
      <c r="F3" s="5"/>
      <c r="G3" s="5" t="s">
        <v>52</v>
      </c>
      <c r="H3" s="31">
        <v>46252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62031205</v>
      </c>
      <c r="C21" s="49">
        <f>VLOOKUP($K56,reff!E2:F29,2,0)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CA</v>
      </c>
      <c r="I21" s="48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47.015000000000001</v>
      </c>
      <c r="G23" s="23">
        <f>+N2</f>
        <v>41.615000000000002</v>
      </c>
      <c r="H23" s="23">
        <f>+M2</f>
        <v>40.463000000000001</v>
      </c>
      <c r="I23" s="48">
        <f>+L2</f>
        <v>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1"/>
      <c r="D26" s="71"/>
      <c r="E26" s="71"/>
      <c r="F26" s="71"/>
      <c r="G26" s="71"/>
      <c r="H26" s="71"/>
      <c r="I26" s="72"/>
    </row>
    <row r="27" spans="2:13" ht="24.75" customHeight="1" x14ac:dyDescent="0.2">
      <c r="B27" s="73" t="str">
        <f>+K4</f>
        <v>GIRLS COTTON FIBERS, KNIT PULLOVER, WITH NO NECK CLOSURE, STITCH COUNT IS GREATER THAN 9/2CM, REACHES WAIST [60% COTTON 40% RECYCLED POLYESTER]</v>
      </c>
      <c r="C27" s="74"/>
      <c r="D27" s="74"/>
      <c r="E27" s="74"/>
      <c r="F27" s="74"/>
      <c r="G27" s="74"/>
      <c r="H27" s="74"/>
      <c r="I27" s="7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76" t="s">
        <v>19</v>
      </c>
      <c r="E31" s="76"/>
      <c r="F31" s="76" t="s">
        <v>18</v>
      </c>
      <c r="G31" s="76"/>
      <c r="H31" s="48" t="s">
        <v>17</v>
      </c>
      <c r="I31" s="19" t="s">
        <v>16</v>
      </c>
      <c r="M31"/>
    </row>
    <row r="32" spans="2:13" ht="28.5" customHeight="1" x14ac:dyDescent="0.2">
      <c r="B32" s="41" t="s">
        <v>179</v>
      </c>
      <c r="C32" s="19" t="s">
        <v>185</v>
      </c>
      <c r="D32" s="81"/>
      <c r="E32" s="82"/>
      <c r="F32" s="81">
        <f>+K2</f>
        <v>576</v>
      </c>
      <c r="G32" s="82"/>
      <c r="H32" s="17">
        <v>0.71</v>
      </c>
      <c r="I32" s="18">
        <f>+H32*F32</f>
        <v>408.96</v>
      </c>
      <c r="K32" s="46"/>
      <c r="M32" s="39"/>
    </row>
    <row r="33" spans="2:11" ht="21" customHeight="1" x14ac:dyDescent="0.2">
      <c r="B33" s="15" t="s">
        <v>15</v>
      </c>
      <c r="C33" s="15"/>
      <c r="D33" s="70"/>
      <c r="E33" s="72"/>
      <c r="F33" s="70"/>
      <c r="G33" s="72"/>
      <c r="H33" s="17"/>
      <c r="I33" s="48"/>
    </row>
    <row r="34" spans="2:11" ht="21.75" customHeight="1" x14ac:dyDescent="0.2">
      <c r="B34" s="15" t="s">
        <v>14</v>
      </c>
      <c r="C34" s="15"/>
      <c r="D34" s="83"/>
      <c r="E34" s="84"/>
      <c r="F34" s="81">
        <f>SUM(F31:G33)</f>
        <v>576</v>
      </c>
      <c r="G34" s="82"/>
      <c r="H34" s="15"/>
      <c r="I34" s="14">
        <f>SUM(I32:I33)</f>
        <v>408.96</v>
      </c>
      <c r="J34" s="40"/>
      <c r="K34" s="40"/>
    </row>
    <row r="35" spans="2:11" ht="21.75" customHeight="1" x14ac:dyDescent="0.2">
      <c r="B35" s="16" t="s">
        <v>13</v>
      </c>
      <c r="C35" s="15"/>
      <c r="D35" s="70"/>
      <c r="E35" s="72"/>
      <c r="F35" s="70"/>
      <c r="G35" s="72"/>
      <c r="H35" s="15"/>
      <c r="I35" s="48"/>
      <c r="J35" s="40"/>
    </row>
    <row r="36" spans="2:11" ht="21.75" customHeight="1" x14ac:dyDescent="0.2">
      <c r="B36" s="16" t="s">
        <v>12</v>
      </c>
      <c r="C36" s="15"/>
      <c r="D36" s="70"/>
      <c r="E36" s="72"/>
      <c r="F36" s="70"/>
      <c r="G36" s="72"/>
      <c r="H36" s="15"/>
      <c r="I36" s="14">
        <f>+I34</f>
        <v>408.96</v>
      </c>
    </row>
    <row r="37" spans="2:11" ht="20.25" customHeight="1" x14ac:dyDescent="0.2">
      <c r="B37" s="15" t="s">
        <v>80</v>
      </c>
      <c r="C37" s="70" t="s">
        <v>11</v>
      </c>
      <c r="D37" s="71"/>
      <c r="E37" s="71"/>
      <c r="F37" s="71"/>
      <c r="G37" s="71"/>
      <c r="H37" s="72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408.96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8" t="s">
        <v>7</v>
      </c>
      <c r="C46" s="78"/>
      <c r="D46" s="78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265K0088</v>
      </c>
      <c r="I52" s="8"/>
      <c r="K52">
        <v>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9" t="s">
        <v>1</v>
      </c>
      <c r="D55" s="79"/>
      <c r="E55" s="5"/>
      <c r="F55" s="5"/>
      <c r="G55" s="5"/>
      <c r="H55" s="5"/>
      <c r="I55" s="4"/>
    </row>
    <row r="56" spans="2:11" x14ac:dyDescent="0.2">
      <c r="B56" s="6"/>
      <c r="C56" s="80" t="s">
        <v>0</v>
      </c>
      <c r="D56" s="80"/>
      <c r="E56" s="5"/>
      <c r="F56" s="5"/>
      <c r="G56" s="5"/>
      <c r="H56" s="5"/>
      <c r="I56" s="4"/>
      <c r="K56">
        <v>3</v>
      </c>
    </row>
    <row r="57" spans="2:11" x14ac:dyDescent="0.2">
      <c r="B57" s="2"/>
      <c r="C57" s="77"/>
      <c r="D57" s="77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2.2851562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7" t="s">
        <v>191</v>
      </c>
      <c r="C2" s="68"/>
      <c r="D2" s="68"/>
      <c r="E2" s="68"/>
      <c r="F2" s="68"/>
      <c r="G2" s="68"/>
      <c r="H2" s="68"/>
      <c r="I2" s="69"/>
      <c r="J2" s="62">
        <v>62031269</v>
      </c>
      <c r="K2" s="64">
        <v>141</v>
      </c>
      <c r="L2" s="64">
        <v>2</v>
      </c>
      <c r="M2" s="64">
        <v>9.3230000000000004</v>
      </c>
      <c r="N2" s="64">
        <v>9.6050000000000004</v>
      </c>
      <c r="O2" s="64">
        <v>11.205</v>
      </c>
      <c r="P2" s="64" t="s">
        <v>54</v>
      </c>
      <c r="Q2" s="64">
        <v>6.7000000000000004E-2</v>
      </c>
      <c r="R2" s="64" t="s">
        <v>62</v>
      </c>
    </row>
    <row r="3" spans="2:22" x14ac:dyDescent="0.2">
      <c r="B3" s="6" t="s">
        <v>53</v>
      </c>
      <c r="C3" s="66">
        <f>+'101'!C3+1</f>
        <v>102</v>
      </c>
      <c r="D3" s="5"/>
      <c r="E3" s="5"/>
      <c r="F3" s="5"/>
      <c r="G3" s="5" t="s">
        <v>52</v>
      </c>
      <c r="H3" s="31">
        <v>46252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62031269</v>
      </c>
      <c r="C21" s="53">
        <f>VLOOKUP($K56,reff!E2:F29,2,0)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4" t="s">
        <v>35</v>
      </c>
      <c r="G21" s="54"/>
      <c r="H21" s="47" t="str">
        <f>IF(LEFT(G17,2)="CA","CA",IF(LEFT(G17,2)="UN","US",IF(LEFT(G17,2)="PA","PA",IF(LEFT(G17,2)="JA","JP"))))</f>
        <v>CA</v>
      </c>
      <c r="I21" s="54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11.205</v>
      </c>
      <c r="G23" s="23">
        <f>+N2</f>
        <v>9.6050000000000004</v>
      </c>
      <c r="H23" s="23">
        <f>+M2</f>
        <v>9.3230000000000004</v>
      </c>
      <c r="I23" s="54">
        <f>+L2</f>
        <v>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1"/>
      <c r="D26" s="71"/>
      <c r="E26" s="71"/>
      <c r="F26" s="71"/>
      <c r="G26" s="71"/>
      <c r="H26" s="71"/>
      <c r="I26" s="72"/>
    </row>
    <row r="27" spans="2:13" ht="24.75" customHeight="1" x14ac:dyDescent="0.2">
      <c r="B27" s="73" t="str">
        <f>+K4</f>
        <v>GIRLS COTTON FIBERS, KNIT PULLOVER, WITH NO NECK CLOSURE, STITCH COUNT IS GREATER THAN 9/2CM, REACHES WAIST [60% COTTON 40% RECYCLED POLYESTER]</v>
      </c>
      <c r="C27" s="74"/>
      <c r="D27" s="74"/>
      <c r="E27" s="74"/>
      <c r="F27" s="74"/>
      <c r="G27" s="74"/>
      <c r="H27" s="74"/>
      <c r="I27" s="7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76" t="s">
        <v>19</v>
      </c>
      <c r="E31" s="76"/>
      <c r="F31" s="76" t="s">
        <v>18</v>
      </c>
      <c r="G31" s="76"/>
      <c r="H31" s="54" t="s">
        <v>17</v>
      </c>
      <c r="I31" s="19" t="s">
        <v>16</v>
      </c>
      <c r="M31"/>
    </row>
    <row r="32" spans="2:13" ht="28.5" customHeight="1" x14ac:dyDescent="0.2">
      <c r="B32" s="41" t="s">
        <v>179</v>
      </c>
      <c r="C32" s="19" t="s">
        <v>185</v>
      </c>
      <c r="D32" s="81"/>
      <c r="E32" s="82"/>
      <c r="F32" s="81">
        <f>+K2</f>
        <v>141</v>
      </c>
      <c r="G32" s="82"/>
      <c r="H32" s="17">
        <v>0.71</v>
      </c>
      <c r="I32" s="18">
        <f>+H32*F32</f>
        <v>100.11</v>
      </c>
      <c r="K32" s="46"/>
      <c r="M32" s="39"/>
    </row>
    <row r="33" spans="2:11" ht="21" customHeight="1" x14ac:dyDescent="0.2">
      <c r="B33" s="15" t="s">
        <v>15</v>
      </c>
      <c r="C33" s="15"/>
      <c r="D33" s="70"/>
      <c r="E33" s="72"/>
      <c r="F33" s="70"/>
      <c r="G33" s="72"/>
      <c r="H33" s="17"/>
      <c r="I33" s="54"/>
    </row>
    <row r="34" spans="2:11" ht="21.75" customHeight="1" x14ac:dyDescent="0.2">
      <c r="B34" s="15" t="s">
        <v>14</v>
      </c>
      <c r="C34" s="15"/>
      <c r="D34" s="83"/>
      <c r="E34" s="84"/>
      <c r="F34" s="81">
        <f>SUM(F32:G33)</f>
        <v>141</v>
      </c>
      <c r="G34" s="82"/>
      <c r="H34" s="15"/>
      <c r="I34" s="14">
        <f>SUM(I32:I33)</f>
        <v>100.11</v>
      </c>
      <c r="J34" s="40"/>
      <c r="K34" s="40"/>
    </row>
    <row r="35" spans="2:11" ht="21.75" customHeight="1" x14ac:dyDescent="0.2">
      <c r="B35" s="16" t="s">
        <v>13</v>
      </c>
      <c r="C35" s="15"/>
      <c r="D35" s="70"/>
      <c r="E35" s="72"/>
      <c r="F35" s="70"/>
      <c r="G35" s="72"/>
      <c r="H35" s="15"/>
      <c r="I35" s="54"/>
      <c r="J35" s="40"/>
    </row>
    <row r="36" spans="2:11" ht="21.75" customHeight="1" x14ac:dyDescent="0.2">
      <c r="B36" s="16" t="s">
        <v>12</v>
      </c>
      <c r="C36" s="15"/>
      <c r="D36" s="70"/>
      <c r="E36" s="72"/>
      <c r="F36" s="70"/>
      <c r="G36" s="72"/>
      <c r="H36" s="15"/>
      <c r="I36" s="14">
        <f>+I34</f>
        <v>100.11</v>
      </c>
    </row>
    <row r="37" spans="2:11" ht="20.25" customHeight="1" x14ac:dyDescent="0.2">
      <c r="B37" s="15" t="s">
        <v>80</v>
      </c>
      <c r="C37" s="70" t="s">
        <v>11</v>
      </c>
      <c r="D37" s="71"/>
      <c r="E37" s="71"/>
      <c r="F37" s="71"/>
      <c r="G37" s="71"/>
      <c r="H37" s="72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100.11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8" t="s">
        <v>7</v>
      </c>
      <c r="C46" s="78"/>
      <c r="D46" s="78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265K0088</v>
      </c>
      <c r="I52" s="8"/>
      <c r="K52">
        <v>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9" t="s">
        <v>1</v>
      </c>
      <c r="D55" s="79"/>
      <c r="E55" s="5"/>
      <c r="F55" s="5"/>
      <c r="G55" s="5"/>
      <c r="H55" s="5"/>
      <c r="I55" s="4"/>
    </row>
    <row r="56" spans="2:11" x14ac:dyDescent="0.2">
      <c r="B56" s="6"/>
      <c r="C56" s="80" t="s">
        <v>0</v>
      </c>
      <c r="D56" s="80"/>
      <c r="E56" s="5"/>
      <c r="F56" s="5"/>
      <c r="G56" s="5"/>
      <c r="H56" s="5"/>
      <c r="I56" s="4"/>
      <c r="K56">
        <v>4</v>
      </c>
    </row>
    <row r="57" spans="2:11" x14ac:dyDescent="0.2">
      <c r="B57" s="2"/>
      <c r="C57" s="77"/>
      <c r="D57" s="77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7" t="s">
        <v>191</v>
      </c>
      <c r="C2" s="68"/>
      <c r="D2" s="68"/>
      <c r="E2" s="68"/>
      <c r="F2" s="68"/>
      <c r="G2" s="68"/>
      <c r="H2" s="68"/>
      <c r="I2" s="69"/>
      <c r="J2" s="62">
        <v>61997351</v>
      </c>
      <c r="K2" s="64">
        <v>114</v>
      </c>
      <c r="L2" s="64">
        <v>2</v>
      </c>
      <c r="M2" s="64">
        <v>7.8869999999999996</v>
      </c>
      <c r="N2" s="64">
        <v>8.1150000000000002</v>
      </c>
      <c r="O2" s="64">
        <v>9.7149999999999999</v>
      </c>
      <c r="P2" s="64" t="s">
        <v>54</v>
      </c>
      <c r="Q2" s="64">
        <v>6.7000000000000004E-2</v>
      </c>
      <c r="R2" s="64" t="s">
        <v>62</v>
      </c>
    </row>
    <row r="3" spans="2:22" x14ac:dyDescent="0.2">
      <c r="B3" s="6" t="s">
        <v>53</v>
      </c>
      <c r="C3" s="66">
        <f>+'102'!C3+1</f>
        <v>103</v>
      </c>
      <c r="D3" s="5"/>
      <c r="E3" s="5"/>
      <c r="F3" s="5"/>
      <c r="G3" s="5" t="s">
        <v>52</v>
      </c>
      <c r="H3" s="31">
        <v>46252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61997351</v>
      </c>
      <c r="C21" s="56">
        <f>VLOOKUP($K56,reff!E2:F29,2,0)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CA</v>
      </c>
      <c r="I21" s="55" t="s">
        <v>34</v>
      </c>
      <c r="K21" s="20">
        <v>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9.7149999999999999</v>
      </c>
      <c r="G23" s="23">
        <f>+N2</f>
        <v>8.1150000000000002</v>
      </c>
      <c r="H23" s="23">
        <f>+M2</f>
        <v>7.8869999999999996</v>
      </c>
      <c r="I23" s="55">
        <f>+L2</f>
        <v>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1"/>
      <c r="D26" s="71"/>
      <c r="E26" s="71"/>
      <c r="F26" s="71"/>
      <c r="G26" s="71"/>
      <c r="H26" s="71"/>
      <c r="I26" s="72"/>
    </row>
    <row r="27" spans="2:13" ht="24.75" customHeight="1" x14ac:dyDescent="0.2">
      <c r="B27" s="73" t="str">
        <f>+K4</f>
        <v>GIRLS COTTON FIBERS, KNIT PULLOVER, WITH NO NECK CLOSURE, STITCH COUNT IS GREATER THAN 9/2CM, REACHES WAIST [60% COTTON 40% RECYCLED POLYESTER]</v>
      </c>
      <c r="C27" s="74"/>
      <c r="D27" s="74"/>
      <c r="E27" s="74"/>
      <c r="F27" s="74"/>
      <c r="G27" s="74"/>
      <c r="H27" s="74"/>
      <c r="I27" s="7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76" t="s">
        <v>19</v>
      </c>
      <c r="E31" s="76"/>
      <c r="F31" s="76" t="s">
        <v>18</v>
      </c>
      <c r="G31" s="76"/>
      <c r="H31" s="55" t="s">
        <v>17</v>
      </c>
      <c r="I31" s="19" t="s">
        <v>16</v>
      </c>
      <c r="M31"/>
    </row>
    <row r="32" spans="2:13" ht="27.75" customHeight="1" x14ac:dyDescent="0.2">
      <c r="B32" s="41" t="s">
        <v>184</v>
      </c>
      <c r="C32" s="19" t="s">
        <v>178</v>
      </c>
      <c r="D32" s="81"/>
      <c r="E32" s="82"/>
      <c r="F32" s="81">
        <f>+K2</f>
        <v>114</v>
      </c>
      <c r="G32" s="82"/>
      <c r="H32" s="17">
        <v>0.71</v>
      </c>
      <c r="I32" s="18">
        <f>+H32*F32</f>
        <v>80.94</v>
      </c>
      <c r="K32" s="46"/>
      <c r="M32" s="39"/>
    </row>
    <row r="33" spans="2:11" ht="21" customHeight="1" x14ac:dyDescent="0.2">
      <c r="B33" s="15" t="s">
        <v>15</v>
      </c>
      <c r="C33" s="15"/>
      <c r="D33" s="70"/>
      <c r="E33" s="72"/>
      <c r="F33" s="70"/>
      <c r="G33" s="72"/>
      <c r="H33" s="17"/>
      <c r="I33" s="59"/>
    </row>
    <row r="34" spans="2:11" ht="21.75" customHeight="1" x14ac:dyDescent="0.2">
      <c r="B34" s="15" t="s">
        <v>14</v>
      </c>
      <c r="C34" s="15"/>
      <c r="D34" s="83"/>
      <c r="E34" s="84"/>
      <c r="F34" s="81">
        <f>SUM(F32:G33)</f>
        <v>114</v>
      </c>
      <c r="G34" s="82"/>
      <c r="H34" s="15"/>
      <c r="I34" s="14">
        <f>SUM(I32:I32)</f>
        <v>80.94</v>
      </c>
      <c r="J34" s="40"/>
      <c r="K34" s="40"/>
    </row>
    <row r="35" spans="2:11" ht="21.75" customHeight="1" x14ac:dyDescent="0.2">
      <c r="B35" s="16" t="s">
        <v>13</v>
      </c>
      <c r="C35" s="15"/>
      <c r="D35" s="70"/>
      <c r="E35" s="72"/>
      <c r="F35" s="70"/>
      <c r="G35" s="72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0"/>
      <c r="E36" s="72"/>
      <c r="F36" s="70"/>
      <c r="G36" s="72"/>
      <c r="H36" s="15"/>
      <c r="I36" s="14">
        <f>+I34</f>
        <v>80.94</v>
      </c>
    </row>
    <row r="37" spans="2:11" ht="20.25" customHeight="1" x14ac:dyDescent="0.2">
      <c r="B37" s="15" t="s">
        <v>80</v>
      </c>
      <c r="C37" s="70" t="s">
        <v>11</v>
      </c>
      <c r="D37" s="71"/>
      <c r="E37" s="71"/>
      <c r="F37" s="71"/>
      <c r="G37" s="71"/>
      <c r="H37" s="72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80.94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8" t="s">
        <v>7</v>
      </c>
      <c r="C46" s="78"/>
      <c r="D46" s="78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265K0088</v>
      </c>
      <c r="I52" s="8"/>
      <c r="K52">
        <v>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9" t="s">
        <v>1</v>
      </c>
      <c r="D55" s="79"/>
      <c r="E55" s="5"/>
      <c r="F55" s="5"/>
      <c r="G55" s="5"/>
      <c r="H55" s="5"/>
      <c r="I55" s="4"/>
    </row>
    <row r="56" spans="2:11" x14ac:dyDescent="0.2">
      <c r="B56" s="6"/>
      <c r="C56" s="80" t="s">
        <v>0</v>
      </c>
      <c r="D56" s="80"/>
      <c r="E56" s="5"/>
      <c r="F56" s="5"/>
      <c r="G56" s="5"/>
      <c r="H56" s="5"/>
      <c r="I56" s="4"/>
      <c r="K56">
        <v>5</v>
      </c>
    </row>
    <row r="57" spans="2:11" x14ac:dyDescent="0.2">
      <c r="B57" s="2"/>
      <c r="C57" s="77"/>
      <c r="D57" s="77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F35:G35"/>
    <mergeCell ref="D32:E32"/>
    <mergeCell ref="F32:G32"/>
    <mergeCell ref="B2:I2"/>
    <mergeCell ref="B26:I26"/>
    <mergeCell ref="B27:I27"/>
    <mergeCell ref="D31:E31"/>
    <mergeCell ref="F31:G31"/>
    <mergeCell ref="D34:E34"/>
    <mergeCell ref="F34:G34"/>
    <mergeCell ref="D35:E35"/>
    <mergeCell ref="D33:E33"/>
    <mergeCell ref="F33:G33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7" t="s">
        <v>191</v>
      </c>
      <c r="C2" s="68"/>
      <c r="D2" s="68"/>
      <c r="E2" s="68"/>
      <c r="F2" s="68"/>
      <c r="G2" s="68"/>
      <c r="H2" s="68"/>
      <c r="I2" s="69"/>
      <c r="J2" s="62">
        <v>62007438</v>
      </c>
      <c r="K2" s="64">
        <v>360</v>
      </c>
      <c r="L2" s="64">
        <v>10</v>
      </c>
      <c r="M2" s="64">
        <v>27.36</v>
      </c>
      <c r="N2" s="64">
        <v>28.08</v>
      </c>
      <c r="O2" s="64">
        <v>32.93</v>
      </c>
      <c r="P2" s="64" t="s">
        <v>54</v>
      </c>
      <c r="Q2" s="64">
        <v>0.185</v>
      </c>
      <c r="R2" s="64" t="s">
        <v>62</v>
      </c>
    </row>
    <row r="3" spans="2:22" x14ac:dyDescent="0.2">
      <c r="B3" s="6" t="s">
        <v>53</v>
      </c>
      <c r="C3" s="66">
        <f>+'103'!C3+1</f>
        <v>104</v>
      </c>
      <c r="D3" s="5"/>
      <c r="E3" s="5"/>
      <c r="F3" s="5"/>
      <c r="G3" s="5" t="s">
        <v>52</v>
      </c>
      <c r="H3" s="31">
        <v>46252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90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9271 MERIDIAN WAY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WEST CHESTER,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45069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62007438</v>
      </c>
      <c r="C21" s="56">
        <f>VLOOKUP($K56,reff!E2:F29,2,0)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Franchise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32.93</v>
      </c>
      <c r="G23" s="23">
        <f>+N2</f>
        <v>28.08</v>
      </c>
      <c r="H23" s="23">
        <f>+M2</f>
        <v>27.36</v>
      </c>
      <c r="I23" s="55">
        <f>+L2</f>
        <v>10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1"/>
      <c r="D26" s="71"/>
      <c r="E26" s="71"/>
      <c r="F26" s="71"/>
      <c r="G26" s="71"/>
      <c r="H26" s="71"/>
      <c r="I26" s="72"/>
    </row>
    <row r="27" spans="2:13" ht="24.75" customHeight="1" x14ac:dyDescent="0.2">
      <c r="B27" s="73" t="str">
        <f>+K4</f>
        <v>GIRLS COTTON FIBERS, KNIT PULLOVER, WITH NO NECK CLOSURE, STITCH COUNT IS GREATER THAN 9/2CM, REACHES WAIST [60% COTTON 40% RECYCLED POLYESTER]</v>
      </c>
      <c r="C27" s="74"/>
      <c r="D27" s="74"/>
      <c r="E27" s="74"/>
      <c r="F27" s="74"/>
      <c r="G27" s="74"/>
      <c r="H27" s="74"/>
      <c r="I27" s="7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76" t="s">
        <v>19</v>
      </c>
      <c r="E31" s="76"/>
      <c r="F31" s="76" t="s">
        <v>18</v>
      </c>
      <c r="G31" s="76"/>
      <c r="H31" s="55" t="s">
        <v>17</v>
      </c>
      <c r="I31" s="19" t="s">
        <v>16</v>
      </c>
      <c r="M31"/>
    </row>
    <row r="32" spans="2:13" ht="29.25" customHeight="1" x14ac:dyDescent="0.2">
      <c r="B32" s="61" t="s">
        <v>177</v>
      </c>
      <c r="C32" s="19" t="s">
        <v>189</v>
      </c>
      <c r="D32" s="81"/>
      <c r="E32" s="82"/>
      <c r="F32" s="81">
        <f>+K2</f>
        <v>360</v>
      </c>
      <c r="G32" s="82"/>
      <c r="H32" s="17">
        <v>0.71</v>
      </c>
      <c r="I32" s="18">
        <f>+H32*F32</f>
        <v>255.6</v>
      </c>
      <c r="K32" s="46"/>
      <c r="M32" s="39"/>
    </row>
    <row r="33" spans="2:11" ht="21" customHeight="1" x14ac:dyDescent="0.2">
      <c r="B33" s="15" t="s">
        <v>15</v>
      </c>
      <c r="C33" s="15"/>
      <c r="D33" s="70"/>
      <c r="E33" s="72"/>
      <c r="F33" s="70"/>
      <c r="G33" s="72"/>
      <c r="H33" s="17"/>
      <c r="I33" s="55"/>
    </row>
    <row r="34" spans="2:11" ht="21.75" customHeight="1" x14ac:dyDescent="0.2">
      <c r="B34" s="15" t="s">
        <v>14</v>
      </c>
      <c r="C34" s="15"/>
      <c r="D34" s="83"/>
      <c r="E34" s="84"/>
      <c r="F34" s="81">
        <f>SUM(F32:G33)</f>
        <v>360</v>
      </c>
      <c r="G34" s="82"/>
      <c r="H34" s="15"/>
      <c r="I34" s="14">
        <f>SUM(I32:I33)</f>
        <v>255.6</v>
      </c>
      <c r="J34" s="40"/>
      <c r="K34" s="40"/>
    </row>
    <row r="35" spans="2:11" ht="21.75" customHeight="1" x14ac:dyDescent="0.2">
      <c r="B35" s="16" t="s">
        <v>13</v>
      </c>
      <c r="C35" s="15"/>
      <c r="D35" s="70"/>
      <c r="E35" s="72"/>
      <c r="F35" s="70"/>
      <c r="G35" s="72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0"/>
      <c r="E36" s="72"/>
      <c r="F36" s="70"/>
      <c r="G36" s="72"/>
      <c r="H36" s="15"/>
      <c r="I36" s="14">
        <f>+I34</f>
        <v>255.6</v>
      </c>
    </row>
    <row r="37" spans="2:11" ht="20.25" customHeight="1" x14ac:dyDescent="0.2">
      <c r="B37" s="15" t="s">
        <v>80</v>
      </c>
      <c r="C37" s="70" t="s">
        <v>11</v>
      </c>
      <c r="D37" s="71"/>
      <c r="E37" s="71"/>
      <c r="F37" s="71"/>
      <c r="G37" s="71"/>
      <c r="H37" s="72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255.6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8" t="s">
        <v>7</v>
      </c>
      <c r="C46" s="78"/>
      <c r="D46" s="78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265K0088</v>
      </c>
      <c r="I52" s="8"/>
      <c r="K52">
        <v>6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9" t="s">
        <v>1</v>
      </c>
      <c r="D55" s="79"/>
      <c r="E55" s="5"/>
      <c r="F55" s="5"/>
      <c r="G55" s="5"/>
      <c r="H55" s="5"/>
      <c r="I55" s="4"/>
    </row>
    <row r="56" spans="2:11" x14ac:dyDescent="0.2">
      <c r="B56" s="6"/>
      <c r="C56" s="80" t="s">
        <v>0</v>
      </c>
      <c r="D56" s="80"/>
      <c r="E56" s="5"/>
      <c r="F56" s="5"/>
      <c r="G56" s="5"/>
      <c r="H56" s="5"/>
      <c r="I56" s="4"/>
      <c r="K56">
        <v>6</v>
      </c>
    </row>
    <row r="57" spans="2:11" x14ac:dyDescent="0.2">
      <c r="B57" s="2"/>
      <c r="C57" s="77"/>
      <c r="D57" s="77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Sheet1</vt:lpstr>
      <vt:lpstr>reff</vt:lpstr>
      <vt:lpstr>99</vt:lpstr>
      <vt:lpstr>100</vt:lpstr>
      <vt:lpstr>101</vt:lpstr>
      <vt:lpstr>102</vt:lpstr>
      <vt:lpstr>103</vt:lpstr>
      <vt:lpstr>104</vt:lpstr>
      <vt:lpstr>'100'!Print_Area</vt:lpstr>
      <vt:lpstr>'101'!Print_Area</vt:lpstr>
      <vt:lpstr>'102'!Print_Area</vt:lpstr>
      <vt:lpstr>'103'!Print_Area</vt:lpstr>
      <vt:lpstr>'104'!Print_Area</vt:lpstr>
      <vt:lpstr>'99'!Print_Area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ADMEXIM3</cp:lastModifiedBy>
  <cp:lastPrinted>2026-08-06T01:24:17Z</cp:lastPrinted>
  <dcterms:created xsi:type="dcterms:W3CDTF">2024-04-17T09:56:05Z</dcterms:created>
  <dcterms:modified xsi:type="dcterms:W3CDTF">2026-08-11T02:47:41Z</dcterms:modified>
</cp:coreProperties>
</file>