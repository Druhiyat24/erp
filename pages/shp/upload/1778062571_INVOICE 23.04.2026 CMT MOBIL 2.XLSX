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23.04.2026\MOBIL 2\"/>
    </mc:Choice>
  </mc:AlternateContent>
  <xr:revisionPtr revIDLastSave="0" documentId="13_ncr:1_{E7B0B59A-90CC-40CE-B2B6-7100295DD644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Sheet1" sheetId="128" r:id="rId1"/>
    <sheet name="reff" sheetId="162" r:id="rId2"/>
    <sheet name="499" sheetId="164" r:id="rId3"/>
    <sheet name="500" sheetId="129" r:id="rId4"/>
    <sheet name="501" sheetId="133" r:id="rId5"/>
    <sheet name="502" sheetId="134" r:id="rId6"/>
    <sheet name="503" sheetId="163" r:id="rId7"/>
  </sheets>
  <externalReferences>
    <externalReference r:id="rId8"/>
    <externalReference r:id="rId9"/>
    <externalReference r:id="rId10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>[2]xdata!#REF!</definedName>
    <definedName name="INVOICE">[2]xdata!$B$2</definedName>
    <definedName name="_xlnm.Print_Area" localSheetId="2">'499'!$B$1:$I$57</definedName>
    <definedName name="_xlnm.Print_Area" localSheetId="3">'500'!$B$1:$I$57</definedName>
    <definedName name="_xlnm.Print_Area" localSheetId="4">'501'!$B$1:$I$57</definedName>
    <definedName name="_xlnm.Print_Area" localSheetId="5">'502'!$B$1:$I$58</definedName>
    <definedName name="_xlnm.Print_Area" localSheetId="6">'503'!$B$1:$I$58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2" i="129" l="1"/>
  <c r="C3" i="163" l="1"/>
  <c r="C3" i="129"/>
  <c r="F34" i="164"/>
  <c r="H52" i="164" l="1"/>
  <c r="F32" i="164"/>
  <c r="B27" i="164"/>
  <c r="I23" i="164"/>
  <c r="H23" i="164"/>
  <c r="G23" i="164"/>
  <c r="F23" i="164"/>
  <c r="E23" i="164"/>
  <c r="E21" i="164"/>
  <c r="D21" i="164"/>
  <c r="C21" i="164"/>
  <c r="B21" i="164"/>
  <c r="B16" i="164"/>
  <c r="B17" i="164" s="1"/>
  <c r="B18" i="164" s="1"/>
  <c r="B15" i="164"/>
  <c r="G14" i="164"/>
  <c r="G15" i="164" s="1"/>
  <c r="G16" i="164" s="1"/>
  <c r="G17" i="164" s="1"/>
  <c r="H21" i="164" s="1"/>
  <c r="I33" i="163"/>
  <c r="I32" i="163"/>
  <c r="I33" i="134"/>
  <c r="I35" i="163" l="1"/>
  <c r="I32" i="164"/>
  <c r="I34" i="164" s="1"/>
  <c r="I36" i="164" s="1"/>
  <c r="I38" i="164" s="1"/>
  <c r="D32" i="129" l="1"/>
  <c r="F34" i="129"/>
  <c r="D34" i="129"/>
  <c r="H53" i="163" l="1"/>
  <c r="F35" i="163"/>
  <c r="I37" i="163"/>
  <c r="I39" i="163" s="1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H3" i="163"/>
  <c r="I32" i="134"/>
  <c r="I35" i="134" s="1"/>
  <c r="F35" i="134" l="1"/>
  <c r="F32" i="129"/>
  <c r="F32" i="133"/>
  <c r="F34" i="133" s="1"/>
  <c r="C3" i="133" l="1"/>
  <c r="H3" i="134"/>
  <c r="H3" i="133"/>
  <c r="I32" i="133" l="1"/>
  <c r="B27" i="134" l="1"/>
  <c r="E21" i="129" l="1"/>
  <c r="E21" i="133" l="1"/>
  <c r="E21" i="134"/>
  <c r="C21" i="129"/>
  <c r="C21" i="134"/>
  <c r="C21" i="133"/>
  <c r="H52" i="129"/>
  <c r="H53" i="134"/>
  <c r="H52" i="133"/>
  <c r="I37" i="134" l="1"/>
  <c r="I39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<sst xmlns="http://schemas.openxmlformats.org/spreadsheetml/2006/main" count="563" uniqueCount="197">
  <si>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</si>
  <si>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</si>
  <si>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</si>
  <si>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</si>
  <si>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</si>
  <si>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</si>
  <si>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</si>
  <si>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</si>
  <si>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</si>
  <si>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</si>
  <si>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</si>
  <si>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</si>
  <si>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</si>
  <si>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</si>
  <si>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</si>
  <si>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</si>
  <si>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</si>
  <si>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</si>
  <si>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</si>
  <si>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</si>
  <si>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</si>
  <si>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</si>
  <si>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</si>
  <si>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</si>
  <si>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</si>
  <si>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</si>
  <si>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</si>
  <si>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</si>
  <si>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</si>
  <si>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</si>
  <si>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</si>
  <si>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</si>
  <si>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</si>
  <si>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</si>
  <si>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</si>
  <si>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</si>
  <si>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</si>
  <si>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</si>
  <si>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</si>
  <si>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</si>
  <si>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</si>
  <si>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</si>
  <si>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</si>
  <si>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</si>
  <si>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</si>
  <si>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</si>
  <si>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</si>
  <si>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</si>
  <si>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</si>
  <si>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</si>
  <si>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</si>
  <si>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</si>
  <si>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</si>
  <si>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</si>
  <si>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</si>
  <si>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</si>
  <si>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</si>
  <si>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</si>
  <si>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</si>
  <si>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</si>
  <si>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</si>
  <si>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</si>
  <si>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</si>
  <si>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</si>
  <si>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</si>
  <si>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</si>
  <si>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</si>
  <si>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</si>
  <si>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</si>
  <si>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</si>
  <si>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</si>
  <si>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</si>
  <si>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</si>
  <si>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</si>
  <si>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</si>
  <si>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</si>
  <si>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</si>
  <si>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</si>
  <si>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</si>
  <si>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</si>
  <si>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</si>
  <si>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</si>
  <si>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</si>
  <si>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</si>
  <si>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</si>
  <si>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</si>
  <si>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</si>
  <si>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</si>
  <si>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</si>
  <si>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</si>
  <si>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</si>
  <si>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</si>
  <si>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</si>
  <si>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</si>
  <si>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</si>
  <si>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</si>
  <si>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</si>
  <si>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</si>
  <si>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</si>
  <si>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</si>
  <si>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</si>
  <si>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</si>
  <si>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</si>
  <si>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</si>
  <si>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</si>
  <si>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</si>
  <si>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</si>
  <si>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</si>
  <si>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</si>
  <si>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</si>
  <si>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</si>
  <si>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</si>
  <si>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</si>
  <si>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</si>
  <si>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</si>
  <si>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</si>
  <si>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</si>
  <si>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</si>
  <si>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</si>
  <si>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</si>
  <si>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</si>
  <si>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</si>
  <si>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</si>
  <si>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</si>
  <si>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</si>
  <si>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</si>
  <si>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</si>
  <si>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</si>
  <si>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</si>
  <si>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</si>
  <si>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</si>
  <si>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</si>
  <si>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</si>
  <si>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</si>
  <si>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</si>
  <si>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</si>
  <si>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</si>
  <si>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</si>
  <si>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</si>
  <si>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</si>
  <si>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</si>
  <si>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</si>
  <si>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</si>
  <si>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</si>
  <si>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</si>
  <si>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</si>
  <si>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</si>
  <si>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</si>
  <si>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</si>
  <si>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</si>
  <si>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</si>
  <si>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</si>
  <si>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</si>
  <si>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</si>
  <si>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</si>
  <si>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</si>
  <si>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</si>
  <si>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</si>
  <si>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</si>
  <si>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</si>
  <si>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</si>
  <si>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</si>
  <si>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</si>
  <si>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</si>
  <si>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</si>
  <si>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</si>
  <si>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</si>
  <si>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</si>
  <si>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</si>
  <si>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</si>
  <si>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</si>
  <si>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</si>
  <si>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</si>
  <si>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</si>
  <si>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</si>
  <si>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</si>
  <si>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</si>
  <si>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</si>
  <si>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</si>
  <si>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(FS INVOICE)</t>
  </si>
  <si>
    <t>265K0033</t>
  </si>
  <si>
    <t>265K0026</t>
  </si>
  <si>
    <t>265K0005</t>
  </si>
  <si>
    <t>PINK COMBO</t>
  </si>
  <si>
    <t>00</t>
  </si>
  <si>
    <t>A MULTY PACK OF 3 PIECES OF GIRLS COTTON FIBERS, KNIT PULLOVER, WITH NO NECK CLOSURE, STITCH COUNT IS GREATER THAN 9/2CM, REACHES WAIST [60% COTTON 40% POLYESTER]</t>
  </si>
  <si>
    <t>BLACKJACK JAS</t>
  </si>
  <si>
    <t>01</t>
  </si>
  <si>
    <t>GIRLS COTTON FIBERS, KNIT PULLOVER, WITH NO NECK CLOSURE, STITCH COUNT IS GREATER THAN 9/2CM, REACHES WAIST [60% COTTON 40% RECYCLED POLYESTER]</t>
  </si>
  <si>
    <t>CALLA LILY 451</t>
  </si>
  <si>
    <t>BLACKJACK JAS, BLUSH HUE</t>
  </si>
  <si>
    <t>01, 02</t>
  </si>
  <si>
    <t>WOMENS COTTON FIBERS, KNIT PULLOVER, WITH NO NECK CLOSURE, STITCH COUNT IS GREATER THAN 9/2CM, REACHES WAIST, SLEEVELESS [95% COTTON 5% ELASTANE]</t>
  </si>
  <si>
    <t>BLUSH ON YOU</t>
  </si>
  <si>
    <t>22</t>
  </si>
  <si>
    <t xml:space="preserve"> 265K0075 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</si>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</sst>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  <numFmt numFmtId="170" formatCode="#,###\ &quot;SET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70" fontId="0" fillId="0" borderId="14" xfId="0" applyNumberFormat="1" applyBorder="1" applyAlignment="1">
      <alignment horizontal="center" vertical="center"/>
    </xf>
    <xf numFmtId="170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9289C88-F1B2-4284-BCBD-207473D49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05C84-1C22-4280-8FD7-C70FAD9E2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156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E0AA4BCC-BA55-4575-8293-549935EEF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3180BD-C770-43AE-9B4A-A0D00C2D9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1565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97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138</v>
      </c>
      <c r="D12" s="54" t="s">
        <v>118</v>
      </c>
      <c r="F12" s="54" t="s">
        <v>104</v>
      </c>
      <c r="G12" s="54" t="s">
        <v>106</v>
      </c>
      <c r="H12" s="54" t="s">
        <v>110</v>
      </c>
      <c r="I12" s="54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139</v>
      </c>
      <c r="D13" s="54" t="s">
        <v>119</v>
      </c>
      <c r="F13" s="54" t="s">
        <v>101</v>
      </c>
      <c r="G13" s="54" t="s">
        <v>107</v>
      </c>
      <c r="H13" s="54" t="s">
        <v>111</v>
      </c>
      <c r="I13" s="54" t="s">
        <v>115</v>
      </c>
      <c r="L13" t="str">
        <f>F17</f>
        <v>BDC-0015</v>
      </c>
    </row>
    <row r="14" spans="2:12" x14ac:dyDescent="0.2">
      <c r="B14" s="54" t="s">
        <v>141</v>
      </c>
      <c r="D14" s="55" t="s">
        <v>120</v>
      </c>
      <c r="F14" s="55" t="s">
        <v>102</v>
      </c>
      <c r="G14" s="55" t="s">
        <v>108</v>
      </c>
      <c r="H14" s="55" t="s">
        <v>112</v>
      </c>
      <c r="I14" s="55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91</v>
      </c>
      <c r="I18" s="54" t="s">
        <v>122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92</v>
      </c>
      <c r="I19" s="54" t="s">
        <v>123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93</v>
      </c>
      <c r="I20" s="54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4" t="s">
        <v>128</v>
      </c>
      <c r="F24" s="54" t="s">
        <v>135</v>
      </c>
      <c r="G24" s="54" t="s">
        <v>146</v>
      </c>
      <c r="H24" s="54" t="s">
        <v>151</v>
      </c>
      <c r="I24" s="54" t="s">
        <v>157</v>
      </c>
      <c r="L24" t="str">
        <f>I29</f>
        <v>PDC-0014</v>
      </c>
    </row>
    <row r="25" spans="2:12" x14ac:dyDescent="0.2">
      <c r="D25" s="54" t="s">
        <v>129</v>
      </c>
      <c r="F25" s="54" t="s">
        <v>136</v>
      </c>
      <c r="G25" s="54" t="s">
        <v>147</v>
      </c>
      <c r="H25" s="54" t="s">
        <v>152</v>
      </c>
      <c r="I25" s="54" t="s">
        <v>158</v>
      </c>
      <c r="L25" t="str">
        <f>F35</f>
        <v>JPD-0030</v>
      </c>
    </row>
    <row r="26" spans="2:12" x14ac:dyDescent="0.2">
      <c r="D26" s="54" t="s">
        <v>130</v>
      </c>
      <c r="F26" s="54" t="s">
        <v>133</v>
      </c>
      <c r="G26" s="54" t="s">
        <v>148</v>
      </c>
      <c r="H26" s="54" t="s">
        <v>153</v>
      </c>
      <c r="I26" s="55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4" t="s">
        <v>143</v>
      </c>
      <c r="F30" s="54" t="s">
        <v>161</v>
      </c>
      <c r="G30" s="54" t="s">
        <v>163</v>
      </c>
      <c r="H30" s="54" t="s">
        <v>163</v>
      </c>
      <c r="I30" s="54" t="s">
        <v>166</v>
      </c>
    </row>
    <row r="31" spans="2:12" x14ac:dyDescent="0.2">
      <c r="D31" s="54" t="s">
        <v>144</v>
      </c>
      <c r="F31" s="54" t="s">
        <v>111</v>
      </c>
      <c r="G31" s="54" t="s">
        <v>69</v>
      </c>
      <c r="H31" s="54" t="s">
        <v>69</v>
      </c>
      <c r="I31" s="54" t="s">
        <v>101</v>
      </c>
    </row>
    <row r="32" spans="2:12" x14ac:dyDescent="0.2">
      <c r="D32" s="54" t="s">
        <v>130</v>
      </c>
      <c r="F32" s="55" t="s">
        <v>112</v>
      </c>
      <c r="G32" s="55" t="s">
        <v>76</v>
      </c>
      <c r="H32" s="55" t="s">
        <v>76</v>
      </c>
      <c r="I32" s="55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4" t="s">
        <v>118</v>
      </c>
      <c r="F36" s="54" t="s">
        <v>173</v>
      </c>
    </row>
    <row r="37" spans="4:9" x14ac:dyDescent="0.2">
      <c r="D37" s="54" t="s">
        <v>119</v>
      </c>
      <c r="F37" s="54" t="s">
        <v>174</v>
      </c>
    </row>
    <row r="38" spans="4:9" x14ac:dyDescent="0.2">
      <c r="D38" s="55" t="s">
        <v>120</v>
      </c>
      <c r="F38" s="54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4" t="s">
        <v>168</v>
      </c>
    </row>
    <row r="49" spans="4:4" x14ac:dyDescent="0.2">
      <c r="D49" s="54" t="s">
        <v>169</v>
      </c>
    </row>
    <row r="50" spans="4:4" x14ac:dyDescent="0.2">
      <c r="D50" s="55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J6" sqref="J6"/>
    </sheetView>
  </sheetViews>
  <sheetFormatPr defaultRowHeight="12.75" x14ac:dyDescent="0.2"/>
  <sheetData>
    <row r="2" spans="2:9" ht="15" x14ac:dyDescent="0.25">
      <c r="B2" s="58">
        <v>1</v>
      </c>
      <c r="C2" t="s">
        <v>195</v>
      </c>
      <c r="E2" s="58">
        <v>1</v>
      </c>
      <c r="F2">
        <v>692926</v>
      </c>
      <c r="H2" s="58">
        <v>1</v>
      </c>
      <c r="I2" s="59" t="s">
        <v>177</v>
      </c>
    </row>
    <row r="3" spans="2:9" ht="15" x14ac:dyDescent="0.25">
      <c r="B3" s="58">
        <v>2</v>
      </c>
      <c r="C3" t="s">
        <v>180</v>
      </c>
      <c r="E3" s="58">
        <v>2</v>
      </c>
      <c r="F3">
        <v>845865</v>
      </c>
      <c r="H3" s="58">
        <v>2</v>
      </c>
      <c r="I3" s="59" t="s">
        <v>177</v>
      </c>
    </row>
    <row r="4" spans="2:9" ht="15" x14ac:dyDescent="0.25">
      <c r="B4" s="58">
        <v>3</v>
      </c>
      <c r="C4" t="s">
        <v>181</v>
      </c>
      <c r="E4" s="58">
        <v>3</v>
      </c>
      <c r="F4">
        <v>867788</v>
      </c>
      <c r="H4" s="58">
        <v>3</v>
      </c>
      <c r="I4" s="59" t="s">
        <v>177</v>
      </c>
    </row>
    <row r="5" spans="2:9" ht="15" x14ac:dyDescent="0.25">
      <c r="B5" s="58">
        <v>4</v>
      </c>
      <c r="C5" t="s">
        <v>182</v>
      </c>
      <c r="E5" s="58">
        <v>4</v>
      </c>
      <c r="F5">
        <v>867788</v>
      </c>
      <c r="H5" s="58">
        <v>4</v>
      </c>
      <c r="I5" s="59" t="s">
        <v>178</v>
      </c>
    </row>
    <row r="6" spans="2:9" ht="15" x14ac:dyDescent="0.25">
      <c r="B6" s="58">
        <v>5</v>
      </c>
      <c r="C6" t="s">
        <v>182</v>
      </c>
      <c r="E6" s="58">
        <v>5</v>
      </c>
      <c r="F6">
        <v>867788</v>
      </c>
      <c r="H6" s="58">
        <v>5</v>
      </c>
      <c r="I6" s="59" t="s">
        <v>178</v>
      </c>
    </row>
    <row r="7" spans="2:9" ht="15" x14ac:dyDescent="0.25">
      <c r="B7" s="58">
        <v>6</v>
      </c>
      <c r="E7" s="58">
        <v>6</v>
      </c>
      <c r="H7" s="58">
        <v>6</v>
      </c>
      <c r="I7" s="59"/>
    </row>
    <row r="8" spans="2:9" ht="15" x14ac:dyDescent="0.25">
      <c r="B8" s="58">
        <v>7</v>
      </c>
      <c r="E8" s="58">
        <v>7</v>
      </c>
      <c r="H8" s="58">
        <v>7</v>
      </c>
      <c r="I8" s="59"/>
    </row>
    <row r="9" spans="2:9" ht="15" x14ac:dyDescent="0.25">
      <c r="B9" s="58">
        <v>8</v>
      </c>
      <c r="E9" s="58">
        <v>8</v>
      </c>
      <c r="H9" s="58">
        <v>8</v>
      </c>
      <c r="I9" s="59"/>
    </row>
    <row r="10" spans="2:9" ht="15" x14ac:dyDescent="0.25">
      <c r="B10" s="58">
        <v>9</v>
      </c>
      <c r="E10" s="58">
        <v>9</v>
      </c>
      <c r="H10" s="58">
        <v>9</v>
      </c>
      <c r="I10" s="59"/>
    </row>
    <row r="11" spans="2:9" ht="15" x14ac:dyDescent="0.25">
      <c r="B11" s="58">
        <v>10</v>
      </c>
      <c r="E11" s="58">
        <v>10</v>
      </c>
      <c r="H11" s="58">
        <v>10</v>
      </c>
      <c r="I11" s="59"/>
    </row>
    <row r="12" spans="2:9" ht="15" x14ac:dyDescent="0.25">
      <c r="B12" s="58">
        <v>11</v>
      </c>
      <c r="E12" s="58">
        <v>11</v>
      </c>
      <c r="H12" s="58">
        <v>11</v>
      </c>
      <c r="I12" s="59"/>
    </row>
    <row r="13" spans="2:9" ht="15" x14ac:dyDescent="0.25">
      <c r="B13" s="58">
        <v>12</v>
      </c>
      <c r="E13" s="58">
        <v>12</v>
      </c>
      <c r="H13" s="58">
        <v>12</v>
      </c>
      <c r="I13" s="59"/>
    </row>
    <row r="14" spans="2:9" ht="15" x14ac:dyDescent="0.25">
      <c r="B14" s="58">
        <v>13</v>
      </c>
      <c r="E14" s="58">
        <v>13</v>
      </c>
      <c r="H14" s="58">
        <v>13</v>
      </c>
      <c r="I14" s="59"/>
    </row>
    <row r="15" spans="2:9" ht="15" x14ac:dyDescent="0.25">
      <c r="B15" s="58">
        <v>14</v>
      </c>
      <c r="E15" s="58">
        <v>14</v>
      </c>
      <c r="H15" s="58">
        <v>14</v>
      </c>
      <c r="I15" s="59"/>
    </row>
    <row r="16" spans="2:9" ht="15" x14ac:dyDescent="0.25">
      <c r="B16" s="58">
        <v>15</v>
      </c>
      <c r="E16" s="58">
        <v>15</v>
      </c>
      <c r="H16" s="58">
        <v>15</v>
      </c>
      <c r="I16" s="59"/>
    </row>
    <row r="17" spans="2:11" ht="15" x14ac:dyDescent="0.25">
      <c r="B17" s="58">
        <v>16</v>
      </c>
      <c r="E17" s="58">
        <v>16</v>
      </c>
      <c r="H17" s="58">
        <v>16</v>
      </c>
      <c r="I17" s="59"/>
    </row>
    <row r="18" spans="2:11" ht="15" x14ac:dyDescent="0.25">
      <c r="B18" s="58">
        <v>17</v>
      </c>
      <c r="E18" s="58">
        <v>17</v>
      </c>
      <c r="H18" s="58">
        <v>17</v>
      </c>
      <c r="I18" s="59"/>
    </row>
    <row r="19" spans="2:11" ht="15" x14ac:dyDescent="0.25">
      <c r="B19" s="58">
        <v>18</v>
      </c>
      <c r="E19" s="58">
        <v>18</v>
      </c>
      <c r="H19" s="58">
        <v>18</v>
      </c>
      <c r="I19" s="59"/>
    </row>
    <row r="20" spans="2:11" ht="15" x14ac:dyDescent="0.25">
      <c r="B20" s="58">
        <v>19</v>
      </c>
      <c r="E20" s="58">
        <v>19</v>
      </c>
      <c r="H20" s="58">
        <v>19</v>
      </c>
      <c r="I20" s="59"/>
    </row>
    <row r="21" spans="2:11" ht="15" x14ac:dyDescent="0.25">
      <c r="B21" s="58">
        <v>20</v>
      </c>
      <c r="E21" s="58">
        <v>20</v>
      </c>
      <c r="H21" s="58">
        <v>20</v>
      </c>
      <c r="I21" s="59"/>
    </row>
    <row r="22" spans="2:11" ht="15" x14ac:dyDescent="0.25">
      <c r="B22" s="58">
        <v>21</v>
      </c>
      <c r="E22" s="58">
        <v>21</v>
      </c>
      <c r="H22" s="58">
        <v>21</v>
      </c>
      <c r="I22" s="59"/>
      <c r="K22" t="s">
        <v>63</v>
      </c>
    </row>
    <row r="23" spans="2:11" ht="15" x14ac:dyDescent="0.25">
      <c r="B23" s="58">
        <v>22</v>
      </c>
      <c r="E23" s="58">
        <v>22</v>
      </c>
      <c r="H23" s="58">
        <v>22</v>
      </c>
      <c r="I23" s="59"/>
    </row>
    <row r="24" spans="2:11" ht="15" x14ac:dyDescent="0.25">
      <c r="B24" s="58">
        <v>23</v>
      </c>
      <c r="E24" s="58">
        <v>23</v>
      </c>
      <c r="H24" s="58">
        <v>23</v>
      </c>
      <c r="I24" s="59"/>
    </row>
    <row r="25" spans="2:11" ht="15" x14ac:dyDescent="0.25">
      <c r="B25" s="58">
        <v>24</v>
      </c>
      <c r="E25" s="58">
        <v>24</v>
      </c>
      <c r="H25" s="58">
        <v>24</v>
      </c>
      <c r="I25" s="59"/>
    </row>
    <row r="26" spans="2:11" ht="15" x14ac:dyDescent="0.25">
      <c r="B26" s="58">
        <v>25</v>
      </c>
      <c r="E26" s="58">
        <v>25</v>
      </c>
      <c r="H26" s="58">
        <v>25</v>
      </c>
      <c r="I26" s="59"/>
    </row>
    <row r="27" spans="2:11" ht="15" x14ac:dyDescent="0.25">
      <c r="B27" s="58">
        <v>26</v>
      </c>
      <c r="E27" s="58">
        <v>26</v>
      </c>
      <c r="H27" s="58">
        <v>26</v>
      </c>
      <c r="I27" s="59"/>
    </row>
    <row r="28" spans="2:11" x14ac:dyDescent="0.2">
      <c r="B28" s="58">
        <v>27</v>
      </c>
      <c r="E28" s="58">
        <v>27</v>
      </c>
      <c r="H28" s="58">
        <v>27</v>
      </c>
    </row>
    <row r="29" spans="2:11" x14ac:dyDescent="0.2">
      <c r="B29" s="58">
        <v>28</v>
      </c>
      <c r="E29" s="58">
        <v>28</v>
      </c>
      <c r="H29" s="58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0CE2-64FA-4467-9BBD-76603A83C31F}">
  <sheetPr>
    <pageSetUpPr fitToPage="1"/>
  </sheetPr>
  <dimension ref="B1:V58"/>
  <sheetViews>
    <sheetView view="pageBreakPreview" topLeftCell="A17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196</v>
      </c>
      <c r="C2" s="68"/>
      <c r="D2" s="68"/>
      <c r="E2" s="68"/>
      <c r="F2" s="68"/>
      <c r="G2" s="68"/>
      <c r="H2" s="68"/>
      <c r="I2" s="69"/>
      <c r="J2" s="43">
        <v>61737287</v>
      </c>
      <c r="K2" s="44">
        <v>900</v>
      </c>
      <c r="L2" s="44">
        <v>18</v>
      </c>
      <c r="M2" s="44">
        <v>96.96</v>
      </c>
      <c r="N2" s="44">
        <v>105.96</v>
      </c>
      <c r="O2" s="44">
        <v>120.06</v>
      </c>
      <c r="P2" s="44" t="s">
        <v>54</v>
      </c>
      <c r="Q2" s="44">
        <v>0.60399999999999998</v>
      </c>
      <c r="R2" s="44" t="s">
        <v>62</v>
      </c>
    </row>
    <row r="3" spans="2:22" x14ac:dyDescent="0.2">
      <c r="B3" s="6" t="s">
        <v>53</v>
      </c>
      <c r="C3" s="60">
        <v>499</v>
      </c>
      <c r="D3" s="5"/>
      <c r="E3" s="5"/>
      <c r="F3" s="5"/>
      <c r="G3" s="5" t="s">
        <v>52</v>
      </c>
      <c r="H3" s="31">
        <v>46135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61737287</v>
      </c>
      <c r="C21" s="64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120.06</v>
      </c>
      <c r="G23" s="23">
        <f>+N2</f>
        <v>105.96</v>
      </c>
      <c r="H23" s="23">
        <f>+M2</f>
        <v>96.96</v>
      </c>
      <c r="I23" s="63">
        <f>+L2</f>
        <v>18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WOMENS COTTON FIBERS, KNIT PULLOVER, WITH NO NECK CLOSURE, STITCH COUNT IS GREATER THAN 9/2CM, REACHES WAIST, SLEEVELESS [95% COTTON 5% ELASTANE]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76" t="s">
        <v>19</v>
      </c>
      <c r="E31" s="76"/>
      <c r="F31" s="76" t="s">
        <v>18</v>
      </c>
      <c r="G31" s="76"/>
      <c r="H31" s="63" t="s">
        <v>17</v>
      </c>
      <c r="I31" s="19" t="s">
        <v>16</v>
      </c>
      <c r="M31"/>
    </row>
    <row r="32" spans="2:13" ht="24.75" customHeight="1" x14ac:dyDescent="0.2">
      <c r="B32" s="41" t="s">
        <v>194</v>
      </c>
      <c r="C32" s="19" t="s">
        <v>193</v>
      </c>
      <c r="D32" s="65"/>
      <c r="E32" s="66"/>
      <c r="F32" s="65">
        <f>+K2</f>
        <v>900</v>
      </c>
      <c r="G32" s="66"/>
      <c r="H32" s="17">
        <v>0.76</v>
      </c>
      <c r="I32" s="18">
        <f>+H32*F32</f>
        <v>684</v>
      </c>
      <c r="K32" s="48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63"/>
    </row>
    <row r="34" spans="2:11" ht="21.75" customHeight="1" x14ac:dyDescent="0.2">
      <c r="B34" s="15" t="s">
        <v>14</v>
      </c>
      <c r="C34" s="15"/>
      <c r="D34" s="77"/>
      <c r="E34" s="78"/>
      <c r="F34" s="65">
        <f>SUM(F31:G33)</f>
        <v>900</v>
      </c>
      <c r="G34" s="66"/>
      <c r="H34" s="15"/>
      <c r="I34" s="14">
        <f>SUM(I32:I33)</f>
        <v>684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63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684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684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179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6A29A8-267D-4164-A78F-CB7D4CD3FD6D}">
          <x14:formula1>
            <xm:f>Sheet1!$L$5:$L$25</xm:f>
          </x14:formula1>
          <xm:sqref>G13</xm:sqref>
        </x14:dataValidation>
        <x14:dataValidation type="list" allowBlank="1" showInputMessage="1" showErrorMessage="1" xr:uid="{7D9065C1-2872-45A6-9EB9-8924293BA6C4}">
          <x14:formula1>
            <xm:f>Sheet1!$B$17:$B$18</xm:f>
          </x14:formula1>
          <xm:sqref>G5</xm:sqref>
        </x14:dataValidation>
        <x14:dataValidation type="list" allowBlank="1" showInputMessage="1" showErrorMessage="1" xr:uid="{75EE3281-D26F-4B04-8566-72D7B106F9CC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topLeftCell="A25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196</v>
      </c>
      <c r="C2" s="68"/>
      <c r="D2" s="68"/>
      <c r="E2" s="68"/>
      <c r="F2" s="68"/>
      <c r="G2" s="68"/>
      <c r="H2" s="68"/>
      <c r="I2" s="69"/>
      <c r="J2" s="43">
        <v>61251038</v>
      </c>
      <c r="K2" s="50">
        <v>1052</v>
      </c>
      <c r="L2" s="44">
        <v>27</v>
      </c>
      <c r="M2" s="44">
        <v>223.28100000000001</v>
      </c>
      <c r="N2" s="44">
        <v>230.398</v>
      </c>
      <c r="O2" s="44">
        <v>254.298</v>
      </c>
      <c r="P2" s="44" t="s">
        <v>54</v>
      </c>
      <c r="Q2" s="44">
        <v>1.32</v>
      </c>
      <c r="R2" s="44" t="s">
        <v>62</v>
      </c>
    </row>
    <row r="3" spans="2:22" x14ac:dyDescent="0.2">
      <c r="B3" s="6" t="s">
        <v>53</v>
      </c>
      <c r="C3" s="60">
        <f>+'499'!C3+1</f>
        <v>500</v>
      </c>
      <c r="D3" s="5"/>
      <c r="E3" s="5"/>
      <c r="F3" s="5"/>
      <c r="G3" s="5" t="s">
        <v>52</v>
      </c>
      <c r="H3" s="31">
        <v>46135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61251038</v>
      </c>
      <c r="C21" s="52">
        <f>VLOOKUP($K56,reff!E2:F29,2,0)</f>
        <v>845865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254.298</v>
      </c>
      <c r="G23" s="23">
        <f>+N2</f>
        <v>230.398</v>
      </c>
      <c r="H23" s="23">
        <f>+M2</f>
        <v>223.28100000000001</v>
      </c>
      <c r="I23" s="51">
        <f>+L2</f>
        <v>27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A MULTY PACK OF 3 PIECES OF GIRLS COTTON FIBERS, KNIT PULLOVER, WITH NO NECK CLOSURE, STITCH COUNT IS GREATER THAN 9/2CM, REACHES WAIST [60% COTTON 40%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6" t="s">
        <v>19</v>
      </c>
      <c r="E31" s="76"/>
      <c r="F31" s="76" t="s">
        <v>18</v>
      </c>
      <c r="G31" s="76"/>
      <c r="H31" s="51" t="s">
        <v>17</v>
      </c>
      <c r="I31" s="19" t="s">
        <v>16</v>
      </c>
      <c r="M31"/>
    </row>
    <row r="32" spans="2:13" ht="24.75" customHeight="1" x14ac:dyDescent="0.2">
      <c r="B32" s="41" t="s">
        <v>184</v>
      </c>
      <c r="C32" s="19" t="s">
        <v>183</v>
      </c>
      <c r="D32" s="65">
        <f>F32*3</f>
        <v>3156</v>
      </c>
      <c r="E32" s="66"/>
      <c r="F32" s="65">
        <f>+K2</f>
        <v>1052</v>
      </c>
      <c r="G32" s="66"/>
      <c r="H32" s="17">
        <v>0.57999999999999996</v>
      </c>
      <c r="I32" s="18">
        <f>+H32*D32</f>
        <v>1830.4799999999998</v>
      </c>
      <c r="K32" s="48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51"/>
    </row>
    <row r="34" spans="2:11" ht="21.75" customHeight="1" x14ac:dyDescent="0.2">
      <c r="B34" s="15" t="s">
        <v>14</v>
      </c>
      <c r="C34" s="15"/>
      <c r="D34" s="77">
        <f>SUM(D31:E33)</f>
        <v>3156</v>
      </c>
      <c r="E34" s="78"/>
      <c r="F34" s="83">
        <f>SUM(F31:G33)</f>
        <v>1052</v>
      </c>
      <c r="G34" s="84"/>
      <c r="H34" s="15"/>
      <c r="I34" s="14">
        <f>SUM(I32:I33)</f>
        <v>1830.4799999999998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51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1830.4799999999998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1830.4799999999998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179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265K0033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0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196</v>
      </c>
      <c r="C2" s="68"/>
      <c r="D2" s="68"/>
      <c r="E2" s="68"/>
      <c r="F2" s="68"/>
      <c r="G2" s="68"/>
      <c r="H2" s="68"/>
      <c r="I2" s="69"/>
      <c r="J2" s="43">
        <v>61309082</v>
      </c>
      <c r="K2" s="44">
        <v>580</v>
      </c>
      <c r="L2" s="44">
        <v>7</v>
      </c>
      <c r="M2" s="44">
        <v>44.113999999999997</v>
      </c>
      <c r="N2" s="44">
        <v>45.274000000000001</v>
      </c>
      <c r="O2" s="44">
        <v>50.874000000000002</v>
      </c>
      <c r="P2" s="44" t="s">
        <v>54</v>
      </c>
      <c r="Q2" s="44">
        <v>0.246</v>
      </c>
      <c r="R2" s="44" t="s">
        <v>62</v>
      </c>
    </row>
    <row r="3" spans="2:22" x14ac:dyDescent="0.2">
      <c r="B3" s="6" t="s">
        <v>53</v>
      </c>
      <c r="C3" s="60">
        <f>+'500'!C3+1</f>
        <v>501</v>
      </c>
      <c r="D3" s="5"/>
      <c r="E3" s="5"/>
      <c r="F3" s="5"/>
      <c r="G3" s="5" t="s">
        <v>52</v>
      </c>
      <c r="H3" s="31">
        <f>+'500'!H3+0</f>
        <v>46135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61309082</v>
      </c>
      <c r="C21" s="52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50.874000000000002</v>
      </c>
      <c r="G23" s="23">
        <f>+N2</f>
        <v>45.274000000000001</v>
      </c>
      <c r="H23" s="23">
        <f>+M2</f>
        <v>44.113999999999997</v>
      </c>
      <c r="I23" s="51">
        <f>+L2</f>
        <v>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GIRLS COTTON FIBERS, KNIT PULLOVER, WITH NO NECK CLOSURE, STITCH COUNT IS GREATER THAN 9/2CM, REACHES WAIST [60% COTTON 40% RECYCLED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6" t="s">
        <v>19</v>
      </c>
      <c r="E31" s="76"/>
      <c r="F31" s="76" t="s">
        <v>18</v>
      </c>
      <c r="G31" s="76"/>
      <c r="H31" s="51" t="s">
        <v>17</v>
      </c>
      <c r="I31" s="19" t="s">
        <v>16</v>
      </c>
      <c r="M31"/>
    </row>
    <row r="32" spans="2:13" ht="20.25" customHeight="1" x14ac:dyDescent="0.2">
      <c r="B32" s="41" t="s">
        <v>187</v>
      </c>
      <c r="C32" s="19" t="s">
        <v>186</v>
      </c>
      <c r="D32" s="65"/>
      <c r="E32" s="66"/>
      <c r="F32" s="65">
        <f>+K2</f>
        <v>580</v>
      </c>
      <c r="G32" s="66"/>
      <c r="H32" s="17">
        <v>0.71</v>
      </c>
      <c r="I32" s="18">
        <f>+H32*F32</f>
        <v>411.79999999999995</v>
      </c>
      <c r="K32" s="48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51"/>
    </row>
    <row r="34" spans="2:11" ht="21.75" customHeight="1" x14ac:dyDescent="0.2">
      <c r="B34" s="15" t="s">
        <v>14</v>
      </c>
      <c r="C34" s="15"/>
      <c r="D34" s="77"/>
      <c r="E34" s="78"/>
      <c r="F34" s="65">
        <f>SUM(F31:G33)</f>
        <v>580</v>
      </c>
      <c r="G34" s="66"/>
      <c r="H34" s="15"/>
      <c r="I34" s="14">
        <f>SUM(I32:I33)</f>
        <v>411.79999999999995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51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411.79999999999995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411.79999999999995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179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265K0026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9"/>
  <sheetViews>
    <sheetView view="pageBreakPreview" topLeftCell="A21" zoomScaleNormal="100" zoomScaleSheetLayoutView="100" workbookViewId="0">
      <selection activeCell="H34" sqref="H3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196</v>
      </c>
      <c r="C2" s="68"/>
      <c r="D2" s="68"/>
      <c r="E2" s="68"/>
      <c r="F2" s="68"/>
      <c r="G2" s="68"/>
      <c r="H2" s="68"/>
      <c r="I2" s="69"/>
      <c r="J2" s="43">
        <v>61765502</v>
      </c>
      <c r="K2" s="50">
        <v>4570</v>
      </c>
      <c r="L2" s="44">
        <v>27</v>
      </c>
      <c r="M2" s="44">
        <v>333.05</v>
      </c>
      <c r="N2" s="44">
        <v>342.19</v>
      </c>
      <c r="O2" s="44">
        <v>369.19</v>
      </c>
      <c r="P2" s="44" t="s">
        <v>54</v>
      </c>
      <c r="Q2" s="44">
        <v>1.8120000000000001</v>
      </c>
      <c r="R2" s="44" t="s">
        <v>62</v>
      </c>
    </row>
    <row r="3" spans="2:22" x14ac:dyDescent="0.2">
      <c r="B3" s="6" t="s">
        <v>53</v>
      </c>
      <c r="C3" s="60">
        <f>+'501'!C3+1</f>
        <v>502</v>
      </c>
      <c r="D3" s="5"/>
      <c r="E3" s="5"/>
      <c r="F3" s="5"/>
      <c r="G3" s="5" t="s">
        <v>52</v>
      </c>
      <c r="H3" s="31">
        <f>+'500'!H3+0</f>
        <v>46135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7">
        <f>J2</f>
        <v>61765502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7" t="s">
        <v>35</v>
      </c>
      <c r="G21" s="57"/>
      <c r="H21" s="49" t="str">
        <f>IF(LEFT(G17,2)="CA","CA",IF(LEFT(G17,2)="UN","US",IF(LEFT(G17,2)="PA","PA",IF(LEFT(G17,2)="JA","JP"))))</f>
        <v>US</v>
      </c>
      <c r="I21" s="57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7" t="s">
        <v>25</v>
      </c>
      <c r="C23" s="57"/>
      <c r="D23" s="57" t="s">
        <v>24</v>
      </c>
      <c r="E23" s="57" t="str">
        <f>+D23</f>
        <v>JAKARTA,ID</v>
      </c>
      <c r="F23" s="23">
        <f>+O2</f>
        <v>369.19</v>
      </c>
      <c r="G23" s="23">
        <f>+N2</f>
        <v>342.19</v>
      </c>
      <c r="H23" s="23">
        <f>+M2</f>
        <v>333.05</v>
      </c>
      <c r="I23" s="57">
        <f>+L2</f>
        <v>27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GIRLS COTTON FIBERS, KNIT PULLOVER, WITH NO NECK CLOSURE, STITCH COUNT IS GREATER THAN 9/2CM, REACHES WAIST [60% COTTON 40% RECYCLED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76" t="s">
        <v>19</v>
      </c>
      <c r="E31" s="76"/>
      <c r="F31" s="76" t="s">
        <v>18</v>
      </c>
      <c r="G31" s="76"/>
      <c r="H31" s="57" t="s">
        <v>17</v>
      </c>
      <c r="I31" s="19" t="s">
        <v>16</v>
      </c>
      <c r="M31"/>
    </row>
    <row r="32" spans="2:13" ht="20.25" customHeight="1" x14ac:dyDescent="0.2">
      <c r="B32" s="41" t="s">
        <v>184</v>
      </c>
      <c r="C32" s="19" t="s">
        <v>189</v>
      </c>
      <c r="D32" s="65"/>
      <c r="E32" s="66"/>
      <c r="F32" s="65">
        <v>1200</v>
      </c>
      <c r="G32" s="66"/>
      <c r="H32" s="17">
        <v>0.57999999999999996</v>
      </c>
      <c r="I32" s="18">
        <f>+H32*F32</f>
        <v>696</v>
      </c>
      <c r="K32" s="48"/>
      <c r="M32" s="39"/>
    </row>
    <row r="33" spans="2:13" ht="25.5" x14ac:dyDescent="0.2">
      <c r="B33" s="41" t="s">
        <v>191</v>
      </c>
      <c r="C33" s="19" t="s">
        <v>190</v>
      </c>
      <c r="D33" s="65"/>
      <c r="E33" s="66"/>
      <c r="F33" s="65">
        <v>3370</v>
      </c>
      <c r="G33" s="66"/>
      <c r="H33" s="17">
        <v>0.57999999999999996</v>
      </c>
      <c r="I33" s="18">
        <f>+H33*F33</f>
        <v>1954.6</v>
      </c>
      <c r="K33" s="48"/>
      <c r="M33" s="39"/>
    </row>
    <row r="34" spans="2:13" ht="21" customHeight="1" x14ac:dyDescent="0.2">
      <c r="B34" s="15" t="s">
        <v>15</v>
      </c>
      <c r="C34" s="15"/>
      <c r="D34" s="70"/>
      <c r="E34" s="72"/>
      <c r="F34" s="70"/>
      <c r="G34" s="72"/>
      <c r="H34" s="17"/>
      <c r="I34" s="57"/>
    </row>
    <row r="35" spans="2:13" ht="21.75" customHeight="1" x14ac:dyDescent="0.2">
      <c r="B35" s="15" t="s">
        <v>14</v>
      </c>
      <c r="C35" s="15"/>
      <c r="D35" s="77"/>
      <c r="E35" s="78"/>
      <c r="F35" s="65">
        <f>SUM(F31:G34)</f>
        <v>4570</v>
      </c>
      <c r="G35" s="66"/>
      <c r="H35" s="15"/>
      <c r="I35" s="14">
        <f>SUM(I32:I34)</f>
        <v>2650.6</v>
      </c>
      <c r="J35" s="40"/>
      <c r="K35" s="40"/>
    </row>
    <row r="36" spans="2:13" ht="21.75" customHeight="1" x14ac:dyDescent="0.2">
      <c r="B36" s="16" t="s">
        <v>13</v>
      </c>
      <c r="C36" s="15"/>
      <c r="D36" s="70"/>
      <c r="E36" s="72"/>
      <c r="F36" s="70"/>
      <c r="G36" s="72"/>
      <c r="H36" s="15"/>
      <c r="I36" s="57"/>
      <c r="J36" s="40"/>
    </row>
    <row r="37" spans="2:13" ht="21.75" customHeight="1" x14ac:dyDescent="0.2">
      <c r="B37" s="16" t="s">
        <v>12</v>
      </c>
      <c r="C37" s="15"/>
      <c r="D37" s="70"/>
      <c r="E37" s="72"/>
      <c r="F37" s="70"/>
      <c r="G37" s="72"/>
      <c r="H37" s="15"/>
      <c r="I37" s="14">
        <f>+I35</f>
        <v>2650.6</v>
      </c>
    </row>
    <row r="38" spans="2:13" ht="20.25" customHeight="1" x14ac:dyDescent="0.2">
      <c r="B38" s="15" t="s">
        <v>80</v>
      </c>
      <c r="C38" s="70" t="s">
        <v>11</v>
      </c>
      <c r="D38" s="71"/>
      <c r="E38" s="71"/>
      <c r="F38" s="71"/>
      <c r="G38" s="71"/>
      <c r="H38" s="72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2650.6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4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D663-0FA3-4F75-8133-FC4FD88E0092}">
  <sheetPr>
    <pageSetUpPr fitToPage="1"/>
  </sheetPr>
  <dimension ref="B1:V59"/>
  <sheetViews>
    <sheetView tabSelected="1" view="pageBreakPreview" topLeftCell="A21" zoomScaleNormal="100" zoomScaleSheetLayoutView="100" workbookViewId="0">
      <selection activeCell="H34" sqref="H3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196</v>
      </c>
      <c r="C2" s="68"/>
      <c r="D2" s="68"/>
      <c r="E2" s="68"/>
      <c r="F2" s="68"/>
      <c r="G2" s="68"/>
      <c r="H2" s="68"/>
      <c r="I2" s="69"/>
      <c r="J2" s="43">
        <v>61765506</v>
      </c>
      <c r="K2" s="50">
        <v>8320</v>
      </c>
      <c r="L2" s="44">
        <v>49</v>
      </c>
      <c r="M2" s="44">
        <v>605</v>
      </c>
      <c r="N2" s="44">
        <v>621.64</v>
      </c>
      <c r="O2" s="44">
        <v>670.64</v>
      </c>
      <c r="P2" s="44" t="s">
        <v>54</v>
      </c>
      <c r="Q2" s="44">
        <v>3.2879999999999998</v>
      </c>
      <c r="R2" s="44" t="s">
        <v>62</v>
      </c>
    </row>
    <row r="3" spans="2:22" x14ac:dyDescent="0.2">
      <c r="B3" s="6" t="s">
        <v>53</v>
      </c>
      <c r="C3" s="60">
        <f>+'502'!C3+1</f>
        <v>503</v>
      </c>
      <c r="D3" s="5"/>
      <c r="E3" s="5"/>
      <c r="F3" s="5"/>
      <c r="G3" s="5" t="s">
        <v>52</v>
      </c>
      <c r="H3" s="31">
        <f>+'500'!H3+0</f>
        <v>46135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1">
        <f>J2</f>
        <v>61765506</v>
      </c>
      <c r="C21" s="62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1" t="s">
        <v>35</v>
      </c>
      <c r="G21" s="61"/>
      <c r="H21" s="49" t="str">
        <f>IF(LEFT(G17,2)="CA","CA",IF(LEFT(G17,2)="UN","US",IF(LEFT(G17,2)="PA","PA",IF(LEFT(G17,2)="JA","JP"))))</f>
        <v>US</v>
      </c>
      <c r="I21" s="61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1" t="s">
        <v>25</v>
      </c>
      <c r="C23" s="61"/>
      <c r="D23" s="61" t="s">
        <v>24</v>
      </c>
      <c r="E23" s="61" t="str">
        <f>+D23</f>
        <v>JAKARTA,ID</v>
      </c>
      <c r="F23" s="23">
        <f>+O2</f>
        <v>670.64</v>
      </c>
      <c r="G23" s="23">
        <f>+N2</f>
        <v>621.64</v>
      </c>
      <c r="H23" s="23">
        <f>+M2</f>
        <v>605</v>
      </c>
      <c r="I23" s="61">
        <f>+L2</f>
        <v>49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GIRLS COTTON FIBERS, KNIT PULLOVER, WITH NO NECK CLOSURE, STITCH COUNT IS GREATER THAN 9/2CM, REACHES WAIST [60% COTTON 40% RECYCLED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1" t="s">
        <v>21</v>
      </c>
      <c r="C31" s="61" t="s">
        <v>20</v>
      </c>
      <c r="D31" s="76" t="s">
        <v>19</v>
      </c>
      <c r="E31" s="76"/>
      <c r="F31" s="76" t="s">
        <v>18</v>
      </c>
      <c r="G31" s="76"/>
      <c r="H31" s="61" t="s">
        <v>17</v>
      </c>
      <c r="I31" s="19" t="s">
        <v>16</v>
      </c>
      <c r="M31"/>
    </row>
    <row r="32" spans="2:13" ht="20.25" customHeight="1" x14ac:dyDescent="0.2">
      <c r="B32" s="41" t="s">
        <v>184</v>
      </c>
      <c r="C32" s="19" t="s">
        <v>189</v>
      </c>
      <c r="D32" s="65"/>
      <c r="E32" s="66"/>
      <c r="F32" s="65">
        <v>1200</v>
      </c>
      <c r="G32" s="66"/>
      <c r="H32" s="17">
        <v>0.71</v>
      </c>
      <c r="I32" s="18">
        <f>+H32*F32</f>
        <v>852</v>
      </c>
      <c r="K32" s="48"/>
      <c r="M32" s="39"/>
    </row>
    <row r="33" spans="2:13" ht="25.5" x14ac:dyDescent="0.2">
      <c r="B33" s="41" t="s">
        <v>191</v>
      </c>
      <c r="C33" s="19" t="s">
        <v>190</v>
      </c>
      <c r="D33" s="65"/>
      <c r="E33" s="66"/>
      <c r="F33" s="65">
        <v>7120</v>
      </c>
      <c r="G33" s="66"/>
      <c r="H33" s="17">
        <v>0.71</v>
      </c>
      <c r="I33" s="18">
        <f>+H33*F33</f>
        <v>5055.2</v>
      </c>
      <c r="K33" s="48"/>
      <c r="M33" s="39"/>
    </row>
    <row r="34" spans="2:13" ht="21" customHeight="1" x14ac:dyDescent="0.2">
      <c r="B34" s="15" t="s">
        <v>15</v>
      </c>
      <c r="C34" s="15"/>
      <c r="D34" s="70"/>
      <c r="E34" s="72"/>
      <c r="F34" s="70"/>
      <c r="G34" s="72"/>
      <c r="H34" s="17"/>
      <c r="I34" s="61"/>
    </row>
    <row r="35" spans="2:13" ht="21.75" customHeight="1" x14ac:dyDescent="0.2">
      <c r="B35" s="15" t="s">
        <v>14</v>
      </c>
      <c r="C35" s="15"/>
      <c r="D35" s="77"/>
      <c r="E35" s="78"/>
      <c r="F35" s="65">
        <f>SUM(F31:G34)</f>
        <v>8320</v>
      </c>
      <c r="G35" s="66"/>
      <c r="H35" s="15"/>
      <c r="I35" s="14">
        <f>SUM(I32:I34)</f>
        <v>5907.2</v>
      </c>
      <c r="J35" s="40"/>
      <c r="K35" s="40"/>
    </row>
    <row r="36" spans="2:13" ht="21.75" customHeight="1" x14ac:dyDescent="0.2">
      <c r="B36" s="16" t="s">
        <v>13</v>
      </c>
      <c r="C36" s="15"/>
      <c r="D36" s="70"/>
      <c r="E36" s="72"/>
      <c r="F36" s="70"/>
      <c r="G36" s="72"/>
      <c r="H36" s="15"/>
      <c r="I36" s="61"/>
      <c r="J36" s="40"/>
    </row>
    <row r="37" spans="2:13" ht="21.75" customHeight="1" x14ac:dyDescent="0.2">
      <c r="B37" s="16" t="s">
        <v>12</v>
      </c>
      <c r="C37" s="15"/>
      <c r="D37" s="70"/>
      <c r="E37" s="72"/>
      <c r="F37" s="70"/>
      <c r="G37" s="72"/>
      <c r="H37" s="15"/>
      <c r="I37" s="14">
        <f>+I35</f>
        <v>5907.2</v>
      </c>
    </row>
    <row r="38" spans="2:13" ht="20.25" customHeight="1" x14ac:dyDescent="0.2">
      <c r="B38" s="15" t="s">
        <v>80</v>
      </c>
      <c r="C38" s="70" t="s">
        <v>11</v>
      </c>
      <c r="D38" s="71"/>
      <c r="E38" s="71"/>
      <c r="F38" s="71"/>
      <c r="G38" s="71"/>
      <c r="H38" s="72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5907.2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5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5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AC34E27-5F49-4D19-B49B-90228AE4B058}">
          <x14:formula1>
            <xm:f>Sheet1!$K$5:$K$12</xm:f>
          </x14:formula1>
          <xm:sqref>B14</xm:sqref>
        </x14:dataValidation>
        <x14:dataValidation type="list" allowBlank="1" showInputMessage="1" showErrorMessage="1" xr:uid="{C88AE0BD-75CC-43D0-BB82-B753E79B7F0A}">
          <x14:formula1>
            <xm:f>Sheet1!$B$17:$B$18</xm:f>
          </x14:formula1>
          <xm:sqref>G5</xm:sqref>
        </x14:dataValidation>
        <x14:dataValidation type="list" allowBlank="1" showInputMessage="1" showErrorMessage="1" xr:uid="{88ADB625-1391-4B3A-93DA-3263BC953896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Sheet1</vt:lpstr>
      <vt:lpstr>reff</vt:lpstr>
      <vt:lpstr>499</vt:lpstr>
      <vt:lpstr>500</vt:lpstr>
      <vt:lpstr>501</vt:lpstr>
      <vt:lpstr>502</vt:lpstr>
      <vt:lpstr>503</vt:lpstr>
      <vt:lpstr>'499'!Print_Area</vt:lpstr>
      <vt:lpstr>'500'!Print_Area</vt:lpstr>
      <vt:lpstr>'501'!Print_Area</vt:lpstr>
      <vt:lpstr>'502'!Print_Area</vt:lpstr>
      <vt:lpstr>'503'!Print_Area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2026-04-13T01:17:44Z</cp:lastPrinted>
  <dcterms:created xsi:type="dcterms:W3CDTF">2024-04-17T09:56:05Z</dcterms:created>
  <dcterms:modified xsi:type="dcterms:W3CDTF">2026-04-23T01:37:55Z</dcterms:modified>
</cp:coreProperties>
</file>