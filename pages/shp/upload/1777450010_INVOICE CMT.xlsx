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2. FEBRUARI\20.02.2026 (AIR)\"/>
    </mc:Choice>
  </mc:AlternateContent>
  <bookViews>
    <workbookView xWindow="0" yWindow="0" windowWidth="20490" windowHeight="7650"/>
  </bookViews>
  <sheets>
    <sheet name="353. X0GU10A" sheetId="2" r:id="rId1"/>
    <sheet name="354. 61420565" sheetId="3" r:id="rId2"/>
    <sheet name="355. 60576797" sheetId="4" r:id="rId3"/>
    <sheet name="356. 61420566" sheetId="5" r:id="rId4"/>
    <sheet name="357. 61293665" sheetId="6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box2">[1]参数!$B$3</definedName>
    <definedName name="a" localSheetId="0">[2]xdata!#REF!</definedName>
    <definedName name="a" localSheetId="1">[2]xdata!#REF!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0">[2]xdata!#REF!</definedName>
    <definedName name="b" localSheetId="1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0">[2]xdata!#REF!</definedName>
    <definedName name="C_O" localSheetId="1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0">[2]xdata!#REF!</definedName>
    <definedName name="Dept_no" localSheetId="1">[2]xdata!#REF!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0">[2]xdata!#REF!</definedName>
    <definedName name="E_L" localSheetId="1">[2]xdata!#REF!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0">'353. X0GU10A'!$B$1:$I$57</definedName>
    <definedName name="_xlnm.Print_Area" localSheetId="1">'354. 61420565'!$B$1:$I$57</definedName>
    <definedName name="_xlnm.Print_Area" localSheetId="2">'355. 60576797'!$B$1:$I$57</definedName>
    <definedName name="_xlnm.Print_Area" localSheetId="3">'356. 61420566'!$B$1:$I$57</definedName>
    <definedName name="_xlnm.Print_Area" localSheetId="4">'357. 61293665'!$B$1:$I$57</definedName>
    <definedName name="v" localSheetId="0">[2]xdata!#REF!</definedName>
    <definedName name="v" localSheetId="1">[2]xdata!#REF!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3" i="5"/>
  <c r="C3" i="4"/>
  <c r="C3" i="3"/>
  <c r="F34" i="6"/>
  <c r="F32" i="6"/>
  <c r="I32" i="6" s="1"/>
  <c r="I34" i="6" s="1"/>
  <c r="I36" i="6" s="1"/>
  <c r="I38" i="6" s="1"/>
  <c r="B27" i="6"/>
  <c r="I23" i="6"/>
  <c r="H23" i="6"/>
  <c r="G23" i="6"/>
  <c r="F23" i="6"/>
  <c r="E23" i="6"/>
  <c r="H21" i="6"/>
  <c r="D21" i="6"/>
  <c r="B21" i="6"/>
  <c r="B15" i="6"/>
  <c r="B16" i="6" s="1"/>
  <c r="B17" i="6" s="1"/>
  <c r="B18" i="6" s="1"/>
  <c r="F32" i="5"/>
  <c r="F34" i="5" s="1"/>
  <c r="B27" i="5"/>
  <c r="I23" i="5"/>
  <c r="H23" i="5"/>
  <c r="G23" i="5"/>
  <c r="F23" i="5"/>
  <c r="E23" i="5"/>
  <c r="H21" i="5"/>
  <c r="D21" i="5"/>
  <c r="B21" i="5"/>
  <c r="B15" i="5"/>
  <c r="B16" i="5" s="1"/>
  <c r="B17" i="5" s="1"/>
  <c r="B18" i="5" s="1"/>
  <c r="F32" i="4"/>
  <c r="F34" i="4" s="1"/>
  <c r="B27" i="4"/>
  <c r="I23" i="4"/>
  <c r="H23" i="4"/>
  <c r="G23" i="4"/>
  <c r="F23" i="4"/>
  <c r="E23" i="4"/>
  <c r="H21" i="4"/>
  <c r="D21" i="4"/>
  <c r="B21" i="4"/>
  <c r="B15" i="4"/>
  <c r="B16" i="4" s="1"/>
  <c r="B17" i="4" s="1"/>
  <c r="B18" i="4" s="1"/>
  <c r="F34" i="3"/>
  <c r="F32" i="3"/>
  <c r="I32" i="3" s="1"/>
  <c r="I34" i="3" s="1"/>
  <c r="I36" i="3" s="1"/>
  <c r="I38" i="3" s="1"/>
  <c r="B27" i="3"/>
  <c r="I23" i="3"/>
  <c r="H23" i="3"/>
  <c r="G23" i="3"/>
  <c r="F23" i="3"/>
  <c r="E23" i="3"/>
  <c r="H21" i="3"/>
  <c r="D21" i="3"/>
  <c r="B21" i="3"/>
  <c r="B15" i="3"/>
  <c r="B16" i="3" s="1"/>
  <c r="B17" i="3" s="1"/>
  <c r="B18" i="3" s="1"/>
  <c r="I32" i="5" l="1"/>
  <c r="I34" i="5" s="1"/>
  <c r="I36" i="5" s="1"/>
  <c r="I38" i="5" s="1"/>
  <c r="I32" i="4"/>
  <c r="I34" i="4" s="1"/>
  <c r="I36" i="4" s="1"/>
  <c r="I38" i="4" s="1"/>
  <c r="F32" i="2"/>
  <c r="I32" i="2" s="1"/>
  <c r="B15" i="2"/>
  <c r="B16" i="2" s="1"/>
  <c r="B17" i="2" s="1"/>
  <c r="B18" i="2" s="1"/>
  <c r="I34" i="2" l="1"/>
  <c r="I36" i="2" s="1"/>
  <c r="I38" i="2" s="1"/>
  <c r="F34" i="2"/>
  <c r="B27" i="2"/>
  <c r="I23" i="2"/>
  <c r="H23" i="2"/>
  <c r="G23" i="2"/>
  <c r="F23" i="2"/>
  <c r="E23" i="2"/>
  <c r="D21" i="2"/>
  <c r="B21" i="2"/>
  <c r="H21" i="2"/>
</calcChain>
</file>

<file path=xl/sharedStrings.xml><?xml version="1.0" encoding="utf-8"?>
<sst xmlns="http://schemas.openxmlformats.org/spreadsheetml/2006/main" count="416" uniqueCount="91">
  <si>
    <t>Item Qty</t>
  </si>
  <si>
    <t>Pkg Count</t>
  </si>
  <si>
    <t>Net Net</t>
  </si>
  <si>
    <t>Net</t>
  </si>
  <si>
    <t>Gross</t>
  </si>
  <si>
    <t>Unit</t>
  </si>
  <si>
    <t>Vol</t>
  </si>
  <si>
    <t>KG</t>
  </si>
  <si>
    <t>CBM</t>
  </si>
  <si>
    <t>INVOICE NO :</t>
  </si>
  <si>
    <t>DATE</t>
  </si>
  <si>
    <t xml:space="preserve"> </t>
  </si>
  <si>
    <t>SHIP FROM</t>
  </si>
  <si>
    <t xml:space="preserve">SELLER </t>
  </si>
  <si>
    <t>KANMAX ENTERPRISES LTD</t>
  </si>
  <si>
    <t xml:space="preserve">PT NIRWANA ALABARE GARMENT </t>
  </si>
  <si>
    <t>60 PAYA LEBAR ROAD</t>
  </si>
  <si>
    <t>JL RAYA RAANCAEKEK - MAJALAYA NO 289</t>
  </si>
  <si>
    <t>#04-21 PAYA LEBAR SQUARE</t>
  </si>
  <si>
    <t xml:space="preserve">SOLOKAN JERUK - MAJALAYA </t>
  </si>
  <si>
    <t>409051 SINGAPORE</t>
  </si>
  <si>
    <t>KABUPATEN BANDUNG</t>
  </si>
  <si>
    <t>JAWABARAT 40382 INDONESIA</t>
  </si>
  <si>
    <t>PURCHASER</t>
  </si>
  <si>
    <t>SHIP TO :</t>
  </si>
  <si>
    <t>Dest Purchase</t>
  </si>
  <si>
    <t>Style NO</t>
  </si>
  <si>
    <t>Brand</t>
  </si>
  <si>
    <t>Chanel Description</t>
  </si>
  <si>
    <t>Currency</t>
  </si>
  <si>
    <t>Payment Term</t>
  </si>
  <si>
    <t>Final Destination</t>
  </si>
  <si>
    <t xml:space="preserve">Country of origin </t>
  </si>
  <si>
    <t>USD</t>
  </si>
  <si>
    <t>ID</t>
  </si>
  <si>
    <t>Ship Mode</t>
  </si>
  <si>
    <t>Term of Sale</t>
  </si>
  <si>
    <t>Transfer Point</t>
  </si>
  <si>
    <t>Port Of Loading</t>
  </si>
  <si>
    <t>Total Gross Weight(KGS)</t>
  </si>
  <si>
    <t>Total Net Weight(KGS)</t>
  </si>
  <si>
    <t>Total Net Net Weight(KGS)</t>
  </si>
  <si>
    <t>Total Carton</t>
  </si>
  <si>
    <t>JAKARTA,ID</t>
  </si>
  <si>
    <t>Product Description</t>
  </si>
  <si>
    <t>Invoice Summary</t>
  </si>
  <si>
    <t>Color Code</t>
  </si>
  <si>
    <t>Color Name</t>
  </si>
  <si>
    <t>Total Pieces (Custom Units)</t>
  </si>
  <si>
    <t>Quantity Invoiced (Each)</t>
  </si>
  <si>
    <t>Unit Cost</t>
  </si>
  <si>
    <t>Extended Line Total</t>
  </si>
  <si>
    <t>Total Dozens</t>
  </si>
  <si>
    <t>Sub Total</t>
  </si>
  <si>
    <t>Hard Tag Cost</t>
  </si>
  <si>
    <t>Gross Invoice Sub total</t>
  </si>
  <si>
    <t>Discount</t>
  </si>
  <si>
    <t>Less early Payment discount of 5% per term and conditions of the purchase order(s)</t>
  </si>
  <si>
    <t>Net Invoice Total</t>
  </si>
  <si>
    <t>Invoice Notes :</t>
  </si>
  <si>
    <t>(NO FS)</t>
  </si>
  <si>
    <t>Manufacturer Information</t>
  </si>
  <si>
    <t>PT NIRWANA ALABARE GARMENT</t>
  </si>
  <si>
    <t>JL RAYA RANCAEKEK-MAJALAYA NO 289 , SOLOKAN JERUK- MAJALAYA</t>
  </si>
  <si>
    <t>KABUPATEN BANDUNG 40382 JABAR , INDONESIA</t>
  </si>
  <si>
    <t>I hereby certify that all information provided is true and correct</t>
  </si>
  <si>
    <t>Prepare's Name</t>
  </si>
  <si>
    <t xml:space="preserve">REFF </t>
  </si>
  <si>
    <t>Yus Yulius</t>
  </si>
  <si>
    <t>Exim Manager</t>
  </si>
  <si>
    <t>AIR</t>
  </si>
  <si>
    <t>OLD NAVY, LLC</t>
  </si>
  <si>
    <t>UNITED STATES</t>
  </si>
  <si>
    <t>Online</t>
  </si>
  <si>
    <t>FAUX HEATHER GREY</t>
  </si>
  <si>
    <t>00</t>
  </si>
  <si>
    <t>BOYS COTTON FIBERS, KNIT SHIRT, WITH NECK CLOSURE, STITCH COUNT EQUAL OR IS GREATER THAN 10/1CM, HEM BOTTOM [60% COTTON 40% POLYESTER]</t>
  </si>
  <si>
    <t>255K0123</t>
  </si>
  <si>
    <t>.</t>
  </si>
  <si>
    <t>MDC OLD NAVY, LLC</t>
  </si>
  <si>
    <t>9271 MERIDIAN WAY</t>
  </si>
  <si>
    <t>WEST CHESTER, OH</t>
  </si>
  <si>
    <t>WESTERN OMNI WEO-0008</t>
  </si>
  <si>
    <t>3400 NORTH GAP DR</t>
  </si>
  <si>
    <t>FRESNO, CA</t>
  </si>
  <si>
    <t>FISHKILL NY ONLINE-0007</t>
  </si>
  <si>
    <t>110 MERRITT BLVD</t>
  </si>
  <si>
    <t>FISHKILL, NY</t>
  </si>
  <si>
    <t>X0GU10A</t>
  </si>
  <si>
    <t>Franchise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</si>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</sst>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09]d\-mmm\-yy;@"/>
    <numFmt numFmtId="165" formatCode="000#&quot;ENAG0625&quot;"/>
    <numFmt numFmtId="166" formatCode="#,##0.000"/>
    <numFmt numFmtId="167" formatCode="_(&quot;$&quot;* #,##0.00_);_(&quot;$&quot;* \(#,##0.00\);_(&quot;$&quot;* &quot;-&quot;??_);_(@_)"/>
    <numFmt numFmtId="168" formatCode="#,###\ &quot;PCS&quot;"/>
    <numFmt numFmtId="169" formatCode="000#&quot;ENAG0226&quot;"/>
  </numFmts>
  <fonts count="14" x14ac:knownFonts="1">
    <font>
      <sz val="10"/>
      <name val="Arial"/>
      <family val="2"/>
    </font>
    <font>
      <sz val="10"/>
      <name val="Arial"/>
      <family val="2"/>
    </font>
    <font>
      <sz val="18"/>
      <name val="Calibri"/>
      <family val="2"/>
    </font>
    <font>
      <sz val="14"/>
      <name val="Calibri"/>
      <family val="2"/>
    </font>
    <font>
      <b/>
      <sz val="11"/>
      <color rgb="FF1A1A1A"/>
      <name val="Arial"/>
      <family val="2"/>
    </font>
    <font>
      <sz val="20"/>
      <name val="Calibri"/>
      <family val="2"/>
    </font>
    <font>
      <sz val="12"/>
      <name val="Calibri"/>
      <family val="2"/>
    </font>
    <font>
      <b/>
      <sz val="12"/>
      <name val="Arial"/>
      <family val="2"/>
    </font>
    <font>
      <sz val="11"/>
      <color rgb="FF1A1A1A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2"/>
      <color theme="1"/>
      <name val="Cambria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/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right" vertical="center" wrapText="1"/>
    </xf>
    <xf numFmtId="0" fontId="0" fillId="0" borderId="7" xfId="0" applyBorder="1"/>
    <xf numFmtId="0" fontId="0" fillId="0" borderId="0" xfId="0" applyBorder="1"/>
    <xf numFmtId="164" fontId="0" fillId="0" borderId="0" xfId="0" applyNumberFormat="1" applyBorder="1"/>
    <xf numFmtId="165" fontId="0" fillId="0" borderId="8" xfId="0" applyNumberFormat="1" applyBorder="1"/>
    <xf numFmtId="0" fontId="9" fillId="3" borderId="0" xfId="0" applyFont="1" applyFill="1" applyBorder="1" applyAlignment="1">
      <alignment horizontal="center" vertical="center"/>
    </xf>
    <xf numFmtId="0" fontId="0" fillId="0" borderId="8" xfId="0" applyBorder="1"/>
    <xf numFmtId="0" fontId="10" fillId="0" borderId="0" xfId="0" applyFont="1"/>
    <xf numFmtId="0" fontId="10" fillId="0" borderId="0" xfId="0" applyFont="1" applyBorder="1"/>
    <xf numFmtId="0" fontId="10" fillId="0" borderId="7" xfId="0" applyFont="1" applyBorder="1"/>
    <xf numFmtId="0" fontId="11" fillId="2" borderId="0" xfId="0" applyFont="1" applyFill="1" applyAlignment="1">
      <alignment horizontal="left" vertical="center"/>
    </xf>
    <xf numFmtId="0" fontId="0" fillId="0" borderId="7" xfId="0" applyBorder="1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6" fontId="0" fillId="0" borderId="9" xfId="0" applyNumberFormat="1" applyBorder="1" applyAlignment="1">
      <alignment horizontal="center" vertical="center"/>
    </xf>
    <xf numFmtId="0" fontId="0" fillId="0" borderId="0" xfId="0" applyNumberFormat="1" applyBorder="1"/>
    <xf numFmtId="0" fontId="0" fillId="0" borderId="7" xfId="0" quotePrefix="1" applyBorder="1"/>
    <xf numFmtId="0" fontId="0" fillId="0" borderId="9" xfId="0" quotePrefix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167" fontId="0" fillId="0" borderId="9" xfId="1" applyFont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0" fontId="0" fillId="0" borderId="9" xfId="0" applyBorder="1"/>
    <xf numFmtId="167" fontId="10" fillId="0" borderId="9" xfId="0" applyNumberFormat="1" applyFont="1" applyBorder="1" applyAlignment="1">
      <alignment horizontal="center" vertical="center"/>
    </xf>
    <xf numFmtId="4" fontId="0" fillId="0" borderId="0" xfId="0" applyNumberFormat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3" fillId="3" borderId="8" xfId="0" applyFont="1" applyFill="1" applyBorder="1" applyAlignment="1">
      <alignment vertical="center"/>
    </xf>
    <xf numFmtId="0" fontId="13" fillId="3" borderId="0" xfId="0" quotePrefix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8" fillId="2" borderId="0" xfId="0" applyNumberFormat="1" applyFont="1" applyFill="1" applyAlignment="1">
      <alignment horizontal="right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8" fontId="0" fillId="0" borderId="11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0%20DATA%20SRI/EKSPORT/1.%20GAP/Shipment%20GAP/2026/2.%20FEBRUARI/02.02.2026/INVOICE%2002.02.2026%20CM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0%20DATA%20SRI/EKSPORT/1.%20GAP/Shipment%20GAP/2026/2.%20FEBRUARI/02.02.2026/INVOICE%2002.02.2026%20F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f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</sheetNames>
    <sheetDataSet>
      <sheetData sheetId="0">
        <row r="5">
          <cell r="D5" t="str">
            <v>OLD NAVY, LLC</v>
          </cell>
        </row>
        <row r="6">
          <cell r="D6" t="str">
            <v>2 FOLSOM STREET</v>
          </cell>
        </row>
        <row r="7">
          <cell r="D7" t="str">
            <v>SAN FRANCISCO, CALIFORNIA</v>
          </cell>
        </row>
        <row r="8">
          <cell r="D8" t="str">
            <v>94105</v>
          </cell>
        </row>
        <row r="9">
          <cell r="D9" t="str">
            <v>UNITED STATES</v>
          </cell>
        </row>
        <row r="11">
          <cell r="D11" t="str">
            <v>GPS STRATEGIC ALLIANCES, LLC</v>
          </cell>
        </row>
        <row r="12">
          <cell r="D12" t="str">
            <v>55 THOMAS ST</v>
          </cell>
        </row>
        <row r="13">
          <cell r="D13" t="str">
            <v>NEW YORK, NY</v>
          </cell>
        </row>
        <row r="14">
          <cell r="D14" t="str">
            <v>10013</v>
          </cell>
        </row>
        <row r="15">
          <cell r="D15" t="str">
            <v>UNITED STATES</v>
          </cell>
        </row>
        <row r="17">
          <cell r="D17" t="str">
            <v>OLD NAVY (CANADA) INC.</v>
          </cell>
        </row>
        <row r="18">
          <cell r="D18" t="str">
            <v>9500 MCLAUGHLIN ROAD N</v>
          </cell>
        </row>
        <row r="19">
          <cell r="D19" t="str">
            <v>BRAMPTON, ONTARIO</v>
          </cell>
        </row>
        <row r="20">
          <cell r="D20" t="str">
            <v>L6X 0B8</v>
          </cell>
        </row>
        <row r="21">
          <cell r="D21" t="str">
            <v>CANADA</v>
          </cell>
        </row>
        <row r="23">
          <cell r="D23" t="str">
            <v>GAP (UK HOLDINGS) LIMITED</v>
          </cell>
        </row>
        <row r="24">
          <cell r="D24" t="str">
            <v>13TH FLOOR, ONE ANGEL COURT</v>
          </cell>
        </row>
        <row r="25">
          <cell r="D25" t="str">
            <v>LONDON, UNITED KINGDOM</v>
          </cell>
        </row>
        <row r="26">
          <cell r="D26" t="str">
            <v>EC2R 7HJ</v>
          </cell>
        </row>
        <row r="27">
          <cell r="D27" t="str">
            <v>UNITED KINGDOM</v>
          </cell>
        </row>
        <row r="29">
          <cell r="D29" t="str">
            <v>GAP EUROPE LIMITED</v>
          </cell>
        </row>
        <row r="30">
          <cell r="D30" t="str">
            <v>13TH FLOOR,ONE ANGEL COURT</v>
          </cell>
        </row>
        <row r="31">
          <cell r="D31" t="str">
            <v>LONDON</v>
          </cell>
        </row>
        <row r="32">
          <cell r="D32" t="str">
            <v>EC2R 7HJ</v>
          </cell>
        </row>
        <row r="33">
          <cell r="D33" t="str">
            <v>UNITED KINGDOM</v>
          </cell>
        </row>
        <row r="35">
          <cell r="D35" t="str">
            <v>GPS STRATEGIC ALLIANCES, LLC</v>
          </cell>
        </row>
        <row r="36">
          <cell r="D36" t="str">
            <v>55 THOMAS ST</v>
          </cell>
        </row>
        <row r="37">
          <cell r="D37" t="str">
            <v>NEW YORK, NY</v>
          </cell>
        </row>
        <row r="38">
          <cell r="D38" t="str">
            <v>10013</v>
          </cell>
        </row>
        <row r="39">
          <cell r="D39" t="str">
            <v>UNITED STATES</v>
          </cell>
        </row>
        <row r="41">
          <cell r="D41" t="str">
            <v>THE GAP, INC.</v>
          </cell>
        </row>
        <row r="42">
          <cell r="D42" t="str">
            <v>2 FOLSOM STREET</v>
          </cell>
        </row>
        <row r="43">
          <cell r="D43" t="str">
            <v>SAN FRANCISCO, CALIFORNIA</v>
          </cell>
        </row>
        <row r="44">
          <cell r="D44" t="str">
            <v>94105</v>
          </cell>
        </row>
        <row r="45">
          <cell r="D45" t="str">
            <v>UNITED STATES</v>
          </cell>
        </row>
        <row r="47">
          <cell r="D47" t="str">
            <v>GAP JAPAN K.K.</v>
          </cell>
        </row>
        <row r="48">
          <cell r="D48" t="str">
            <v>32-10 SENDAGAYA, 5-CHOME</v>
          </cell>
        </row>
        <row r="49">
          <cell r="D49" t="str">
            <v>SHIBUYA-KU</v>
          </cell>
        </row>
        <row r="50">
          <cell r="D50" t="str">
            <v>TOKYO, TOKYO [TOKYO]</v>
          </cell>
        </row>
        <row r="51">
          <cell r="D51" t="str">
            <v>151-0051 JAPAN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f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7" customFormat="1" ht="90" customHeight="1" thickBot="1" x14ac:dyDescent="0.45">
      <c r="B1" s="1"/>
      <c r="C1" s="2"/>
      <c r="D1" s="2"/>
      <c r="E1" s="2"/>
      <c r="F1" s="2"/>
      <c r="G1" s="2"/>
      <c r="H1" s="2"/>
      <c r="I1" s="3"/>
      <c r="J1" s="4"/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6"/>
      <c r="S1" s="6"/>
      <c r="T1" s="6"/>
      <c r="U1" s="6"/>
      <c r="V1" s="6"/>
    </row>
    <row r="2" spans="2:22" ht="33.75" customHeight="1" thickTop="1" x14ac:dyDescent="0.2">
      <c r="B2" s="67" t="s">
        <v>90</v>
      </c>
      <c r="C2" s="68"/>
      <c r="D2" s="68"/>
      <c r="E2" s="68"/>
      <c r="F2" s="68"/>
      <c r="G2" s="68"/>
      <c r="H2" s="68"/>
      <c r="I2" s="69"/>
      <c r="J2" s="8" t="s">
        <v>88</v>
      </c>
      <c r="K2" s="9">
        <v>260</v>
      </c>
      <c r="L2" s="9">
        <v>8</v>
      </c>
      <c r="M2" s="9">
        <v>26.52</v>
      </c>
      <c r="N2" s="9">
        <v>28.547999999999998</v>
      </c>
      <c r="O2" s="9">
        <v>33.198</v>
      </c>
      <c r="P2" s="9" t="s">
        <v>7</v>
      </c>
      <c r="Q2" s="9">
        <v>0.185</v>
      </c>
      <c r="R2" s="9" t="s">
        <v>8</v>
      </c>
    </row>
    <row r="3" spans="2:22" x14ac:dyDescent="0.2">
      <c r="B3" s="10" t="s">
        <v>9</v>
      </c>
      <c r="C3" s="52">
        <v>353</v>
      </c>
      <c r="D3" s="11"/>
      <c r="E3" s="11"/>
      <c r="F3" s="11"/>
      <c r="G3" s="11" t="s">
        <v>10</v>
      </c>
      <c r="H3" s="12">
        <v>46074</v>
      </c>
      <c r="I3" s="13"/>
    </row>
    <row r="4" spans="2:22" ht="15" x14ac:dyDescent="0.2">
      <c r="B4" s="10"/>
      <c r="C4" s="11"/>
      <c r="D4" s="11"/>
      <c r="E4" s="11"/>
      <c r="F4" s="11"/>
      <c r="G4" s="11"/>
      <c r="H4" s="14" t="s">
        <v>11</v>
      </c>
      <c r="I4" s="15"/>
      <c r="K4" t="s">
        <v>76</v>
      </c>
    </row>
    <row r="5" spans="2:22" x14ac:dyDescent="0.2">
      <c r="B5" s="16" t="s">
        <v>12</v>
      </c>
      <c r="C5" s="11"/>
      <c r="D5" s="11"/>
      <c r="E5" s="11"/>
      <c r="F5" s="17" t="s">
        <v>13</v>
      </c>
      <c r="G5" s="11" t="s">
        <v>14</v>
      </c>
      <c r="H5" s="11"/>
      <c r="I5" s="15"/>
    </row>
    <row r="6" spans="2:22" x14ac:dyDescent="0.2">
      <c r="B6" s="10" t="s">
        <v>15</v>
      </c>
      <c r="C6" s="11"/>
      <c r="D6" s="11"/>
      <c r="E6" s="11"/>
      <c r="F6" s="11"/>
      <c r="G6" s="11" t="s">
        <v>16</v>
      </c>
      <c r="H6" s="11"/>
      <c r="I6" s="15"/>
    </row>
    <row r="7" spans="2:22" x14ac:dyDescent="0.2">
      <c r="B7" s="10" t="s">
        <v>17</v>
      </c>
      <c r="C7" s="11"/>
      <c r="D7" s="11"/>
      <c r="E7" s="11"/>
      <c r="F7" s="11"/>
      <c r="G7" s="11" t="s">
        <v>18</v>
      </c>
      <c r="H7" s="11"/>
      <c r="I7" s="15"/>
    </row>
    <row r="8" spans="2:22" x14ac:dyDescent="0.2">
      <c r="B8" s="10" t="s">
        <v>19</v>
      </c>
      <c r="C8" s="11"/>
      <c r="D8" s="11"/>
      <c r="E8" s="11"/>
      <c r="F8" s="11"/>
      <c r="G8" s="11" t="s">
        <v>20</v>
      </c>
      <c r="H8" s="11"/>
      <c r="I8" s="15"/>
    </row>
    <row r="9" spans="2:22" x14ac:dyDescent="0.2">
      <c r="B9" s="10" t="s">
        <v>21</v>
      </c>
      <c r="C9" s="11"/>
      <c r="D9" s="11"/>
      <c r="E9" s="11"/>
      <c r="F9" s="11"/>
      <c r="G9" s="11"/>
      <c r="H9" s="11"/>
      <c r="I9" s="15"/>
    </row>
    <row r="10" spans="2:22" x14ac:dyDescent="0.2">
      <c r="B10" s="10" t="s">
        <v>22</v>
      </c>
      <c r="C10" s="11"/>
      <c r="D10" s="11"/>
      <c r="E10" s="11"/>
      <c r="F10" s="11"/>
      <c r="G10" s="11"/>
      <c r="H10" s="11"/>
      <c r="I10" s="15"/>
    </row>
    <row r="11" spans="2:22" x14ac:dyDescent="0.2">
      <c r="B11" s="10"/>
      <c r="C11" s="11"/>
      <c r="D11" s="11"/>
      <c r="E11" s="11"/>
      <c r="F11" s="11"/>
      <c r="G11" s="11"/>
      <c r="H11" s="11"/>
      <c r="I11" s="15"/>
    </row>
    <row r="12" spans="2:22" x14ac:dyDescent="0.2">
      <c r="B12" s="10"/>
      <c r="C12" s="11"/>
      <c r="D12" s="11"/>
      <c r="E12" s="11"/>
      <c r="F12" s="11"/>
      <c r="G12" s="11"/>
      <c r="H12" s="11"/>
      <c r="I12" s="15"/>
    </row>
    <row r="13" spans="2:22" x14ac:dyDescent="0.2">
      <c r="B13" s="18" t="s">
        <v>23</v>
      </c>
      <c r="C13" s="11"/>
      <c r="D13" s="11"/>
      <c r="E13" s="11"/>
      <c r="F13" s="17" t="s">
        <v>24</v>
      </c>
      <c r="G13" s="19" t="s">
        <v>79</v>
      </c>
      <c r="H13" s="11"/>
      <c r="I13" s="15"/>
    </row>
    <row r="14" spans="2:22" x14ac:dyDescent="0.2">
      <c r="B14" s="10" t="s">
        <v>71</v>
      </c>
      <c r="C14" s="11"/>
      <c r="D14" s="11"/>
      <c r="E14" s="11"/>
      <c r="F14" s="11"/>
      <c r="G14" s="19" t="s">
        <v>80</v>
      </c>
      <c r="H14" s="11"/>
      <c r="I14" s="15"/>
    </row>
    <row r="15" spans="2:22" x14ac:dyDescent="0.2">
      <c r="B15" s="20" t="str">
        <f>IF(B14=[4]Sheet1!D5,[4]Sheet1!D6,IF(B14=[4]Sheet1!D11,[4]Sheet1!D12,IF(B14=[4]Sheet1!D17,[4]Sheet1!D18,IF(B14=[4]Sheet1!D23,[4]Sheet1!D24,IF(B14=[4]Sheet1!D29,[4]Sheet1!D30,IF(B14=[4]Sheet1!D35,[4]Sheet1!D36,IF(B14=[4]Sheet1!D41,[4]Sheet1!D42,IF(B14=[4]Sheet1!D47,[4]Sheet1!D48))))))))</f>
        <v>2 FOLSOM STREET</v>
      </c>
      <c r="C15" s="11"/>
      <c r="D15" s="11"/>
      <c r="E15" s="11"/>
      <c r="F15" s="11"/>
      <c r="G15" s="19" t="s">
        <v>81</v>
      </c>
      <c r="H15" s="11"/>
      <c r="I15" s="15"/>
    </row>
    <row r="16" spans="2:22" x14ac:dyDescent="0.2">
      <c r="B16" s="20" t="str">
        <f>IF(B15=[4]Sheet1!D6,[4]Sheet1!D7,IF(B15=[4]Sheet1!D12,[4]Sheet1!D13,IF(B15=[4]Sheet1!D18,[4]Sheet1!D19,IF(B15=[4]Sheet1!D24,[4]Sheet1!D25,IF(B15=[4]Sheet1!D30,[4]Sheet1!D31,IF(B15=[4]Sheet1!D36,[4]Sheet1!D37,IF(B15=[4]Sheet1!D42,[4]Sheet1!D43,IF(B15=[4]Sheet1!D48,[4]Sheet1!D49))))))))</f>
        <v>SAN FRANCISCO, CALIFORNIA</v>
      </c>
      <c r="C16" s="11"/>
      <c r="D16" s="11"/>
      <c r="E16" s="11"/>
      <c r="F16" s="11"/>
      <c r="G16" s="19">
        <v>45069</v>
      </c>
      <c r="H16" s="11"/>
      <c r="I16" s="15"/>
    </row>
    <row r="17" spans="2:13" x14ac:dyDescent="0.2">
      <c r="B17" s="20" t="str">
        <f>IF(B16=[4]Sheet1!D7,[4]Sheet1!D8,IF(B16=[4]Sheet1!D13,[4]Sheet1!D14,IF(B16=[4]Sheet1!D19,[4]Sheet1!D20,IF(B16=[4]Sheet1!D25,[4]Sheet1!D26,IF(B16=[4]Sheet1!D31,[4]Sheet1!D32,IF(B16=[4]Sheet1!D37,[4]Sheet1!D38,IF(B16=[4]Sheet1!D43,[4]Sheet1!D44,IF(B16=[4]Sheet1!D49,[4]Sheet1!D50))))))))</f>
        <v>94105</v>
      </c>
      <c r="C17" s="11"/>
      <c r="D17" s="11"/>
      <c r="E17" s="11"/>
      <c r="F17" s="11"/>
      <c r="G17" s="19" t="s">
        <v>72</v>
      </c>
      <c r="H17" s="11"/>
      <c r="I17" s="15"/>
    </row>
    <row r="18" spans="2:13" x14ac:dyDescent="0.2">
      <c r="B18" s="20" t="str">
        <f>IF(B17=[4]Sheet1!D8,[4]Sheet1!D9,IF(B17=[4]Sheet1!D14,[4]Sheet1!D15,IF(B17=[4]Sheet1!D20,[4]Sheet1!D21,IF(B17=[4]Sheet1!D26,[4]Sheet1!D27,IF(B17=[4]Sheet1!D32,[4]Sheet1!D33,IF(B17=[4]Sheet1!D38,[4]Sheet1!D39,IF(B17=[4]Sheet1!D44,[4]Sheet1!D45,IF(B17=[4]Sheet1!D50,[4]Sheet1!D51))))))))</f>
        <v>UNITED STATES</v>
      </c>
      <c r="C18" s="11"/>
      <c r="D18" s="11"/>
      <c r="E18" s="11"/>
      <c r="F18" s="11"/>
      <c r="G18" s="11"/>
      <c r="H18" s="11"/>
      <c r="I18" s="15"/>
    </row>
    <row r="19" spans="2:13" x14ac:dyDescent="0.2">
      <c r="B19" s="10"/>
      <c r="C19" s="11"/>
      <c r="D19" s="11"/>
      <c r="E19" s="11"/>
      <c r="F19" s="11"/>
      <c r="G19" s="11"/>
      <c r="H19" s="11"/>
      <c r="I19" s="15"/>
    </row>
    <row r="20" spans="2:13" s="23" customFormat="1" ht="27" customHeight="1" x14ac:dyDescent="0.2">
      <c r="B20" s="21" t="s">
        <v>25</v>
      </c>
      <c r="C20" s="22" t="s">
        <v>26</v>
      </c>
      <c r="D20" s="22" t="s">
        <v>27</v>
      </c>
      <c r="E20" s="21" t="s">
        <v>28</v>
      </c>
      <c r="F20" s="22" t="s">
        <v>29</v>
      </c>
      <c r="G20" s="21" t="s">
        <v>30</v>
      </c>
      <c r="H20" s="21" t="s">
        <v>31</v>
      </c>
      <c r="I20" s="21" t="s">
        <v>32</v>
      </c>
    </row>
    <row r="21" spans="2:13" s="23" customFormat="1" ht="24" customHeight="1" x14ac:dyDescent="0.2">
      <c r="B21" s="24" t="str">
        <f>J2</f>
        <v>X0GU10A</v>
      </c>
      <c r="C21" s="51">
        <v>416363</v>
      </c>
      <c r="D21" s="25" t="str">
        <f>IF(LEFT(B14,2)="OL","OLD NAVY",IF(LEFT(B14,2)="TH","THE GAP",IF(LEFT(B14,2)="GA","GAP",IF(LEFT(B14,2)="GP","OLD NAVY"))))</f>
        <v>OLD NAVY</v>
      </c>
      <c r="E21" s="25" t="s">
        <v>89</v>
      </c>
      <c r="F21" s="24" t="s">
        <v>33</v>
      </c>
      <c r="G21" s="24"/>
      <c r="H21" s="26" t="str">
        <f>IF(LEFT(G17,2)="CA","CA",IF(LEFT(G17,2)="UN","US",IF(LEFT(G17,2)="PA","PA",IF(LEFT(G17,2)="JA","JP"))))</f>
        <v>US</v>
      </c>
      <c r="I21" s="24" t="s">
        <v>34</v>
      </c>
      <c r="K21" s="23">
        <v>24</v>
      </c>
    </row>
    <row r="22" spans="2:13" s="27" customFormat="1" ht="30.75" customHeight="1" x14ac:dyDescent="0.2">
      <c r="B22" s="21" t="s">
        <v>35</v>
      </c>
      <c r="C22" s="21" t="s">
        <v>36</v>
      </c>
      <c r="D22" s="21" t="s">
        <v>37</v>
      </c>
      <c r="E22" s="21" t="s">
        <v>38</v>
      </c>
      <c r="F22" s="21" t="s">
        <v>39</v>
      </c>
      <c r="G22" s="21" t="s">
        <v>40</v>
      </c>
      <c r="H22" s="21" t="s">
        <v>41</v>
      </c>
      <c r="I22" s="21" t="s">
        <v>42</v>
      </c>
    </row>
    <row r="23" spans="2:13" s="23" customFormat="1" ht="18.75" customHeight="1" x14ac:dyDescent="0.2">
      <c r="B23" s="24" t="s">
        <v>70</v>
      </c>
      <c r="C23" s="24"/>
      <c r="D23" s="24" t="s">
        <v>43</v>
      </c>
      <c r="E23" s="24" t="str">
        <f>+D23</f>
        <v>JAKARTA,ID</v>
      </c>
      <c r="F23" s="28">
        <f>+O2</f>
        <v>33.198</v>
      </c>
      <c r="G23" s="28">
        <f>+N2</f>
        <v>28.547999999999998</v>
      </c>
      <c r="H23" s="28">
        <f>+M2</f>
        <v>26.52</v>
      </c>
      <c r="I23" s="24">
        <f>+L2</f>
        <v>8</v>
      </c>
    </row>
    <row r="24" spans="2:13" x14ac:dyDescent="0.2">
      <c r="B24" s="10"/>
      <c r="C24" s="11"/>
      <c r="D24" s="11"/>
      <c r="E24" s="11"/>
      <c r="F24" s="29"/>
      <c r="G24" s="11"/>
      <c r="H24" s="11"/>
      <c r="I24" s="15"/>
    </row>
    <row r="25" spans="2:13" x14ac:dyDescent="0.2">
      <c r="B25" s="10"/>
      <c r="C25" s="11"/>
      <c r="D25" s="11"/>
      <c r="E25" s="11"/>
      <c r="F25" s="11"/>
      <c r="G25" s="11"/>
      <c r="H25" s="11"/>
      <c r="I25" s="15"/>
    </row>
    <row r="26" spans="2:13" x14ac:dyDescent="0.2">
      <c r="B26" s="57" t="s">
        <v>44</v>
      </c>
      <c r="C26" s="59"/>
      <c r="D26" s="59"/>
      <c r="E26" s="59"/>
      <c r="F26" s="59"/>
      <c r="G26" s="59"/>
      <c r="H26" s="59"/>
      <c r="I26" s="58"/>
    </row>
    <row r="27" spans="2:13" ht="24.75" customHeight="1" x14ac:dyDescent="0.2">
      <c r="B27" s="70" t="str">
        <f>+K4</f>
        <v>BOYS COTTON FIBERS, KNIT SHIRT, WITH NECK CLOSURE, STITCH COUNT EQUAL OR IS GREATER THAN 10/1CM, HEM BOTTOM [60% COTTON 40% POLYESTER]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30"/>
      <c r="C28" s="11"/>
      <c r="D28" s="11"/>
      <c r="E28" s="11"/>
      <c r="F28" s="11"/>
      <c r="G28" s="11"/>
      <c r="H28" s="11"/>
      <c r="I28" s="15"/>
    </row>
    <row r="29" spans="2:13" x14ac:dyDescent="0.2">
      <c r="B29" s="10" t="s">
        <v>45</v>
      </c>
      <c r="C29" s="11"/>
      <c r="D29" s="11"/>
      <c r="E29" s="11"/>
      <c r="F29" s="11"/>
      <c r="G29" s="11"/>
      <c r="H29" s="11"/>
      <c r="I29" s="15"/>
    </row>
    <row r="30" spans="2:13" x14ac:dyDescent="0.2">
      <c r="B30" s="10"/>
      <c r="C30" s="11"/>
      <c r="D30" s="11"/>
      <c r="E30" s="11"/>
      <c r="F30" s="11"/>
      <c r="G30" s="11"/>
      <c r="H30" s="11"/>
      <c r="I30" s="15"/>
    </row>
    <row r="31" spans="2:13" s="23" customFormat="1" ht="25.5" customHeight="1" x14ac:dyDescent="0.2">
      <c r="B31" s="24" t="s">
        <v>46</v>
      </c>
      <c r="C31" s="24" t="s">
        <v>47</v>
      </c>
      <c r="D31" s="73" t="s">
        <v>48</v>
      </c>
      <c r="E31" s="73"/>
      <c r="F31" s="73" t="s">
        <v>49</v>
      </c>
      <c r="G31" s="73"/>
      <c r="H31" s="24" t="s">
        <v>50</v>
      </c>
      <c r="I31" s="25" t="s">
        <v>51</v>
      </c>
      <c r="M31"/>
    </row>
    <row r="32" spans="2:13" ht="39" customHeight="1" x14ac:dyDescent="0.2">
      <c r="B32" s="31" t="s">
        <v>75</v>
      </c>
      <c r="C32" s="25" t="s">
        <v>74</v>
      </c>
      <c r="D32" s="65"/>
      <c r="E32" s="66"/>
      <c r="F32" s="65">
        <f>+K2</f>
        <v>260</v>
      </c>
      <c r="G32" s="66"/>
      <c r="H32" s="32">
        <v>0.9</v>
      </c>
      <c r="I32" s="33">
        <f>+H32*F32</f>
        <v>234</v>
      </c>
      <c r="K32" s="34"/>
      <c r="M32" s="35"/>
    </row>
    <row r="33" spans="2:11" ht="21" customHeight="1" x14ac:dyDescent="0.2">
      <c r="B33" s="36" t="s">
        <v>52</v>
      </c>
      <c r="C33" s="36"/>
      <c r="D33" s="57"/>
      <c r="E33" s="58"/>
      <c r="F33" s="57"/>
      <c r="G33" s="58"/>
      <c r="H33" s="32"/>
      <c r="I33" s="24"/>
    </row>
    <row r="34" spans="2:11" ht="21.75" customHeight="1" x14ac:dyDescent="0.2">
      <c r="B34" s="36" t="s">
        <v>53</v>
      </c>
      <c r="C34" s="36"/>
      <c r="D34" s="63"/>
      <c r="E34" s="64"/>
      <c r="F34" s="65">
        <f>SUM(F32:G33)</f>
        <v>260</v>
      </c>
      <c r="G34" s="66"/>
      <c r="H34" s="36"/>
      <c r="I34" s="37">
        <f>SUM(I32:I33)</f>
        <v>234</v>
      </c>
      <c r="J34" s="38"/>
      <c r="K34" s="38"/>
    </row>
    <row r="35" spans="2:11" ht="21.75" customHeight="1" x14ac:dyDescent="0.2">
      <c r="B35" s="39" t="s">
        <v>54</v>
      </c>
      <c r="C35" s="36"/>
      <c r="D35" s="57"/>
      <c r="E35" s="58"/>
      <c r="F35" s="57"/>
      <c r="G35" s="58"/>
      <c r="H35" s="36"/>
      <c r="I35" s="24"/>
      <c r="J35" s="38"/>
    </row>
    <row r="36" spans="2:11" ht="21.75" customHeight="1" x14ac:dyDescent="0.2">
      <c r="B36" s="39" t="s">
        <v>55</v>
      </c>
      <c r="C36" s="36"/>
      <c r="D36" s="57"/>
      <c r="E36" s="58"/>
      <c r="F36" s="57"/>
      <c r="G36" s="58"/>
      <c r="H36" s="36"/>
      <c r="I36" s="37">
        <f>+I34</f>
        <v>234</v>
      </c>
    </row>
    <row r="37" spans="2:11" ht="20.25" customHeight="1" x14ac:dyDescent="0.2">
      <c r="B37" s="36" t="s">
        <v>56</v>
      </c>
      <c r="C37" s="57" t="s">
        <v>57</v>
      </c>
      <c r="D37" s="59"/>
      <c r="E37" s="59"/>
      <c r="F37" s="59"/>
      <c r="G37" s="59"/>
      <c r="H37" s="58"/>
      <c r="I37" s="40"/>
    </row>
    <row r="38" spans="2:11" ht="21" customHeight="1" x14ac:dyDescent="0.2">
      <c r="B38" s="39" t="s">
        <v>58</v>
      </c>
      <c r="C38" s="36"/>
      <c r="D38" s="36"/>
      <c r="E38" s="36"/>
      <c r="F38" s="36"/>
      <c r="G38" s="36"/>
      <c r="H38" s="36"/>
      <c r="I38" s="37">
        <f>+I36+I37</f>
        <v>234</v>
      </c>
    </row>
    <row r="39" spans="2:11" ht="18.75" customHeight="1" x14ac:dyDescent="0.2">
      <c r="B39" s="10"/>
      <c r="C39" s="11"/>
      <c r="D39" s="11"/>
      <c r="E39" s="11"/>
      <c r="F39" s="11"/>
      <c r="G39" s="11"/>
      <c r="H39" s="11"/>
      <c r="I39" s="15"/>
    </row>
    <row r="40" spans="2:11" x14ac:dyDescent="0.2">
      <c r="B40" s="10"/>
      <c r="C40" s="11"/>
      <c r="D40" s="11"/>
      <c r="E40" s="11"/>
      <c r="F40" s="11"/>
      <c r="G40" s="11"/>
      <c r="H40" s="11"/>
      <c r="I40" s="15"/>
    </row>
    <row r="41" spans="2:11" x14ac:dyDescent="0.2">
      <c r="B41" s="41" t="s">
        <v>59</v>
      </c>
      <c r="C41" s="42"/>
      <c r="D41" s="42"/>
      <c r="E41" s="42"/>
      <c r="F41" s="42"/>
      <c r="G41" s="42"/>
      <c r="H41" s="42"/>
      <c r="I41" s="43"/>
    </row>
    <row r="42" spans="2:11" x14ac:dyDescent="0.2">
      <c r="B42" s="44" t="s">
        <v>60</v>
      </c>
      <c r="C42" s="45"/>
      <c r="D42" s="45"/>
      <c r="E42" s="45"/>
      <c r="F42" s="45"/>
      <c r="G42" s="45"/>
      <c r="H42" s="45"/>
      <c r="I42" s="46"/>
    </row>
    <row r="43" spans="2:11" x14ac:dyDescent="0.2">
      <c r="B43" s="10"/>
      <c r="C43" s="11"/>
      <c r="D43" s="11"/>
      <c r="E43" s="11"/>
      <c r="F43" s="11"/>
      <c r="G43" s="11"/>
      <c r="H43" s="11"/>
      <c r="I43" s="15"/>
    </row>
    <row r="44" spans="2:11" x14ac:dyDescent="0.2">
      <c r="B44" s="10" t="s">
        <v>61</v>
      </c>
      <c r="C44" s="11"/>
      <c r="D44" s="11"/>
      <c r="E44" s="11"/>
      <c r="F44" s="11"/>
      <c r="G44" s="11"/>
      <c r="H44" s="11"/>
      <c r="I44" s="15"/>
    </row>
    <row r="45" spans="2:11" x14ac:dyDescent="0.2">
      <c r="B45" s="10"/>
      <c r="C45" s="11"/>
      <c r="D45" s="11"/>
      <c r="E45" s="11"/>
      <c r="F45" s="11"/>
      <c r="G45" s="11"/>
      <c r="H45" s="11"/>
      <c r="I45" s="15"/>
    </row>
    <row r="46" spans="2:11" x14ac:dyDescent="0.2">
      <c r="B46" s="60" t="s">
        <v>62</v>
      </c>
      <c r="C46" s="60"/>
      <c r="D46" s="60"/>
      <c r="E46" s="47" t="s">
        <v>63</v>
      </c>
      <c r="F46" s="47"/>
      <c r="G46" s="47"/>
      <c r="H46" s="47"/>
      <c r="I46" s="47"/>
    </row>
    <row r="47" spans="2:11" x14ac:dyDescent="0.2">
      <c r="B47" s="44"/>
      <c r="C47" s="45" t="s">
        <v>78</v>
      </c>
      <c r="D47" s="46"/>
      <c r="E47" s="48" t="s">
        <v>64</v>
      </c>
      <c r="F47" s="48"/>
      <c r="G47" s="48"/>
      <c r="H47" s="44"/>
      <c r="I47" s="46"/>
    </row>
    <row r="48" spans="2:11" x14ac:dyDescent="0.2">
      <c r="B48" s="10"/>
      <c r="C48" s="11"/>
      <c r="D48" s="11"/>
      <c r="E48" s="11"/>
      <c r="F48" s="11"/>
      <c r="G48" s="11"/>
      <c r="H48" s="11"/>
      <c r="I48" s="15"/>
    </row>
    <row r="49" spans="2:11" x14ac:dyDescent="0.2">
      <c r="B49" s="10" t="s">
        <v>65</v>
      </c>
      <c r="C49" s="11"/>
      <c r="D49" s="11"/>
      <c r="E49" s="11"/>
      <c r="F49" s="11"/>
      <c r="G49" s="11"/>
      <c r="H49" s="11"/>
      <c r="I49" s="15"/>
    </row>
    <row r="50" spans="2:11" x14ac:dyDescent="0.2">
      <c r="B50" s="10" t="s">
        <v>66</v>
      </c>
      <c r="C50" s="11"/>
      <c r="D50" s="11"/>
      <c r="E50" s="11"/>
      <c r="F50" s="11"/>
      <c r="G50" s="11"/>
      <c r="H50" s="11"/>
      <c r="I50" s="15"/>
    </row>
    <row r="51" spans="2:11" x14ac:dyDescent="0.2">
      <c r="B51" s="10"/>
      <c r="C51" s="11"/>
      <c r="D51" s="11"/>
      <c r="E51" s="11"/>
      <c r="F51" s="11"/>
      <c r="G51" s="11"/>
      <c r="H51" s="11"/>
      <c r="I51" s="15"/>
    </row>
    <row r="52" spans="2:11" x14ac:dyDescent="0.2">
      <c r="B52" s="10"/>
      <c r="C52" s="11"/>
      <c r="D52" s="11"/>
      <c r="E52" s="11"/>
      <c r="F52" s="11"/>
      <c r="G52" s="11" t="s">
        <v>67</v>
      </c>
      <c r="H52" s="11" t="s">
        <v>77</v>
      </c>
      <c r="I52" s="49"/>
      <c r="K52">
        <v>24</v>
      </c>
    </row>
    <row r="53" spans="2:11" x14ac:dyDescent="0.2">
      <c r="B53" s="10"/>
      <c r="C53" s="11"/>
      <c r="D53" s="11"/>
      <c r="E53" s="11"/>
      <c r="F53" s="11"/>
      <c r="G53" s="11"/>
      <c r="H53" s="50"/>
      <c r="I53" s="15"/>
    </row>
    <row r="54" spans="2:11" x14ac:dyDescent="0.2">
      <c r="B54" s="10"/>
      <c r="C54" s="11"/>
      <c r="D54" s="11"/>
      <c r="E54" s="11"/>
      <c r="F54" s="11"/>
      <c r="G54" s="11"/>
      <c r="H54" s="11"/>
      <c r="I54" s="15"/>
    </row>
    <row r="55" spans="2:11" x14ac:dyDescent="0.2">
      <c r="B55" s="10"/>
      <c r="C55" s="61" t="s">
        <v>68</v>
      </c>
      <c r="D55" s="61"/>
      <c r="E55" s="11"/>
      <c r="F55" s="11"/>
      <c r="G55" s="11"/>
      <c r="H55" s="11"/>
      <c r="I55" s="15"/>
    </row>
    <row r="56" spans="2:11" x14ac:dyDescent="0.2">
      <c r="B56" s="10"/>
      <c r="C56" s="62" t="s">
        <v>69</v>
      </c>
      <c r="D56" s="62"/>
      <c r="E56" s="11"/>
      <c r="F56" s="11"/>
      <c r="G56" s="11"/>
      <c r="H56" s="11"/>
      <c r="I56" s="15"/>
      <c r="K56">
        <v>24</v>
      </c>
    </row>
    <row r="57" spans="2:11" x14ac:dyDescent="0.2">
      <c r="B57" s="44"/>
      <c r="C57" s="56"/>
      <c r="D57" s="56"/>
      <c r="E57" s="45"/>
      <c r="F57" s="45"/>
      <c r="G57" s="45"/>
      <c r="H57" s="45"/>
      <c r="I57" s="45"/>
    </row>
    <row r="58" spans="2:11" x14ac:dyDescent="0.2">
      <c r="B58" s="11"/>
      <c r="C58" s="11"/>
      <c r="D58" s="11"/>
      <c r="E58" s="11"/>
      <c r="F58" s="11"/>
      <c r="G58" s="11"/>
      <c r="H58" s="11"/>
      <c r="I58" s="11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'D:\0 DATA SRI\EKSPORT\1. GAP\Shipment GAP\2026\2. FEBRUARI\02.02.2026\[INVOICE 02.02.2026 FOB.XLSX]Sheet1'!#REF!</xm:f>
          </x14:formula1>
          <xm:sqref>G5</xm:sqref>
        </x14:dataValidation>
        <x14:dataValidation type="list" allowBlank="1" showInputMessage="1" showErrorMessage="1">
          <x14:formula1>
            <xm:f>'D:\0 DATA SRI\EKSPORT\1. GAP\Shipment GAP\2026\2. FEBRUARI\02.02.2026\[INVOICE 02.02.2026 CMT.XLSX]Sheet1'!#REF!</xm:f>
          </x14:formula1>
          <xm:sqref>B14</xm:sqref>
        </x14:dataValidation>
        <x14:dataValidation type="list" allowBlank="1" showInputMessage="1" showErrorMessage="1">
          <x14:formula1>
            <xm:f>'D:\0 DATA SRI\EKSPORT\1. GAP\Shipment GAP\2026\2. FEBRUARI\02.02.2026\[INVOICE 02.02.2026 CMT.XLSX]Sheet1'!#REF!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V58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7" customFormat="1" ht="90" customHeight="1" thickBot="1" x14ac:dyDescent="0.45">
      <c r="B1" s="1"/>
      <c r="C1" s="2"/>
      <c r="D1" s="2"/>
      <c r="E1" s="2"/>
      <c r="F1" s="2"/>
      <c r="G1" s="2"/>
      <c r="H1" s="2"/>
      <c r="I1" s="3"/>
      <c r="J1" s="4"/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6"/>
      <c r="S1" s="6"/>
      <c r="T1" s="6"/>
      <c r="U1" s="6"/>
      <c r="V1" s="6"/>
    </row>
    <row r="2" spans="2:22" ht="33.75" customHeight="1" thickTop="1" x14ac:dyDescent="0.2">
      <c r="B2" s="67" t="s">
        <v>90</v>
      </c>
      <c r="C2" s="68"/>
      <c r="D2" s="68"/>
      <c r="E2" s="68"/>
      <c r="F2" s="68"/>
      <c r="G2" s="68"/>
      <c r="H2" s="68"/>
      <c r="I2" s="69"/>
      <c r="J2" s="8">
        <v>61420565</v>
      </c>
      <c r="K2" s="53">
        <v>1650</v>
      </c>
      <c r="L2" s="9">
        <v>18</v>
      </c>
      <c r="M2" s="9">
        <v>218.98</v>
      </c>
      <c r="N2" s="9">
        <v>222.28</v>
      </c>
      <c r="O2" s="9">
        <v>239.68</v>
      </c>
      <c r="P2" s="9" t="s">
        <v>7</v>
      </c>
      <c r="Q2" s="9">
        <v>1.1180000000000001</v>
      </c>
      <c r="R2" s="9" t="s">
        <v>8</v>
      </c>
    </row>
    <row r="3" spans="2:22" x14ac:dyDescent="0.2">
      <c r="B3" s="10" t="s">
        <v>9</v>
      </c>
      <c r="C3" s="52">
        <f>+'353. X0GU10A'!C3+1</f>
        <v>354</v>
      </c>
      <c r="D3" s="11"/>
      <c r="E3" s="11"/>
      <c r="F3" s="11"/>
      <c r="G3" s="11" t="s">
        <v>10</v>
      </c>
      <c r="H3" s="12">
        <v>46075</v>
      </c>
      <c r="I3" s="13"/>
    </row>
    <row r="4" spans="2:22" ht="15" x14ac:dyDescent="0.2">
      <c r="B4" s="10"/>
      <c r="C4" s="11"/>
      <c r="D4" s="11"/>
      <c r="E4" s="11"/>
      <c r="F4" s="11"/>
      <c r="G4" s="11"/>
      <c r="H4" s="14" t="s">
        <v>11</v>
      </c>
      <c r="I4" s="15"/>
      <c r="K4" t="s">
        <v>76</v>
      </c>
    </row>
    <row r="5" spans="2:22" x14ac:dyDescent="0.2">
      <c r="B5" s="16" t="s">
        <v>12</v>
      </c>
      <c r="C5" s="11"/>
      <c r="D5" s="11"/>
      <c r="E5" s="11"/>
      <c r="F5" s="17" t="s">
        <v>13</v>
      </c>
      <c r="G5" s="11" t="s">
        <v>14</v>
      </c>
      <c r="H5" s="11"/>
      <c r="I5" s="15"/>
    </row>
    <row r="6" spans="2:22" x14ac:dyDescent="0.2">
      <c r="B6" s="10" t="s">
        <v>15</v>
      </c>
      <c r="C6" s="11"/>
      <c r="D6" s="11"/>
      <c r="E6" s="11"/>
      <c r="F6" s="11"/>
      <c r="G6" s="11" t="s">
        <v>16</v>
      </c>
      <c r="H6" s="11"/>
      <c r="I6" s="15"/>
    </row>
    <row r="7" spans="2:22" x14ac:dyDescent="0.2">
      <c r="B7" s="10" t="s">
        <v>17</v>
      </c>
      <c r="C7" s="11"/>
      <c r="D7" s="11"/>
      <c r="E7" s="11"/>
      <c r="F7" s="11"/>
      <c r="G7" s="11" t="s">
        <v>18</v>
      </c>
      <c r="H7" s="11"/>
      <c r="I7" s="15"/>
    </row>
    <row r="8" spans="2:22" x14ac:dyDescent="0.2">
      <c r="B8" s="10" t="s">
        <v>19</v>
      </c>
      <c r="C8" s="11"/>
      <c r="D8" s="11"/>
      <c r="E8" s="11"/>
      <c r="F8" s="11"/>
      <c r="G8" s="11" t="s">
        <v>20</v>
      </c>
      <c r="H8" s="11"/>
      <c r="I8" s="15"/>
    </row>
    <row r="9" spans="2:22" x14ac:dyDescent="0.2">
      <c r="B9" s="10" t="s">
        <v>21</v>
      </c>
      <c r="C9" s="11"/>
      <c r="D9" s="11"/>
      <c r="E9" s="11"/>
      <c r="F9" s="11"/>
      <c r="G9" s="11"/>
      <c r="H9" s="11"/>
      <c r="I9" s="15"/>
    </row>
    <row r="10" spans="2:22" x14ac:dyDescent="0.2">
      <c r="B10" s="10" t="s">
        <v>22</v>
      </c>
      <c r="C10" s="11"/>
      <c r="D10" s="11"/>
      <c r="E10" s="11"/>
      <c r="F10" s="11"/>
      <c r="G10" s="11"/>
      <c r="H10" s="11"/>
      <c r="I10" s="15"/>
    </row>
    <row r="11" spans="2:22" x14ac:dyDescent="0.2">
      <c r="B11" s="10"/>
      <c r="C11" s="11"/>
      <c r="D11" s="11"/>
      <c r="E11" s="11"/>
      <c r="F11" s="11"/>
      <c r="G11" s="11"/>
      <c r="H11" s="11"/>
      <c r="I11" s="15"/>
    </row>
    <row r="12" spans="2:22" x14ac:dyDescent="0.2">
      <c r="B12" s="10"/>
      <c r="C12" s="11"/>
      <c r="D12" s="11"/>
      <c r="E12" s="11"/>
      <c r="F12" s="11"/>
      <c r="G12" s="11"/>
      <c r="H12" s="11"/>
      <c r="I12" s="15"/>
    </row>
    <row r="13" spans="2:22" x14ac:dyDescent="0.2">
      <c r="B13" s="18" t="s">
        <v>23</v>
      </c>
      <c r="C13" s="11"/>
      <c r="D13" s="11"/>
      <c r="E13" s="11"/>
      <c r="F13" s="17" t="s">
        <v>24</v>
      </c>
      <c r="G13" s="19" t="s">
        <v>82</v>
      </c>
      <c r="H13" s="11"/>
      <c r="I13" s="15"/>
    </row>
    <row r="14" spans="2:22" x14ac:dyDescent="0.2">
      <c r="B14" s="10" t="s">
        <v>71</v>
      </c>
      <c r="C14" s="11"/>
      <c r="D14" s="11"/>
      <c r="E14" s="11"/>
      <c r="F14" s="11"/>
      <c r="G14" s="19" t="s">
        <v>83</v>
      </c>
      <c r="H14" s="11"/>
      <c r="I14" s="15"/>
    </row>
    <row r="15" spans="2:22" x14ac:dyDescent="0.2">
      <c r="B15" s="20" t="str">
        <f>IF(B14=[4]Sheet1!D5,[4]Sheet1!D6,IF(B14=[4]Sheet1!D11,[4]Sheet1!D12,IF(B14=[4]Sheet1!D17,[4]Sheet1!D18,IF(B14=[4]Sheet1!D23,[4]Sheet1!D24,IF(B14=[4]Sheet1!D29,[4]Sheet1!D30,IF(B14=[4]Sheet1!D35,[4]Sheet1!D36,IF(B14=[4]Sheet1!D41,[4]Sheet1!D42,IF(B14=[4]Sheet1!D47,[4]Sheet1!D48))))))))</f>
        <v>2 FOLSOM STREET</v>
      </c>
      <c r="C15" s="11"/>
      <c r="D15" s="11"/>
      <c r="E15" s="11"/>
      <c r="F15" s="11"/>
      <c r="G15" s="19" t="s">
        <v>84</v>
      </c>
      <c r="H15" s="11"/>
      <c r="I15" s="15"/>
    </row>
    <row r="16" spans="2:22" x14ac:dyDescent="0.2">
      <c r="B16" s="20" t="str">
        <f>IF(B15=[4]Sheet1!D6,[4]Sheet1!D7,IF(B15=[4]Sheet1!D12,[4]Sheet1!D13,IF(B15=[4]Sheet1!D18,[4]Sheet1!D19,IF(B15=[4]Sheet1!D24,[4]Sheet1!D25,IF(B15=[4]Sheet1!D30,[4]Sheet1!D31,IF(B15=[4]Sheet1!D36,[4]Sheet1!D37,IF(B15=[4]Sheet1!D42,[4]Sheet1!D43,IF(B15=[4]Sheet1!D48,[4]Sheet1!D49))))))))</f>
        <v>SAN FRANCISCO, CALIFORNIA</v>
      </c>
      <c r="C16" s="11"/>
      <c r="D16" s="11"/>
      <c r="E16" s="11"/>
      <c r="F16" s="11"/>
      <c r="G16" s="19">
        <v>93727</v>
      </c>
      <c r="H16" s="11"/>
      <c r="I16" s="15"/>
    </row>
    <row r="17" spans="2:13" x14ac:dyDescent="0.2">
      <c r="B17" s="20" t="str">
        <f>IF(B16=[4]Sheet1!D7,[4]Sheet1!D8,IF(B16=[4]Sheet1!D13,[4]Sheet1!D14,IF(B16=[4]Sheet1!D19,[4]Sheet1!D20,IF(B16=[4]Sheet1!D25,[4]Sheet1!D26,IF(B16=[4]Sheet1!D31,[4]Sheet1!D32,IF(B16=[4]Sheet1!D37,[4]Sheet1!D38,IF(B16=[4]Sheet1!D43,[4]Sheet1!D44,IF(B16=[4]Sheet1!D49,[4]Sheet1!D50))))))))</f>
        <v>94105</v>
      </c>
      <c r="C17" s="11"/>
      <c r="D17" s="11"/>
      <c r="E17" s="11"/>
      <c r="F17" s="11"/>
      <c r="G17" s="19" t="s">
        <v>72</v>
      </c>
      <c r="H17" s="11"/>
      <c r="I17" s="15"/>
    </row>
    <row r="18" spans="2:13" x14ac:dyDescent="0.2">
      <c r="B18" s="20" t="str">
        <f>IF(B17=[4]Sheet1!D8,[4]Sheet1!D9,IF(B17=[4]Sheet1!D14,[4]Sheet1!D15,IF(B17=[4]Sheet1!D20,[4]Sheet1!D21,IF(B17=[4]Sheet1!D26,[4]Sheet1!D27,IF(B17=[4]Sheet1!D32,[4]Sheet1!D33,IF(B17=[4]Sheet1!D38,[4]Sheet1!D39,IF(B17=[4]Sheet1!D44,[4]Sheet1!D45,IF(B17=[4]Sheet1!D50,[4]Sheet1!D51))))))))</f>
        <v>UNITED STATES</v>
      </c>
      <c r="C18" s="11"/>
      <c r="D18" s="11"/>
      <c r="E18" s="11"/>
      <c r="F18" s="11"/>
      <c r="G18" s="11"/>
      <c r="H18" s="11"/>
      <c r="I18" s="15"/>
    </row>
    <row r="19" spans="2:13" x14ac:dyDescent="0.2">
      <c r="B19" s="10"/>
      <c r="C19" s="11"/>
      <c r="D19" s="11"/>
      <c r="E19" s="11"/>
      <c r="F19" s="11"/>
      <c r="G19" s="11"/>
      <c r="H19" s="11"/>
      <c r="I19" s="15"/>
    </row>
    <row r="20" spans="2:13" s="23" customFormat="1" ht="27" customHeight="1" x14ac:dyDescent="0.2">
      <c r="B20" s="21" t="s">
        <v>25</v>
      </c>
      <c r="C20" s="22" t="s">
        <v>26</v>
      </c>
      <c r="D20" s="22" t="s">
        <v>27</v>
      </c>
      <c r="E20" s="21" t="s">
        <v>28</v>
      </c>
      <c r="F20" s="22" t="s">
        <v>29</v>
      </c>
      <c r="G20" s="21" t="s">
        <v>30</v>
      </c>
      <c r="H20" s="21" t="s">
        <v>31</v>
      </c>
      <c r="I20" s="21" t="s">
        <v>32</v>
      </c>
    </row>
    <row r="21" spans="2:13" s="23" customFormat="1" ht="24" customHeight="1" x14ac:dyDescent="0.2">
      <c r="B21" s="54">
        <f>J2</f>
        <v>61420565</v>
      </c>
      <c r="C21" s="55">
        <v>416363</v>
      </c>
      <c r="D21" s="25" t="str">
        <f>IF(LEFT(B14,2)="OL","OLD NAVY",IF(LEFT(B14,2)="TH","THE GAP",IF(LEFT(B14,2)="GA","GAP",IF(LEFT(B14,2)="GP","OLD NAVY"))))</f>
        <v>OLD NAVY</v>
      </c>
      <c r="E21" s="25" t="s">
        <v>73</v>
      </c>
      <c r="F21" s="54" t="s">
        <v>33</v>
      </c>
      <c r="G21" s="54"/>
      <c r="H21" s="26" t="str">
        <f>IF(LEFT(G17,2)="CA","CA",IF(LEFT(G17,2)="UN","US",IF(LEFT(G17,2)="PA","PA",IF(LEFT(G17,2)="JA","JP"))))</f>
        <v>US</v>
      </c>
      <c r="I21" s="54" t="s">
        <v>34</v>
      </c>
      <c r="K21" s="23">
        <v>24</v>
      </c>
    </row>
    <row r="22" spans="2:13" s="27" customFormat="1" ht="30.75" customHeight="1" x14ac:dyDescent="0.2">
      <c r="B22" s="21" t="s">
        <v>35</v>
      </c>
      <c r="C22" s="21" t="s">
        <v>36</v>
      </c>
      <c r="D22" s="21" t="s">
        <v>37</v>
      </c>
      <c r="E22" s="21" t="s">
        <v>38</v>
      </c>
      <c r="F22" s="21" t="s">
        <v>39</v>
      </c>
      <c r="G22" s="21" t="s">
        <v>40</v>
      </c>
      <c r="H22" s="21" t="s">
        <v>41</v>
      </c>
      <c r="I22" s="21" t="s">
        <v>42</v>
      </c>
    </row>
    <row r="23" spans="2:13" s="23" customFormat="1" ht="18.75" customHeight="1" x14ac:dyDescent="0.2">
      <c r="B23" s="54" t="s">
        <v>70</v>
      </c>
      <c r="C23" s="54"/>
      <c r="D23" s="54" t="s">
        <v>43</v>
      </c>
      <c r="E23" s="54" t="str">
        <f>+D23</f>
        <v>JAKARTA,ID</v>
      </c>
      <c r="F23" s="28">
        <f>+O2</f>
        <v>239.68</v>
      </c>
      <c r="G23" s="28">
        <f>+N2</f>
        <v>222.28</v>
      </c>
      <c r="H23" s="28">
        <f>+M2</f>
        <v>218.98</v>
      </c>
      <c r="I23" s="54">
        <f>+L2</f>
        <v>18</v>
      </c>
    </row>
    <row r="24" spans="2:13" x14ac:dyDescent="0.2">
      <c r="B24" s="10"/>
      <c r="C24" s="11"/>
      <c r="D24" s="11"/>
      <c r="E24" s="11"/>
      <c r="F24" s="29"/>
      <c r="G24" s="11"/>
      <c r="H24" s="11"/>
      <c r="I24" s="15"/>
    </row>
    <row r="25" spans="2:13" x14ac:dyDescent="0.2">
      <c r="B25" s="10"/>
      <c r="C25" s="11"/>
      <c r="D25" s="11"/>
      <c r="E25" s="11"/>
      <c r="F25" s="11"/>
      <c r="G25" s="11"/>
      <c r="H25" s="11"/>
      <c r="I25" s="15"/>
    </row>
    <row r="26" spans="2:13" x14ac:dyDescent="0.2">
      <c r="B26" s="57" t="s">
        <v>44</v>
      </c>
      <c r="C26" s="59"/>
      <c r="D26" s="59"/>
      <c r="E26" s="59"/>
      <c r="F26" s="59"/>
      <c r="G26" s="59"/>
      <c r="H26" s="59"/>
      <c r="I26" s="58"/>
    </row>
    <row r="27" spans="2:13" ht="24.75" customHeight="1" x14ac:dyDescent="0.2">
      <c r="B27" s="70" t="str">
        <f>+K4</f>
        <v>BOYS COTTON FIBERS, KNIT SHIRT, WITH NECK CLOSURE, STITCH COUNT EQUAL OR IS GREATER THAN 10/1CM, HEM BOTTOM [60% COTTON 40% POLYESTER]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30"/>
      <c r="C28" s="11"/>
      <c r="D28" s="11"/>
      <c r="E28" s="11"/>
      <c r="F28" s="11"/>
      <c r="G28" s="11"/>
      <c r="H28" s="11"/>
      <c r="I28" s="15"/>
    </row>
    <row r="29" spans="2:13" x14ac:dyDescent="0.2">
      <c r="B29" s="10" t="s">
        <v>45</v>
      </c>
      <c r="C29" s="11"/>
      <c r="D29" s="11"/>
      <c r="E29" s="11"/>
      <c r="F29" s="11"/>
      <c r="G29" s="11"/>
      <c r="H29" s="11"/>
      <c r="I29" s="15"/>
    </row>
    <row r="30" spans="2:13" x14ac:dyDescent="0.2">
      <c r="B30" s="10"/>
      <c r="C30" s="11"/>
      <c r="D30" s="11"/>
      <c r="E30" s="11"/>
      <c r="F30" s="11"/>
      <c r="G30" s="11"/>
      <c r="H30" s="11"/>
      <c r="I30" s="15"/>
    </row>
    <row r="31" spans="2:13" s="23" customFormat="1" ht="25.5" customHeight="1" x14ac:dyDescent="0.2">
      <c r="B31" s="54" t="s">
        <v>46</v>
      </c>
      <c r="C31" s="54" t="s">
        <v>47</v>
      </c>
      <c r="D31" s="73" t="s">
        <v>48</v>
      </c>
      <c r="E31" s="73"/>
      <c r="F31" s="73" t="s">
        <v>49</v>
      </c>
      <c r="G31" s="73"/>
      <c r="H31" s="54" t="s">
        <v>50</v>
      </c>
      <c r="I31" s="25" t="s">
        <v>51</v>
      </c>
      <c r="M31"/>
    </row>
    <row r="32" spans="2:13" ht="39" customHeight="1" x14ac:dyDescent="0.2">
      <c r="B32" s="31" t="s">
        <v>75</v>
      </c>
      <c r="C32" s="25" t="s">
        <v>74</v>
      </c>
      <c r="D32" s="65"/>
      <c r="E32" s="66"/>
      <c r="F32" s="65">
        <f>+K2</f>
        <v>1650</v>
      </c>
      <c r="G32" s="66"/>
      <c r="H32" s="32">
        <v>0.9</v>
      </c>
      <c r="I32" s="33">
        <f>+H32*F32</f>
        <v>1485</v>
      </c>
      <c r="K32" s="34"/>
      <c r="M32" s="35"/>
    </row>
    <row r="33" spans="2:11" ht="21" customHeight="1" x14ac:dyDescent="0.2">
      <c r="B33" s="36" t="s">
        <v>52</v>
      </c>
      <c r="C33" s="36"/>
      <c r="D33" s="57"/>
      <c r="E33" s="58"/>
      <c r="F33" s="57"/>
      <c r="G33" s="58"/>
      <c r="H33" s="32"/>
      <c r="I33" s="54"/>
    </row>
    <row r="34" spans="2:11" ht="21.75" customHeight="1" x14ac:dyDescent="0.2">
      <c r="B34" s="36" t="s">
        <v>53</v>
      </c>
      <c r="C34" s="36"/>
      <c r="D34" s="63"/>
      <c r="E34" s="64"/>
      <c r="F34" s="65">
        <f>SUM(F32:G33)</f>
        <v>1650</v>
      </c>
      <c r="G34" s="66"/>
      <c r="H34" s="36"/>
      <c r="I34" s="37">
        <f>SUM(I32:I33)</f>
        <v>1485</v>
      </c>
      <c r="J34" s="38"/>
      <c r="K34" s="38"/>
    </row>
    <row r="35" spans="2:11" ht="21.75" customHeight="1" x14ac:dyDescent="0.2">
      <c r="B35" s="39" t="s">
        <v>54</v>
      </c>
      <c r="C35" s="36"/>
      <c r="D35" s="57"/>
      <c r="E35" s="58"/>
      <c r="F35" s="57"/>
      <c r="G35" s="58"/>
      <c r="H35" s="36"/>
      <c r="I35" s="54"/>
      <c r="J35" s="38"/>
    </row>
    <row r="36" spans="2:11" ht="21.75" customHeight="1" x14ac:dyDescent="0.2">
      <c r="B36" s="39" t="s">
        <v>55</v>
      </c>
      <c r="C36" s="36"/>
      <c r="D36" s="57"/>
      <c r="E36" s="58"/>
      <c r="F36" s="57"/>
      <c r="G36" s="58"/>
      <c r="H36" s="36"/>
      <c r="I36" s="37">
        <f>+I34</f>
        <v>1485</v>
      </c>
    </row>
    <row r="37" spans="2:11" ht="20.25" customHeight="1" x14ac:dyDescent="0.2">
      <c r="B37" s="36" t="s">
        <v>56</v>
      </c>
      <c r="C37" s="57" t="s">
        <v>57</v>
      </c>
      <c r="D37" s="59"/>
      <c r="E37" s="59"/>
      <c r="F37" s="59"/>
      <c r="G37" s="59"/>
      <c r="H37" s="58"/>
      <c r="I37" s="40"/>
    </row>
    <row r="38" spans="2:11" ht="21" customHeight="1" x14ac:dyDescent="0.2">
      <c r="B38" s="39" t="s">
        <v>58</v>
      </c>
      <c r="C38" s="36"/>
      <c r="D38" s="36"/>
      <c r="E38" s="36"/>
      <c r="F38" s="36"/>
      <c r="G38" s="36"/>
      <c r="H38" s="36"/>
      <c r="I38" s="37">
        <f>+I36+I37</f>
        <v>1485</v>
      </c>
    </row>
    <row r="39" spans="2:11" ht="18.75" customHeight="1" x14ac:dyDescent="0.2">
      <c r="B39" s="10"/>
      <c r="C39" s="11"/>
      <c r="D39" s="11"/>
      <c r="E39" s="11"/>
      <c r="F39" s="11"/>
      <c r="G39" s="11"/>
      <c r="H39" s="11"/>
      <c r="I39" s="15"/>
    </row>
    <row r="40" spans="2:11" x14ac:dyDescent="0.2">
      <c r="B40" s="10"/>
      <c r="C40" s="11"/>
      <c r="D40" s="11"/>
      <c r="E40" s="11"/>
      <c r="F40" s="11"/>
      <c r="G40" s="11"/>
      <c r="H40" s="11"/>
      <c r="I40" s="15"/>
    </row>
    <row r="41" spans="2:11" x14ac:dyDescent="0.2">
      <c r="B41" s="41" t="s">
        <v>59</v>
      </c>
      <c r="C41" s="42"/>
      <c r="D41" s="42"/>
      <c r="E41" s="42"/>
      <c r="F41" s="42"/>
      <c r="G41" s="42"/>
      <c r="H41" s="42"/>
      <c r="I41" s="43"/>
    </row>
    <row r="42" spans="2:11" x14ac:dyDescent="0.2">
      <c r="B42" s="44" t="s">
        <v>60</v>
      </c>
      <c r="C42" s="45"/>
      <c r="D42" s="45"/>
      <c r="E42" s="45"/>
      <c r="F42" s="45"/>
      <c r="G42" s="45"/>
      <c r="H42" s="45"/>
      <c r="I42" s="46"/>
    </row>
    <row r="43" spans="2:11" x14ac:dyDescent="0.2">
      <c r="B43" s="10"/>
      <c r="C43" s="11"/>
      <c r="D43" s="11"/>
      <c r="E43" s="11"/>
      <c r="F43" s="11"/>
      <c r="G43" s="11"/>
      <c r="H43" s="11"/>
      <c r="I43" s="15"/>
    </row>
    <row r="44" spans="2:11" x14ac:dyDescent="0.2">
      <c r="B44" s="10" t="s">
        <v>61</v>
      </c>
      <c r="C44" s="11"/>
      <c r="D44" s="11"/>
      <c r="E44" s="11"/>
      <c r="F44" s="11"/>
      <c r="G44" s="11"/>
      <c r="H44" s="11"/>
      <c r="I44" s="15"/>
    </row>
    <row r="45" spans="2:11" x14ac:dyDescent="0.2">
      <c r="B45" s="10"/>
      <c r="C45" s="11"/>
      <c r="D45" s="11"/>
      <c r="E45" s="11"/>
      <c r="F45" s="11"/>
      <c r="G45" s="11"/>
      <c r="H45" s="11"/>
      <c r="I45" s="15"/>
    </row>
    <row r="46" spans="2:11" x14ac:dyDescent="0.2">
      <c r="B46" s="60" t="s">
        <v>62</v>
      </c>
      <c r="C46" s="60"/>
      <c r="D46" s="60"/>
      <c r="E46" s="47" t="s">
        <v>63</v>
      </c>
      <c r="F46" s="47"/>
      <c r="G46" s="47"/>
      <c r="H46" s="47"/>
      <c r="I46" s="47"/>
    </row>
    <row r="47" spans="2:11" x14ac:dyDescent="0.2">
      <c r="B47" s="44"/>
      <c r="C47" s="45" t="s">
        <v>78</v>
      </c>
      <c r="D47" s="46"/>
      <c r="E47" s="48" t="s">
        <v>64</v>
      </c>
      <c r="F47" s="48"/>
      <c r="G47" s="48"/>
      <c r="H47" s="44"/>
      <c r="I47" s="46"/>
    </row>
    <row r="48" spans="2:11" x14ac:dyDescent="0.2">
      <c r="B48" s="10"/>
      <c r="C48" s="11"/>
      <c r="D48" s="11"/>
      <c r="E48" s="11"/>
      <c r="F48" s="11"/>
      <c r="G48" s="11"/>
      <c r="H48" s="11"/>
      <c r="I48" s="15"/>
    </row>
    <row r="49" spans="2:11" x14ac:dyDescent="0.2">
      <c r="B49" s="10" t="s">
        <v>65</v>
      </c>
      <c r="C49" s="11"/>
      <c r="D49" s="11"/>
      <c r="E49" s="11"/>
      <c r="F49" s="11"/>
      <c r="G49" s="11"/>
      <c r="H49" s="11"/>
      <c r="I49" s="15"/>
    </row>
    <row r="50" spans="2:11" x14ac:dyDescent="0.2">
      <c r="B50" s="10" t="s">
        <v>66</v>
      </c>
      <c r="C50" s="11"/>
      <c r="D50" s="11"/>
      <c r="E50" s="11"/>
      <c r="F50" s="11"/>
      <c r="G50" s="11"/>
      <c r="H50" s="11"/>
      <c r="I50" s="15"/>
    </row>
    <row r="51" spans="2:11" x14ac:dyDescent="0.2">
      <c r="B51" s="10"/>
      <c r="C51" s="11"/>
      <c r="D51" s="11"/>
      <c r="E51" s="11"/>
      <c r="F51" s="11"/>
      <c r="G51" s="11"/>
      <c r="H51" s="11"/>
      <c r="I51" s="15"/>
    </row>
    <row r="52" spans="2:11" x14ac:dyDescent="0.2">
      <c r="B52" s="10"/>
      <c r="C52" s="11"/>
      <c r="D52" s="11"/>
      <c r="E52" s="11"/>
      <c r="F52" s="11"/>
      <c r="G52" s="11" t="s">
        <v>67</v>
      </c>
      <c r="H52" s="11" t="s">
        <v>77</v>
      </c>
      <c r="I52" s="49"/>
      <c r="K52">
        <v>24</v>
      </c>
    </row>
    <row r="53" spans="2:11" x14ac:dyDescent="0.2">
      <c r="B53" s="10"/>
      <c r="C53" s="11"/>
      <c r="D53" s="11"/>
      <c r="E53" s="11"/>
      <c r="F53" s="11"/>
      <c r="G53" s="11"/>
      <c r="H53" s="50"/>
      <c r="I53" s="15"/>
    </row>
    <row r="54" spans="2:11" x14ac:dyDescent="0.2">
      <c r="B54" s="10"/>
      <c r="C54" s="11"/>
      <c r="D54" s="11"/>
      <c r="E54" s="11"/>
      <c r="F54" s="11"/>
      <c r="G54" s="11"/>
      <c r="H54" s="11"/>
      <c r="I54" s="15"/>
    </row>
    <row r="55" spans="2:11" x14ac:dyDescent="0.2">
      <c r="B55" s="10"/>
      <c r="C55" s="61" t="s">
        <v>68</v>
      </c>
      <c r="D55" s="61"/>
      <c r="E55" s="11"/>
      <c r="F55" s="11"/>
      <c r="G55" s="11"/>
      <c r="H55" s="11"/>
      <c r="I55" s="15"/>
    </row>
    <row r="56" spans="2:11" x14ac:dyDescent="0.2">
      <c r="B56" s="10"/>
      <c r="C56" s="62" t="s">
        <v>69</v>
      </c>
      <c r="D56" s="62"/>
      <c r="E56" s="11"/>
      <c r="F56" s="11"/>
      <c r="G56" s="11"/>
      <c r="H56" s="11"/>
      <c r="I56" s="15"/>
      <c r="K56">
        <v>24</v>
      </c>
    </row>
    <row r="57" spans="2:11" x14ac:dyDescent="0.2">
      <c r="B57" s="44"/>
      <c r="C57" s="56"/>
      <c r="D57" s="56"/>
      <c r="E57" s="45"/>
      <c r="F57" s="45"/>
      <c r="G57" s="45"/>
      <c r="H57" s="45"/>
      <c r="I57" s="45"/>
    </row>
    <row r="58" spans="2:11" x14ac:dyDescent="0.2">
      <c r="B58" s="11"/>
      <c r="C58" s="11"/>
      <c r="D58" s="11"/>
      <c r="E58" s="11"/>
      <c r="F58" s="11"/>
      <c r="G58" s="11"/>
      <c r="H58" s="11"/>
      <c r="I58" s="11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'D:\0 DATA SRI\EKSPORT\1. GAP\Shipment GAP\2026\2. FEBRUARI\02.02.2026\[INVOICE 02.02.2026 CMT.XLSX]Sheet1'!#REF!</xm:f>
          </x14:formula1>
          <xm:sqref>G13 B14</xm:sqref>
        </x14:dataValidation>
        <x14:dataValidation type="list" allowBlank="1" showInputMessage="1" showErrorMessage="1">
          <x14:formula1>
            <xm:f>'D:\0 DATA SRI\EKSPORT\1. GAP\Shipment GAP\2026\2. FEBRUARI\02.02.2026\[INVOICE 02.02.2026 FOB.XLSX]Sheet1'!#REF!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V58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7" customFormat="1" ht="90" customHeight="1" thickBot="1" x14ac:dyDescent="0.45">
      <c r="B1" s="1"/>
      <c r="C1" s="2"/>
      <c r="D1" s="2"/>
      <c r="E1" s="2"/>
      <c r="F1" s="2"/>
      <c r="G1" s="2"/>
      <c r="H1" s="2"/>
      <c r="I1" s="3"/>
      <c r="J1" s="4"/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6"/>
      <c r="S1" s="6"/>
      <c r="T1" s="6"/>
      <c r="U1" s="6"/>
      <c r="V1" s="6"/>
    </row>
    <row r="2" spans="2:22" ht="33.75" customHeight="1" thickTop="1" x14ac:dyDescent="0.2">
      <c r="B2" s="67" t="s">
        <v>90</v>
      </c>
      <c r="C2" s="68"/>
      <c r="D2" s="68"/>
      <c r="E2" s="68"/>
      <c r="F2" s="68"/>
      <c r="G2" s="68"/>
      <c r="H2" s="68"/>
      <c r="I2" s="69"/>
      <c r="J2" s="8">
        <v>60576797</v>
      </c>
      <c r="K2" s="9">
        <v>660</v>
      </c>
      <c r="L2" s="9">
        <v>9</v>
      </c>
      <c r="M2" s="9">
        <v>87.584999999999994</v>
      </c>
      <c r="N2" s="9">
        <v>88.905000000000001</v>
      </c>
      <c r="O2" s="9">
        <v>96.905000000000001</v>
      </c>
      <c r="P2" s="9" t="s">
        <v>7</v>
      </c>
      <c r="Q2" s="9">
        <v>0.44700000000000001</v>
      </c>
      <c r="R2" s="9" t="s">
        <v>8</v>
      </c>
    </row>
    <row r="3" spans="2:22" x14ac:dyDescent="0.2">
      <c r="B3" s="10" t="s">
        <v>9</v>
      </c>
      <c r="C3" s="52">
        <f>+'354. 61420565'!C3+1</f>
        <v>355</v>
      </c>
      <c r="D3" s="11"/>
      <c r="E3" s="11"/>
      <c r="F3" s="11"/>
      <c r="G3" s="11" t="s">
        <v>10</v>
      </c>
      <c r="H3" s="12">
        <v>46075</v>
      </c>
      <c r="I3" s="13"/>
    </row>
    <row r="4" spans="2:22" ht="15" x14ac:dyDescent="0.2">
      <c r="B4" s="10"/>
      <c r="C4" s="11"/>
      <c r="D4" s="11"/>
      <c r="E4" s="11"/>
      <c r="F4" s="11"/>
      <c r="G4" s="11"/>
      <c r="H4" s="14" t="s">
        <v>11</v>
      </c>
      <c r="I4" s="15"/>
      <c r="K4" t="s">
        <v>76</v>
      </c>
    </row>
    <row r="5" spans="2:22" x14ac:dyDescent="0.2">
      <c r="B5" s="16" t="s">
        <v>12</v>
      </c>
      <c r="C5" s="11"/>
      <c r="D5" s="11"/>
      <c r="E5" s="11"/>
      <c r="F5" s="17" t="s">
        <v>13</v>
      </c>
      <c r="G5" s="11" t="s">
        <v>14</v>
      </c>
      <c r="H5" s="11"/>
      <c r="I5" s="15"/>
    </row>
    <row r="6" spans="2:22" x14ac:dyDescent="0.2">
      <c r="B6" s="10" t="s">
        <v>15</v>
      </c>
      <c r="C6" s="11"/>
      <c r="D6" s="11"/>
      <c r="E6" s="11"/>
      <c r="F6" s="11"/>
      <c r="G6" s="11" t="s">
        <v>16</v>
      </c>
      <c r="H6" s="11"/>
      <c r="I6" s="15"/>
    </row>
    <row r="7" spans="2:22" x14ac:dyDescent="0.2">
      <c r="B7" s="10" t="s">
        <v>17</v>
      </c>
      <c r="C7" s="11"/>
      <c r="D7" s="11"/>
      <c r="E7" s="11"/>
      <c r="F7" s="11"/>
      <c r="G7" s="11" t="s">
        <v>18</v>
      </c>
      <c r="H7" s="11"/>
      <c r="I7" s="15"/>
    </row>
    <row r="8" spans="2:22" x14ac:dyDescent="0.2">
      <c r="B8" s="10" t="s">
        <v>19</v>
      </c>
      <c r="C8" s="11"/>
      <c r="D8" s="11"/>
      <c r="E8" s="11"/>
      <c r="F8" s="11"/>
      <c r="G8" s="11" t="s">
        <v>20</v>
      </c>
      <c r="H8" s="11"/>
      <c r="I8" s="15"/>
    </row>
    <row r="9" spans="2:22" x14ac:dyDescent="0.2">
      <c r="B9" s="10" t="s">
        <v>21</v>
      </c>
      <c r="C9" s="11"/>
      <c r="D9" s="11"/>
      <c r="E9" s="11"/>
      <c r="F9" s="11"/>
      <c r="G9" s="11"/>
      <c r="H9" s="11"/>
      <c r="I9" s="15"/>
    </row>
    <row r="10" spans="2:22" x14ac:dyDescent="0.2">
      <c r="B10" s="10" t="s">
        <v>22</v>
      </c>
      <c r="C10" s="11"/>
      <c r="D10" s="11"/>
      <c r="E10" s="11"/>
      <c r="F10" s="11"/>
      <c r="G10" s="11"/>
      <c r="H10" s="11"/>
      <c r="I10" s="15"/>
    </row>
    <row r="11" spans="2:22" x14ac:dyDescent="0.2">
      <c r="B11" s="10"/>
      <c r="C11" s="11"/>
      <c r="D11" s="11"/>
      <c r="E11" s="11"/>
      <c r="F11" s="11"/>
      <c r="G11" s="11"/>
      <c r="H11" s="11"/>
      <c r="I11" s="15"/>
    </row>
    <row r="12" spans="2:22" x14ac:dyDescent="0.2">
      <c r="B12" s="10"/>
      <c r="C12" s="11"/>
      <c r="D12" s="11"/>
      <c r="E12" s="11"/>
      <c r="F12" s="11"/>
      <c r="G12" s="11"/>
      <c r="H12" s="11"/>
      <c r="I12" s="15"/>
    </row>
    <row r="13" spans="2:22" x14ac:dyDescent="0.2">
      <c r="B13" s="18" t="s">
        <v>23</v>
      </c>
      <c r="C13" s="11"/>
      <c r="D13" s="11"/>
      <c r="E13" s="11"/>
      <c r="F13" s="17" t="s">
        <v>24</v>
      </c>
      <c r="G13" s="19" t="s">
        <v>82</v>
      </c>
      <c r="H13" s="11"/>
      <c r="I13" s="15"/>
    </row>
    <row r="14" spans="2:22" x14ac:dyDescent="0.2">
      <c r="B14" s="10" t="s">
        <v>71</v>
      </c>
      <c r="C14" s="11"/>
      <c r="D14" s="11"/>
      <c r="E14" s="11"/>
      <c r="F14" s="11"/>
      <c r="G14" s="19" t="s">
        <v>83</v>
      </c>
      <c r="H14" s="11"/>
      <c r="I14" s="15"/>
    </row>
    <row r="15" spans="2:22" x14ac:dyDescent="0.2">
      <c r="B15" s="20" t="str">
        <f>IF(B14=[4]Sheet1!D5,[4]Sheet1!D6,IF(B14=[4]Sheet1!D11,[4]Sheet1!D12,IF(B14=[4]Sheet1!D17,[4]Sheet1!D18,IF(B14=[4]Sheet1!D23,[4]Sheet1!D24,IF(B14=[4]Sheet1!D29,[4]Sheet1!D30,IF(B14=[4]Sheet1!D35,[4]Sheet1!D36,IF(B14=[4]Sheet1!D41,[4]Sheet1!D42,IF(B14=[4]Sheet1!D47,[4]Sheet1!D48))))))))</f>
        <v>2 FOLSOM STREET</v>
      </c>
      <c r="C15" s="11"/>
      <c r="D15" s="11"/>
      <c r="E15" s="11"/>
      <c r="F15" s="11"/>
      <c r="G15" s="19" t="s">
        <v>84</v>
      </c>
      <c r="H15" s="11"/>
      <c r="I15" s="15"/>
    </row>
    <row r="16" spans="2:22" x14ac:dyDescent="0.2">
      <c r="B16" s="20" t="str">
        <f>IF(B15=[4]Sheet1!D6,[4]Sheet1!D7,IF(B15=[4]Sheet1!D12,[4]Sheet1!D13,IF(B15=[4]Sheet1!D18,[4]Sheet1!D19,IF(B15=[4]Sheet1!D24,[4]Sheet1!D25,IF(B15=[4]Sheet1!D30,[4]Sheet1!D31,IF(B15=[4]Sheet1!D36,[4]Sheet1!D37,IF(B15=[4]Sheet1!D42,[4]Sheet1!D43,IF(B15=[4]Sheet1!D48,[4]Sheet1!D49))))))))</f>
        <v>SAN FRANCISCO, CALIFORNIA</v>
      </c>
      <c r="C16" s="11"/>
      <c r="D16" s="11"/>
      <c r="E16" s="11"/>
      <c r="F16" s="11"/>
      <c r="G16" s="19">
        <v>93727</v>
      </c>
      <c r="H16" s="11"/>
      <c r="I16" s="15"/>
    </row>
    <row r="17" spans="2:13" x14ac:dyDescent="0.2">
      <c r="B17" s="20" t="str">
        <f>IF(B16=[4]Sheet1!D7,[4]Sheet1!D8,IF(B16=[4]Sheet1!D13,[4]Sheet1!D14,IF(B16=[4]Sheet1!D19,[4]Sheet1!D20,IF(B16=[4]Sheet1!D25,[4]Sheet1!D26,IF(B16=[4]Sheet1!D31,[4]Sheet1!D32,IF(B16=[4]Sheet1!D37,[4]Sheet1!D38,IF(B16=[4]Sheet1!D43,[4]Sheet1!D44,IF(B16=[4]Sheet1!D49,[4]Sheet1!D50))))))))</f>
        <v>94105</v>
      </c>
      <c r="C17" s="11"/>
      <c r="D17" s="11"/>
      <c r="E17" s="11"/>
      <c r="F17" s="11"/>
      <c r="G17" s="19" t="s">
        <v>72</v>
      </c>
      <c r="H17" s="11"/>
      <c r="I17" s="15"/>
    </row>
    <row r="18" spans="2:13" x14ac:dyDescent="0.2">
      <c r="B18" s="20" t="str">
        <f>IF(B17=[4]Sheet1!D8,[4]Sheet1!D9,IF(B17=[4]Sheet1!D14,[4]Sheet1!D15,IF(B17=[4]Sheet1!D20,[4]Sheet1!D21,IF(B17=[4]Sheet1!D26,[4]Sheet1!D27,IF(B17=[4]Sheet1!D32,[4]Sheet1!D33,IF(B17=[4]Sheet1!D38,[4]Sheet1!D39,IF(B17=[4]Sheet1!D44,[4]Sheet1!D45,IF(B17=[4]Sheet1!D50,[4]Sheet1!D51))))))))</f>
        <v>UNITED STATES</v>
      </c>
      <c r="C18" s="11"/>
      <c r="D18" s="11"/>
      <c r="E18" s="11"/>
      <c r="F18" s="11"/>
      <c r="G18" s="11"/>
      <c r="H18" s="11"/>
      <c r="I18" s="15"/>
    </row>
    <row r="19" spans="2:13" x14ac:dyDescent="0.2">
      <c r="B19" s="10"/>
      <c r="C19" s="11"/>
      <c r="D19" s="11"/>
      <c r="E19" s="11"/>
      <c r="F19" s="11"/>
      <c r="G19" s="11"/>
      <c r="H19" s="11"/>
      <c r="I19" s="15"/>
    </row>
    <row r="20" spans="2:13" s="23" customFormat="1" ht="27" customHeight="1" x14ac:dyDescent="0.2">
      <c r="B20" s="21" t="s">
        <v>25</v>
      </c>
      <c r="C20" s="22" t="s">
        <v>26</v>
      </c>
      <c r="D20" s="22" t="s">
        <v>27</v>
      </c>
      <c r="E20" s="21" t="s">
        <v>28</v>
      </c>
      <c r="F20" s="22" t="s">
        <v>29</v>
      </c>
      <c r="G20" s="21" t="s">
        <v>30</v>
      </c>
      <c r="H20" s="21" t="s">
        <v>31</v>
      </c>
      <c r="I20" s="21" t="s">
        <v>32</v>
      </c>
    </row>
    <row r="21" spans="2:13" s="23" customFormat="1" ht="24" customHeight="1" x14ac:dyDescent="0.2">
      <c r="B21" s="54">
        <f>J2</f>
        <v>60576797</v>
      </c>
      <c r="C21" s="55">
        <v>416363</v>
      </c>
      <c r="D21" s="25" t="str">
        <f>IF(LEFT(B14,2)="OL","OLD NAVY",IF(LEFT(B14,2)="TH","THE GAP",IF(LEFT(B14,2)="GA","GAP",IF(LEFT(B14,2)="GP","OLD NAVY"))))</f>
        <v>OLD NAVY</v>
      </c>
      <c r="E21" s="25" t="s">
        <v>73</v>
      </c>
      <c r="F21" s="54" t="s">
        <v>33</v>
      </c>
      <c r="G21" s="54"/>
      <c r="H21" s="26" t="str">
        <f>IF(LEFT(G17,2)="CA","CA",IF(LEFT(G17,2)="UN","US",IF(LEFT(G17,2)="PA","PA",IF(LEFT(G17,2)="JA","JP"))))</f>
        <v>US</v>
      </c>
      <c r="I21" s="54" t="s">
        <v>34</v>
      </c>
      <c r="K21" s="23">
        <v>24</v>
      </c>
    </row>
    <row r="22" spans="2:13" s="27" customFormat="1" ht="30.75" customHeight="1" x14ac:dyDescent="0.2">
      <c r="B22" s="21" t="s">
        <v>35</v>
      </c>
      <c r="C22" s="21" t="s">
        <v>36</v>
      </c>
      <c r="D22" s="21" t="s">
        <v>37</v>
      </c>
      <c r="E22" s="21" t="s">
        <v>38</v>
      </c>
      <c r="F22" s="21" t="s">
        <v>39</v>
      </c>
      <c r="G22" s="21" t="s">
        <v>40</v>
      </c>
      <c r="H22" s="21" t="s">
        <v>41</v>
      </c>
      <c r="I22" s="21" t="s">
        <v>42</v>
      </c>
    </row>
    <row r="23" spans="2:13" s="23" customFormat="1" ht="18.75" customHeight="1" x14ac:dyDescent="0.2">
      <c r="B23" s="54" t="s">
        <v>70</v>
      </c>
      <c r="C23" s="54"/>
      <c r="D23" s="54" t="s">
        <v>43</v>
      </c>
      <c r="E23" s="54" t="str">
        <f>+D23</f>
        <v>JAKARTA,ID</v>
      </c>
      <c r="F23" s="28">
        <f>+O2</f>
        <v>96.905000000000001</v>
      </c>
      <c r="G23" s="28">
        <f>+N2</f>
        <v>88.905000000000001</v>
      </c>
      <c r="H23" s="28">
        <f>+M2</f>
        <v>87.584999999999994</v>
      </c>
      <c r="I23" s="54">
        <f>+L2</f>
        <v>9</v>
      </c>
    </row>
    <row r="24" spans="2:13" x14ac:dyDescent="0.2">
      <c r="B24" s="10"/>
      <c r="C24" s="11"/>
      <c r="D24" s="11"/>
      <c r="E24" s="11"/>
      <c r="F24" s="29"/>
      <c r="G24" s="11"/>
      <c r="H24" s="11"/>
      <c r="I24" s="15"/>
    </row>
    <row r="25" spans="2:13" x14ac:dyDescent="0.2">
      <c r="B25" s="10"/>
      <c r="C25" s="11"/>
      <c r="D25" s="11"/>
      <c r="E25" s="11"/>
      <c r="F25" s="11"/>
      <c r="G25" s="11"/>
      <c r="H25" s="11"/>
      <c r="I25" s="15"/>
    </row>
    <row r="26" spans="2:13" x14ac:dyDescent="0.2">
      <c r="B26" s="57" t="s">
        <v>44</v>
      </c>
      <c r="C26" s="59"/>
      <c r="D26" s="59"/>
      <c r="E26" s="59"/>
      <c r="F26" s="59"/>
      <c r="G26" s="59"/>
      <c r="H26" s="59"/>
      <c r="I26" s="58"/>
    </row>
    <row r="27" spans="2:13" ht="24.75" customHeight="1" x14ac:dyDescent="0.2">
      <c r="B27" s="70" t="str">
        <f>+K4</f>
        <v>BOYS COTTON FIBERS, KNIT SHIRT, WITH NECK CLOSURE, STITCH COUNT EQUAL OR IS GREATER THAN 10/1CM, HEM BOTTOM [60% COTTON 40% POLYESTER]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30"/>
      <c r="C28" s="11"/>
      <c r="D28" s="11"/>
      <c r="E28" s="11"/>
      <c r="F28" s="11"/>
      <c r="G28" s="11"/>
      <c r="H28" s="11"/>
      <c r="I28" s="15"/>
    </row>
    <row r="29" spans="2:13" x14ac:dyDescent="0.2">
      <c r="B29" s="10" t="s">
        <v>45</v>
      </c>
      <c r="C29" s="11"/>
      <c r="D29" s="11"/>
      <c r="E29" s="11"/>
      <c r="F29" s="11"/>
      <c r="G29" s="11"/>
      <c r="H29" s="11"/>
      <c r="I29" s="15"/>
    </row>
    <row r="30" spans="2:13" x14ac:dyDescent="0.2">
      <c r="B30" s="10"/>
      <c r="C30" s="11"/>
      <c r="D30" s="11"/>
      <c r="E30" s="11"/>
      <c r="F30" s="11"/>
      <c r="G30" s="11"/>
      <c r="H30" s="11"/>
      <c r="I30" s="15"/>
    </row>
    <row r="31" spans="2:13" s="23" customFormat="1" ht="25.5" customHeight="1" x14ac:dyDescent="0.2">
      <c r="B31" s="54" t="s">
        <v>46</v>
      </c>
      <c r="C31" s="54" t="s">
        <v>47</v>
      </c>
      <c r="D31" s="73" t="s">
        <v>48</v>
      </c>
      <c r="E31" s="73"/>
      <c r="F31" s="73" t="s">
        <v>49</v>
      </c>
      <c r="G31" s="73"/>
      <c r="H31" s="54" t="s">
        <v>50</v>
      </c>
      <c r="I31" s="25" t="s">
        <v>51</v>
      </c>
      <c r="M31"/>
    </row>
    <row r="32" spans="2:13" ht="39" customHeight="1" x14ac:dyDescent="0.2">
      <c r="B32" s="31" t="s">
        <v>75</v>
      </c>
      <c r="C32" s="25" t="s">
        <v>74</v>
      </c>
      <c r="D32" s="65"/>
      <c r="E32" s="66"/>
      <c r="F32" s="65">
        <f>+K2</f>
        <v>660</v>
      </c>
      <c r="G32" s="66"/>
      <c r="H32" s="32">
        <v>0.9</v>
      </c>
      <c r="I32" s="33">
        <f>+H32*F32</f>
        <v>594</v>
      </c>
      <c r="K32" s="34"/>
      <c r="M32" s="35"/>
    </row>
    <row r="33" spans="2:11" ht="21" customHeight="1" x14ac:dyDescent="0.2">
      <c r="B33" s="36" t="s">
        <v>52</v>
      </c>
      <c r="C33" s="36"/>
      <c r="D33" s="57"/>
      <c r="E33" s="58"/>
      <c r="F33" s="57"/>
      <c r="G33" s="58"/>
      <c r="H33" s="32"/>
      <c r="I33" s="54"/>
    </row>
    <row r="34" spans="2:11" ht="21.75" customHeight="1" x14ac:dyDescent="0.2">
      <c r="B34" s="36" t="s">
        <v>53</v>
      </c>
      <c r="C34" s="36"/>
      <c r="D34" s="63"/>
      <c r="E34" s="64"/>
      <c r="F34" s="65">
        <f>SUM(F32:G33)</f>
        <v>660</v>
      </c>
      <c r="G34" s="66"/>
      <c r="H34" s="36"/>
      <c r="I34" s="37">
        <f>SUM(I32:I33)</f>
        <v>594</v>
      </c>
      <c r="J34" s="38"/>
      <c r="K34" s="38"/>
    </row>
    <row r="35" spans="2:11" ht="21.75" customHeight="1" x14ac:dyDescent="0.2">
      <c r="B35" s="39" t="s">
        <v>54</v>
      </c>
      <c r="C35" s="36"/>
      <c r="D35" s="57"/>
      <c r="E35" s="58"/>
      <c r="F35" s="57"/>
      <c r="G35" s="58"/>
      <c r="H35" s="36"/>
      <c r="I35" s="54"/>
      <c r="J35" s="38"/>
    </row>
    <row r="36" spans="2:11" ht="21.75" customHeight="1" x14ac:dyDescent="0.2">
      <c r="B36" s="39" t="s">
        <v>55</v>
      </c>
      <c r="C36" s="36"/>
      <c r="D36" s="57"/>
      <c r="E36" s="58"/>
      <c r="F36" s="57"/>
      <c r="G36" s="58"/>
      <c r="H36" s="36"/>
      <c r="I36" s="37">
        <f>+I34</f>
        <v>594</v>
      </c>
    </row>
    <row r="37" spans="2:11" ht="20.25" customHeight="1" x14ac:dyDescent="0.2">
      <c r="B37" s="36" t="s">
        <v>56</v>
      </c>
      <c r="C37" s="57" t="s">
        <v>57</v>
      </c>
      <c r="D37" s="59"/>
      <c r="E37" s="59"/>
      <c r="F37" s="59"/>
      <c r="G37" s="59"/>
      <c r="H37" s="58"/>
      <c r="I37" s="40"/>
    </row>
    <row r="38" spans="2:11" ht="21" customHeight="1" x14ac:dyDescent="0.2">
      <c r="B38" s="39" t="s">
        <v>58</v>
      </c>
      <c r="C38" s="36"/>
      <c r="D38" s="36"/>
      <c r="E38" s="36"/>
      <c r="F38" s="36"/>
      <c r="G38" s="36"/>
      <c r="H38" s="36"/>
      <c r="I38" s="37">
        <f>+I36+I37</f>
        <v>594</v>
      </c>
    </row>
    <row r="39" spans="2:11" ht="18.75" customHeight="1" x14ac:dyDescent="0.2">
      <c r="B39" s="10"/>
      <c r="C39" s="11"/>
      <c r="D39" s="11"/>
      <c r="E39" s="11"/>
      <c r="F39" s="11"/>
      <c r="G39" s="11"/>
      <c r="H39" s="11"/>
      <c r="I39" s="15"/>
    </row>
    <row r="40" spans="2:11" x14ac:dyDescent="0.2">
      <c r="B40" s="10"/>
      <c r="C40" s="11"/>
      <c r="D40" s="11"/>
      <c r="E40" s="11"/>
      <c r="F40" s="11"/>
      <c r="G40" s="11"/>
      <c r="H40" s="11"/>
      <c r="I40" s="15"/>
    </row>
    <row r="41" spans="2:11" x14ac:dyDescent="0.2">
      <c r="B41" s="41" t="s">
        <v>59</v>
      </c>
      <c r="C41" s="42"/>
      <c r="D41" s="42"/>
      <c r="E41" s="42"/>
      <c r="F41" s="42"/>
      <c r="G41" s="42"/>
      <c r="H41" s="42"/>
      <c r="I41" s="43"/>
    </row>
    <row r="42" spans="2:11" x14ac:dyDescent="0.2">
      <c r="B42" s="44" t="s">
        <v>60</v>
      </c>
      <c r="C42" s="45"/>
      <c r="D42" s="45"/>
      <c r="E42" s="45"/>
      <c r="F42" s="45"/>
      <c r="G42" s="45"/>
      <c r="H42" s="45"/>
      <c r="I42" s="46"/>
    </row>
    <row r="43" spans="2:11" x14ac:dyDescent="0.2">
      <c r="B43" s="10"/>
      <c r="C43" s="11"/>
      <c r="D43" s="11"/>
      <c r="E43" s="11"/>
      <c r="F43" s="11"/>
      <c r="G43" s="11"/>
      <c r="H43" s="11"/>
      <c r="I43" s="15"/>
    </row>
    <row r="44" spans="2:11" x14ac:dyDescent="0.2">
      <c r="B44" s="10" t="s">
        <v>61</v>
      </c>
      <c r="C44" s="11"/>
      <c r="D44" s="11"/>
      <c r="E44" s="11"/>
      <c r="F44" s="11"/>
      <c r="G44" s="11"/>
      <c r="H44" s="11"/>
      <c r="I44" s="15"/>
    </row>
    <row r="45" spans="2:11" x14ac:dyDescent="0.2">
      <c r="B45" s="10"/>
      <c r="C45" s="11"/>
      <c r="D45" s="11"/>
      <c r="E45" s="11"/>
      <c r="F45" s="11"/>
      <c r="G45" s="11"/>
      <c r="H45" s="11"/>
      <c r="I45" s="15"/>
    </row>
    <row r="46" spans="2:11" x14ac:dyDescent="0.2">
      <c r="B46" s="60" t="s">
        <v>62</v>
      </c>
      <c r="C46" s="60"/>
      <c r="D46" s="60"/>
      <c r="E46" s="47" t="s">
        <v>63</v>
      </c>
      <c r="F46" s="47"/>
      <c r="G46" s="47"/>
      <c r="H46" s="47"/>
      <c r="I46" s="47"/>
    </row>
    <row r="47" spans="2:11" x14ac:dyDescent="0.2">
      <c r="B47" s="44"/>
      <c r="C47" s="45" t="s">
        <v>78</v>
      </c>
      <c r="D47" s="46"/>
      <c r="E47" s="48" t="s">
        <v>64</v>
      </c>
      <c r="F47" s="48"/>
      <c r="G47" s="48"/>
      <c r="H47" s="44"/>
      <c r="I47" s="46"/>
    </row>
    <row r="48" spans="2:11" x14ac:dyDescent="0.2">
      <c r="B48" s="10"/>
      <c r="C48" s="11"/>
      <c r="D48" s="11"/>
      <c r="E48" s="11"/>
      <c r="F48" s="11"/>
      <c r="G48" s="11"/>
      <c r="H48" s="11"/>
      <c r="I48" s="15"/>
    </row>
    <row r="49" spans="2:11" x14ac:dyDescent="0.2">
      <c r="B49" s="10" t="s">
        <v>65</v>
      </c>
      <c r="C49" s="11"/>
      <c r="D49" s="11"/>
      <c r="E49" s="11"/>
      <c r="F49" s="11"/>
      <c r="G49" s="11"/>
      <c r="H49" s="11"/>
      <c r="I49" s="15"/>
    </row>
    <row r="50" spans="2:11" x14ac:dyDescent="0.2">
      <c r="B50" s="10" t="s">
        <v>66</v>
      </c>
      <c r="C50" s="11"/>
      <c r="D50" s="11"/>
      <c r="E50" s="11"/>
      <c r="F50" s="11"/>
      <c r="G50" s="11"/>
      <c r="H50" s="11"/>
      <c r="I50" s="15"/>
    </row>
    <row r="51" spans="2:11" x14ac:dyDescent="0.2">
      <c r="B51" s="10"/>
      <c r="C51" s="11"/>
      <c r="D51" s="11"/>
      <c r="E51" s="11"/>
      <c r="F51" s="11"/>
      <c r="G51" s="11"/>
      <c r="H51" s="11"/>
      <c r="I51" s="15"/>
    </row>
    <row r="52" spans="2:11" x14ac:dyDescent="0.2">
      <c r="B52" s="10"/>
      <c r="C52" s="11"/>
      <c r="D52" s="11"/>
      <c r="E52" s="11"/>
      <c r="F52" s="11"/>
      <c r="G52" s="11" t="s">
        <v>67</v>
      </c>
      <c r="H52" s="11" t="s">
        <v>77</v>
      </c>
      <c r="I52" s="49"/>
      <c r="K52">
        <v>24</v>
      </c>
    </row>
    <row r="53" spans="2:11" x14ac:dyDescent="0.2">
      <c r="B53" s="10"/>
      <c r="C53" s="11"/>
      <c r="D53" s="11"/>
      <c r="E53" s="11"/>
      <c r="F53" s="11"/>
      <c r="G53" s="11"/>
      <c r="H53" s="50"/>
      <c r="I53" s="15"/>
    </row>
    <row r="54" spans="2:11" x14ac:dyDescent="0.2">
      <c r="B54" s="10"/>
      <c r="C54" s="11"/>
      <c r="D54" s="11"/>
      <c r="E54" s="11"/>
      <c r="F54" s="11"/>
      <c r="G54" s="11"/>
      <c r="H54" s="11"/>
      <c r="I54" s="15"/>
    </row>
    <row r="55" spans="2:11" x14ac:dyDescent="0.2">
      <c r="B55" s="10"/>
      <c r="C55" s="61" t="s">
        <v>68</v>
      </c>
      <c r="D55" s="61"/>
      <c r="E55" s="11"/>
      <c r="F55" s="11"/>
      <c r="G55" s="11"/>
      <c r="H55" s="11"/>
      <c r="I55" s="15"/>
    </row>
    <row r="56" spans="2:11" x14ac:dyDescent="0.2">
      <c r="B56" s="10"/>
      <c r="C56" s="62" t="s">
        <v>69</v>
      </c>
      <c r="D56" s="62"/>
      <c r="E56" s="11"/>
      <c r="F56" s="11"/>
      <c r="G56" s="11"/>
      <c r="H56" s="11"/>
      <c r="I56" s="15"/>
      <c r="K56">
        <v>24</v>
      </c>
    </row>
    <row r="57" spans="2:11" x14ac:dyDescent="0.2">
      <c r="B57" s="44"/>
      <c r="C57" s="56"/>
      <c r="D57" s="56"/>
      <c r="E57" s="45"/>
      <c r="F57" s="45"/>
      <c r="G57" s="45"/>
      <c r="H57" s="45"/>
      <c r="I57" s="45"/>
    </row>
    <row r="58" spans="2:11" x14ac:dyDescent="0.2">
      <c r="B58" s="11"/>
      <c r="C58" s="11"/>
      <c r="D58" s="11"/>
      <c r="E58" s="11"/>
      <c r="F58" s="11"/>
      <c r="G58" s="11"/>
      <c r="H58" s="11"/>
      <c r="I58" s="11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'D:\0 DATA SRI\EKSPORT\1. GAP\Shipment GAP\2026\2. FEBRUARI\02.02.2026\[INVOICE 02.02.2026 CMT.XLSX]Sheet1'!#REF!</xm:f>
          </x14:formula1>
          <xm:sqref>G13 B14</xm:sqref>
        </x14:dataValidation>
        <x14:dataValidation type="list" allowBlank="1" showInputMessage="1" showErrorMessage="1">
          <x14:formula1>
            <xm:f>'D:\0 DATA SRI\EKSPORT\1. GAP\Shipment GAP\2026\2. FEBRUARI\02.02.2026\[INVOICE 02.02.2026 FOB.XLSX]Sheet1'!#REF!</xm:f>
          </x14:formula1>
          <xm:sqref>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V58"/>
  <sheetViews>
    <sheetView view="pageBreakPreview" topLeftCell="A28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7" customFormat="1" ht="90" customHeight="1" thickBot="1" x14ac:dyDescent="0.45">
      <c r="B1" s="1"/>
      <c r="C1" s="2"/>
      <c r="D1" s="2"/>
      <c r="E1" s="2"/>
      <c r="F1" s="2"/>
      <c r="G1" s="2"/>
      <c r="H1" s="2"/>
      <c r="I1" s="3"/>
      <c r="J1" s="4"/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6"/>
      <c r="S1" s="6"/>
      <c r="T1" s="6"/>
      <c r="U1" s="6"/>
      <c r="V1" s="6"/>
    </row>
    <row r="2" spans="2:22" ht="33.75" customHeight="1" thickTop="1" x14ac:dyDescent="0.2">
      <c r="B2" s="67" t="s">
        <v>90</v>
      </c>
      <c r="C2" s="68"/>
      <c r="D2" s="68"/>
      <c r="E2" s="68"/>
      <c r="F2" s="68"/>
      <c r="G2" s="68"/>
      <c r="H2" s="68"/>
      <c r="I2" s="69"/>
      <c r="J2" s="8">
        <v>61420566</v>
      </c>
      <c r="K2" s="9">
        <v>580</v>
      </c>
      <c r="L2" s="9">
        <v>8</v>
      </c>
      <c r="M2" s="9">
        <v>76.7</v>
      </c>
      <c r="N2" s="9">
        <v>77.86</v>
      </c>
      <c r="O2" s="9">
        <v>84.96</v>
      </c>
      <c r="P2" s="9" t="s">
        <v>7</v>
      </c>
      <c r="Q2" s="9">
        <v>0.40300000000000002</v>
      </c>
      <c r="R2" s="9" t="s">
        <v>8</v>
      </c>
    </row>
    <row r="3" spans="2:22" x14ac:dyDescent="0.2">
      <c r="B3" s="10" t="s">
        <v>9</v>
      </c>
      <c r="C3" s="52">
        <f>+'355. 60576797'!C3+1</f>
        <v>356</v>
      </c>
      <c r="D3" s="11"/>
      <c r="E3" s="11"/>
      <c r="F3" s="11"/>
      <c r="G3" s="11" t="s">
        <v>10</v>
      </c>
      <c r="H3" s="12">
        <v>46075</v>
      </c>
      <c r="I3" s="13"/>
    </row>
    <row r="4" spans="2:22" ht="15" x14ac:dyDescent="0.2">
      <c r="B4" s="10"/>
      <c r="C4" s="11"/>
      <c r="D4" s="11"/>
      <c r="E4" s="11"/>
      <c r="F4" s="11"/>
      <c r="G4" s="11"/>
      <c r="H4" s="14" t="s">
        <v>11</v>
      </c>
      <c r="I4" s="15"/>
      <c r="K4" t="s">
        <v>76</v>
      </c>
    </row>
    <row r="5" spans="2:22" x14ac:dyDescent="0.2">
      <c r="B5" s="16" t="s">
        <v>12</v>
      </c>
      <c r="C5" s="11"/>
      <c r="D5" s="11"/>
      <c r="E5" s="11"/>
      <c r="F5" s="17" t="s">
        <v>13</v>
      </c>
      <c r="G5" s="11" t="s">
        <v>14</v>
      </c>
      <c r="H5" s="11"/>
      <c r="I5" s="15"/>
    </row>
    <row r="6" spans="2:22" x14ac:dyDescent="0.2">
      <c r="B6" s="10" t="s">
        <v>15</v>
      </c>
      <c r="C6" s="11"/>
      <c r="D6" s="11"/>
      <c r="E6" s="11"/>
      <c r="F6" s="11"/>
      <c r="G6" s="11" t="s">
        <v>16</v>
      </c>
      <c r="H6" s="11"/>
      <c r="I6" s="15"/>
    </row>
    <row r="7" spans="2:22" x14ac:dyDescent="0.2">
      <c r="B7" s="10" t="s">
        <v>17</v>
      </c>
      <c r="C7" s="11"/>
      <c r="D7" s="11"/>
      <c r="E7" s="11"/>
      <c r="F7" s="11"/>
      <c r="G7" s="11" t="s">
        <v>18</v>
      </c>
      <c r="H7" s="11"/>
      <c r="I7" s="15"/>
    </row>
    <row r="8" spans="2:22" x14ac:dyDescent="0.2">
      <c r="B8" s="10" t="s">
        <v>19</v>
      </c>
      <c r="C8" s="11"/>
      <c r="D8" s="11"/>
      <c r="E8" s="11"/>
      <c r="F8" s="11"/>
      <c r="G8" s="11" t="s">
        <v>20</v>
      </c>
      <c r="H8" s="11"/>
      <c r="I8" s="15"/>
    </row>
    <row r="9" spans="2:22" x14ac:dyDescent="0.2">
      <c r="B9" s="10" t="s">
        <v>21</v>
      </c>
      <c r="C9" s="11"/>
      <c r="D9" s="11"/>
      <c r="E9" s="11"/>
      <c r="F9" s="11"/>
      <c r="G9" s="11"/>
      <c r="H9" s="11"/>
      <c r="I9" s="15"/>
    </row>
    <row r="10" spans="2:22" x14ac:dyDescent="0.2">
      <c r="B10" s="10" t="s">
        <v>22</v>
      </c>
      <c r="C10" s="11"/>
      <c r="D10" s="11"/>
      <c r="E10" s="11"/>
      <c r="F10" s="11"/>
      <c r="G10" s="11"/>
      <c r="H10" s="11"/>
      <c r="I10" s="15"/>
    </row>
    <row r="11" spans="2:22" x14ac:dyDescent="0.2">
      <c r="B11" s="10"/>
      <c r="C11" s="11"/>
      <c r="D11" s="11"/>
      <c r="E11" s="11"/>
      <c r="F11" s="11"/>
      <c r="G11" s="11"/>
      <c r="H11" s="11"/>
      <c r="I11" s="15"/>
    </row>
    <row r="12" spans="2:22" x14ac:dyDescent="0.2">
      <c r="B12" s="10"/>
      <c r="C12" s="11"/>
      <c r="D12" s="11"/>
      <c r="E12" s="11"/>
      <c r="F12" s="11"/>
      <c r="G12" s="11"/>
      <c r="H12" s="11"/>
      <c r="I12" s="15"/>
    </row>
    <row r="13" spans="2:22" x14ac:dyDescent="0.2">
      <c r="B13" s="18" t="s">
        <v>23</v>
      </c>
      <c r="C13" s="11"/>
      <c r="D13" s="11"/>
      <c r="E13" s="11"/>
      <c r="F13" s="17" t="s">
        <v>24</v>
      </c>
      <c r="G13" s="19" t="s">
        <v>85</v>
      </c>
      <c r="H13" s="11"/>
      <c r="I13" s="15"/>
    </row>
    <row r="14" spans="2:22" x14ac:dyDescent="0.2">
      <c r="B14" s="10" t="s">
        <v>71</v>
      </c>
      <c r="C14" s="11"/>
      <c r="D14" s="11"/>
      <c r="E14" s="11"/>
      <c r="F14" s="11"/>
      <c r="G14" s="19" t="s">
        <v>86</v>
      </c>
      <c r="H14" s="11"/>
      <c r="I14" s="15"/>
    </row>
    <row r="15" spans="2:22" x14ac:dyDescent="0.2">
      <c r="B15" s="20" t="str">
        <f>IF(B14=[4]Sheet1!D5,[4]Sheet1!D6,IF(B14=[4]Sheet1!D11,[4]Sheet1!D12,IF(B14=[4]Sheet1!D17,[4]Sheet1!D18,IF(B14=[4]Sheet1!D23,[4]Sheet1!D24,IF(B14=[4]Sheet1!D29,[4]Sheet1!D30,IF(B14=[4]Sheet1!D35,[4]Sheet1!D36,IF(B14=[4]Sheet1!D41,[4]Sheet1!D42,IF(B14=[4]Sheet1!D47,[4]Sheet1!D48))))))))</f>
        <v>2 FOLSOM STREET</v>
      </c>
      <c r="C15" s="11"/>
      <c r="D15" s="11"/>
      <c r="E15" s="11"/>
      <c r="F15" s="11"/>
      <c r="G15" s="19" t="s">
        <v>87</v>
      </c>
      <c r="H15" s="11"/>
      <c r="I15" s="15"/>
    </row>
    <row r="16" spans="2:22" x14ac:dyDescent="0.2">
      <c r="B16" s="20" t="str">
        <f>IF(B15=[4]Sheet1!D6,[4]Sheet1!D7,IF(B15=[4]Sheet1!D12,[4]Sheet1!D13,IF(B15=[4]Sheet1!D18,[4]Sheet1!D19,IF(B15=[4]Sheet1!D24,[4]Sheet1!D25,IF(B15=[4]Sheet1!D30,[4]Sheet1!D31,IF(B15=[4]Sheet1!D36,[4]Sheet1!D37,IF(B15=[4]Sheet1!D42,[4]Sheet1!D43,IF(B15=[4]Sheet1!D48,[4]Sheet1!D49))))))))</f>
        <v>SAN FRANCISCO, CALIFORNIA</v>
      </c>
      <c r="C16" s="11"/>
      <c r="D16" s="11"/>
      <c r="E16" s="11"/>
      <c r="F16" s="11"/>
      <c r="G16" s="19">
        <v>12524</v>
      </c>
      <c r="H16" s="11"/>
      <c r="I16" s="15"/>
    </row>
    <row r="17" spans="2:13" x14ac:dyDescent="0.2">
      <c r="B17" s="20" t="str">
        <f>IF(B16=[4]Sheet1!D7,[4]Sheet1!D8,IF(B16=[4]Sheet1!D13,[4]Sheet1!D14,IF(B16=[4]Sheet1!D19,[4]Sheet1!D20,IF(B16=[4]Sheet1!D25,[4]Sheet1!D26,IF(B16=[4]Sheet1!D31,[4]Sheet1!D32,IF(B16=[4]Sheet1!D37,[4]Sheet1!D38,IF(B16=[4]Sheet1!D43,[4]Sheet1!D44,IF(B16=[4]Sheet1!D49,[4]Sheet1!D50))))))))</f>
        <v>94105</v>
      </c>
      <c r="C17" s="11"/>
      <c r="D17" s="11"/>
      <c r="E17" s="11"/>
      <c r="F17" s="11"/>
      <c r="G17" s="19" t="s">
        <v>72</v>
      </c>
      <c r="H17" s="11"/>
      <c r="I17" s="15"/>
    </row>
    <row r="18" spans="2:13" x14ac:dyDescent="0.2">
      <c r="B18" s="20" t="str">
        <f>IF(B17=[4]Sheet1!D8,[4]Sheet1!D9,IF(B17=[4]Sheet1!D14,[4]Sheet1!D15,IF(B17=[4]Sheet1!D20,[4]Sheet1!D21,IF(B17=[4]Sheet1!D26,[4]Sheet1!D27,IF(B17=[4]Sheet1!D32,[4]Sheet1!D33,IF(B17=[4]Sheet1!D38,[4]Sheet1!D39,IF(B17=[4]Sheet1!D44,[4]Sheet1!D45,IF(B17=[4]Sheet1!D50,[4]Sheet1!D51))))))))</f>
        <v>UNITED STATES</v>
      </c>
      <c r="C18" s="11"/>
      <c r="D18" s="11"/>
      <c r="E18" s="11"/>
      <c r="F18" s="11"/>
      <c r="G18" s="11"/>
      <c r="H18" s="11"/>
      <c r="I18" s="15"/>
    </row>
    <row r="19" spans="2:13" x14ac:dyDescent="0.2">
      <c r="B19" s="10"/>
      <c r="C19" s="11"/>
      <c r="D19" s="11"/>
      <c r="E19" s="11"/>
      <c r="F19" s="11"/>
      <c r="G19" s="11"/>
      <c r="H19" s="11"/>
      <c r="I19" s="15"/>
    </row>
    <row r="20" spans="2:13" s="23" customFormat="1" ht="27" customHeight="1" x14ac:dyDescent="0.2">
      <c r="B20" s="21" t="s">
        <v>25</v>
      </c>
      <c r="C20" s="22" t="s">
        <v>26</v>
      </c>
      <c r="D20" s="22" t="s">
        <v>27</v>
      </c>
      <c r="E20" s="21" t="s">
        <v>28</v>
      </c>
      <c r="F20" s="22" t="s">
        <v>29</v>
      </c>
      <c r="G20" s="21" t="s">
        <v>30</v>
      </c>
      <c r="H20" s="21" t="s">
        <v>31</v>
      </c>
      <c r="I20" s="21" t="s">
        <v>32</v>
      </c>
    </row>
    <row r="21" spans="2:13" s="23" customFormat="1" ht="24" customHeight="1" x14ac:dyDescent="0.2">
      <c r="B21" s="54">
        <f>J2</f>
        <v>61420566</v>
      </c>
      <c r="C21" s="55">
        <v>416363</v>
      </c>
      <c r="D21" s="25" t="str">
        <f>IF(LEFT(B14,2)="OL","OLD NAVY",IF(LEFT(B14,2)="TH","THE GAP",IF(LEFT(B14,2)="GA","GAP",IF(LEFT(B14,2)="GP","OLD NAVY"))))</f>
        <v>OLD NAVY</v>
      </c>
      <c r="E21" s="25" t="s">
        <v>73</v>
      </c>
      <c r="F21" s="54" t="s">
        <v>33</v>
      </c>
      <c r="G21" s="54"/>
      <c r="H21" s="26" t="str">
        <f>IF(LEFT(G17,2)="CA","CA",IF(LEFT(G17,2)="UN","US",IF(LEFT(G17,2)="PA","PA",IF(LEFT(G17,2)="JA","JP"))))</f>
        <v>US</v>
      </c>
      <c r="I21" s="54" t="s">
        <v>34</v>
      </c>
      <c r="K21" s="23">
        <v>24</v>
      </c>
    </row>
    <row r="22" spans="2:13" s="27" customFormat="1" ht="30.75" customHeight="1" x14ac:dyDescent="0.2">
      <c r="B22" s="21" t="s">
        <v>35</v>
      </c>
      <c r="C22" s="21" t="s">
        <v>36</v>
      </c>
      <c r="D22" s="21" t="s">
        <v>37</v>
      </c>
      <c r="E22" s="21" t="s">
        <v>38</v>
      </c>
      <c r="F22" s="21" t="s">
        <v>39</v>
      </c>
      <c r="G22" s="21" t="s">
        <v>40</v>
      </c>
      <c r="H22" s="21" t="s">
        <v>41</v>
      </c>
      <c r="I22" s="21" t="s">
        <v>42</v>
      </c>
    </row>
    <row r="23" spans="2:13" s="23" customFormat="1" ht="18.75" customHeight="1" x14ac:dyDescent="0.2">
      <c r="B23" s="54" t="s">
        <v>70</v>
      </c>
      <c r="C23" s="54"/>
      <c r="D23" s="54" t="s">
        <v>43</v>
      </c>
      <c r="E23" s="54" t="str">
        <f>+D23</f>
        <v>JAKARTA,ID</v>
      </c>
      <c r="F23" s="28">
        <f>+O2</f>
        <v>84.96</v>
      </c>
      <c r="G23" s="28">
        <f>+N2</f>
        <v>77.86</v>
      </c>
      <c r="H23" s="28">
        <f>+M2</f>
        <v>76.7</v>
      </c>
      <c r="I23" s="54">
        <f>+L2</f>
        <v>8</v>
      </c>
    </row>
    <row r="24" spans="2:13" x14ac:dyDescent="0.2">
      <c r="B24" s="10"/>
      <c r="C24" s="11"/>
      <c r="D24" s="11"/>
      <c r="E24" s="11"/>
      <c r="F24" s="29"/>
      <c r="G24" s="11"/>
      <c r="H24" s="11"/>
      <c r="I24" s="15"/>
    </row>
    <row r="25" spans="2:13" x14ac:dyDescent="0.2">
      <c r="B25" s="10"/>
      <c r="C25" s="11"/>
      <c r="D25" s="11"/>
      <c r="E25" s="11"/>
      <c r="F25" s="11"/>
      <c r="G25" s="11"/>
      <c r="H25" s="11"/>
      <c r="I25" s="15"/>
    </row>
    <row r="26" spans="2:13" x14ac:dyDescent="0.2">
      <c r="B26" s="57" t="s">
        <v>44</v>
      </c>
      <c r="C26" s="59"/>
      <c r="D26" s="59"/>
      <c r="E26" s="59"/>
      <c r="F26" s="59"/>
      <c r="G26" s="59"/>
      <c r="H26" s="59"/>
      <c r="I26" s="58"/>
    </row>
    <row r="27" spans="2:13" ht="24.75" customHeight="1" x14ac:dyDescent="0.2">
      <c r="B27" s="70" t="str">
        <f>+K4</f>
        <v>BOYS COTTON FIBERS, KNIT SHIRT, WITH NECK CLOSURE, STITCH COUNT EQUAL OR IS GREATER THAN 10/1CM, HEM BOTTOM [60% COTTON 40% POLYESTER]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30"/>
      <c r="C28" s="11"/>
      <c r="D28" s="11"/>
      <c r="E28" s="11"/>
      <c r="F28" s="11"/>
      <c r="G28" s="11"/>
      <c r="H28" s="11"/>
      <c r="I28" s="15"/>
    </row>
    <row r="29" spans="2:13" x14ac:dyDescent="0.2">
      <c r="B29" s="10" t="s">
        <v>45</v>
      </c>
      <c r="C29" s="11"/>
      <c r="D29" s="11"/>
      <c r="E29" s="11"/>
      <c r="F29" s="11"/>
      <c r="G29" s="11"/>
      <c r="H29" s="11"/>
      <c r="I29" s="15"/>
    </row>
    <row r="30" spans="2:13" x14ac:dyDescent="0.2">
      <c r="B30" s="10"/>
      <c r="C30" s="11"/>
      <c r="D30" s="11"/>
      <c r="E30" s="11"/>
      <c r="F30" s="11"/>
      <c r="G30" s="11"/>
      <c r="H30" s="11"/>
      <c r="I30" s="15"/>
    </row>
    <row r="31" spans="2:13" s="23" customFormat="1" ht="25.5" customHeight="1" x14ac:dyDescent="0.2">
      <c r="B31" s="54" t="s">
        <v>46</v>
      </c>
      <c r="C31" s="54" t="s">
        <v>47</v>
      </c>
      <c r="D31" s="73" t="s">
        <v>48</v>
      </c>
      <c r="E31" s="73"/>
      <c r="F31" s="73" t="s">
        <v>49</v>
      </c>
      <c r="G31" s="73"/>
      <c r="H31" s="54" t="s">
        <v>50</v>
      </c>
      <c r="I31" s="25" t="s">
        <v>51</v>
      </c>
      <c r="M31"/>
    </row>
    <row r="32" spans="2:13" ht="39" customHeight="1" x14ac:dyDescent="0.2">
      <c r="B32" s="31" t="s">
        <v>75</v>
      </c>
      <c r="C32" s="25" t="s">
        <v>74</v>
      </c>
      <c r="D32" s="65"/>
      <c r="E32" s="66"/>
      <c r="F32" s="65">
        <f>+K2</f>
        <v>580</v>
      </c>
      <c r="G32" s="66"/>
      <c r="H32" s="32">
        <v>0.9</v>
      </c>
      <c r="I32" s="33">
        <f>+H32*F32</f>
        <v>522</v>
      </c>
      <c r="K32" s="34"/>
      <c r="M32" s="35"/>
    </row>
    <row r="33" spans="2:11" ht="21" customHeight="1" x14ac:dyDescent="0.2">
      <c r="B33" s="36" t="s">
        <v>52</v>
      </c>
      <c r="C33" s="36"/>
      <c r="D33" s="57"/>
      <c r="E33" s="58"/>
      <c r="F33" s="57"/>
      <c r="G33" s="58"/>
      <c r="H33" s="32"/>
      <c r="I33" s="54"/>
    </row>
    <row r="34" spans="2:11" ht="21.75" customHeight="1" x14ac:dyDescent="0.2">
      <c r="B34" s="36" t="s">
        <v>53</v>
      </c>
      <c r="C34" s="36"/>
      <c r="D34" s="63"/>
      <c r="E34" s="64"/>
      <c r="F34" s="65">
        <f>SUM(F32:G33)</f>
        <v>580</v>
      </c>
      <c r="G34" s="66"/>
      <c r="H34" s="36"/>
      <c r="I34" s="37">
        <f>SUM(I32:I33)</f>
        <v>522</v>
      </c>
      <c r="J34" s="38"/>
      <c r="K34" s="38"/>
    </row>
    <row r="35" spans="2:11" ht="21.75" customHeight="1" x14ac:dyDescent="0.2">
      <c r="B35" s="39" t="s">
        <v>54</v>
      </c>
      <c r="C35" s="36"/>
      <c r="D35" s="57"/>
      <c r="E35" s="58"/>
      <c r="F35" s="57"/>
      <c r="G35" s="58"/>
      <c r="H35" s="36"/>
      <c r="I35" s="54"/>
      <c r="J35" s="38"/>
    </row>
    <row r="36" spans="2:11" ht="21.75" customHeight="1" x14ac:dyDescent="0.2">
      <c r="B36" s="39" t="s">
        <v>55</v>
      </c>
      <c r="C36" s="36"/>
      <c r="D36" s="57"/>
      <c r="E36" s="58"/>
      <c r="F36" s="57"/>
      <c r="G36" s="58"/>
      <c r="H36" s="36"/>
      <c r="I36" s="37">
        <f>+I34</f>
        <v>522</v>
      </c>
    </row>
    <row r="37" spans="2:11" ht="20.25" customHeight="1" x14ac:dyDescent="0.2">
      <c r="B37" s="36" t="s">
        <v>56</v>
      </c>
      <c r="C37" s="57" t="s">
        <v>57</v>
      </c>
      <c r="D37" s="59"/>
      <c r="E37" s="59"/>
      <c r="F37" s="59"/>
      <c r="G37" s="59"/>
      <c r="H37" s="58"/>
      <c r="I37" s="40"/>
    </row>
    <row r="38" spans="2:11" ht="21" customHeight="1" x14ac:dyDescent="0.2">
      <c r="B38" s="39" t="s">
        <v>58</v>
      </c>
      <c r="C38" s="36"/>
      <c r="D38" s="36"/>
      <c r="E38" s="36"/>
      <c r="F38" s="36"/>
      <c r="G38" s="36"/>
      <c r="H38" s="36"/>
      <c r="I38" s="37">
        <f>+I36+I37</f>
        <v>522</v>
      </c>
    </row>
    <row r="39" spans="2:11" ht="18.75" customHeight="1" x14ac:dyDescent="0.2">
      <c r="B39" s="10"/>
      <c r="C39" s="11"/>
      <c r="D39" s="11"/>
      <c r="E39" s="11"/>
      <c r="F39" s="11"/>
      <c r="G39" s="11"/>
      <c r="H39" s="11"/>
      <c r="I39" s="15"/>
    </row>
    <row r="40" spans="2:11" x14ac:dyDescent="0.2">
      <c r="B40" s="10"/>
      <c r="C40" s="11"/>
      <c r="D40" s="11"/>
      <c r="E40" s="11"/>
      <c r="F40" s="11"/>
      <c r="G40" s="11"/>
      <c r="H40" s="11"/>
      <c r="I40" s="15"/>
    </row>
    <row r="41" spans="2:11" x14ac:dyDescent="0.2">
      <c r="B41" s="41" t="s">
        <v>59</v>
      </c>
      <c r="C41" s="42"/>
      <c r="D41" s="42"/>
      <c r="E41" s="42"/>
      <c r="F41" s="42"/>
      <c r="G41" s="42"/>
      <c r="H41" s="42"/>
      <c r="I41" s="43"/>
    </row>
    <row r="42" spans="2:11" x14ac:dyDescent="0.2">
      <c r="B42" s="44" t="s">
        <v>60</v>
      </c>
      <c r="C42" s="45"/>
      <c r="D42" s="45"/>
      <c r="E42" s="45"/>
      <c r="F42" s="45"/>
      <c r="G42" s="45"/>
      <c r="H42" s="45"/>
      <c r="I42" s="46"/>
    </row>
    <row r="43" spans="2:11" x14ac:dyDescent="0.2">
      <c r="B43" s="10"/>
      <c r="C43" s="11"/>
      <c r="D43" s="11"/>
      <c r="E43" s="11"/>
      <c r="F43" s="11"/>
      <c r="G43" s="11"/>
      <c r="H43" s="11"/>
      <c r="I43" s="15"/>
    </row>
    <row r="44" spans="2:11" x14ac:dyDescent="0.2">
      <c r="B44" s="10" t="s">
        <v>61</v>
      </c>
      <c r="C44" s="11"/>
      <c r="D44" s="11"/>
      <c r="E44" s="11"/>
      <c r="F44" s="11"/>
      <c r="G44" s="11"/>
      <c r="H44" s="11"/>
      <c r="I44" s="15"/>
    </row>
    <row r="45" spans="2:11" x14ac:dyDescent="0.2">
      <c r="B45" s="10"/>
      <c r="C45" s="11"/>
      <c r="D45" s="11"/>
      <c r="E45" s="11"/>
      <c r="F45" s="11"/>
      <c r="G45" s="11"/>
      <c r="H45" s="11"/>
      <c r="I45" s="15"/>
    </row>
    <row r="46" spans="2:11" x14ac:dyDescent="0.2">
      <c r="B46" s="60" t="s">
        <v>62</v>
      </c>
      <c r="C46" s="60"/>
      <c r="D46" s="60"/>
      <c r="E46" s="47" t="s">
        <v>63</v>
      </c>
      <c r="F46" s="47"/>
      <c r="G46" s="47"/>
      <c r="H46" s="47"/>
      <c r="I46" s="47"/>
    </row>
    <row r="47" spans="2:11" x14ac:dyDescent="0.2">
      <c r="B47" s="44"/>
      <c r="C47" s="45" t="s">
        <v>78</v>
      </c>
      <c r="D47" s="46"/>
      <c r="E47" s="48" t="s">
        <v>64</v>
      </c>
      <c r="F47" s="48"/>
      <c r="G47" s="48"/>
      <c r="H47" s="44"/>
      <c r="I47" s="46"/>
    </row>
    <row r="48" spans="2:11" x14ac:dyDescent="0.2">
      <c r="B48" s="10"/>
      <c r="C48" s="11"/>
      <c r="D48" s="11"/>
      <c r="E48" s="11"/>
      <c r="F48" s="11"/>
      <c r="G48" s="11"/>
      <c r="H48" s="11"/>
      <c r="I48" s="15"/>
    </row>
    <row r="49" spans="2:11" x14ac:dyDescent="0.2">
      <c r="B49" s="10" t="s">
        <v>65</v>
      </c>
      <c r="C49" s="11"/>
      <c r="D49" s="11"/>
      <c r="E49" s="11"/>
      <c r="F49" s="11"/>
      <c r="G49" s="11"/>
      <c r="H49" s="11"/>
      <c r="I49" s="15"/>
    </row>
    <row r="50" spans="2:11" x14ac:dyDescent="0.2">
      <c r="B50" s="10" t="s">
        <v>66</v>
      </c>
      <c r="C50" s="11"/>
      <c r="D50" s="11"/>
      <c r="E50" s="11"/>
      <c r="F50" s="11"/>
      <c r="G50" s="11"/>
      <c r="H50" s="11"/>
      <c r="I50" s="15"/>
    </row>
    <row r="51" spans="2:11" x14ac:dyDescent="0.2">
      <c r="B51" s="10"/>
      <c r="C51" s="11"/>
      <c r="D51" s="11"/>
      <c r="E51" s="11"/>
      <c r="F51" s="11"/>
      <c r="G51" s="11"/>
      <c r="H51" s="11"/>
      <c r="I51" s="15"/>
    </row>
    <row r="52" spans="2:11" x14ac:dyDescent="0.2">
      <c r="B52" s="10"/>
      <c r="C52" s="11"/>
      <c r="D52" s="11"/>
      <c r="E52" s="11"/>
      <c r="F52" s="11"/>
      <c r="G52" s="11" t="s">
        <v>67</v>
      </c>
      <c r="H52" s="11" t="s">
        <v>77</v>
      </c>
      <c r="I52" s="49"/>
      <c r="K52">
        <v>24</v>
      </c>
    </row>
    <row r="53" spans="2:11" x14ac:dyDescent="0.2">
      <c r="B53" s="10"/>
      <c r="C53" s="11"/>
      <c r="D53" s="11"/>
      <c r="E53" s="11"/>
      <c r="F53" s="11"/>
      <c r="G53" s="11"/>
      <c r="H53" s="50"/>
      <c r="I53" s="15"/>
    </row>
    <row r="54" spans="2:11" x14ac:dyDescent="0.2">
      <c r="B54" s="10"/>
      <c r="C54" s="11"/>
      <c r="D54" s="11"/>
      <c r="E54" s="11"/>
      <c r="F54" s="11"/>
      <c r="G54" s="11"/>
      <c r="H54" s="11"/>
      <c r="I54" s="15"/>
    </row>
    <row r="55" spans="2:11" x14ac:dyDescent="0.2">
      <c r="B55" s="10"/>
      <c r="C55" s="61" t="s">
        <v>68</v>
      </c>
      <c r="D55" s="61"/>
      <c r="E55" s="11"/>
      <c r="F55" s="11"/>
      <c r="G55" s="11"/>
      <c r="H55" s="11"/>
      <c r="I55" s="15"/>
    </row>
    <row r="56" spans="2:11" x14ac:dyDescent="0.2">
      <c r="B56" s="10"/>
      <c r="C56" s="62" t="s">
        <v>69</v>
      </c>
      <c r="D56" s="62"/>
      <c r="E56" s="11"/>
      <c r="F56" s="11"/>
      <c r="G56" s="11"/>
      <c r="H56" s="11"/>
      <c r="I56" s="15"/>
      <c r="K56">
        <v>24</v>
      </c>
    </row>
    <row r="57" spans="2:11" x14ac:dyDescent="0.2">
      <c r="B57" s="44"/>
      <c r="C57" s="56"/>
      <c r="D57" s="56"/>
      <c r="E57" s="45"/>
      <c r="F57" s="45"/>
      <c r="G57" s="45"/>
      <c r="H57" s="45"/>
      <c r="I57" s="45"/>
    </row>
    <row r="58" spans="2:11" x14ac:dyDescent="0.2">
      <c r="B58" s="11"/>
      <c r="C58" s="11"/>
      <c r="D58" s="11"/>
      <c r="E58" s="11"/>
      <c r="F58" s="11"/>
      <c r="G58" s="11"/>
      <c r="H58" s="11"/>
      <c r="I58" s="11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'D:\0 DATA SRI\EKSPORT\1. GAP\Shipment GAP\2026\2. FEBRUARI\02.02.2026\[INVOICE 02.02.2026 FOB.XLSX]Sheet1'!#REF!</xm:f>
          </x14:formula1>
          <xm:sqref>G5</xm:sqref>
        </x14:dataValidation>
        <x14:dataValidation type="list" allowBlank="1" showInputMessage="1" showErrorMessage="1">
          <x14:formula1>
            <xm:f>'D:\0 DATA SRI\EKSPORT\1. GAP\Shipment GAP\2026\2. FEBRUARI\02.02.2026\[INVOICE 02.02.2026 CMT.XLSX]Sheet1'!#REF!</xm:f>
          </x14:formula1>
          <xm:sqref>G13 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7" customFormat="1" ht="90" customHeight="1" thickBot="1" x14ac:dyDescent="0.45">
      <c r="B1" s="1"/>
      <c r="C1" s="2"/>
      <c r="D1" s="2"/>
      <c r="E1" s="2"/>
      <c r="F1" s="2"/>
      <c r="G1" s="2"/>
      <c r="H1" s="2"/>
      <c r="I1" s="3"/>
      <c r="J1" s="4"/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6"/>
      <c r="S1" s="6"/>
      <c r="T1" s="6"/>
      <c r="U1" s="6"/>
      <c r="V1" s="6"/>
    </row>
    <row r="2" spans="2:22" ht="33.75" customHeight="1" thickTop="1" x14ac:dyDescent="0.2">
      <c r="B2" s="67" t="s">
        <v>90</v>
      </c>
      <c r="C2" s="68"/>
      <c r="D2" s="68"/>
      <c r="E2" s="68"/>
      <c r="F2" s="68"/>
      <c r="G2" s="68"/>
      <c r="H2" s="68"/>
      <c r="I2" s="69"/>
      <c r="J2" s="8">
        <v>61293665</v>
      </c>
      <c r="K2" s="9">
        <v>185</v>
      </c>
      <c r="L2" s="9">
        <v>3</v>
      </c>
      <c r="M2" s="9">
        <v>28.42</v>
      </c>
      <c r="N2" s="9">
        <v>32.119999999999997</v>
      </c>
      <c r="O2" s="9">
        <v>34.619999999999997</v>
      </c>
      <c r="P2" s="9" t="s">
        <v>7</v>
      </c>
      <c r="Q2" s="9">
        <v>0.123</v>
      </c>
      <c r="R2" s="9" t="s">
        <v>8</v>
      </c>
    </row>
    <row r="3" spans="2:22" x14ac:dyDescent="0.2">
      <c r="B3" s="10" t="s">
        <v>9</v>
      </c>
      <c r="C3" s="52">
        <f>+'356. 61420566'!C3+1</f>
        <v>357</v>
      </c>
      <c r="D3" s="11"/>
      <c r="E3" s="11"/>
      <c r="F3" s="11"/>
      <c r="G3" s="11" t="s">
        <v>10</v>
      </c>
      <c r="H3" s="12">
        <v>46075</v>
      </c>
      <c r="I3" s="13"/>
    </row>
    <row r="4" spans="2:22" ht="15" x14ac:dyDescent="0.2">
      <c r="B4" s="10"/>
      <c r="C4" s="11"/>
      <c r="D4" s="11"/>
      <c r="E4" s="11"/>
      <c r="F4" s="11"/>
      <c r="G4" s="11"/>
      <c r="H4" s="14" t="s">
        <v>11</v>
      </c>
      <c r="I4" s="15"/>
      <c r="K4" t="s">
        <v>76</v>
      </c>
    </row>
    <row r="5" spans="2:22" x14ac:dyDescent="0.2">
      <c r="B5" s="16" t="s">
        <v>12</v>
      </c>
      <c r="C5" s="11"/>
      <c r="D5" s="11"/>
      <c r="E5" s="11"/>
      <c r="F5" s="17" t="s">
        <v>13</v>
      </c>
      <c r="G5" s="11" t="s">
        <v>14</v>
      </c>
      <c r="H5" s="11"/>
      <c r="I5" s="15"/>
    </row>
    <row r="6" spans="2:22" x14ac:dyDescent="0.2">
      <c r="B6" s="10" t="s">
        <v>15</v>
      </c>
      <c r="C6" s="11"/>
      <c r="D6" s="11"/>
      <c r="E6" s="11"/>
      <c r="F6" s="11"/>
      <c r="G6" s="11" t="s">
        <v>16</v>
      </c>
      <c r="H6" s="11"/>
      <c r="I6" s="15"/>
    </row>
    <row r="7" spans="2:22" x14ac:dyDescent="0.2">
      <c r="B7" s="10" t="s">
        <v>17</v>
      </c>
      <c r="C7" s="11"/>
      <c r="D7" s="11"/>
      <c r="E7" s="11"/>
      <c r="F7" s="11"/>
      <c r="G7" s="11" t="s">
        <v>18</v>
      </c>
      <c r="H7" s="11"/>
      <c r="I7" s="15"/>
    </row>
    <row r="8" spans="2:22" x14ac:dyDescent="0.2">
      <c r="B8" s="10" t="s">
        <v>19</v>
      </c>
      <c r="C8" s="11"/>
      <c r="D8" s="11"/>
      <c r="E8" s="11"/>
      <c r="F8" s="11"/>
      <c r="G8" s="11" t="s">
        <v>20</v>
      </c>
      <c r="H8" s="11"/>
      <c r="I8" s="15"/>
    </row>
    <row r="9" spans="2:22" x14ac:dyDescent="0.2">
      <c r="B9" s="10" t="s">
        <v>21</v>
      </c>
      <c r="C9" s="11"/>
      <c r="D9" s="11"/>
      <c r="E9" s="11"/>
      <c r="F9" s="11"/>
      <c r="G9" s="11"/>
      <c r="H9" s="11"/>
      <c r="I9" s="15"/>
    </row>
    <row r="10" spans="2:22" x14ac:dyDescent="0.2">
      <c r="B10" s="10" t="s">
        <v>22</v>
      </c>
      <c r="C10" s="11"/>
      <c r="D10" s="11"/>
      <c r="E10" s="11"/>
      <c r="F10" s="11"/>
      <c r="G10" s="11"/>
      <c r="H10" s="11"/>
      <c r="I10" s="15"/>
    </row>
    <row r="11" spans="2:22" x14ac:dyDescent="0.2">
      <c r="B11" s="10"/>
      <c r="C11" s="11"/>
      <c r="D11" s="11"/>
      <c r="E11" s="11"/>
      <c r="F11" s="11"/>
      <c r="G11" s="11"/>
      <c r="H11" s="11"/>
      <c r="I11" s="15"/>
    </row>
    <row r="12" spans="2:22" x14ac:dyDescent="0.2">
      <c r="B12" s="10"/>
      <c r="C12" s="11"/>
      <c r="D12" s="11"/>
      <c r="E12" s="11"/>
      <c r="F12" s="11"/>
      <c r="G12" s="11"/>
      <c r="H12" s="11"/>
      <c r="I12" s="15"/>
    </row>
    <row r="13" spans="2:22" x14ac:dyDescent="0.2">
      <c r="B13" s="18" t="s">
        <v>23</v>
      </c>
      <c r="C13" s="11"/>
      <c r="D13" s="11"/>
      <c r="E13" s="11"/>
      <c r="F13" s="17" t="s">
        <v>24</v>
      </c>
      <c r="G13" s="19" t="s">
        <v>85</v>
      </c>
      <c r="H13" s="11"/>
      <c r="I13" s="15"/>
    </row>
    <row r="14" spans="2:22" x14ac:dyDescent="0.2">
      <c r="B14" s="10" t="s">
        <v>71</v>
      </c>
      <c r="C14" s="11"/>
      <c r="D14" s="11"/>
      <c r="E14" s="11"/>
      <c r="F14" s="11"/>
      <c r="G14" s="19" t="s">
        <v>86</v>
      </c>
      <c r="H14" s="11"/>
      <c r="I14" s="15"/>
    </row>
    <row r="15" spans="2:22" x14ac:dyDescent="0.2">
      <c r="B15" s="20" t="str">
        <f>IF(B14=[4]Sheet1!D5,[4]Sheet1!D6,IF(B14=[4]Sheet1!D11,[4]Sheet1!D12,IF(B14=[4]Sheet1!D17,[4]Sheet1!D18,IF(B14=[4]Sheet1!D23,[4]Sheet1!D24,IF(B14=[4]Sheet1!D29,[4]Sheet1!D30,IF(B14=[4]Sheet1!D35,[4]Sheet1!D36,IF(B14=[4]Sheet1!D41,[4]Sheet1!D42,IF(B14=[4]Sheet1!D47,[4]Sheet1!D48))))))))</f>
        <v>2 FOLSOM STREET</v>
      </c>
      <c r="C15" s="11"/>
      <c r="D15" s="11"/>
      <c r="E15" s="11"/>
      <c r="F15" s="11"/>
      <c r="G15" s="19" t="s">
        <v>87</v>
      </c>
      <c r="H15" s="11"/>
      <c r="I15" s="15"/>
    </row>
    <row r="16" spans="2:22" x14ac:dyDescent="0.2">
      <c r="B16" s="20" t="str">
        <f>IF(B15=[4]Sheet1!D6,[4]Sheet1!D7,IF(B15=[4]Sheet1!D12,[4]Sheet1!D13,IF(B15=[4]Sheet1!D18,[4]Sheet1!D19,IF(B15=[4]Sheet1!D24,[4]Sheet1!D25,IF(B15=[4]Sheet1!D30,[4]Sheet1!D31,IF(B15=[4]Sheet1!D36,[4]Sheet1!D37,IF(B15=[4]Sheet1!D42,[4]Sheet1!D43,IF(B15=[4]Sheet1!D48,[4]Sheet1!D49))))))))</f>
        <v>SAN FRANCISCO, CALIFORNIA</v>
      </c>
      <c r="C16" s="11"/>
      <c r="D16" s="11"/>
      <c r="E16" s="11"/>
      <c r="F16" s="11"/>
      <c r="G16" s="19">
        <v>12524</v>
      </c>
      <c r="H16" s="11"/>
      <c r="I16" s="15"/>
    </row>
    <row r="17" spans="2:13" x14ac:dyDescent="0.2">
      <c r="B17" s="20" t="str">
        <f>IF(B16=[4]Sheet1!D7,[4]Sheet1!D8,IF(B16=[4]Sheet1!D13,[4]Sheet1!D14,IF(B16=[4]Sheet1!D19,[4]Sheet1!D20,IF(B16=[4]Sheet1!D25,[4]Sheet1!D26,IF(B16=[4]Sheet1!D31,[4]Sheet1!D32,IF(B16=[4]Sheet1!D37,[4]Sheet1!D38,IF(B16=[4]Sheet1!D43,[4]Sheet1!D44,IF(B16=[4]Sheet1!D49,[4]Sheet1!D50))))))))</f>
        <v>94105</v>
      </c>
      <c r="C17" s="11"/>
      <c r="D17" s="11"/>
      <c r="E17" s="11"/>
      <c r="F17" s="11"/>
      <c r="G17" s="19" t="s">
        <v>72</v>
      </c>
      <c r="H17" s="11"/>
      <c r="I17" s="15"/>
    </row>
    <row r="18" spans="2:13" x14ac:dyDescent="0.2">
      <c r="B18" s="20" t="str">
        <f>IF(B17=[4]Sheet1!D8,[4]Sheet1!D9,IF(B17=[4]Sheet1!D14,[4]Sheet1!D15,IF(B17=[4]Sheet1!D20,[4]Sheet1!D21,IF(B17=[4]Sheet1!D26,[4]Sheet1!D27,IF(B17=[4]Sheet1!D32,[4]Sheet1!D33,IF(B17=[4]Sheet1!D38,[4]Sheet1!D39,IF(B17=[4]Sheet1!D44,[4]Sheet1!D45,IF(B17=[4]Sheet1!D50,[4]Sheet1!D51))))))))</f>
        <v>UNITED STATES</v>
      </c>
      <c r="C18" s="11"/>
      <c r="D18" s="11"/>
      <c r="E18" s="11"/>
      <c r="F18" s="11"/>
      <c r="G18" s="11"/>
      <c r="H18" s="11"/>
      <c r="I18" s="15"/>
    </row>
    <row r="19" spans="2:13" x14ac:dyDescent="0.2">
      <c r="B19" s="10"/>
      <c r="C19" s="11"/>
      <c r="D19" s="11"/>
      <c r="E19" s="11"/>
      <c r="F19" s="11"/>
      <c r="G19" s="11"/>
      <c r="H19" s="11"/>
      <c r="I19" s="15"/>
    </row>
    <row r="20" spans="2:13" s="23" customFormat="1" ht="27" customHeight="1" x14ac:dyDescent="0.2">
      <c r="B20" s="21" t="s">
        <v>25</v>
      </c>
      <c r="C20" s="22" t="s">
        <v>26</v>
      </c>
      <c r="D20" s="22" t="s">
        <v>27</v>
      </c>
      <c r="E20" s="21" t="s">
        <v>28</v>
      </c>
      <c r="F20" s="22" t="s">
        <v>29</v>
      </c>
      <c r="G20" s="21" t="s">
        <v>30</v>
      </c>
      <c r="H20" s="21" t="s">
        <v>31</v>
      </c>
      <c r="I20" s="21" t="s">
        <v>32</v>
      </c>
    </row>
    <row r="21" spans="2:13" s="23" customFormat="1" ht="24" customHeight="1" x14ac:dyDescent="0.2">
      <c r="B21" s="54">
        <f>J2</f>
        <v>61293665</v>
      </c>
      <c r="C21" s="55">
        <v>416363</v>
      </c>
      <c r="D21" s="25" t="str">
        <f>IF(LEFT(B14,2)="OL","OLD NAVY",IF(LEFT(B14,2)="TH","THE GAP",IF(LEFT(B14,2)="GA","GAP",IF(LEFT(B14,2)="GP","OLD NAVY"))))</f>
        <v>OLD NAVY</v>
      </c>
      <c r="E21" s="25" t="s">
        <v>73</v>
      </c>
      <c r="F21" s="54" t="s">
        <v>33</v>
      </c>
      <c r="G21" s="54"/>
      <c r="H21" s="26" t="str">
        <f>IF(LEFT(G17,2)="CA","CA",IF(LEFT(G17,2)="UN","US",IF(LEFT(G17,2)="PA","PA",IF(LEFT(G17,2)="JA","JP"))))</f>
        <v>US</v>
      </c>
      <c r="I21" s="54" t="s">
        <v>34</v>
      </c>
      <c r="K21" s="23">
        <v>24</v>
      </c>
    </row>
    <row r="22" spans="2:13" s="27" customFormat="1" ht="30.75" customHeight="1" x14ac:dyDescent="0.2">
      <c r="B22" s="21" t="s">
        <v>35</v>
      </c>
      <c r="C22" s="21" t="s">
        <v>36</v>
      </c>
      <c r="D22" s="21" t="s">
        <v>37</v>
      </c>
      <c r="E22" s="21" t="s">
        <v>38</v>
      </c>
      <c r="F22" s="21" t="s">
        <v>39</v>
      </c>
      <c r="G22" s="21" t="s">
        <v>40</v>
      </c>
      <c r="H22" s="21" t="s">
        <v>41</v>
      </c>
      <c r="I22" s="21" t="s">
        <v>42</v>
      </c>
    </row>
    <row r="23" spans="2:13" s="23" customFormat="1" ht="18.75" customHeight="1" x14ac:dyDescent="0.2">
      <c r="B23" s="54" t="s">
        <v>70</v>
      </c>
      <c r="C23" s="54"/>
      <c r="D23" s="54" t="s">
        <v>43</v>
      </c>
      <c r="E23" s="54" t="str">
        <f>+D23</f>
        <v>JAKARTA,ID</v>
      </c>
      <c r="F23" s="28">
        <f>+O2</f>
        <v>34.619999999999997</v>
      </c>
      <c r="G23" s="28">
        <f>+N2</f>
        <v>32.119999999999997</v>
      </c>
      <c r="H23" s="28">
        <f>+M2</f>
        <v>28.42</v>
      </c>
      <c r="I23" s="54">
        <f>+L2</f>
        <v>3</v>
      </c>
    </row>
    <row r="24" spans="2:13" x14ac:dyDescent="0.2">
      <c r="B24" s="10"/>
      <c r="C24" s="11"/>
      <c r="D24" s="11"/>
      <c r="E24" s="11"/>
      <c r="F24" s="29"/>
      <c r="G24" s="11"/>
      <c r="H24" s="11"/>
      <c r="I24" s="15"/>
    </row>
    <row r="25" spans="2:13" x14ac:dyDescent="0.2">
      <c r="B25" s="10"/>
      <c r="C25" s="11"/>
      <c r="D25" s="11"/>
      <c r="E25" s="11"/>
      <c r="F25" s="11"/>
      <c r="G25" s="11"/>
      <c r="H25" s="11"/>
      <c r="I25" s="15"/>
    </row>
    <row r="26" spans="2:13" x14ac:dyDescent="0.2">
      <c r="B26" s="57" t="s">
        <v>44</v>
      </c>
      <c r="C26" s="59"/>
      <c r="D26" s="59"/>
      <c r="E26" s="59"/>
      <c r="F26" s="59"/>
      <c r="G26" s="59"/>
      <c r="H26" s="59"/>
      <c r="I26" s="58"/>
    </row>
    <row r="27" spans="2:13" ht="24.75" customHeight="1" x14ac:dyDescent="0.2">
      <c r="B27" s="70" t="str">
        <f>+K4</f>
        <v>BOYS COTTON FIBERS, KNIT SHIRT, WITH NECK CLOSURE, STITCH COUNT EQUAL OR IS GREATER THAN 10/1CM, HEM BOTTOM [60% COTTON 40% POLYESTER]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30"/>
      <c r="C28" s="11"/>
      <c r="D28" s="11"/>
      <c r="E28" s="11"/>
      <c r="F28" s="11"/>
      <c r="G28" s="11"/>
      <c r="H28" s="11"/>
      <c r="I28" s="15"/>
    </row>
    <row r="29" spans="2:13" x14ac:dyDescent="0.2">
      <c r="B29" s="10" t="s">
        <v>45</v>
      </c>
      <c r="C29" s="11"/>
      <c r="D29" s="11"/>
      <c r="E29" s="11"/>
      <c r="F29" s="11"/>
      <c r="G29" s="11"/>
      <c r="H29" s="11"/>
      <c r="I29" s="15"/>
    </row>
    <row r="30" spans="2:13" x14ac:dyDescent="0.2">
      <c r="B30" s="10"/>
      <c r="C30" s="11"/>
      <c r="D30" s="11"/>
      <c r="E30" s="11"/>
      <c r="F30" s="11"/>
      <c r="G30" s="11"/>
      <c r="H30" s="11"/>
      <c r="I30" s="15"/>
    </row>
    <row r="31" spans="2:13" s="23" customFormat="1" ht="25.5" customHeight="1" x14ac:dyDescent="0.2">
      <c r="B31" s="54" t="s">
        <v>46</v>
      </c>
      <c r="C31" s="54" t="s">
        <v>47</v>
      </c>
      <c r="D31" s="73" t="s">
        <v>48</v>
      </c>
      <c r="E31" s="73"/>
      <c r="F31" s="73" t="s">
        <v>49</v>
      </c>
      <c r="G31" s="73"/>
      <c r="H31" s="54" t="s">
        <v>50</v>
      </c>
      <c r="I31" s="25" t="s">
        <v>51</v>
      </c>
      <c r="M31"/>
    </row>
    <row r="32" spans="2:13" ht="39" customHeight="1" x14ac:dyDescent="0.2">
      <c r="B32" s="31" t="s">
        <v>75</v>
      </c>
      <c r="C32" s="25" t="s">
        <v>74</v>
      </c>
      <c r="D32" s="65"/>
      <c r="E32" s="66"/>
      <c r="F32" s="65">
        <f>+K2</f>
        <v>185</v>
      </c>
      <c r="G32" s="66"/>
      <c r="H32" s="32">
        <v>0.9</v>
      </c>
      <c r="I32" s="33">
        <f>+H32*F32</f>
        <v>166.5</v>
      </c>
      <c r="K32" s="34"/>
      <c r="M32" s="35"/>
    </row>
    <row r="33" spans="2:11" ht="21" customHeight="1" x14ac:dyDescent="0.2">
      <c r="B33" s="36" t="s">
        <v>52</v>
      </c>
      <c r="C33" s="36"/>
      <c r="D33" s="57"/>
      <c r="E33" s="58"/>
      <c r="F33" s="57"/>
      <c r="G33" s="58"/>
      <c r="H33" s="32"/>
      <c r="I33" s="54"/>
    </row>
    <row r="34" spans="2:11" ht="21.75" customHeight="1" x14ac:dyDescent="0.2">
      <c r="B34" s="36" t="s">
        <v>53</v>
      </c>
      <c r="C34" s="36"/>
      <c r="D34" s="63"/>
      <c r="E34" s="64"/>
      <c r="F34" s="65">
        <f>SUM(F32:G33)</f>
        <v>185</v>
      </c>
      <c r="G34" s="66"/>
      <c r="H34" s="36"/>
      <c r="I34" s="37">
        <f>SUM(I32:I33)</f>
        <v>166.5</v>
      </c>
      <c r="J34" s="38"/>
      <c r="K34" s="38"/>
    </row>
    <row r="35" spans="2:11" ht="21.75" customHeight="1" x14ac:dyDescent="0.2">
      <c r="B35" s="39" t="s">
        <v>54</v>
      </c>
      <c r="C35" s="36"/>
      <c r="D35" s="57"/>
      <c r="E35" s="58"/>
      <c r="F35" s="57"/>
      <c r="G35" s="58"/>
      <c r="H35" s="36"/>
      <c r="I35" s="54"/>
      <c r="J35" s="38"/>
    </row>
    <row r="36" spans="2:11" ht="21.75" customHeight="1" x14ac:dyDescent="0.2">
      <c r="B36" s="39" t="s">
        <v>55</v>
      </c>
      <c r="C36" s="36"/>
      <c r="D36" s="57"/>
      <c r="E36" s="58"/>
      <c r="F36" s="57"/>
      <c r="G36" s="58"/>
      <c r="H36" s="36"/>
      <c r="I36" s="37">
        <f>+I34</f>
        <v>166.5</v>
      </c>
    </row>
    <row r="37" spans="2:11" ht="20.25" customHeight="1" x14ac:dyDescent="0.2">
      <c r="B37" s="36" t="s">
        <v>56</v>
      </c>
      <c r="C37" s="57" t="s">
        <v>57</v>
      </c>
      <c r="D37" s="59"/>
      <c r="E37" s="59"/>
      <c r="F37" s="59"/>
      <c r="G37" s="59"/>
      <c r="H37" s="58"/>
      <c r="I37" s="40"/>
    </row>
    <row r="38" spans="2:11" ht="21" customHeight="1" x14ac:dyDescent="0.2">
      <c r="B38" s="39" t="s">
        <v>58</v>
      </c>
      <c r="C38" s="36"/>
      <c r="D38" s="36"/>
      <c r="E38" s="36"/>
      <c r="F38" s="36"/>
      <c r="G38" s="36"/>
      <c r="H38" s="36"/>
      <c r="I38" s="37">
        <f>+I36+I37</f>
        <v>166.5</v>
      </c>
    </row>
    <row r="39" spans="2:11" ht="18.75" customHeight="1" x14ac:dyDescent="0.2">
      <c r="B39" s="10"/>
      <c r="C39" s="11"/>
      <c r="D39" s="11"/>
      <c r="E39" s="11"/>
      <c r="F39" s="11"/>
      <c r="G39" s="11"/>
      <c r="H39" s="11"/>
      <c r="I39" s="15"/>
    </row>
    <row r="40" spans="2:11" x14ac:dyDescent="0.2">
      <c r="B40" s="10"/>
      <c r="C40" s="11"/>
      <c r="D40" s="11"/>
      <c r="E40" s="11"/>
      <c r="F40" s="11"/>
      <c r="G40" s="11"/>
      <c r="H40" s="11"/>
      <c r="I40" s="15"/>
    </row>
    <row r="41" spans="2:11" x14ac:dyDescent="0.2">
      <c r="B41" s="41" t="s">
        <v>59</v>
      </c>
      <c r="C41" s="42"/>
      <c r="D41" s="42"/>
      <c r="E41" s="42"/>
      <c r="F41" s="42"/>
      <c r="G41" s="42"/>
      <c r="H41" s="42"/>
      <c r="I41" s="43"/>
    </row>
    <row r="42" spans="2:11" x14ac:dyDescent="0.2">
      <c r="B42" s="44" t="s">
        <v>60</v>
      </c>
      <c r="C42" s="45"/>
      <c r="D42" s="45"/>
      <c r="E42" s="45"/>
      <c r="F42" s="45"/>
      <c r="G42" s="45"/>
      <c r="H42" s="45"/>
      <c r="I42" s="46"/>
    </row>
    <row r="43" spans="2:11" x14ac:dyDescent="0.2">
      <c r="B43" s="10"/>
      <c r="C43" s="11"/>
      <c r="D43" s="11"/>
      <c r="E43" s="11"/>
      <c r="F43" s="11"/>
      <c r="G43" s="11"/>
      <c r="H43" s="11"/>
      <c r="I43" s="15"/>
    </row>
    <row r="44" spans="2:11" x14ac:dyDescent="0.2">
      <c r="B44" s="10" t="s">
        <v>61</v>
      </c>
      <c r="C44" s="11"/>
      <c r="D44" s="11"/>
      <c r="E44" s="11"/>
      <c r="F44" s="11"/>
      <c r="G44" s="11"/>
      <c r="H44" s="11"/>
      <c r="I44" s="15"/>
    </row>
    <row r="45" spans="2:11" x14ac:dyDescent="0.2">
      <c r="B45" s="10"/>
      <c r="C45" s="11"/>
      <c r="D45" s="11"/>
      <c r="E45" s="11"/>
      <c r="F45" s="11"/>
      <c r="G45" s="11"/>
      <c r="H45" s="11"/>
      <c r="I45" s="15"/>
    </row>
    <row r="46" spans="2:11" x14ac:dyDescent="0.2">
      <c r="B46" s="60" t="s">
        <v>62</v>
      </c>
      <c r="C46" s="60"/>
      <c r="D46" s="60"/>
      <c r="E46" s="47" t="s">
        <v>63</v>
      </c>
      <c r="F46" s="47"/>
      <c r="G46" s="47"/>
      <c r="H46" s="47"/>
      <c r="I46" s="47"/>
    </row>
    <row r="47" spans="2:11" x14ac:dyDescent="0.2">
      <c r="B47" s="44"/>
      <c r="C47" s="45" t="s">
        <v>78</v>
      </c>
      <c r="D47" s="46"/>
      <c r="E47" s="48" t="s">
        <v>64</v>
      </c>
      <c r="F47" s="48"/>
      <c r="G47" s="48"/>
      <c r="H47" s="44"/>
      <c r="I47" s="46"/>
    </row>
    <row r="48" spans="2:11" x14ac:dyDescent="0.2">
      <c r="B48" s="10"/>
      <c r="C48" s="11"/>
      <c r="D48" s="11"/>
      <c r="E48" s="11"/>
      <c r="F48" s="11"/>
      <c r="G48" s="11"/>
      <c r="H48" s="11"/>
      <c r="I48" s="15"/>
    </row>
    <row r="49" spans="2:11" x14ac:dyDescent="0.2">
      <c r="B49" s="10" t="s">
        <v>65</v>
      </c>
      <c r="C49" s="11"/>
      <c r="D49" s="11"/>
      <c r="E49" s="11"/>
      <c r="F49" s="11"/>
      <c r="G49" s="11"/>
      <c r="H49" s="11"/>
      <c r="I49" s="15"/>
    </row>
    <row r="50" spans="2:11" x14ac:dyDescent="0.2">
      <c r="B50" s="10" t="s">
        <v>66</v>
      </c>
      <c r="C50" s="11"/>
      <c r="D50" s="11"/>
      <c r="E50" s="11"/>
      <c r="F50" s="11"/>
      <c r="G50" s="11"/>
      <c r="H50" s="11"/>
      <c r="I50" s="15"/>
    </row>
    <row r="51" spans="2:11" x14ac:dyDescent="0.2">
      <c r="B51" s="10"/>
      <c r="C51" s="11"/>
      <c r="D51" s="11"/>
      <c r="E51" s="11"/>
      <c r="F51" s="11"/>
      <c r="G51" s="11"/>
      <c r="H51" s="11"/>
      <c r="I51" s="15"/>
    </row>
    <row r="52" spans="2:11" x14ac:dyDescent="0.2">
      <c r="B52" s="10"/>
      <c r="C52" s="11"/>
      <c r="D52" s="11"/>
      <c r="E52" s="11"/>
      <c r="F52" s="11"/>
      <c r="G52" s="11" t="s">
        <v>67</v>
      </c>
      <c r="H52" s="11" t="s">
        <v>77</v>
      </c>
      <c r="I52" s="49"/>
      <c r="K52">
        <v>24</v>
      </c>
    </row>
    <row r="53" spans="2:11" x14ac:dyDescent="0.2">
      <c r="B53" s="10"/>
      <c r="C53" s="11"/>
      <c r="D53" s="11"/>
      <c r="E53" s="11"/>
      <c r="F53" s="11"/>
      <c r="G53" s="11"/>
      <c r="H53" s="50"/>
      <c r="I53" s="15"/>
    </row>
    <row r="54" spans="2:11" x14ac:dyDescent="0.2">
      <c r="B54" s="10"/>
      <c r="C54" s="11"/>
      <c r="D54" s="11"/>
      <c r="E54" s="11"/>
      <c r="F54" s="11"/>
      <c r="G54" s="11"/>
      <c r="H54" s="11"/>
      <c r="I54" s="15"/>
    </row>
    <row r="55" spans="2:11" x14ac:dyDescent="0.2">
      <c r="B55" s="10"/>
      <c r="C55" s="61" t="s">
        <v>68</v>
      </c>
      <c r="D55" s="61"/>
      <c r="E55" s="11"/>
      <c r="F55" s="11"/>
      <c r="G55" s="11"/>
      <c r="H55" s="11"/>
      <c r="I55" s="15"/>
    </row>
    <row r="56" spans="2:11" x14ac:dyDescent="0.2">
      <c r="B56" s="10"/>
      <c r="C56" s="62" t="s">
        <v>69</v>
      </c>
      <c r="D56" s="62"/>
      <c r="E56" s="11"/>
      <c r="F56" s="11"/>
      <c r="G56" s="11"/>
      <c r="H56" s="11"/>
      <c r="I56" s="15"/>
      <c r="K56">
        <v>24</v>
      </c>
    </row>
    <row r="57" spans="2:11" x14ac:dyDescent="0.2">
      <c r="B57" s="44"/>
      <c r="C57" s="56"/>
      <c r="D57" s="56"/>
      <c r="E57" s="45"/>
      <c r="F57" s="45"/>
      <c r="G57" s="45"/>
      <c r="H57" s="45"/>
      <c r="I57" s="45"/>
    </row>
    <row r="58" spans="2:11" x14ac:dyDescent="0.2">
      <c r="B58" s="11"/>
      <c r="C58" s="11"/>
      <c r="D58" s="11"/>
      <c r="E58" s="11"/>
      <c r="F58" s="11"/>
      <c r="G58" s="11"/>
      <c r="H58" s="11"/>
      <c r="I58" s="11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'D:\0 DATA SRI\EKSPORT\1. GAP\Shipment GAP\2026\2. FEBRUARI\02.02.2026\[INVOICE 02.02.2026 CMT.XLSX]Sheet1'!#REF!</xm:f>
          </x14:formula1>
          <xm:sqref>G13 B14</xm:sqref>
        </x14:dataValidation>
        <x14:dataValidation type="list" allowBlank="1" showInputMessage="1" showErrorMessage="1">
          <x14:formula1>
            <xm:f>'D:\0 DATA SRI\EKSPORT\1. GAP\Shipment GAP\2026\2. FEBRUARI\02.02.2026\[INVOICE 02.02.2026 FOB.XLSX]Sheet1'!#REF!</xm:f>
          </x14:formula1>
          <xm:sqref>G5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353. X0GU10A</vt:lpstr>
      <vt:lpstr>354. 61420565</vt:lpstr>
      <vt:lpstr>355. 60576797</vt:lpstr>
      <vt:lpstr>356. 61420566</vt:lpstr>
      <vt:lpstr>357. 61293665</vt:lpstr>
      <vt:lpstr>'353. X0GU10A'!Print_Area</vt:lpstr>
      <vt:lpstr>'354. 61420565'!Print_Area</vt:lpstr>
      <vt:lpstr>'355. 60576797'!Print_Area</vt:lpstr>
      <vt:lpstr>'356. 61420566'!Print_Area</vt:lpstr>
      <vt:lpstr>'357. 61293665'!Print_Area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2026-02-20T00:52:35Z</cp:lastPrinted>
  <dcterms:created xsi:type="dcterms:W3CDTF">2026-02-10T00:48:27Z</dcterms:created>
  <dcterms:modified xsi:type="dcterms:W3CDTF">2026-02-20T08:40:07Z</dcterms:modified>
</cp:coreProperties>
</file>