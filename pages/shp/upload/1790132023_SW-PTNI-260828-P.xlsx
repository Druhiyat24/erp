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ILE LUSI\FILE DOCUMENT\data lusi\BC 2.3\2026\AJU 259 - SEWANG VINA\"/>
    </mc:Choice>
  </mc:AlternateContent>
  <xr:revisionPtr revIDLastSave="0" documentId="13_ncr:1_{1846A2D0-6230-4A0D-BF43-8B47CC37E3E5}" xr6:coauthVersionLast="47" xr6:coauthVersionMax="47" xr10:uidLastSave="{00000000-0000-0000-0000-000000000000}"/>
  <bookViews>
    <workbookView xWindow="-120" yWindow="-120" windowWidth="20730" windowHeight="11160" tabRatio="815" xr2:uid="{00000000-000D-0000-FFFF-FFFF00000000}"/>
  </bookViews>
  <sheets>
    <sheet name="INV " sheetId="24" r:id="rId1"/>
    <sheet name="PLK " sheetId="25" r:id="rId2"/>
    <sheet name="AGREEMENT (ACC)" sheetId="26" r:id="rId3"/>
    <sheet name="INV(TTL)_A" sheetId="1" state="hidden" r:id="rId4"/>
    <sheet name="PCK(TTL)_A" sheetId="12" state="hidden" r:id="rId5"/>
    <sheet name="INV(TTL)_B" sheetId="9" state="hidden" r:id="rId6"/>
    <sheet name="PCK(TTL)_B" sheetId="13" state="hidden" r:id="rId7"/>
    <sheet name="INV(TTL)_C" sheetId="18" state="hidden" r:id="rId8"/>
    <sheet name="PCK(TTL)_C" sheetId="17" state="hidden" r:id="rId9"/>
    <sheet name="INV(payable)_A" sheetId="7" state="hidden" r:id="rId10"/>
    <sheet name="PCK (payable)_A" sheetId="15" state="hidden" r:id="rId11"/>
    <sheet name="INV(payable)_B" sheetId="10" state="hidden" r:id="rId12"/>
    <sheet name="PCK (payable)_B" sheetId="16" state="hidden" r:id="rId13"/>
    <sheet name="INV_A(NCV)" sheetId="4" state="hidden" r:id="rId14"/>
    <sheet name="PCK (NCV)" sheetId="5" state="hidden" r:id="rId15"/>
    <sheet name="WN" sheetId="3" state="hidden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</externalReferences>
  <definedNames>
    <definedName name="\d" localSheetId="2">'[7]??-BLDG'!#REF!</definedName>
    <definedName name="\d">'[7]??-BLDG'!#REF!</definedName>
    <definedName name="\e" localSheetId="2">'[7]??-BLDG'!#REF!</definedName>
    <definedName name="\e">'[7]??-BLDG'!#REF!</definedName>
    <definedName name="\f" localSheetId="2">'[7]??-BLDG'!#REF!</definedName>
    <definedName name="\f">'[7]??-BLDG'!#REF!</definedName>
    <definedName name="\g" localSheetId="2">'[7]??-BLDG'!#REF!</definedName>
    <definedName name="\g">'[7]??-BLDG'!#REF!</definedName>
    <definedName name="\h" localSheetId="2">'[7]??-BLDG'!#REF!</definedName>
    <definedName name="\h">'[7]??-BLDG'!#REF!</definedName>
    <definedName name="\i" localSheetId="2">'[7]??-BLDG'!#REF!</definedName>
    <definedName name="\i">'[7]??-BLDG'!#REF!</definedName>
    <definedName name="\j" localSheetId="2">'[7]??-BLDG'!#REF!</definedName>
    <definedName name="\j">'[7]??-BLDG'!#REF!</definedName>
    <definedName name="\k" localSheetId="2">'[7]??-BLDG'!#REF!</definedName>
    <definedName name="\k">'[7]??-BLDG'!#REF!</definedName>
    <definedName name="\l" localSheetId="2">'[7]??-BLDG'!#REF!</definedName>
    <definedName name="\l">'[7]??-BLDG'!#REF!</definedName>
    <definedName name="\m" localSheetId="2">'[7]??-BLDG'!#REF!</definedName>
    <definedName name="\m">'[7]??-BLDG'!#REF!</definedName>
    <definedName name="\n" localSheetId="2">'[7]??-BLDG'!#REF!</definedName>
    <definedName name="\n">'[7]??-BLDG'!#REF!</definedName>
    <definedName name="\o" localSheetId="2">'[7]??-BLDG'!#REF!</definedName>
    <definedName name="\o">'[7]??-BLDG'!#REF!</definedName>
    <definedName name="\p" localSheetId="2">'[8]FA-LISTING'!#REF!</definedName>
    <definedName name="\p">'[8]FA-LISTING'!#REF!</definedName>
    <definedName name="____CON1">#REF!</definedName>
    <definedName name="____CON2">#REF!</definedName>
    <definedName name="____lap1">#REF!</definedName>
    <definedName name="____lap2">#REF!</definedName>
    <definedName name="____SHR1">#REF!</definedName>
    <definedName name="____SHR2">#REF!</definedName>
    <definedName name="____tax1">#REF!</definedName>
    <definedName name="____tax2">#REF!</definedName>
    <definedName name="____tax3">#REF!</definedName>
    <definedName name="____tax4">#REF!</definedName>
    <definedName name="___BTM250">#REF!</definedName>
    <definedName name="___CON1" localSheetId="2">#REF!</definedName>
    <definedName name="___CON2" localSheetId="2">#REF!</definedName>
    <definedName name="___gon4">#REF!</definedName>
    <definedName name="___lap1" localSheetId="2">#REF!</definedName>
    <definedName name="___lap2" localSheetId="2">#REF!</definedName>
    <definedName name="___NET2">#REF!</definedName>
    <definedName name="___SHR1" localSheetId="2">#REF!</definedName>
    <definedName name="___SHR2" localSheetId="2">#REF!</definedName>
    <definedName name="___tax1" localSheetId="2">#REF!</definedName>
    <definedName name="___tax2" localSheetId="2">#REF!</definedName>
    <definedName name="___tax3" localSheetId="2">#REF!</definedName>
    <definedName name="___tax4" localSheetId="2">#REF!</definedName>
    <definedName name="__A65700">'[1]MTO REV.2(ARMOR)'!#REF!</definedName>
    <definedName name="__A65800">'[1]MTO REV.2(ARMOR)'!#REF!</definedName>
    <definedName name="__A66000">'[1]MTO REV.2(ARMOR)'!#REF!</definedName>
    <definedName name="__A67000">'[1]MTO REV.2(ARMOR)'!#REF!</definedName>
    <definedName name="__A68000">'[1]MTO REV.2(ARMOR)'!#REF!</definedName>
    <definedName name="__A70000">'[1]MTO REV.2(ARMOR)'!#REF!</definedName>
    <definedName name="__A75000">'[1]MTO REV.2(ARMOR)'!#REF!</definedName>
    <definedName name="__A85000">'[1]MTO REV.2(ARMOR)'!#REF!</definedName>
    <definedName name="__BTM250" localSheetId="0">#REF!</definedName>
    <definedName name="__BTM250" localSheetId="1">#REF!</definedName>
    <definedName name="__BTM250">#REF!</definedName>
    <definedName name="__CON1" localSheetId="0">#REF!</definedName>
    <definedName name="__CON1" localSheetId="1">#REF!</definedName>
    <definedName name="__CON1">#REF!</definedName>
    <definedName name="__CON2" localSheetId="0">#REF!</definedName>
    <definedName name="__CON2" localSheetId="1">#REF!</definedName>
    <definedName name="__CON2">#REF!</definedName>
    <definedName name="__CPC2">[2]Sheet2!#REF!</definedName>
    <definedName name="__day1">'[3]Chiet tinh dz22'!#REF!</definedName>
    <definedName name="__dbu1">'[4]CT Thang Mo'!#REF!</definedName>
    <definedName name="__gon4" localSheetId="0">#REF!</definedName>
    <definedName name="__gon4" localSheetId="1">#REF!</definedName>
    <definedName name="__gon4">#REF!</definedName>
    <definedName name="__lap1" localSheetId="0">#REF!</definedName>
    <definedName name="__lap1" localSheetId="1">#REF!</definedName>
    <definedName name="__lap1">#REF!</definedName>
    <definedName name="__lap2" localSheetId="0">#REF!</definedName>
    <definedName name="__lap2" localSheetId="1">#REF!</definedName>
    <definedName name="__lap2">#REF!</definedName>
    <definedName name="__LN2">[2]Sheet2!#REF!</definedName>
    <definedName name="__NC2">[2]Sheet2!#REF!</definedName>
    <definedName name="__NET2" localSheetId="0">#REF!</definedName>
    <definedName name="__NET2" localSheetId="1">#REF!</definedName>
    <definedName name="__NET2">#REF!</definedName>
    <definedName name="__SHR1" localSheetId="0">#REF!</definedName>
    <definedName name="__SHR1" localSheetId="1">#REF!</definedName>
    <definedName name="__SHR1">#REF!</definedName>
    <definedName name="__SHR2" localSheetId="0">#REF!</definedName>
    <definedName name="__SHR2" localSheetId="1">#REF!</definedName>
    <definedName name="__SHR2">#REF!</definedName>
    <definedName name="__tax1" localSheetId="0">#REF!</definedName>
    <definedName name="__tax1" localSheetId="1">#REF!</definedName>
    <definedName name="__tax1">#REF!</definedName>
    <definedName name="__tax2" localSheetId="0">#REF!</definedName>
    <definedName name="__tax2" localSheetId="1">#REF!</definedName>
    <definedName name="__tax2">#REF!</definedName>
    <definedName name="__tax3" localSheetId="0">#REF!</definedName>
    <definedName name="__tax3" localSheetId="1">#REF!</definedName>
    <definedName name="__tax3">#REF!</definedName>
    <definedName name="__tax4" localSheetId="0">#REF!</definedName>
    <definedName name="__tax4" localSheetId="1">#REF!</definedName>
    <definedName name="__tax4">#REF!</definedName>
    <definedName name="__TKP2">[2]Sheet2!#REF!</definedName>
    <definedName name="__VAT2">[2]Sheet2!#REF!</definedName>
    <definedName name="__VL2">[2]Sheet2!#REF!</definedName>
    <definedName name="_1" localSheetId="2">#REF!</definedName>
    <definedName name="_1" localSheetId="0">#REF!</definedName>
    <definedName name="_1" localSheetId="1">#REF!</definedName>
    <definedName name="_1">#REF!</definedName>
    <definedName name="_10" localSheetId="2">#REF!</definedName>
    <definedName name="_10" localSheetId="0">#REF!</definedName>
    <definedName name="_10" localSheetId="1">#REF!</definedName>
    <definedName name="_10">#REF!</definedName>
    <definedName name="_1000A01">#N/A</definedName>
    <definedName name="_152" localSheetId="2">'[5]Can doi ke toan'!#REF!</definedName>
    <definedName name="_152">'[5]Can doi ke toan'!#REF!</definedName>
    <definedName name="_160" localSheetId="2">'[5]Can doi ke toan'!#REF!</definedName>
    <definedName name="_160">'[5]Can doi ke toan'!#REF!</definedName>
    <definedName name="_161" localSheetId="2">'[5]Can doi ke toan'!#REF!</definedName>
    <definedName name="_161">'[5]Can doi ke toan'!#REF!</definedName>
    <definedName name="_162" localSheetId="2">'[5]Can doi ke toan'!#REF!</definedName>
    <definedName name="_162">'[5]Can doi ke toan'!#REF!</definedName>
    <definedName name="_2" localSheetId="2">#REF!</definedName>
    <definedName name="_2" localSheetId="0">#REF!</definedName>
    <definedName name="_2" localSheetId="1">#REF!</definedName>
    <definedName name="_2">#REF!</definedName>
    <definedName name="_419" localSheetId="2">'[5]Can doi ke toan'!#REF!</definedName>
    <definedName name="_419">'[5]Can doi ke toan'!#REF!</definedName>
    <definedName name="_422" localSheetId="2">'[5]Can doi ke toan'!#REF!</definedName>
    <definedName name="_422">'[5]Can doi ke toan'!#REF!</definedName>
    <definedName name="_423" localSheetId="2">'[5]Can doi ke toan'!#REF!</definedName>
    <definedName name="_423">'[5]Can doi ke toan'!#REF!</definedName>
    <definedName name="_424" localSheetId="2">'[5]Can doi ke toan'!#REF!</definedName>
    <definedName name="_424">'[5]Can doi ke toan'!#REF!</definedName>
    <definedName name="_425" localSheetId="2">'[5]Can doi ke toan'!#REF!</definedName>
    <definedName name="_425">'[5]Can doi ke toan'!#REF!</definedName>
    <definedName name="_A152" localSheetId="2">'[5]Can doi ke toan'!#REF!</definedName>
    <definedName name="_A152">'[5]Can doi ke toan'!#REF!</definedName>
    <definedName name="_A160" localSheetId="2">'[5]Can doi ke toan'!#REF!</definedName>
    <definedName name="_A160">'[5]Can doi ke toan'!#REF!</definedName>
    <definedName name="_A161" localSheetId="2">'[5]Can doi ke toan'!#REF!</definedName>
    <definedName name="_A161">'[5]Can doi ke toan'!#REF!</definedName>
    <definedName name="_A162" localSheetId="2">'[5]Can doi ke toan'!#REF!</definedName>
    <definedName name="_A162">'[5]Can doi ke toan'!#REF!</definedName>
    <definedName name="_A419" localSheetId="2">'[5]Can doi ke toan'!#REF!</definedName>
    <definedName name="_A419">'[5]Can doi ke toan'!#REF!</definedName>
    <definedName name="_A422" localSheetId="2">'[5]Can doi ke toan'!#REF!</definedName>
    <definedName name="_A422">'[5]Can doi ke toan'!#REF!</definedName>
    <definedName name="_A423" localSheetId="2">'[5]Can doi ke toan'!#REF!</definedName>
    <definedName name="_A423">'[5]Can doi ke toan'!#REF!</definedName>
    <definedName name="_A424" localSheetId="2">'[5]Can doi ke toan'!#REF!</definedName>
    <definedName name="_A424">'[5]Can doi ke toan'!#REF!</definedName>
    <definedName name="_A425" localSheetId="2">'[5]Can doi ke toan'!#REF!</definedName>
    <definedName name="_A425">'[5]Can doi ke toan'!#REF!</definedName>
    <definedName name="_A65700" localSheetId="2">'[1]MTO REV.2(ARMOR)'!#REF!</definedName>
    <definedName name="_A65800" localSheetId="2">'[1]MTO REV.2(ARMOR)'!#REF!</definedName>
    <definedName name="_A66000" localSheetId="2">'[1]MTO REV.2(ARMOR)'!#REF!</definedName>
    <definedName name="_A67000" localSheetId="2">'[1]MTO REV.2(ARMOR)'!#REF!</definedName>
    <definedName name="_A68000" localSheetId="2">'[1]MTO REV.2(ARMOR)'!#REF!</definedName>
    <definedName name="_A70000" localSheetId="2">'[1]MTO REV.2(ARMOR)'!#REF!</definedName>
    <definedName name="_A75000" localSheetId="2">'[1]MTO REV.2(ARMOR)'!#REF!</definedName>
    <definedName name="_A85000" localSheetId="2">'[1]MTO REV.2(ARMOR)'!#REF!</definedName>
    <definedName name="_BTM250" localSheetId="0">#REF!</definedName>
    <definedName name="_BTM250" localSheetId="1">#REF!</definedName>
    <definedName name="_BTM250">#REF!</definedName>
    <definedName name="_CON1" localSheetId="0">#REF!</definedName>
    <definedName name="_CON1" localSheetId="1">#REF!</definedName>
    <definedName name="_CON1">#REF!</definedName>
    <definedName name="_CON2" localSheetId="0">#REF!</definedName>
    <definedName name="_CON2" localSheetId="1">#REF!</definedName>
    <definedName name="_CON2">#REF!</definedName>
    <definedName name="_CPC2" localSheetId="2">[2]Sheet2!#REF!</definedName>
    <definedName name="_dao1">'[4]CT Thang Mo'!$B$189:$H$189</definedName>
    <definedName name="_dao2">'[4]CT Thang Mo'!$B$161:$H$161</definedName>
    <definedName name="_dap2">'[4]CT Thang Mo'!$B$162:$H$162</definedName>
    <definedName name="_day1" localSheetId="2">'[3]Chiet tinh dz22'!#REF!</definedName>
    <definedName name="_day2">'[6]Chiet tinh dz35'!$H$3</definedName>
    <definedName name="_dbu1" localSheetId="2">'[4]CT Thang Mo'!#REF!</definedName>
    <definedName name="_dbu2">'[4]CT Thang Mo'!$B$93:$F$93</definedName>
    <definedName name="_Fill" localSheetId="2" hidden="1">#REF!</definedName>
    <definedName name="_Fill" localSheetId="0" hidden="1">#REF!</definedName>
    <definedName name="_Fill" localSheetId="1" hidden="1">#REF!</definedName>
    <definedName name="_Fill" hidden="1">#REF!</definedName>
    <definedName name="_xlnm._FilterDatabase" localSheetId="0" hidden="1">'INV '!$A$26:$M$35</definedName>
    <definedName name="_xlnm._FilterDatabase" localSheetId="15" hidden="1">WN!$A$26:$V$1037</definedName>
    <definedName name="_gon4" localSheetId="0">#REF!</definedName>
    <definedName name="_gon4" localSheetId="1">#REF!</definedName>
    <definedName name="_gon4">#REF!</definedName>
    <definedName name="_Key1" localSheetId="2" hidden="1">#REF!</definedName>
    <definedName name="_Key1" localSheetId="0" hidden="1">#REF!</definedName>
    <definedName name="_Key1" localSheetId="1" hidden="1">#REF!</definedName>
    <definedName name="_Key1" hidden="1">#REF!</definedName>
    <definedName name="_Key2" localSheetId="2" hidden="1">#REF!</definedName>
    <definedName name="_Key2" localSheetId="0" hidden="1">#REF!</definedName>
    <definedName name="_Key2" localSheetId="1" hidden="1">#REF!</definedName>
    <definedName name="_Key2" hidden="1">#REF!</definedName>
    <definedName name="_lap1" localSheetId="0">#REF!</definedName>
    <definedName name="_lap1" localSheetId="1">#REF!</definedName>
    <definedName name="_lap1">#REF!</definedName>
    <definedName name="_lap2" localSheetId="0">#REF!</definedName>
    <definedName name="_lap2" localSheetId="1">#REF!</definedName>
    <definedName name="_lap2">#REF!</definedName>
    <definedName name="_LN2" localSheetId="2">[2]Sheet2!#REF!</definedName>
    <definedName name="_NC2" localSheetId="2">[2]Sheet2!#REF!</definedName>
    <definedName name="_NET2" localSheetId="0">#REF!</definedName>
    <definedName name="_NET2" localSheetId="1">#REF!</definedName>
    <definedName name="_NET2">#REF!</definedName>
    <definedName name="_Order1" hidden="1">255</definedName>
    <definedName name="_Order2" hidden="1">255</definedName>
    <definedName name="_SHR1" localSheetId="0">#REF!</definedName>
    <definedName name="_SHR1" localSheetId="1">#REF!</definedName>
    <definedName name="_SHR1">#REF!</definedName>
    <definedName name="_SHR2" localSheetId="0">#REF!</definedName>
    <definedName name="_SHR2" localSheetId="1">#REF!</definedName>
    <definedName name="_SHR2">#REF!</definedName>
    <definedName name="_Sort" localSheetId="2" hidden="1">#REF!</definedName>
    <definedName name="_Sort" localSheetId="0" hidden="1">#REF!</definedName>
    <definedName name="_Sort" localSheetId="1" hidden="1">#REF!</definedName>
    <definedName name="_Sort" hidden="1">#REF!</definedName>
    <definedName name="_tax1" localSheetId="0">#REF!</definedName>
    <definedName name="_tax1" localSheetId="1">#REF!</definedName>
    <definedName name="_tax1">#REF!</definedName>
    <definedName name="_tax2" localSheetId="0">#REF!</definedName>
    <definedName name="_tax2" localSheetId="1">#REF!</definedName>
    <definedName name="_tax2">#REF!</definedName>
    <definedName name="_tax3" localSheetId="0">#REF!</definedName>
    <definedName name="_tax3" localSheetId="1">#REF!</definedName>
    <definedName name="_tax3">#REF!</definedName>
    <definedName name="_tax4" localSheetId="0">#REF!</definedName>
    <definedName name="_tax4" localSheetId="1">#REF!</definedName>
    <definedName name="_tax4">#REF!</definedName>
    <definedName name="_TKP2" localSheetId="2">[2]Sheet2!#REF!</definedName>
    <definedName name="_VAT2" localSheetId="2">[2]Sheet2!#REF!</definedName>
    <definedName name="_vc1">'[4]CT Thang Mo'!$B$34:$H$34</definedName>
    <definedName name="_vc2">'[4]CT Thang Mo'!$B$35:$H$35</definedName>
    <definedName name="_vc3">'[4]CT Thang Mo'!$B$36:$H$36</definedName>
    <definedName name="_VL2" localSheetId="2">[2]Sheet2!#REF!</definedName>
    <definedName name="A01_">#N/A</definedName>
    <definedName name="A01AC">#N/A</definedName>
    <definedName name="A01CAT">#N/A</definedName>
    <definedName name="A01CODE">#N/A</definedName>
    <definedName name="A2_" localSheetId="2">[2]Sheet2!#REF!</definedName>
    <definedName name="A2_">[2]Sheet2!#REF!</definedName>
    <definedName name="AA" localSheetId="2">#REF!</definedName>
    <definedName name="AA" localSheetId="0">#REF!</definedName>
    <definedName name="AA" localSheetId="1">#REF!</definedName>
    <definedName name="AA">#REF!</definedName>
    <definedName name="AAA" localSheetId="2">'[9]MTL(AG)'!#REF!</definedName>
    <definedName name="AAA">'[9]MTL(AG)'!#REF!</definedName>
    <definedName name="aaaaaaaaaaaaaaaaahhhhhhhhhhhhhhhhh" localSheetId="2" hidden="1">{"'Sheet1'!$L$16"}</definedName>
    <definedName name="aaaaaaaaaaaaaaaaahhhhhhhhhhhhhhhhh" localSheetId="1" hidden="1">{"'Sheet1'!$L$16"}</definedName>
    <definedName name="aaaaaaaaaaaaaaaaahhhhhhhhhhhhhhhhh" hidden="1">{"'Sheet1'!$L$16"}</definedName>
    <definedName name="aaaaaaaaaaaaaaaauuuuuuuuuuuuuu" localSheetId="2" hidden="1">{"'Sheet1'!$L$16"}</definedName>
    <definedName name="aaaaaaaaaaaaaaaauuuuuuuuuuuuuu" localSheetId="1" hidden="1">{"'Sheet1'!$L$16"}</definedName>
    <definedName name="aaaaaaaaaaaaaaaauuuuuuuuuuuuuu" hidden="1">{"'Sheet1'!$L$16"}</definedName>
    <definedName name="Account" localSheetId="2">#REF!</definedName>
    <definedName name="Account" localSheetId="0">#REF!</definedName>
    <definedName name="Account" localSheetId="1">#REF!</definedName>
    <definedName name="Account">#REF!</definedName>
    <definedName name="Administration" localSheetId="2">#REF!</definedName>
    <definedName name="Administration" localSheetId="0">#REF!</definedName>
    <definedName name="Administration" localSheetId="1">#REF!</definedName>
    <definedName name="Administration">#REF!</definedName>
    <definedName name="ALL" localSheetId="2">#REF!</definedName>
    <definedName name="ALL" localSheetId="0">#REF!</definedName>
    <definedName name="ALL" localSheetId="1">#REF!</definedName>
    <definedName name="ALL">#REF!</definedName>
    <definedName name="All_Item" localSheetId="2">#REF!</definedName>
    <definedName name="All_Item" localSheetId="0">#REF!</definedName>
    <definedName name="All_Item" localSheetId="1">#REF!</definedName>
    <definedName name="All_Item">#REF!</definedName>
    <definedName name="anscount" hidden="1">8</definedName>
    <definedName name="as">[10]XL4Poppy!$C$4</definedName>
    <definedName name="AU" localSheetId="2" hidden="1">{"'Sheet1'!$L$16"}</definedName>
    <definedName name="AU" localSheetId="1" hidden="1">{"'Sheet1'!$L$16"}</definedName>
    <definedName name="AU" hidden="1">{"'Sheet1'!$L$16"}</definedName>
    <definedName name="AUU" localSheetId="2" hidden="1">{"'Sheet1'!$L$16"}</definedName>
    <definedName name="AUU" localSheetId="1" hidden="1">{"'Sheet1'!$L$16"}</definedName>
    <definedName name="AUU" hidden="1">{"'Sheet1'!$L$16"}</definedName>
    <definedName name="B2_" localSheetId="2">[2]Sheet2!#REF!</definedName>
    <definedName name="B2_">[2]Sheet2!#REF!</definedName>
    <definedName name="BANG1" localSheetId="2">#REF!</definedName>
    <definedName name="BANG1" localSheetId="0">#REF!</definedName>
    <definedName name="BANG1" localSheetId="1">#REF!</definedName>
    <definedName name="BANG1">#REF!</definedName>
    <definedName name="BANG2" localSheetId="2">#REF!</definedName>
    <definedName name="BANG2" localSheetId="0">#REF!</definedName>
    <definedName name="BANG2" localSheetId="1">#REF!</definedName>
    <definedName name="BANG2">#REF!</definedName>
    <definedName name="banggia" localSheetId="2">[11]Gi¸VËtT­!$A$2:$D$67</definedName>
    <definedName name="banggia">[11]Gi¸VËtT­!$A$2:$D$67</definedName>
    <definedName name="BB" localSheetId="2">#REF!</definedName>
    <definedName name="BB" localSheetId="0">#REF!</definedName>
    <definedName name="BB" localSheetId="1">#REF!</definedName>
    <definedName name="BB">#REF!</definedName>
    <definedName name="BCQUYNGAY" localSheetId="2">#REF!</definedName>
    <definedName name="BCQUYNGAY" localSheetId="0">#REF!</definedName>
    <definedName name="BCQUYNGAY" localSheetId="1">#REF!</definedName>
    <definedName name="BCQUYNGAY">#REF!</definedName>
    <definedName name="BG" localSheetId="2">#REF!</definedName>
    <definedName name="BG" localSheetId="0">#REF!</definedName>
    <definedName name="BG" localSheetId="1">#REF!</definedName>
    <definedName name="BG">#REF!</definedName>
    <definedName name="BL">"$A$1:$f$11"</definedName>
    <definedName name="BLDG" localSheetId="2">'[8]FA-LISTING'!#REF!</definedName>
    <definedName name="BLDG">'[8]FA-LISTING'!#REF!</definedName>
    <definedName name="BLDGIMP" localSheetId="2">'[8]FA-LISTING'!#REF!</definedName>
    <definedName name="BLDGIMP">'[8]FA-LISTING'!#REF!</definedName>
    <definedName name="BLDGREV" localSheetId="2">'[8]FA-LISTING'!#REF!</definedName>
    <definedName name="BLDGREV">'[8]FA-LISTING'!#REF!</definedName>
    <definedName name="BOQ" localSheetId="2">#REF!</definedName>
    <definedName name="BOQ" localSheetId="0">#REF!</definedName>
    <definedName name="BOQ" localSheetId="1">#REF!</definedName>
    <definedName name="BOQ">#REF!</definedName>
    <definedName name="boxes" localSheetId="2">#REF!</definedName>
    <definedName name="boxes" localSheetId="0">#REF!</definedName>
    <definedName name="boxes" localSheetId="1">#REF!</definedName>
    <definedName name="boxes">#REF!</definedName>
    <definedName name="bpl" localSheetId="2">#REF!</definedName>
    <definedName name="bpl" localSheetId="0">#REF!</definedName>
    <definedName name="bpl" localSheetId="1">#REF!</definedName>
    <definedName name="bpl">#REF!</definedName>
    <definedName name="btchiuaxitm300" localSheetId="2">#REF!</definedName>
    <definedName name="btchiuaxitm300" localSheetId="0">#REF!</definedName>
    <definedName name="btchiuaxitm300" localSheetId="1">#REF!</definedName>
    <definedName name="btchiuaxitm300">#REF!</definedName>
    <definedName name="BTchiuaxm200" localSheetId="2">#REF!</definedName>
    <definedName name="BTchiuaxm200" localSheetId="0">#REF!</definedName>
    <definedName name="BTchiuaxm200" localSheetId="1">#REF!</definedName>
    <definedName name="BTchiuaxm200">#REF!</definedName>
    <definedName name="btcocM400" localSheetId="2">#REF!</definedName>
    <definedName name="btcocM400" localSheetId="0">#REF!</definedName>
    <definedName name="btcocM400" localSheetId="1">#REF!</definedName>
    <definedName name="btcocM400">#REF!</definedName>
    <definedName name="BTlotm100" localSheetId="2">#REF!</definedName>
    <definedName name="BTlotm100" localSheetId="0">#REF!</definedName>
    <definedName name="BTlotm100" localSheetId="1">#REF!</definedName>
    <definedName name="BTlotm100">#REF!</definedName>
    <definedName name="button_area_1" localSheetId="2">#REF!</definedName>
    <definedName name="button_area_1" localSheetId="0">#REF!</definedName>
    <definedName name="button_area_1" localSheetId="1">#REF!</definedName>
    <definedName name="button_area_1">#REF!</definedName>
    <definedName name="BVCISUMMARY" localSheetId="2">#REF!</definedName>
    <definedName name="BVCISUMMARY" localSheetId="0">#REF!</definedName>
    <definedName name="BVCISUMMARY" localSheetId="1">#REF!</definedName>
    <definedName name="BVCISUMMARY">#REF!</definedName>
    <definedName name="C_" localSheetId="2">#REF!</definedName>
    <definedName name="C_" localSheetId="0">#REF!</definedName>
    <definedName name="C_" localSheetId="1">#REF!</definedName>
    <definedName name="C_">#REF!</definedName>
    <definedName name="CABLE2">'[12]MTO REV.0'!$A$1:$Q$570</definedName>
    <definedName name="cap" localSheetId="2">#REF!</definedName>
    <definedName name="cap" localSheetId="0">#REF!</definedName>
    <definedName name="cap" localSheetId="1">#REF!</definedName>
    <definedName name="cap">#REF!</definedName>
    <definedName name="cap0.7" localSheetId="2">#REF!</definedName>
    <definedName name="cap0.7" localSheetId="0">#REF!</definedName>
    <definedName name="cap0.7" localSheetId="1">#REF!</definedName>
    <definedName name="cap0.7">#REF!</definedName>
    <definedName name="Category_All" localSheetId="2">#REF!</definedName>
    <definedName name="Category_All" localSheetId="0">#REF!</definedName>
    <definedName name="Category_All" localSheetId="1">#REF!</definedName>
    <definedName name="Category_All">#REF!</definedName>
    <definedName name="CC" localSheetId="2">#REF!</definedName>
    <definedName name="CC" localSheetId="0">#REF!</definedName>
    <definedName name="CC" localSheetId="1">#REF!</definedName>
    <definedName name="CC">#REF!</definedName>
    <definedName name="CCT" localSheetId="2">#REF!</definedName>
    <definedName name="CCT" localSheetId="0">#REF!</definedName>
    <definedName name="CCT" localSheetId="1">#REF!</definedName>
    <definedName name="CCT">#REF!</definedName>
    <definedName name="CDB" localSheetId="2">#REF!</definedName>
    <definedName name="CDB" localSheetId="0">#REF!</definedName>
    <definedName name="CDB" localSheetId="1">#REF!</definedName>
    <definedName name="CDB">#REF!</definedName>
    <definedName name="Cdnum" localSheetId="2">#REF!</definedName>
    <definedName name="Cdnum" localSheetId="0">#REF!</definedName>
    <definedName name="Cdnum" localSheetId="1">#REF!</definedName>
    <definedName name="Cdnum">#REF!</definedName>
    <definedName name="celltips_area" localSheetId="2">#REF!</definedName>
    <definedName name="celltips_area" localSheetId="0">#REF!</definedName>
    <definedName name="celltips_area" localSheetId="1">#REF!</definedName>
    <definedName name="celltips_area">#REF!</definedName>
    <definedName name="chuc1" localSheetId="2">#REF!</definedName>
    <definedName name="chuc1" localSheetId="0">#REF!</definedName>
    <definedName name="chuc1" localSheetId="1">#REF!</definedName>
    <definedName name="chuc1">#REF!</definedName>
    <definedName name="CL" localSheetId="2">#REF!</definedName>
    <definedName name="CL" localSheetId="0">#REF!</definedName>
    <definedName name="CL" localSheetId="1">#REF!</definedName>
    <definedName name="CL">#REF!</definedName>
    <definedName name="CLVL" localSheetId="2">#REF!</definedName>
    <definedName name="CLVL" localSheetId="0">#REF!</definedName>
    <definedName name="CLVL" localSheetId="1">#REF!</definedName>
    <definedName name="CLVL">#REF!</definedName>
    <definedName name="CLVL2" localSheetId="2">[2]Sheet2!#REF!</definedName>
    <definedName name="CLVL2">[2]Sheet2!#REF!</definedName>
    <definedName name="Code_No." localSheetId="2">#REF!</definedName>
    <definedName name="Code_No." localSheetId="0">#REF!</definedName>
    <definedName name="Code_No." localSheetId="1">#REF!</definedName>
    <definedName name="Code_No.">#REF!</definedName>
    <definedName name="COM" localSheetId="2">#REF!</definedName>
    <definedName name="COM" localSheetId="0">#REF!</definedName>
    <definedName name="COM" localSheetId="1">#REF!</definedName>
    <definedName name="COM">#REF!</definedName>
    <definedName name="COMMON" localSheetId="2">#REF!</definedName>
    <definedName name="COMMON" localSheetId="0">#REF!</definedName>
    <definedName name="COMMON" localSheetId="1">#REF!</definedName>
    <definedName name="COMMON">#REF!</definedName>
    <definedName name="COMP" localSheetId="2">'[8]FA-LISTING'!#REF!</definedName>
    <definedName name="COMP">'[8]FA-LISTING'!#REF!</definedName>
    <definedName name="CON_EQP_COS" localSheetId="2">#REF!</definedName>
    <definedName name="CON_EQP_COS" localSheetId="0">#REF!</definedName>
    <definedName name="CON_EQP_COS" localSheetId="1">#REF!</definedName>
    <definedName name="CON_EQP_COS">#REF!</definedName>
    <definedName name="CON_EQP_COST" localSheetId="2">#REF!</definedName>
    <definedName name="CON_EQP_COST" localSheetId="0">#REF!</definedName>
    <definedName name="CON_EQP_COST" localSheetId="1">#REF!</definedName>
    <definedName name="CON_EQP_COST">#REF!</definedName>
    <definedName name="Concrete" localSheetId="2">'[13]DGchitiet '!#REF!</definedName>
    <definedName name="Concrete">'[13]DGchitiet '!#REF!</definedName>
    <definedName name="CONST_EQ" localSheetId="2">#REF!</definedName>
    <definedName name="CONST_EQ" localSheetId="0">#REF!</definedName>
    <definedName name="CONST_EQ" localSheetId="1">#REF!</definedName>
    <definedName name="CONST_EQ">#REF!</definedName>
    <definedName name="COVER" localSheetId="2">#REF!</definedName>
    <definedName name="COVER" localSheetId="0">#REF!</definedName>
    <definedName name="COVER" localSheetId="1">#REF!</definedName>
    <definedName name="COVER">#REF!</definedName>
    <definedName name="CPC" localSheetId="2">#REF!</definedName>
    <definedName name="CPC" localSheetId="0">#REF!</definedName>
    <definedName name="CPC" localSheetId="1">#REF!</definedName>
    <definedName name="CPC">#REF!</definedName>
    <definedName name="CRITINST" localSheetId="2">#REF!</definedName>
    <definedName name="CRITINST" localSheetId="0">#REF!</definedName>
    <definedName name="CRITINST" localSheetId="1">#REF!</definedName>
    <definedName name="CRITINST">#REF!</definedName>
    <definedName name="CRITPURC" localSheetId="2">#REF!</definedName>
    <definedName name="CRITPURC" localSheetId="0">#REF!</definedName>
    <definedName name="CRITPURC" localSheetId="1">#REF!</definedName>
    <definedName name="CRITPURC">#REF!</definedName>
    <definedName name="CS" localSheetId="2">#REF!</definedName>
    <definedName name="CS" localSheetId="0">#REF!</definedName>
    <definedName name="CS" localSheetId="1">#REF!</definedName>
    <definedName name="CS">#REF!</definedName>
    <definedName name="CS_10" localSheetId="2">#REF!</definedName>
    <definedName name="CS_10" localSheetId="0">#REF!</definedName>
    <definedName name="CS_10" localSheetId="1">#REF!</definedName>
    <definedName name="CS_10">#REF!</definedName>
    <definedName name="CS_100" localSheetId="2">#REF!</definedName>
    <definedName name="CS_100" localSheetId="0">#REF!</definedName>
    <definedName name="CS_100" localSheetId="1">#REF!</definedName>
    <definedName name="CS_100">#REF!</definedName>
    <definedName name="CS_10S" localSheetId="2">#REF!</definedName>
    <definedName name="CS_10S" localSheetId="0">#REF!</definedName>
    <definedName name="CS_10S" localSheetId="1">#REF!</definedName>
    <definedName name="CS_10S">#REF!</definedName>
    <definedName name="CS_120" localSheetId="2">#REF!</definedName>
    <definedName name="CS_120" localSheetId="0">#REF!</definedName>
    <definedName name="CS_120" localSheetId="1">#REF!</definedName>
    <definedName name="CS_120">#REF!</definedName>
    <definedName name="CS_140" localSheetId="2">#REF!</definedName>
    <definedName name="CS_140" localSheetId="0">#REF!</definedName>
    <definedName name="CS_140" localSheetId="1">#REF!</definedName>
    <definedName name="CS_140">#REF!</definedName>
    <definedName name="CS_160" localSheetId="2">#REF!</definedName>
    <definedName name="CS_160" localSheetId="0">#REF!</definedName>
    <definedName name="CS_160" localSheetId="1">#REF!</definedName>
    <definedName name="CS_160">#REF!</definedName>
    <definedName name="CS_20" localSheetId="2">#REF!</definedName>
    <definedName name="CS_20" localSheetId="0">#REF!</definedName>
    <definedName name="CS_20" localSheetId="1">#REF!</definedName>
    <definedName name="CS_20">#REF!</definedName>
    <definedName name="CS_30" localSheetId="2">#REF!</definedName>
    <definedName name="CS_30" localSheetId="0">#REF!</definedName>
    <definedName name="CS_30" localSheetId="1">#REF!</definedName>
    <definedName name="CS_30">#REF!</definedName>
    <definedName name="CS_40" localSheetId="2">#REF!</definedName>
    <definedName name="CS_40" localSheetId="0">#REF!</definedName>
    <definedName name="CS_40" localSheetId="1">#REF!</definedName>
    <definedName name="CS_40">#REF!</definedName>
    <definedName name="CS_40S" localSheetId="2">#REF!</definedName>
    <definedName name="CS_40S" localSheetId="0">#REF!</definedName>
    <definedName name="CS_40S" localSheetId="1">#REF!</definedName>
    <definedName name="CS_40S">#REF!</definedName>
    <definedName name="CS_5S" localSheetId="2">#REF!</definedName>
    <definedName name="CS_5S" localSheetId="0">#REF!</definedName>
    <definedName name="CS_5S" localSheetId="1">#REF!</definedName>
    <definedName name="CS_5S">#REF!</definedName>
    <definedName name="CS_60" localSheetId="2">#REF!</definedName>
    <definedName name="CS_60" localSheetId="0">#REF!</definedName>
    <definedName name="CS_60" localSheetId="1">#REF!</definedName>
    <definedName name="CS_60">#REF!</definedName>
    <definedName name="CS_80" localSheetId="2">#REF!</definedName>
    <definedName name="CS_80" localSheetId="0">#REF!</definedName>
    <definedName name="CS_80" localSheetId="1">#REF!</definedName>
    <definedName name="CS_80">#REF!</definedName>
    <definedName name="CS_80S" localSheetId="2">#REF!</definedName>
    <definedName name="CS_80S" localSheetId="0">#REF!</definedName>
    <definedName name="CS_80S" localSheetId="1">#REF!</definedName>
    <definedName name="CS_80S">#REF!</definedName>
    <definedName name="CS_STD" localSheetId="2">#REF!</definedName>
    <definedName name="CS_STD" localSheetId="0">#REF!</definedName>
    <definedName name="CS_STD" localSheetId="1">#REF!</definedName>
    <definedName name="CS_STD">#REF!</definedName>
    <definedName name="CS_XS" localSheetId="2">#REF!</definedName>
    <definedName name="CS_XS" localSheetId="0">#REF!</definedName>
    <definedName name="CS_XS" localSheetId="1">#REF!</definedName>
    <definedName name="CS_XS">#REF!</definedName>
    <definedName name="CS_XXS" localSheetId="2">#REF!</definedName>
    <definedName name="CS_XXS" localSheetId="0">#REF!</definedName>
    <definedName name="CS_XXS" localSheetId="1">#REF!</definedName>
    <definedName name="CS_XXS">#REF!</definedName>
    <definedName name="ctdn9697" localSheetId="2">#REF!</definedName>
    <definedName name="ctdn9697" localSheetId="0">#REF!</definedName>
    <definedName name="ctdn9697" localSheetId="1">#REF!</definedName>
    <definedName name="ctdn9697">#REF!</definedName>
    <definedName name="cuong" localSheetId="2" hidden="1">{"'Sheet1'!$L$16"}</definedName>
    <definedName name="cuong" localSheetId="1" hidden="1">{"'Sheet1'!$L$16"}</definedName>
    <definedName name="cuong" hidden="1">{"'Sheet1'!$L$16"}</definedName>
    <definedName name="CURRENCY" localSheetId="2">#REF!</definedName>
    <definedName name="CURRENCY" localSheetId="0">#REF!</definedName>
    <definedName name="CURRENCY" localSheetId="1">#REF!</definedName>
    <definedName name="CURRENCY">#REF!</definedName>
    <definedName name="D_7101A_B" localSheetId="2">#REF!</definedName>
    <definedName name="D_7101A_B" localSheetId="0">#REF!</definedName>
    <definedName name="D_7101A_B" localSheetId="1">#REF!</definedName>
    <definedName name="D_7101A_B">#REF!</definedName>
    <definedName name="Danh_sach_hang">[14]Danh_sach_hang!$B$4:$C$400</definedName>
    <definedName name="daotd">'[4]CT Thang Mo'!$B$323:$H$323</definedName>
    <definedName name="dap">'[4]CT Thang Mo'!$B$39:$H$39</definedName>
    <definedName name="daptd">'[4]CT Thang Mo'!$B$324:$H$324</definedName>
    <definedName name="data1" localSheetId="2">#REF!</definedName>
    <definedName name="data1" localSheetId="0">#REF!</definedName>
    <definedName name="data1" localSheetId="1">#REF!</definedName>
    <definedName name="data1">#REF!</definedName>
    <definedName name="data10" localSheetId="2">#REF!</definedName>
    <definedName name="data10" localSheetId="0">#REF!</definedName>
    <definedName name="data10" localSheetId="1">#REF!</definedName>
    <definedName name="data10">#REF!</definedName>
    <definedName name="data11" localSheetId="2">#REF!</definedName>
    <definedName name="data11" localSheetId="0">#REF!</definedName>
    <definedName name="data11" localSheetId="1">#REF!</definedName>
    <definedName name="data11">#REF!</definedName>
    <definedName name="data12" localSheetId="2">#REF!</definedName>
    <definedName name="data12" localSheetId="0">#REF!</definedName>
    <definedName name="data12" localSheetId="1">#REF!</definedName>
    <definedName name="data12">#REF!</definedName>
    <definedName name="data13" localSheetId="2">#REF!</definedName>
    <definedName name="data13" localSheetId="0">#REF!</definedName>
    <definedName name="data13" localSheetId="1">#REF!</definedName>
    <definedName name="data13">#REF!</definedName>
    <definedName name="data14" localSheetId="2">#REF!</definedName>
    <definedName name="data14" localSheetId="0">#REF!</definedName>
    <definedName name="data14" localSheetId="1">#REF!</definedName>
    <definedName name="data14">#REF!</definedName>
    <definedName name="data15" localSheetId="2">#REF!</definedName>
    <definedName name="data15" localSheetId="0">#REF!</definedName>
    <definedName name="data15" localSheetId="1">#REF!</definedName>
    <definedName name="data15">#REF!</definedName>
    <definedName name="data16" localSheetId="2">#REF!</definedName>
    <definedName name="data16" localSheetId="0">#REF!</definedName>
    <definedName name="data16" localSheetId="1">#REF!</definedName>
    <definedName name="data16">#REF!</definedName>
    <definedName name="data17" localSheetId="2">#REF!</definedName>
    <definedName name="data17" localSheetId="0">#REF!</definedName>
    <definedName name="data17" localSheetId="1">#REF!</definedName>
    <definedName name="data17">#REF!</definedName>
    <definedName name="data18" localSheetId="2">#REF!</definedName>
    <definedName name="data18" localSheetId="0">#REF!</definedName>
    <definedName name="data18" localSheetId="1">#REF!</definedName>
    <definedName name="data18">#REF!</definedName>
    <definedName name="data19" localSheetId="2">#REF!</definedName>
    <definedName name="data19" localSheetId="0">#REF!</definedName>
    <definedName name="data19" localSheetId="1">#REF!</definedName>
    <definedName name="data19">#REF!</definedName>
    <definedName name="data20" localSheetId="2">#REF!</definedName>
    <definedName name="data20" localSheetId="0">#REF!</definedName>
    <definedName name="data20" localSheetId="1">#REF!</definedName>
    <definedName name="data20">#REF!</definedName>
    <definedName name="data21" localSheetId="2">#REF!</definedName>
    <definedName name="data21" localSheetId="0">#REF!</definedName>
    <definedName name="data21" localSheetId="1">#REF!</definedName>
    <definedName name="data21">#REF!</definedName>
    <definedName name="data22" localSheetId="2">#REF!</definedName>
    <definedName name="data22" localSheetId="0">#REF!</definedName>
    <definedName name="data22" localSheetId="1">#REF!</definedName>
    <definedName name="data22">#REF!</definedName>
    <definedName name="data23" localSheetId="2">#REF!</definedName>
    <definedName name="data23" localSheetId="0">#REF!</definedName>
    <definedName name="data23" localSheetId="1">#REF!</definedName>
    <definedName name="data23">#REF!</definedName>
    <definedName name="data24" localSheetId="2">#REF!</definedName>
    <definedName name="data24" localSheetId="0">#REF!</definedName>
    <definedName name="data24" localSheetId="1">#REF!</definedName>
    <definedName name="data24">#REF!</definedName>
    <definedName name="data25" localSheetId="2">#REF!</definedName>
    <definedName name="data25" localSheetId="0">#REF!</definedName>
    <definedName name="data25" localSheetId="1">#REF!</definedName>
    <definedName name="data25">#REF!</definedName>
    <definedName name="data26" localSheetId="2">#REF!</definedName>
    <definedName name="data26" localSheetId="0">#REF!</definedName>
    <definedName name="data26" localSheetId="1">#REF!</definedName>
    <definedName name="data26">#REF!</definedName>
    <definedName name="data27" localSheetId="2">#REF!</definedName>
    <definedName name="data27" localSheetId="0">#REF!</definedName>
    <definedName name="data27" localSheetId="1">#REF!</definedName>
    <definedName name="data27">#REF!</definedName>
    <definedName name="data28" localSheetId="2">#REF!</definedName>
    <definedName name="data28" localSheetId="0">#REF!</definedName>
    <definedName name="data28" localSheetId="1">#REF!</definedName>
    <definedName name="data28">#REF!</definedName>
    <definedName name="data29" localSheetId="2">#REF!</definedName>
    <definedName name="data29" localSheetId="0">#REF!</definedName>
    <definedName name="data29" localSheetId="1">#REF!</definedName>
    <definedName name="data29">#REF!</definedName>
    <definedName name="data30" localSheetId="2">#REF!</definedName>
    <definedName name="data30" localSheetId="0">#REF!</definedName>
    <definedName name="data30" localSheetId="1">#REF!</definedName>
    <definedName name="data30">#REF!</definedName>
    <definedName name="data31" localSheetId="2">#REF!</definedName>
    <definedName name="data31" localSheetId="0">#REF!</definedName>
    <definedName name="data31" localSheetId="1">#REF!</definedName>
    <definedName name="data31">#REF!</definedName>
    <definedName name="data32" localSheetId="2">#REF!</definedName>
    <definedName name="data32" localSheetId="0">#REF!</definedName>
    <definedName name="data32" localSheetId="1">#REF!</definedName>
    <definedName name="data32">#REF!</definedName>
    <definedName name="data33" localSheetId="2">#REF!</definedName>
    <definedName name="data33" localSheetId="0">#REF!</definedName>
    <definedName name="data33" localSheetId="1">#REF!</definedName>
    <definedName name="data33">#REF!</definedName>
    <definedName name="data34" localSheetId="2">#REF!</definedName>
    <definedName name="data34" localSheetId="0">#REF!</definedName>
    <definedName name="data34" localSheetId="1">#REF!</definedName>
    <definedName name="data34">#REF!</definedName>
    <definedName name="data35" localSheetId="2">#REF!</definedName>
    <definedName name="data35" localSheetId="0">#REF!</definedName>
    <definedName name="data35" localSheetId="1">#REF!</definedName>
    <definedName name="data35">#REF!</definedName>
    <definedName name="data36" localSheetId="2">#REF!</definedName>
    <definedName name="data36" localSheetId="0">#REF!</definedName>
    <definedName name="data36" localSheetId="1">#REF!</definedName>
    <definedName name="data36">#REF!</definedName>
    <definedName name="data37" localSheetId="2">#REF!</definedName>
    <definedName name="data37" localSheetId="0">#REF!</definedName>
    <definedName name="data37" localSheetId="1">#REF!</definedName>
    <definedName name="data37">#REF!</definedName>
    <definedName name="data38" localSheetId="2">#REF!</definedName>
    <definedName name="data38" localSheetId="0">#REF!</definedName>
    <definedName name="data38" localSheetId="1">#REF!</definedName>
    <definedName name="data38">#REF!</definedName>
    <definedName name="data39" localSheetId="2">#REF!</definedName>
    <definedName name="data39" localSheetId="0">#REF!</definedName>
    <definedName name="data39" localSheetId="1">#REF!</definedName>
    <definedName name="data39">#REF!</definedName>
    <definedName name="data4" localSheetId="2">#REF!</definedName>
    <definedName name="data4" localSheetId="0">#REF!</definedName>
    <definedName name="data4" localSheetId="1">#REF!</definedName>
    <definedName name="data4">#REF!</definedName>
    <definedName name="data40" localSheetId="2">#REF!</definedName>
    <definedName name="data40" localSheetId="0">#REF!</definedName>
    <definedName name="data40" localSheetId="1">#REF!</definedName>
    <definedName name="data40">#REF!</definedName>
    <definedName name="data41" localSheetId="2">#REF!</definedName>
    <definedName name="data41" localSheetId="0">#REF!</definedName>
    <definedName name="data41" localSheetId="1">#REF!</definedName>
    <definedName name="data41">#REF!</definedName>
    <definedName name="data42" localSheetId="2">#REF!</definedName>
    <definedName name="data42" localSheetId="0">#REF!</definedName>
    <definedName name="data42" localSheetId="1">#REF!</definedName>
    <definedName name="data42">#REF!</definedName>
    <definedName name="data43" localSheetId="2">#REF!</definedName>
    <definedName name="data43" localSheetId="0">#REF!</definedName>
    <definedName name="data43" localSheetId="1">#REF!</definedName>
    <definedName name="data43">#REF!</definedName>
    <definedName name="data44" localSheetId="2">#REF!</definedName>
    <definedName name="data44" localSheetId="0">#REF!</definedName>
    <definedName name="data44" localSheetId="1">#REF!</definedName>
    <definedName name="data44">#REF!</definedName>
    <definedName name="data45" localSheetId="2">#REF!</definedName>
    <definedName name="data45" localSheetId="0">#REF!</definedName>
    <definedName name="data45" localSheetId="1">#REF!</definedName>
    <definedName name="data45">#REF!</definedName>
    <definedName name="data46" localSheetId="2">#REF!</definedName>
    <definedName name="data46" localSheetId="0">#REF!</definedName>
    <definedName name="data46" localSheetId="1">#REF!</definedName>
    <definedName name="data46">#REF!</definedName>
    <definedName name="data47" localSheetId="2">#REF!</definedName>
    <definedName name="data47" localSheetId="0">#REF!</definedName>
    <definedName name="data47" localSheetId="1">#REF!</definedName>
    <definedName name="data47">#REF!</definedName>
    <definedName name="data48" localSheetId="2">#REF!</definedName>
    <definedName name="data48" localSheetId="0">#REF!</definedName>
    <definedName name="data48" localSheetId="1">#REF!</definedName>
    <definedName name="data48">#REF!</definedName>
    <definedName name="data49" localSheetId="2">#REF!</definedName>
    <definedName name="data49" localSheetId="0">#REF!</definedName>
    <definedName name="data49" localSheetId="1">#REF!</definedName>
    <definedName name="data49">#REF!</definedName>
    <definedName name="data5" localSheetId="2">#REF!</definedName>
    <definedName name="data5" localSheetId="0">#REF!</definedName>
    <definedName name="data5" localSheetId="1">#REF!</definedName>
    <definedName name="data5">#REF!</definedName>
    <definedName name="data50" localSheetId="2">#REF!</definedName>
    <definedName name="data50" localSheetId="0">#REF!</definedName>
    <definedName name="data50" localSheetId="1">#REF!</definedName>
    <definedName name="data50">#REF!</definedName>
    <definedName name="data51" localSheetId="2">#REF!</definedName>
    <definedName name="data51" localSheetId="0">#REF!</definedName>
    <definedName name="data51" localSheetId="1">#REF!</definedName>
    <definedName name="data51">#REF!</definedName>
    <definedName name="data52" localSheetId="2">#REF!</definedName>
    <definedName name="data52" localSheetId="0">#REF!</definedName>
    <definedName name="data52" localSheetId="1">#REF!</definedName>
    <definedName name="data52">#REF!</definedName>
    <definedName name="data53" localSheetId="2">#REF!</definedName>
    <definedName name="data53" localSheetId="0">#REF!</definedName>
    <definedName name="data53" localSheetId="1">#REF!</definedName>
    <definedName name="data53">#REF!</definedName>
    <definedName name="data54" localSheetId="2">#REF!</definedName>
    <definedName name="data54" localSheetId="0">#REF!</definedName>
    <definedName name="data54" localSheetId="1">#REF!</definedName>
    <definedName name="data54">#REF!</definedName>
    <definedName name="data55" localSheetId="2">#REF!</definedName>
    <definedName name="data55" localSheetId="0">#REF!</definedName>
    <definedName name="data55" localSheetId="1">#REF!</definedName>
    <definedName name="data55">#REF!</definedName>
    <definedName name="data56" localSheetId="2">#REF!</definedName>
    <definedName name="data56" localSheetId="0">#REF!</definedName>
    <definedName name="data56" localSheetId="1">#REF!</definedName>
    <definedName name="data56">#REF!</definedName>
    <definedName name="data57" localSheetId="2">#REF!</definedName>
    <definedName name="data57" localSheetId="0">#REF!</definedName>
    <definedName name="data57" localSheetId="1">#REF!</definedName>
    <definedName name="data57">#REF!</definedName>
    <definedName name="data58" localSheetId="2">#REF!</definedName>
    <definedName name="data58" localSheetId="0">#REF!</definedName>
    <definedName name="data58" localSheetId="1">#REF!</definedName>
    <definedName name="data58">#REF!</definedName>
    <definedName name="data59" localSheetId="2">#REF!</definedName>
    <definedName name="data59" localSheetId="0">#REF!</definedName>
    <definedName name="data59" localSheetId="1">#REF!</definedName>
    <definedName name="data59">#REF!</definedName>
    <definedName name="data6" localSheetId="2">#REF!</definedName>
    <definedName name="data6" localSheetId="0">#REF!</definedName>
    <definedName name="data6" localSheetId="1">#REF!</definedName>
    <definedName name="data6">#REF!</definedName>
    <definedName name="data60" localSheetId="2">#REF!</definedName>
    <definedName name="data60" localSheetId="0">#REF!</definedName>
    <definedName name="data60" localSheetId="1">#REF!</definedName>
    <definedName name="data60">#REF!</definedName>
    <definedName name="data61" localSheetId="2">#REF!</definedName>
    <definedName name="data61" localSheetId="0">#REF!</definedName>
    <definedName name="data61" localSheetId="1">#REF!</definedName>
    <definedName name="data61">#REF!</definedName>
    <definedName name="data62" localSheetId="2">#REF!</definedName>
    <definedName name="data62" localSheetId="0">#REF!</definedName>
    <definedName name="data62" localSheetId="1">#REF!</definedName>
    <definedName name="data62">#REF!</definedName>
    <definedName name="data63" localSheetId="2">#REF!</definedName>
    <definedName name="data63" localSheetId="0">#REF!</definedName>
    <definedName name="data63" localSheetId="1">#REF!</definedName>
    <definedName name="data63">#REF!</definedName>
    <definedName name="data64" localSheetId="2">#REF!</definedName>
    <definedName name="data64" localSheetId="0">#REF!</definedName>
    <definedName name="data64" localSheetId="1">#REF!</definedName>
    <definedName name="data64">#REF!</definedName>
    <definedName name="data65" localSheetId="2">#REF!</definedName>
    <definedName name="data65" localSheetId="0">#REF!</definedName>
    <definedName name="data65" localSheetId="1">#REF!</definedName>
    <definedName name="data65">#REF!</definedName>
    <definedName name="data66" localSheetId="2">#REF!</definedName>
    <definedName name="data66" localSheetId="0">#REF!</definedName>
    <definedName name="data66" localSheetId="1">#REF!</definedName>
    <definedName name="data66">#REF!</definedName>
    <definedName name="data67" localSheetId="2">#REF!</definedName>
    <definedName name="data67" localSheetId="0">#REF!</definedName>
    <definedName name="data67" localSheetId="1">#REF!</definedName>
    <definedName name="data67">#REF!</definedName>
    <definedName name="data68" localSheetId="2">#REF!</definedName>
    <definedName name="data68" localSheetId="0">#REF!</definedName>
    <definedName name="data68" localSheetId="1">#REF!</definedName>
    <definedName name="data68">#REF!</definedName>
    <definedName name="data69" localSheetId="2">#REF!</definedName>
    <definedName name="data69" localSheetId="0">#REF!</definedName>
    <definedName name="data69" localSheetId="1">#REF!</definedName>
    <definedName name="data69">#REF!</definedName>
    <definedName name="data7" localSheetId="2">#REF!</definedName>
    <definedName name="data7" localSheetId="0">#REF!</definedName>
    <definedName name="data7" localSheetId="1">#REF!</definedName>
    <definedName name="data7">#REF!</definedName>
    <definedName name="data70" localSheetId="2">#REF!</definedName>
    <definedName name="data70" localSheetId="0">#REF!</definedName>
    <definedName name="data70" localSheetId="1">#REF!</definedName>
    <definedName name="data70">#REF!</definedName>
    <definedName name="data8" localSheetId="2">#REF!</definedName>
    <definedName name="data8" localSheetId="0">#REF!</definedName>
    <definedName name="data8" localSheetId="1">#REF!</definedName>
    <definedName name="data8">#REF!</definedName>
    <definedName name="data9" localSheetId="2">#REF!</definedName>
    <definedName name="data9" localSheetId="0">#REF!</definedName>
    <definedName name="data9" localSheetId="1">#REF!</definedName>
    <definedName name="data9">#REF!</definedName>
    <definedName name="DataFilter" localSheetId="2">[15]!DataFilter</definedName>
    <definedName name="DataFilter">[15]!DataFilter</definedName>
    <definedName name="DataSort" localSheetId="2">[15]!DataSort</definedName>
    <definedName name="DataSort">[15]!DataSort</definedName>
    <definedName name="Delivery" localSheetId="2">#REF!</definedName>
    <definedName name="Delivery" localSheetId="0">#REF!</definedName>
    <definedName name="Delivery" localSheetId="1">#REF!</definedName>
    <definedName name="Delivery">#REF!</definedName>
    <definedName name="dflt1" localSheetId="2">#REF!</definedName>
    <definedName name="dflt1" localSheetId="0">#REF!</definedName>
    <definedName name="dflt1" localSheetId="1">#REF!</definedName>
    <definedName name="dflt1">#REF!</definedName>
    <definedName name="dflt2" localSheetId="2">#REF!</definedName>
    <definedName name="dflt2" localSheetId="0">#REF!</definedName>
    <definedName name="dflt2" localSheetId="1">#REF!</definedName>
    <definedName name="dflt2">#REF!</definedName>
    <definedName name="dflt3" localSheetId="2">#REF!</definedName>
    <definedName name="dflt3" localSheetId="0">#REF!</definedName>
    <definedName name="dflt3" localSheetId="1">#REF!</definedName>
    <definedName name="dflt3">#REF!</definedName>
    <definedName name="dflt4" localSheetId="2">#REF!</definedName>
    <definedName name="dflt4" localSheetId="0">#REF!</definedName>
    <definedName name="dflt4" localSheetId="1">#REF!</definedName>
    <definedName name="dflt4">#REF!</definedName>
    <definedName name="dflt5" localSheetId="2">#REF!</definedName>
    <definedName name="dflt5" localSheetId="0">#REF!</definedName>
    <definedName name="dflt5" localSheetId="1">#REF!</definedName>
    <definedName name="dflt5">#REF!</definedName>
    <definedName name="dflt6" localSheetId="2">#REF!</definedName>
    <definedName name="dflt6" localSheetId="0">#REF!</definedName>
    <definedName name="dflt6" localSheetId="1">#REF!</definedName>
    <definedName name="dflt6">#REF!</definedName>
    <definedName name="dflt7" localSheetId="2">#REF!</definedName>
    <definedName name="dflt7" localSheetId="0">#REF!</definedName>
    <definedName name="dflt7" localSheetId="1">#REF!</definedName>
    <definedName name="dflt7">#REF!</definedName>
    <definedName name="DHH" localSheetId="2">#REF!</definedName>
    <definedName name="DHH" localSheetId="0">#REF!</definedName>
    <definedName name="DHH" localSheetId="1">#REF!</definedName>
    <definedName name="DHH">#REF!</definedName>
    <definedName name="DINHMUC" localSheetId="2">#REF!</definedName>
    <definedName name="DINHMUC" localSheetId="0">#REF!</definedName>
    <definedName name="DINHMUC" localSheetId="1">#REF!</definedName>
    <definedName name="DINHMUC">#REF!</definedName>
    <definedName name="display_area_1" localSheetId="2">#REF!</definedName>
    <definedName name="display_area_1" localSheetId="0">#REF!</definedName>
    <definedName name="display_area_1" localSheetId="1">#REF!</definedName>
    <definedName name="display_area_1">#REF!</definedName>
    <definedName name="display_area_2" localSheetId="2">#REF!</definedName>
    <definedName name="display_area_2" localSheetId="0">#REF!</definedName>
    <definedName name="display_area_2" localSheetId="1">#REF!</definedName>
    <definedName name="display_area_2">#REF!</definedName>
    <definedName name="DL" localSheetId="2">#REF!</definedName>
    <definedName name="DL" localSheetId="0">#REF!</definedName>
    <definedName name="DL" localSheetId="1">#REF!</definedName>
    <definedName name="DL">#REF!</definedName>
    <definedName name="dobt" localSheetId="2">#REF!</definedName>
    <definedName name="dobt" localSheetId="0">#REF!</definedName>
    <definedName name="dobt" localSheetId="1">#REF!</definedName>
    <definedName name="dobt">#REF!</definedName>
    <definedName name="Document_array" localSheetId="2">{"Book1"}</definedName>
    <definedName name="Document_array" localSheetId="1">{"Book1"}</definedName>
    <definedName name="Document_array">{"Book1"}</definedName>
    <definedName name="dongia" localSheetId="2">#REF!</definedName>
    <definedName name="dongia" localSheetId="0">#REF!</definedName>
    <definedName name="dongia" localSheetId="1">#REF!</definedName>
    <definedName name="dongia">#REF!</definedName>
    <definedName name="DoorWindow" localSheetId="2">'[13]DGchitiet '!#REF!</definedName>
    <definedName name="DoorWindow">'[13]DGchitiet '!#REF!</definedName>
    <definedName name="Driver" localSheetId="2">#REF!</definedName>
    <definedName name="Driver" localSheetId="0">#REF!</definedName>
    <definedName name="Driver" localSheetId="1">#REF!</definedName>
    <definedName name="Driver">#REF!</definedName>
    <definedName name="DSUMDATA" localSheetId="2">#REF!</definedName>
    <definedName name="DSUMDATA" localSheetId="0">#REF!</definedName>
    <definedName name="DSUMDATA" localSheetId="1">#REF!</definedName>
    <definedName name="DSUMDATA">#REF!</definedName>
    <definedName name="dung" localSheetId="2" hidden="1">{"'Sheet1'!$L$16"}</definedName>
    <definedName name="dung" localSheetId="1" hidden="1">{"'Sheet1'!$L$16"}</definedName>
    <definedName name="dung" hidden="1">{"'Sheet1'!$L$16"}</definedName>
    <definedName name="Earthwork" localSheetId="2">'[13]DGchitiet '!#REF!</definedName>
    <definedName name="Earthwork">'[13]DGchitiet '!#REF!</definedName>
    <definedName name="End_1" localSheetId="2">#REF!</definedName>
    <definedName name="End_1" localSheetId="0">#REF!</definedName>
    <definedName name="End_1" localSheetId="1">#REF!</definedName>
    <definedName name="End_1">#REF!</definedName>
    <definedName name="End_10" localSheetId="2">#REF!</definedName>
    <definedName name="End_10" localSheetId="0">#REF!</definedName>
    <definedName name="End_10" localSheetId="1">#REF!</definedName>
    <definedName name="End_10">#REF!</definedName>
    <definedName name="End_11" localSheetId="2">#REF!</definedName>
    <definedName name="End_11" localSheetId="0">#REF!</definedName>
    <definedName name="End_11" localSheetId="1">#REF!</definedName>
    <definedName name="End_11">#REF!</definedName>
    <definedName name="End_12" localSheetId="2">#REF!</definedName>
    <definedName name="End_12" localSheetId="0">#REF!</definedName>
    <definedName name="End_12" localSheetId="1">#REF!</definedName>
    <definedName name="End_12">#REF!</definedName>
    <definedName name="End_13" localSheetId="2">#REF!</definedName>
    <definedName name="End_13" localSheetId="0">#REF!</definedName>
    <definedName name="End_13" localSheetId="1">#REF!</definedName>
    <definedName name="End_13">#REF!</definedName>
    <definedName name="End_2" localSheetId="2">#REF!</definedName>
    <definedName name="End_2" localSheetId="0">#REF!</definedName>
    <definedName name="End_2" localSheetId="1">#REF!</definedName>
    <definedName name="End_2">#REF!</definedName>
    <definedName name="End_3" localSheetId="2">#REF!</definedName>
    <definedName name="End_3" localSheetId="0">#REF!</definedName>
    <definedName name="End_3" localSheetId="1">#REF!</definedName>
    <definedName name="End_3">#REF!</definedName>
    <definedName name="End_4" localSheetId="2">#REF!</definedName>
    <definedName name="End_4" localSheetId="0">#REF!</definedName>
    <definedName name="End_4" localSheetId="1">#REF!</definedName>
    <definedName name="End_4">#REF!</definedName>
    <definedName name="End_5" localSheetId="2">#REF!</definedName>
    <definedName name="End_5" localSheetId="0">#REF!</definedName>
    <definedName name="End_5" localSheetId="1">#REF!</definedName>
    <definedName name="End_5">#REF!</definedName>
    <definedName name="End_6" localSheetId="2">#REF!</definedName>
    <definedName name="End_6" localSheetId="0">#REF!</definedName>
    <definedName name="End_6" localSheetId="1">#REF!</definedName>
    <definedName name="End_6">#REF!</definedName>
    <definedName name="End_7" localSheetId="2">#REF!</definedName>
    <definedName name="End_7" localSheetId="0">#REF!</definedName>
    <definedName name="End_7" localSheetId="1">#REF!</definedName>
    <definedName name="End_7">#REF!</definedName>
    <definedName name="End_8" localSheetId="2">#REF!</definedName>
    <definedName name="End_8" localSheetId="0">#REF!</definedName>
    <definedName name="End_8" localSheetId="1">#REF!</definedName>
    <definedName name="End_8">#REF!</definedName>
    <definedName name="End_9" localSheetId="2">#REF!</definedName>
    <definedName name="End_9" localSheetId="0">#REF!</definedName>
    <definedName name="End_9" localSheetId="1">#REF!</definedName>
    <definedName name="End_9">#REF!</definedName>
    <definedName name="Excel_Worksheet_Sheet1_List" localSheetId="2">#REF!</definedName>
    <definedName name="Excel_Worksheet_Sheet1_List" localSheetId="0">#REF!</definedName>
    <definedName name="Excel_Worksheet_Sheet1_List" localSheetId="1">#REF!</definedName>
    <definedName name="Excel_Worksheet_Sheet1_List">#REF!</definedName>
    <definedName name="F" localSheetId="2">#REF!</definedName>
    <definedName name="F" localSheetId="0">#REF!</definedName>
    <definedName name="F" localSheetId="1">#REF!</definedName>
    <definedName name="F">#REF!</definedName>
    <definedName name="FACTOR" localSheetId="2">#REF!</definedName>
    <definedName name="FACTOR" localSheetId="0">#REF!</definedName>
    <definedName name="FACTOR" localSheetId="1">#REF!</definedName>
    <definedName name="FACTOR">#REF!</definedName>
    <definedName name="FE" localSheetId="2">#REF!</definedName>
    <definedName name="FE" localSheetId="0">#REF!</definedName>
    <definedName name="FE" localSheetId="1">#REF!</definedName>
    <definedName name="FE">#REF!</definedName>
    <definedName name="FF" localSheetId="2">'[8]FA-LISTING'!#REF!</definedName>
    <definedName name="FF">'[8]FA-LISTING'!#REF!</definedName>
    <definedName name="fgfgfgf" localSheetId="2" hidden="1">{"'Sheet1'!$L$16"}</definedName>
    <definedName name="fgfgfgf" localSheetId="1" hidden="1">{"'Sheet1'!$L$16"}</definedName>
    <definedName name="fgfgfgf" hidden="1">{"'Sheet1'!$L$16"}</definedName>
    <definedName name="FinishWork" localSheetId="2">'[13]DGchitiet '!#REF!</definedName>
    <definedName name="FinishWork">'[13]DGchitiet '!#REF!</definedName>
    <definedName name="FO" localSheetId="2">#REF!</definedName>
    <definedName name="FO" localSheetId="0">#REF!</definedName>
    <definedName name="FO" localSheetId="1">#REF!</definedName>
    <definedName name="FO">#REF!</definedName>
    <definedName name="FORK" localSheetId="2">'[8]FA-LISTING'!#REF!</definedName>
    <definedName name="FORK">'[8]FA-LISTING'!#REF!</definedName>
    <definedName name="G" localSheetId="2">#REF!</definedName>
    <definedName name="G" localSheetId="0">#REF!</definedName>
    <definedName name="G" localSheetId="1">#REF!</definedName>
    <definedName name="G">#REF!</definedName>
    <definedName name="G_C">[16]Sum!$F$2</definedName>
    <definedName name="G_ME" localSheetId="2">#REF!</definedName>
    <definedName name="G_ME" localSheetId="0">#REF!</definedName>
    <definedName name="G_ME" localSheetId="1">#REF!</definedName>
    <definedName name="G_ME">#REF!</definedName>
    <definedName name="G2_" localSheetId="2">[2]Sheet2!#REF!</definedName>
    <definedName name="G2_">[2]Sheet2!#REF!</definedName>
    <definedName name="ggh" localSheetId="2" hidden="1">{"'Sheet1'!$L$16"}</definedName>
    <definedName name="ggh" localSheetId="1" hidden="1">{"'Sheet1'!$L$16"}</definedName>
    <definedName name="ggh" hidden="1">{"'Sheet1'!$L$16"}</definedName>
    <definedName name="gia" localSheetId="2">#REF!</definedName>
    <definedName name="gia" localSheetId="0">#REF!</definedName>
    <definedName name="gia" localSheetId="1">#REF!</definedName>
    <definedName name="gia">#REF!</definedName>
    <definedName name="ginh" localSheetId="2" hidden="1">{"'Sheet1'!$L$16"}</definedName>
    <definedName name="ginh" localSheetId="1" hidden="1">{"'Sheet1'!$L$16"}</definedName>
    <definedName name="ginh" hidden="1">{"'Sheet1'!$L$16"}</definedName>
    <definedName name="Giocong" localSheetId="2">#REF!</definedName>
    <definedName name="Giocong" localSheetId="0">#REF!</definedName>
    <definedName name="Giocong" localSheetId="1">#REF!</definedName>
    <definedName name="Giocong">#REF!</definedName>
    <definedName name="Glazing" localSheetId="2">'[13]DGchitiet '!#REF!</definedName>
    <definedName name="Glazing">'[13]DGchitiet '!#REF!</definedName>
    <definedName name="GoBack" localSheetId="2">[15]Sheet1!GoBack</definedName>
    <definedName name="GoBack">[15]Sheet1!GoBack</definedName>
    <definedName name="GPT_GROUNDING_PT" localSheetId="2">'[17]NEW-PANEL'!#REF!</definedName>
    <definedName name="GPT_GROUNDING_PT">'[17]NEW-PANEL'!#REF!</definedName>
    <definedName name="gsdssdssd" localSheetId="2" hidden="1">{"'Sheet1'!$L$16"}</definedName>
    <definedName name="gsdssdssd" localSheetId="1" hidden="1">{"'Sheet1'!$L$16"}</definedName>
    <definedName name="gsdssdssd" hidden="1">{"'Sheet1'!$L$16"}</definedName>
    <definedName name="h" localSheetId="2" hidden="1">{"'Sheet1'!$L$16"}</definedName>
    <definedName name="h" localSheetId="1" hidden="1">{"'Sheet1'!$L$16"}</definedName>
    <definedName name="h" hidden="1">{"'Sheet1'!$L$16"}</definedName>
    <definedName name="ha" localSheetId="2" hidden="1">{"'Sheet1'!$L$16"}</definedName>
    <definedName name="ha" localSheetId="1" hidden="1">{"'Sheet1'!$L$16"}</definedName>
    <definedName name="ha" hidden="1">{"'Sheet1'!$L$16"}</definedName>
    <definedName name="hanh" localSheetId="2" hidden="1">{"'Sheet1'!$L$16"}</definedName>
    <definedName name="hanh" localSheetId="1" hidden="1">{"'Sheet1'!$L$16"}</definedName>
    <definedName name="hanh" hidden="1">{"'Sheet1'!$L$16"}</definedName>
    <definedName name="HFFXGHZYT" localSheetId="2">{"Book1"}</definedName>
    <definedName name="HFFXGHZYT" localSheetId="1">{"Book1"}</definedName>
    <definedName name="HFFXGHZYT">{"Book1"}</definedName>
    <definedName name="hhhhhhhhhaaaaaaaaaaaaaaaaa" localSheetId="2" hidden="1">{"'Sheet1'!$L$16"}</definedName>
    <definedName name="hhhhhhhhhaaaaaaaaaaaaaaaaa" localSheetId="1" hidden="1">{"'Sheet1'!$L$16"}</definedName>
    <definedName name="hhhhhhhhhaaaaaaaaaaaaaaaaa" hidden="1">{"'Sheet1'!$L$16"}</definedName>
    <definedName name="hhhhhhhhhhhhhh" localSheetId="2" hidden="1">{"'Sheet1'!$L$16"}</definedName>
    <definedName name="hhhhhhhhhhhhhh" localSheetId="1" hidden="1">{"'Sheet1'!$L$16"}</definedName>
    <definedName name="hhhhhhhhhhhhhh" hidden="1">{"'Sheet1'!$L$16"}</definedName>
    <definedName name="hhhhhhhhhhhhhhhhhhh" localSheetId="2" hidden="1">{"'Sheet1'!$L$16"}</definedName>
    <definedName name="hhhhhhhhhhhhhhhhhhh" localSheetId="1" hidden="1">{"'Sheet1'!$L$16"}</definedName>
    <definedName name="hhhhhhhhhhhhhhhhhhh" hidden="1">{"'Sheet1'!$L$16"}</definedName>
    <definedName name="hhhhhhhhhhhhhhhhhhhhhhhh" localSheetId="2" hidden="1">{"'Sheet1'!$L$16"}</definedName>
    <definedName name="hhhhhhhhhhhhhhhhhhhhhhhh" localSheetId="1" hidden="1">{"'Sheet1'!$L$16"}</definedName>
    <definedName name="hhhhhhhhhhhhhhhhhhhhhhhh" hidden="1">{"'Sheet1'!$L$16"}</definedName>
    <definedName name="hhhhhhhhhhhhhhhicccccccccccccccccc" localSheetId="2" hidden="1">{"'Sheet1'!$L$16"}</definedName>
    <definedName name="hhhhhhhhhhhhhhhicccccccccccccccccc" localSheetId="1" hidden="1">{"'Sheet1'!$L$16"}</definedName>
    <definedName name="hhhhhhhhhhhhhhhicccccccccccccccccc" hidden="1">{"'Sheet1'!$L$16"}</definedName>
    <definedName name="HOME_MANP" localSheetId="2">#REF!</definedName>
    <definedName name="HOME_MANP" localSheetId="0">#REF!</definedName>
    <definedName name="HOME_MANP" localSheetId="1">#REF!</definedName>
    <definedName name="HOME_MANP">#REF!</definedName>
    <definedName name="HOMEOFFICE_COST" localSheetId="2">#REF!</definedName>
    <definedName name="HOMEOFFICE_COST" localSheetId="0">#REF!</definedName>
    <definedName name="HOMEOFFICE_COST" localSheetId="1">#REF!</definedName>
    <definedName name="HOMEOFFICE_COST">#REF!</definedName>
    <definedName name="hong" localSheetId="2" hidden="1">{"'Sheet1'!$L$16"}</definedName>
    <definedName name="hong" localSheetId="1" hidden="1">{"'Sheet1'!$L$16"}</definedName>
    <definedName name="hong" hidden="1">{"'Sheet1'!$L$16"}</definedName>
    <definedName name="hsdc" localSheetId="2">#REF!</definedName>
    <definedName name="hsdc" localSheetId="0">#REF!</definedName>
    <definedName name="hsdc" localSheetId="1">#REF!</definedName>
    <definedName name="hsdc">#REF!</definedName>
    <definedName name="hsdc1" localSheetId="2">#REF!</definedName>
    <definedName name="hsdc1" localSheetId="0">#REF!</definedName>
    <definedName name="hsdc1" localSheetId="1">#REF!</definedName>
    <definedName name="hsdc1">#REF!</definedName>
    <definedName name="hsk" localSheetId="2">#REF!</definedName>
    <definedName name="hsk" localSheetId="0">#REF!</definedName>
    <definedName name="hsk" localSheetId="1">#REF!</definedName>
    <definedName name="hsk">#REF!</definedName>
    <definedName name="HSKP" localSheetId="2">#REF!</definedName>
    <definedName name="HSKP" localSheetId="0">#REF!</definedName>
    <definedName name="HSKP" localSheetId="1">#REF!</definedName>
    <definedName name="HSKP">#REF!</definedName>
    <definedName name="HTML_CodePage" hidden="1">950</definedName>
    <definedName name="HTML_Control" localSheetId="2" hidden="1">{"'Sheet1'!$L$16"}</definedName>
    <definedName name="HTML_Control" localSheetId="1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uuu" localSheetId="2" hidden="1">{"'Sheet1'!$L$16"}</definedName>
    <definedName name="huuuu" localSheetId="1" hidden="1">{"'Sheet1'!$L$16"}</definedName>
    <definedName name="huuuu" hidden="1">{"'Sheet1'!$L$16"}</definedName>
    <definedName name="IDLAB_COST" localSheetId="2">#REF!</definedName>
    <definedName name="IDLAB_COST" localSheetId="0">#REF!</definedName>
    <definedName name="IDLAB_COST" localSheetId="1">#REF!</definedName>
    <definedName name="IDLAB_COST">#REF!</definedName>
    <definedName name="IND_LAB" localSheetId="2">#REF!</definedName>
    <definedName name="IND_LAB" localSheetId="0">#REF!</definedName>
    <definedName name="IND_LAB" localSheetId="1">#REF!</definedName>
    <definedName name="IND_LAB">#REF!</definedName>
    <definedName name="INDMANP" localSheetId="2">#REF!</definedName>
    <definedName name="INDMANP" localSheetId="0">#REF!</definedName>
    <definedName name="INDMANP" localSheetId="1">#REF!</definedName>
    <definedName name="INDMANP">#REF!</definedName>
    <definedName name="InteriorWork" localSheetId="2">'[13]DGchitiet '!#REF!</definedName>
    <definedName name="InteriorWork">'[13]DGchitiet '!#REF!</definedName>
    <definedName name="jhjdfhdjhfj" localSheetId="2" hidden="1">{"'Sheet1'!$L$16"}</definedName>
    <definedName name="jhjdfhdjhfj" localSheetId="1" hidden="1">{"'Sheet1'!$L$16"}</definedName>
    <definedName name="jhjdfhdjhfj" hidden="1">{"'Sheet1'!$L$16"}</definedName>
    <definedName name="jhsjhjkdhjs" localSheetId="2" hidden="1">{"'Sheet1'!$L$16"}</definedName>
    <definedName name="jhsjhjkdhjs" localSheetId="1" hidden="1">{"'Sheet1'!$L$16"}</definedName>
    <definedName name="jhsjhjkdhjs" hidden="1">{"'Sheet1'!$L$16"}</definedName>
    <definedName name="K" localSheetId="2">#REF!</definedName>
    <definedName name="K" localSheetId="0">#REF!</definedName>
    <definedName name="K" localSheetId="1">#REF!</definedName>
    <definedName name="K">#REF!</definedName>
    <definedName name="kimnhun" localSheetId="2" hidden="1">{"'Sheet1'!$L$16"}</definedName>
    <definedName name="kimnhun" localSheetId="1" hidden="1">{"'Sheet1'!$L$16"}</definedName>
    <definedName name="kimnhun" hidden="1">{"'Sheet1'!$L$16"}</definedName>
    <definedName name="KL_C">[16]Sum!$F$1</definedName>
    <definedName name="kl_ME" localSheetId="2">#REF!</definedName>
    <definedName name="kl_ME" localSheetId="0">#REF!</definedName>
    <definedName name="kl_ME" localSheetId="1">#REF!</definedName>
    <definedName name="kl_ME">#REF!</definedName>
    <definedName name="KVC" localSheetId="2">#REF!</definedName>
    <definedName name="KVC" localSheetId="0">#REF!</definedName>
    <definedName name="KVC" localSheetId="1">#REF!</definedName>
    <definedName name="KVC">#REF!</definedName>
    <definedName name="L" localSheetId="2">#REF!</definedName>
    <definedName name="L" localSheetId="0">#REF!</definedName>
    <definedName name="L" localSheetId="1">#REF!</definedName>
    <definedName name="L">#REF!</definedName>
    <definedName name="LANDIMP" localSheetId="2">'[8]FA-LISTING'!#REF!</definedName>
    <definedName name="LANDIMP">'[8]FA-LISTING'!#REF!</definedName>
    <definedName name="LANDREV" localSheetId="2">'[8]FA-LISTING'!#REF!</definedName>
    <definedName name="LANDREV">'[8]FA-LISTING'!#REF!</definedName>
    <definedName name="lapa">'[4]CT Thang Mo'!$B$350:$H$350</definedName>
    <definedName name="lapb">'[4]CT Thang Mo'!$B$370:$H$370</definedName>
    <definedName name="lapc">'[4]CT Thang Mo'!$B$390:$H$390</definedName>
    <definedName name="LenNK" localSheetId="2">#REF!</definedName>
    <definedName name="LenNK" localSheetId="0">#REF!</definedName>
    <definedName name="LenNK" localSheetId="1">#REF!</definedName>
    <definedName name="LenNK">#REF!</definedName>
    <definedName name="LenUT" localSheetId="2">#REF!</definedName>
    <definedName name="LenUT" localSheetId="0">#REF!</definedName>
    <definedName name="LenUT" localSheetId="1">#REF!</definedName>
    <definedName name="LenUT">#REF!</definedName>
    <definedName name="LenXK" localSheetId="2">#REF!</definedName>
    <definedName name="LenXK" localSheetId="0">#REF!</definedName>
    <definedName name="LenXK" localSheetId="1">#REF!</definedName>
    <definedName name="LenXK">#REF!</definedName>
    <definedName name="LN" localSheetId="2">#REF!</definedName>
    <definedName name="LN" localSheetId="0">#REF!</definedName>
    <definedName name="LN" localSheetId="1">#REF!</definedName>
    <definedName name="LN">#REF!</definedName>
    <definedName name="LOC" localSheetId="2">#REF!</definedName>
    <definedName name="LOC" localSheetId="0">#REF!</definedName>
    <definedName name="LOC" localSheetId="1">#REF!</definedName>
    <definedName name="LOC">#REF!</definedName>
    <definedName name="LTR" localSheetId="2">#REF!</definedName>
    <definedName name="LTR" localSheetId="0">#REF!</definedName>
    <definedName name="LTR" localSheetId="1">#REF!</definedName>
    <definedName name="LTR">#REF!</definedName>
    <definedName name="luong" localSheetId="2">#REF!</definedName>
    <definedName name="luong" localSheetId="0">#REF!</definedName>
    <definedName name="luong" localSheetId="1">#REF!</definedName>
    <definedName name="luong">#REF!</definedName>
    <definedName name="lVC" localSheetId="2">#REF!</definedName>
    <definedName name="lVC" localSheetId="0">#REF!</definedName>
    <definedName name="lVC" localSheetId="1">#REF!</definedName>
    <definedName name="lVC">#REF!</definedName>
    <definedName name="M2_" localSheetId="2">[2]Sheet2!#REF!</definedName>
    <definedName name="M2_">[2]Sheet2!#REF!</definedName>
    <definedName name="Ma_hang">[14]KHO_X_N!$G$12:$G$272</definedName>
    <definedName name="Mainmaterial" localSheetId="2">#REF!</definedName>
    <definedName name="Mainmaterial" localSheetId="0">#REF!</definedName>
    <definedName name="Mainmaterial" localSheetId="1">#REF!</definedName>
    <definedName name="Mainmaterial">#REF!</definedName>
    <definedName name="MAJ_CON_EQP" localSheetId="2">#REF!</definedName>
    <definedName name="MAJ_CON_EQP" localSheetId="0">#REF!</definedName>
    <definedName name="MAJ_CON_EQP" localSheetId="1">#REF!</definedName>
    <definedName name="MAJ_CON_EQP">#REF!</definedName>
    <definedName name="manvl">'[18]MA NPL'!$B$2:$E$35</definedName>
    <definedName name="Masonry" localSheetId="2">'[13]DGchitiet '!#REF!</definedName>
    <definedName name="Masonry">'[13]DGchitiet '!#REF!</definedName>
    <definedName name="MAT" localSheetId="2">#REF!</definedName>
    <definedName name="MAT" localSheetId="0">#REF!</definedName>
    <definedName name="MAT" localSheetId="1">#REF!</definedName>
    <definedName name="MAT">#REF!</definedName>
    <definedName name="MATK" localSheetId="2">#REF!</definedName>
    <definedName name="MATK" localSheetId="0">#REF!</definedName>
    <definedName name="MATK" localSheetId="1">#REF!</definedName>
    <definedName name="MATK">#REF!</definedName>
    <definedName name="MATK_M">[19]MATK!$A$5:$B$260</definedName>
    <definedName name="MetalWork" localSheetId="2">'[13]DGchitiet '!#REF!</definedName>
    <definedName name="MetalWork">'[13]DGchitiet '!#REF!</definedName>
    <definedName name="MF" localSheetId="2">#REF!</definedName>
    <definedName name="MF" localSheetId="0">#REF!</definedName>
    <definedName name="MF" localSheetId="1">#REF!</definedName>
    <definedName name="MF">#REF!</definedName>
    <definedName name="MG_A" localSheetId="2">#REF!</definedName>
    <definedName name="MG_A" localSheetId="0">#REF!</definedName>
    <definedName name="MG_A" localSheetId="1">#REF!</definedName>
    <definedName name="MG_A">#REF!</definedName>
    <definedName name="MiscellaneousWork" localSheetId="2">'[13]DGchitiet '!#REF!</definedName>
    <definedName name="MiscellaneousWork">'[13]DGchitiet '!#REF!</definedName>
    <definedName name="MSNK" localSheetId="2">#REF!</definedName>
    <definedName name="MSNK" localSheetId="0">#REF!</definedName>
    <definedName name="MSNK" localSheetId="1">#REF!</definedName>
    <definedName name="MSNK">#REF!</definedName>
    <definedName name="MSUT" localSheetId="2">#REF!</definedName>
    <definedName name="MSUT" localSheetId="0">#REF!</definedName>
    <definedName name="MSUT" localSheetId="1">#REF!</definedName>
    <definedName name="MSUT">#REF!</definedName>
    <definedName name="MSXK" localSheetId="2">#REF!</definedName>
    <definedName name="MSXK" localSheetId="0">#REF!</definedName>
    <definedName name="MSXK" localSheetId="1">#REF!</definedName>
    <definedName name="MSXK">#REF!</definedName>
    <definedName name="MUCLUONGCNV" localSheetId="2">#REF!</definedName>
    <definedName name="MUCLUONGCNV" localSheetId="0">#REF!</definedName>
    <definedName name="MUCLUONGCNV" localSheetId="1">#REF!</definedName>
    <definedName name="MUCLUONGCNV">#REF!</definedName>
    <definedName name="MV" localSheetId="2">'[8]FA-LISTING'!#REF!</definedName>
    <definedName name="MV">'[8]FA-LISTING'!#REF!</definedName>
    <definedName name="nc" localSheetId="2">#REF!</definedName>
    <definedName name="nc" localSheetId="0">#REF!</definedName>
    <definedName name="nc" localSheetId="1">#REF!</definedName>
    <definedName name="nc">#REF!</definedName>
    <definedName name="NCcap0.7" localSheetId="2">#REF!</definedName>
    <definedName name="NCcap0.7" localSheetId="0">#REF!</definedName>
    <definedName name="NCcap0.7" localSheetId="1">#REF!</definedName>
    <definedName name="NCcap0.7">#REF!</definedName>
    <definedName name="NCcap1" localSheetId="2">#REF!</definedName>
    <definedName name="NCcap1" localSheetId="0">#REF!</definedName>
    <definedName name="NCcap1" localSheetId="1">#REF!</definedName>
    <definedName name="NCcap1">#REF!</definedName>
    <definedName name="NET" localSheetId="2">#REF!</definedName>
    <definedName name="NET" localSheetId="0">#REF!</definedName>
    <definedName name="NET" localSheetId="1">#REF!</definedName>
    <definedName name="NET">#REF!</definedName>
    <definedName name="NET_1" localSheetId="2">#REF!</definedName>
    <definedName name="NET_1" localSheetId="0">#REF!</definedName>
    <definedName name="NET_1" localSheetId="1">#REF!</definedName>
    <definedName name="NET_1">#REF!</definedName>
    <definedName name="NET_ANA" localSheetId="2">#REF!</definedName>
    <definedName name="NET_ANA" localSheetId="0">#REF!</definedName>
    <definedName name="NET_ANA" localSheetId="1">#REF!</definedName>
    <definedName name="NET_ANA">#REF!</definedName>
    <definedName name="NET_ANA_1" localSheetId="2">#REF!</definedName>
    <definedName name="NET_ANA_1" localSheetId="0">#REF!</definedName>
    <definedName name="NET_ANA_1" localSheetId="1">#REF!</definedName>
    <definedName name="NET_ANA_1">#REF!</definedName>
    <definedName name="NET_ANA_2" localSheetId="2">#REF!</definedName>
    <definedName name="NET_ANA_2" localSheetId="0">#REF!</definedName>
    <definedName name="NET_ANA_2" localSheetId="1">#REF!</definedName>
    <definedName name="NET_ANA_2">#REF!</definedName>
    <definedName name="NGUYEÃN_THANH" localSheetId="2">[20]PRO.OT1!#REF!</definedName>
    <definedName name="NGUYEÃN_THANH">[20]PRO.OT1!#REF!</definedName>
    <definedName name="nhaaaaaaaaaaaaaaa" localSheetId="2" hidden="1">{"'Sheet1'!$L$16"}</definedName>
    <definedName name="nhaaaaaaaaaaaaaaa" localSheetId="1" hidden="1">{"'Sheet1'!$L$16"}</definedName>
    <definedName name="nhaaaaaaaaaaaaaaa" hidden="1">{"'Sheet1'!$L$16"}</definedName>
    <definedName name="nhaaaaaannnnnnnnn" localSheetId="2" hidden="1">{"'Sheet1'!$L$16"}</definedName>
    <definedName name="nhaaaaaannnnnnnnn" localSheetId="1" hidden="1">{"'Sheet1'!$L$16"}</definedName>
    <definedName name="nhaaaaaannnnnnnnn" hidden="1">{"'Sheet1'!$L$16"}</definedName>
    <definedName name="nhantao" localSheetId="2" hidden="1">{"'Sheet1'!$L$16"}</definedName>
    <definedName name="nhantao" localSheetId="1" hidden="1">{"'Sheet1'!$L$16"}</definedName>
    <definedName name="nhantao" hidden="1">{"'Sheet1'!$L$16"}</definedName>
    <definedName name="NHU" localSheetId="2" hidden="1">#REF!</definedName>
    <definedName name="NHU" localSheetId="0" hidden="1">#REF!</definedName>
    <definedName name="NHU" localSheetId="1" hidden="1">#REF!</definedName>
    <definedName name="NHU" hidden="1">#REF!</definedName>
    <definedName name="nhung" localSheetId="2" hidden="1">{"'Sheet1'!$L$16"}</definedName>
    <definedName name="nhung" localSheetId="1" hidden="1">{"'Sheet1'!$L$16"}</definedName>
    <definedName name="nhung" hidden="1">{"'Sheet1'!$L$16"}</definedName>
    <definedName name="nhungggggggggggggg" localSheetId="2" hidden="1">{"'Sheet1'!$L$16"}</definedName>
    <definedName name="nhungggggggggggggg" localSheetId="1" hidden="1">{"'Sheet1'!$L$16"}</definedName>
    <definedName name="nhungggggggggggggg" hidden="1">{"'Sheet1'!$L$16"}</definedName>
    <definedName name="NO" localSheetId="2">#REF!</definedName>
    <definedName name="NO" localSheetId="0">#REF!</definedName>
    <definedName name="NO" localSheetId="1">#REF!</definedName>
    <definedName name="NO">#REF!</definedName>
    <definedName name="NS" localSheetId="2">#REF!</definedName>
    <definedName name="NS" localSheetId="0">#REF!</definedName>
    <definedName name="NS" localSheetId="1">#REF!</definedName>
    <definedName name="NS">#REF!</definedName>
    <definedName name="OE" localSheetId="2">'[8]FA-LISTING'!#REF!</definedName>
    <definedName name="OE">'[8]FA-LISTING'!#REF!</definedName>
    <definedName name="OLE_LINK2" localSheetId="2">#REF!</definedName>
    <definedName name="OLE_LINK2" localSheetId="0">#REF!</definedName>
    <definedName name="OLE_LINK2" localSheetId="1">#REF!</definedName>
    <definedName name="OLE_LINK2">#REF!</definedName>
    <definedName name="OptBtn1">"OptBtn1"</definedName>
    <definedName name="OptBtn2">"OptBtn2"</definedName>
    <definedName name="OptBtn3">"OptBtn1"</definedName>
    <definedName name="OTHER_PANEL" localSheetId="2">'[17]NEW-PANEL'!#REF!</definedName>
    <definedName name="OTHER_PANEL">'[17]NEW-PANEL'!#REF!</definedName>
    <definedName name="OtherWork" localSheetId="2">'[13]DGchitiet '!#REF!</definedName>
    <definedName name="OtherWork">'[13]DGchitiet '!#REF!</definedName>
    <definedName name="P_M" localSheetId="2">'[8]FA-LISTING'!#REF!</definedName>
    <definedName name="P_M">'[8]FA-LISTING'!#REF!</definedName>
    <definedName name="PA" localSheetId="2">#REF!</definedName>
    <definedName name="PA" localSheetId="0">#REF!</definedName>
    <definedName name="PA" localSheetId="1">#REF!</definedName>
    <definedName name="PA">#REF!</definedName>
    <definedName name="Painting" localSheetId="2">'[13]DGchitiet '!#REF!</definedName>
    <definedName name="Painting">'[13]DGchitiet '!#REF!</definedName>
    <definedName name="PEJM" localSheetId="2">#REF!</definedName>
    <definedName name="PEJM" localSheetId="0">#REF!</definedName>
    <definedName name="PEJM" localSheetId="1">#REF!</definedName>
    <definedName name="PEJM">#REF!</definedName>
    <definedName name="PF" localSheetId="2">#REF!</definedName>
    <definedName name="PF" localSheetId="0">#REF!</definedName>
    <definedName name="PF" localSheetId="1">#REF!</definedName>
    <definedName name="PF">#REF!</definedName>
    <definedName name="PgNo" localSheetId="2">#REF!</definedName>
    <definedName name="PgNo" localSheetId="0">#REF!</definedName>
    <definedName name="PgNo" localSheetId="1">#REF!</definedName>
    <definedName name="PgNo">#REF!</definedName>
    <definedName name="PK" localSheetId="2">#REF!</definedName>
    <definedName name="PK" localSheetId="0">#REF!</definedName>
    <definedName name="PK" localSheetId="1">#REF!</definedName>
    <definedName name="PK">#REF!</definedName>
    <definedName name="PL_指示燈___P.B.___REST_P.B._壓扣開關" localSheetId="2">'[17]NEW-PANEL'!#REF!</definedName>
    <definedName name="PL_指示燈___P.B.___REST_P.B._壓扣開關">'[17]NEW-PANEL'!#REF!</definedName>
    <definedName name="Plaster" localSheetId="2">'[13]DGchitiet '!#REF!</definedName>
    <definedName name="Plaster">'[13]DGchitiet '!#REF!</definedName>
    <definedName name="PM">[21]IBASE!$AH$16:$AV$110</definedName>
    <definedName name="PRICE" localSheetId="2">#REF!</definedName>
    <definedName name="PRICE" localSheetId="0">#REF!</definedName>
    <definedName name="PRICE" localSheetId="1">#REF!</definedName>
    <definedName name="PRICE">#REF!</definedName>
    <definedName name="PRICE1" localSheetId="2">#REF!</definedName>
    <definedName name="PRICE1" localSheetId="0">#REF!</definedName>
    <definedName name="PRICE1" localSheetId="1">#REF!</definedName>
    <definedName name="PRICE1">#REF!</definedName>
    <definedName name="_xlnm.Print_Area" localSheetId="2">'AGREEMENT (ACC)'!$A$1:$J$78</definedName>
    <definedName name="_xlnm.Print_Area" localSheetId="0">'INV '!$A$1:$M$46</definedName>
    <definedName name="_xlnm.Print_Area" localSheetId="9">'INV(payable)_A'!$A$1:$I$60</definedName>
    <definedName name="_xlnm.Print_Area" localSheetId="11">'INV(payable)_B'!$A$1:$J$47</definedName>
    <definedName name="_xlnm.Print_Area" localSheetId="3">'INV(TTL)_A'!$A$1:$I$70</definedName>
    <definedName name="_xlnm.Print_Area" localSheetId="5">'INV(TTL)_B'!$A$1:$J$47</definedName>
    <definedName name="_xlnm.Print_Area" localSheetId="7">'INV(TTL)_C'!$A$1:$J$56</definedName>
    <definedName name="_xlnm.Print_Area" localSheetId="13">'INV_A(NCV)'!$A$1:$I$57</definedName>
    <definedName name="_xlnm.Print_Area" localSheetId="14">'PCK (NCV)'!$A$1:$H$58</definedName>
    <definedName name="_xlnm.Print_Area" localSheetId="10">'PCK (payable)_A'!$A$1:$H$59</definedName>
    <definedName name="_xlnm.Print_Area" localSheetId="12">'PCK (payable)_B'!$A$1:$I$51</definedName>
    <definedName name="_xlnm.Print_Area" localSheetId="4">'PCK(TTL)_A'!$A$1:$I$72</definedName>
    <definedName name="_xlnm.Print_Area" localSheetId="6">'PCK(TTL)_B'!$A$1:$I$51</definedName>
    <definedName name="_xlnm.Print_Area" localSheetId="8">'PCK(TTL)_C'!$A$1:$I$57</definedName>
    <definedName name="_xlnm.Print_Area" localSheetId="1">'PLK '!$A$1:$J$44</definedName>
    <definedName name="_xlnm.Print_Area" localSheetId="15">WN!$A$1:$L$1046</definedName>
    <definedName name="_xlnm.Print_Area">#REF!</definedName>
    <definedName name="Print_Area_MI" localSheetId="2">#REF!</definedName>
    <definedName name="Print_Area_MI" localSheetId="0">#REF!</definedName>
    <definedName name="Print_Area_MI" localSheetId="1">#REF!</definedName>
    <definedName name="Print_Area_MI">#REF!</definedName>
    <definedName name="_xlnm.Print_Titles" localSheetId="0">'INV '!$26:$26</definedName>
    <definedName name="_xlnm.Print_Titles" localSheetId="9">'INV(payable)_A'!$1:$3</definedName>
    <definedName name="_xlnm.Print_Titles" localSheetId="11">'INV(payable)_B'!$1:$3</definedName>
    <definedName name="_xlnm.Print_Titles" localSheetId="3">'INV(TTL)_A'!$1:$3</definedName>
    <definedName name="_xlnm.Print_Titles" localSheetId="5">'INV(TTL)_B'!$1:$3</definedName>
    <definedName name="_xlnm.Print_Titles" localSheetId="7">'INV(TTL)_C'!$1:$3</definedName>
    <definedName name="_xlnm.Print_Titles" localSheetId="13">'INV_A(NCV)'!$1:$3</definedName>
    <definedName name="_xlnm.Print_Titles" localSheetId="14">'PCK (NCV)'!$1:$3</definedName>
    <definedName name="_xlnm.Print_Titles" localSheetId="10">'PCK (payable)_A'!$1:$3</definedName>
    <definedName name="_xlnm.Print_Titles" localSheetId="12">'PCK (payable)_B'!$1:$3</definedName>
    <definedName name="_xlnm.Print_Titles" localSheetId="4">'PCK(TTL)_A'!$1:$3</definedName>
    <definedName name="_xlnm.Print_Titles" localSheetId="6">'PCK(TTL)_B'!$1:$3</definedName>
    <definedName name="_xlnm.Print_Titles" localSheetId="8">'PCK(TTL)_C'!$1:$3</definedName>
    <definedName name="_xlnm.Print_Titles" localSheetId="1">'PLK '!$23:$23</definedName>
    <definedName name="_xlnm.Print_Titles" localSheetId="15">WN!#REF!</definedName>
    <definedName name="_xlnm.Print_Titles">#REF!</definedName>
    <definedName name="Print_Titles_MI" localSheetId="2">#REF!</definedName>
    <definedName name="Print_Titles_MI" localSheetId="0">#REF!</definedName>
    <definedName name="Print_Titles_MI" localSheetId="1">#REF!</definedName>
    <definedName name="Print_Titles_MI">#REF!</definedName>
    <definedName name="PRINTA" localSheetId="2">#REF!</definedName>
    <definedName name="PRINTA" localSheetId="0">#REF!</definedName>
    <definedName name="PRINTA" localSheetId="1">#REF!</definedName>
    <definedName name="PRINTA">#REF!</definedName>
    <definedName name="PRINTB" localSheetId="2">#REF!</definedName>
    <definedName name="PRINTB" localSheetId="0">#REF!</definedName>
    <definedName name="PRINTB" localSheetId="1">#REF!</definedName>
    <definedName name="PRINTB">#REF!</definedName>
    <definedName name="PRINTC" localSheetId="2">#REF!</definedName>
    <definedName name="PRINTC" localSheetId="0">#REF!</definedName>
    <definedName name="PRINTC" localSheetId="1">#REF!</definedName>
    <definedName name="PRINTC">#REF!</definedName>
    <definedName name="PROPOSAL" localSheetId="2">#REF!</definedName>
    <definedName name="PROPOSAL" localSheetId="0">#REF!</definedName>
    <definedName name="PROPOSAL" localSheetId="1">#REF!</definedName>
    <definedName name="PROPOSAL">#REF!</definedName>
    <definedName name="qtebt" localSheetId="2">#REF!</definedName>
    <definedName name="qtebt" localSheetId="0">#REF!</definedName>
    <definedName name="qtebt" localSheetId="1">#REF!</definedName>
    <definedName name="qtebt">#REF!</definedName>
    <definedName name="qzqzqz10" localSheetId="2">#REF!</definedName>
    <definedName name="qzqzqz10" localSheetId="0">#REF!</definedName>
    <definedName name="qzqzqz10" localSheetId="1">#REF!</definedName>
    <definedName name="qzqzqz10">#REF!</definedName>
    <definedName name="qzqzqz11" localSheetId="2">#REF!</definedName>
    <definedName name="qzqzqz11" localSheetId="0">#REF!</definedName>
    <definedName name="qzqzqz11" localSheetId="1">#REF!</definedName>
    <definedName name="qzqzqz11">#REF!</definedName>
    <definedName name="qzqzqz12" localSheetId="2">#REF!</definedName>
    <definedName name="qzqzqz12" localSheetId="0">#REF!</definedName>
    <definedName name="qzqzqz12" localSheetId="1">#REF!</definedName>
    <definedName name="qzqzqz12">#REF!</definedName>
    <definedName name="qzqzqz13" localSheetId="2">#REF!</definedName>
    <definedName name="qzqzqz13" localSheetId="0">#REF!</definedName>
    <definedName name="qzqzqz13" localSheetId="1">#REF!</definedName>
    <definedName name="qzqzqz13">#REF!</definedName>
    <definedName name="qzqzqz14" localSheetId="2">#REF!</definedName>
    <definedName name="qzqzqz14" localSheetId="0">#REF!</definedName>
    <definedName name="qzqzqz14" localSheetId="1">#REF!</definedName>
    <definedName name="qzqzqz14">#REF!</definedName>
    <definedName name="qzqzqz15" localSheetId="2">#REF!</definedName>
    <definedName name="qzqzqz15" localSheetId="0">#REF!</definedName>
    <definedName name="qzqzqz15" localSheetId="1">#REF!</definedName>
    <definedName name="qzqzqz15">#REF!</definedName>
    <definedName name="qzqzqz16" localSheetId="2">#REF!</definedName>
    <definedName name="qzqzqz16" localSheetId="0">#REF!</definedName>
    <definedName name="qzqzqz16" localSheetId="1">#REF!</definedName>
    <definedName name="qzqzqz16">#REF!</definedName>
    <definedName name="qzqzqz17" localSheetId="2">#REF!</definedName>
    <definedName name="qzqzqz17" localSheetId="0">#REF!</definedName>
    <definedName name="qzqzqz17" localSheetId="1">#REF!</definedName>
    <definedName name="qzqzqz17">#REF!</definedName>
    <definedName name="qzqzqz18" localSheetId="2">#REF!</definedName>
    <definedName name="qzqzqz18" localSheetId="0">#REF!</definedName>
    <definedName name="qzqzqz18" localSheetId="1">#REF!</definedName>
    <definedName name="qzqzqz18">#REF!</definedName>
    <definedName name="qzqzqz19" localSheetId="2">#REF!</definedName>
    <definedName name="qzqzqz19" localSheetId="0">#REF!</definedName>
    <definedName name="qzqzqz19" localSheetId="1">#REF!</definedName>
    <definedName name="qzqzqz19">#REF!</definedName>
    <definedName name="qzqzqz20" localSheetId="2">#REF!</definedName>
    <definedName name="qzqzqz20" localSheetId="0">#REF!</definedName>
    <definedName name="qzqzqz20" localSheetId="1">#REF!</definedName>
    <definedName name="qzqzqz20">#REF!</definedName>
    <definedName name="qzqzqz21" localSheetId="2">#REF!</definedName>
    <definedName name="qzqzqz21" localSheetId="0">#REF!</definedName>
    <definedName name="qzqzqz21" localSheetId="1">#REF!</definedName>
    <definedName name="qzqzqz21">#REF!</definedName>
    <definedName name="qzqzqz22" localSheetId="2">#REF!</definedName>
    <definedName name="qzqzqz22" localSheetId="0">#REF!</definedName>
    <definedName name="qzqzqz22" localSheetId="1">#REF!</definedName>
    <definedName name="qzqzqz22">#REF!</definedName>
    <definedName name="qzqzqz23" localSheetId="2">#REF!</definedName>
    <definedName name="qzqzqz23" localSheetId="0">#REF!</definedName>
    <definedName name="qzqzqz23" localSheetId="1">#REF!</definedName>
    <definedName name="qzqzqz23">#REF!</definedName>
    <definedName name="qzqzqz24" localSheetId="2">#REF!</definedName>
    <definedName name="qzqzqz24" localSheetId="0">#REF!</definedName>
    <definedName name="qzqzqz24" localSheetId="1">#REF!</definedName>
    <definedName name="qzqzqz24">#REF!</definedName>
    <definedName name="qzqzqz25" localSheetId="2">#REF!</definedName>
    <definedName name="qzqzqz25" localSheetId="0">#REF!</definedName>
    <definedName name="qzqzqz25" localSheetId="1">#REF!</definedName>
    <definedName name="qzqzqz25">#REF!</definedName>
    <definedName name="qzqzqz26" localSheetId="2">#REF!</definedName>
    <definedName name="qzqzqz26" localSheetId="0">#REF!</definedName>
    <definedName name="qzqzqz26" localSheetId="1">#REF!</definedName>
    <definedName name="qzqzqz26">#REF!</definedName>
    <definedName name="qzqzqz27" localSheetId="2">#REF!</definedName>
    <definedName name="qzqzqz27" localSheetId="0">#REF!</definedName>
    <definedName name="qzqzqz27" localSheetId="1">#REF!</definedName>
    <definedName name="qzqzqz27">#REF!</definedName>
    <definedName name="qzqzqz28" localSheetId="2">#REF!</definedName>
    <definedName name="qzqzqz28" localSheetId="0">#REF!</definedName>
    <definedName name="qzqzqz28" localSheetId="1">#REF!</definedName>
    <definedName name="qzqzqz28">#REF!</definedName>
    <definedName name="qzqzqz29" localSheetId="2">#REF!</definedName>
    <definedName name="qzqzqz29" localSheetId="0">#REF!</definedName>
    <definedName name="qzqzqz29" localSheetId="1">#REF!</definedName>
    <definedName name="qzqzqz29">#REF!</definedName>
    <definedName name="qzqzqz30" localSheetId="2">#REF!</definedName>
    <definedName name="qzqzqz30" localSheetId="0">#REF!</definedName>
    <definedName name="qzqzqz30" localSheetId="1">#REF!</definedName>
    <definedName name="qzqzqz30">#REF!</definedName>
    <definedName name="qzqzqz31" localSheetId="2">#REF!</definedName>
    <definedName name="qzqzqz31" localSheetId="0">#REF!</definedName>
    <definedName name="qzqzqz31" localSheetId="1">#REF!</definedName>
    <definedName name="qzqzqz31">#REF!</definedName>
    <definedName name="qzqzqz32" localSheetId="2">#REF!</definedName>
    <definedName name="qzqzqz32" localSheetId="0">#REF!</definedName>
    <definedName name="qzqzqz32" localSheetId="1">#REF!</definedName>
    <definedName name="qzqzqz32">#REF!</definedName>
    <definedName name="qzqzqz6" localSheetId="2">#REF!</definedName>
    <definedName name="qzqzqz6" localSheetId="0">#REF!</definedName>
    <definedName name="qzqzqz6" localSheetId="1">#REF!</definedName>
    <definedName name="qzqzqz6">#REF!</definedName>
    <definedName name="qzqzqz7" localSheetId="2">#REF!</definedName>
    <definedName name="qzqzqz7" localSheetId="0">#REF!</definedName>
    <definedName name="qzqzqz7" localSheetId="1">#REF!</definedName>
    <definedName name="qzqzqz7">#REF!</definedName>
    <definedName name="qzqzqz8" localSheetId="2">#REF!</definedName>
    <definedName name="qzqzqz8" localSheetId="0">#REF!</definedName>
    <definedName name="qzqzqz8" localSheetId="1">#REF!</definedName>
    <definedName name="qzqzqz8">#REF!</definedName>
    <definedName name="qzqzqz9" localSheetId="2">#REF!</definedName>
    <definedName name="qzqzqz9" localSheetId="0">#REF!</definedName>
    <definedName name="qzqzqz9" localSheetId="1">#REF!</definedName>
    <definedName name="qzqzqz9">#REF!</definedName>
    <definedName name="rang1" localSheetId="2">#REF!</definedName>
    <definedName name="rang1" localSheetId="0">#REF!</definedName>
    <definedName name="rang1" localSheetId="1">#REF!</definedName>
    <definedName name="rang1">#REF!</definedName>
    <definedName name="range" localSheetId="2">#REF!</definedName>
    <definedName name="range" localSheetId="0">#REF!</definedName>
    <definedName name="range" localSheetId="1">#REF!</definedName>
    <definedName name="range">#REF!</definedName>
    <definedName name="Rate">14563</definedName>
    <definedName name="REPORT01" localSheetId="2">#REF!</definedName>
    <definedName name="REPORT01" localSheetId="0">#REF!</definedName>
    <definedName name="REPORT01" localSheetId="1">#REF!</definedName>
    <definedName name="REPORT01">#REF!</definedName>
    <definedName name="REPORT02" localSheetId="2">#REF!</definedName>
    <definedName name="REPORT02" localSheetId="0">#REF!</definedName>
    <definedName name="REPORT02" localSheetId="1">#REF!</definedName>
    <definedName name="REPORT02">#REF!</definedName>
    <definedName name="RFP003A" localSheetId="2">#REF!</definedName>
    <definedName name="RFP003A" localSheetId="0">#REF!</definedName>
    <definedName name="RFP003A" localSheetId="1">#REF!</definedName>
    <definedName name="RFP003A">#REF!</definedName>
    <definedName name="RFP003B" localSheetId="2">#REF!</definedName>
    <definedName name="RFP003B" localSheetId="0">#REF!</definedName>
    <definedName name="RFP003B" localSheetId="1">#REF!</definedName>
    <definedName name="RFP003B">#REF!</definedName>
    <definedName name="RFP003C" localSheetId="2">#REF!</definedName>
    <definedName name="RFP003C" localSheetId="0">#REF!</definedName>
    <definedName name="RFP003C" localSheetId="1">#REF!</definedName>
    <definedName name="RFP003C">#REF!</definedName>
    <definedName name="RFP003D" localSheetId="2">#REF!</definedName>
    <definedName name="RFP003D" localSheetId="0">#REF!</definedName>
    <definedName name="RFP003D" localSheetId="1">#REF!</definedName>
    <definedName name="RFP003D">#REF!</definedName>
    <definedName name="RFP003E" localSheetId="2">#REF!</definedName>
    <definedName name="RFP003E" localSheetId="0">#REF!</definedName>
    <definedName name="RFP003E" localSheetId="1">#REF!</definedName>
    <definedName name="RFP003E">#REF!</definedName>
    <definedName name="RFP003F" localSheetId="2">#REF!</definedName>
    <definedName name="RFP003F" localSheetId="0">#REF!</definedName>
    <definedName name="RFP003F" localSheetId="1">#REF!</definedName>
    <definedName name="RFP003F">#REF!</definedName>
    <definedName name="RoofingWork" localSheetId="2">'[13]DGchitiet '!#REF!</definedName>
    <definedName name="RoofingWork">'[13]DGchitiet '!#REF!</definedName>
    <definedName name="Root" localSheetId="2">#REF!</definedName>
    <definedName name="Root" localSheetId="0">#REF!</definedName>
    <definedName name="Root" localSheetId="1">#REF!</definedName>
    <definedName name="Root">#REF!</definedName>
    <definedName name="rrrrrrrrrrrrrrrrrrrrrrrrrrr" localSheetId="2" hidden="1">{"'Sheet1'!$L$16"}</definedName>
    <definedName name="rrrrrrrrrrrrrrrrrrrrrrrrrrr" localSheetId="1" hidden="1">{"'Sheet1'!$L$16"}</definedName>
    <definedName name="rrrrrrrrrrrrrrrrrrrrrrrrrrr" hidden="1">{"'Sheet1'!$L$16"}</definedName>
    <definedName name="RT" localSheetId="2">#REF!</definedName>
    <definedName name="RT" localSheetId="0">#REF!</definedName>
    <definedName name="RT" localSheetId="1">#REF!</definedName>
    <definedName name="RT">#REF!</definedName>
    <definedName name="s" localSheetId="2" hidden="1">{"'Sheet1'!$L$16"}</definedName>
    <definedName name="s" localSheetId="1" hidden="1">{"'Sheet1'!$L$16"}</definedName>
    <definedName name="s" hidden="1">{"'Sheet1'!$L$16"}</definedName>
    <definedName name="Sales" localSheetId="2">#REF!</definedName>
    <definedName name="Sales" localSheetId="0">#REF!</definedName>
    <definedName name="Sales" localSheetId="1">#REF!</definedName>
    <definedName name="Sales">#REF!</definedName>
    <definedName name="sau">'[6]Chiet tinh dz35'!$H$4</definedName>
    <definedName name="SB">[21]IBASE!$AH$7:$AL$14</definedName>
    <definedName name="SCH" localSheetId="2">#REF!</definedName>
    <definedName name="SCH" localSheetId="0">#REF!</definedName>
    <definedName name="SCH" localSheetId="1">#REF!</definedName>
    <definedName name="SCH">#REF!</definedName>
    <definedName name="sencount" hidden="1">1</definedName>
    <definedName name="SIZE" localSheetId="2">#REF!</definedName>
    <definedName name="SIZE" localSheetId="0">#REF!</definedName>
    <definedName name="SIZE" localSheetId="1">#REF!</definedName>
    <definedName name="SIZE">#REF!</definedName>
    <definedName name="SL" localSheetId="2">#REF!</definedName>
    <definedName name="SL" localSheetId="0">#REF!</definedName>
    <definedName name="SL" localSheetId="1">#REF!</definedName>
    <definedName name="SL">#REF!</definedName>
    <definedName name="So_ctu">[14]KHO_X_N!$C$12:$C$272</definedName>
    <definedName name="So_luong">[14]KHO_X_N!$H$12:$H$272</definedName>
    <definedName name="SORT" localSheetId="2">#REF!</definedName>
    <definedName name="SORT" localSheetId="0">#REF!</definedName>
    <definedName name="SORT" localSheetId="1">#REF!</definedName>
    <definedName name="SORT">#REF!</definedName>
    <definedName name="SORT_AREA">'[22]DI-ESTI'!$A$8:$R$489</definedName>
    <definedName name="SP" localSheetId="2">#REF!</definedName>
    <definedName name="SP" localSheetId="0">#REF!</definedName>
    <definedName name="SP" localSheetId="1">#REF!</definedName>
    <definedName name="SP">#REF!</definedName>
    <definedName name="SPEC" localSheetId="2">#REF!</definedName>
    <definedName name="SPEC" localSheetId="0">#REF!</definedName>
    <definedName name="SPEC" localSheetId="1">#REF!</definedName>
    <definedName name="SPEC">#REF!</definedName>
    <definedName name="SPECSUMMARY" localSheetId="2">#REF!</definedName>
    <definedName name="SPECSUMMARY" localSheetId="0">#REF!</definedName>
    <definedName name="SPECSUMMARY" localSheetId="1">#REF!</definedName>
    <definedName name="SPECSUMMARY">#REF!</definedName>
    <definedName name="SS" localSheetId="2">#REF!</definedName>
    <definedName name="SS" localSheetId="0">#REF!</definedName>
    <definedName name="SS" localSheetId="1">#REF!</definedName>
    <definedName name="SS">#REF!</definedName>
    <definedName name="Start_1" localSheetId="2">#REF!</definedName>
    <definedName name="Start_1" localSheetId="0">#REF!</definedName>
    <definedName name="Start_1" localSheetId="1">#REF!</definedName>
    <definedName name="Start_1">#REF!</definedName>
    <definedName name="Start_10" localSheetId="2">#REF!</definedName>
    <definedName name="Start_10" localSheetId="0">#REF!</definedName>
    <definedName name="Start_10" localSheetId="1">#REF!</definedName>
    <definedName name="Start_10">#REF!</definedName>
    <definedName name="Start_11" localSheetId="2">#REF!</definedName>
    <definedName name="Start_11" localSheetId="0">#REF!</definedName>
    <definedName name="Start_11" localSheetId="1">#REF!</definedName>
    <definedName name="Start_11">#REF!</definedName>
    <definedName name="Start_12" localSheetId="2">#REF!</definedName>
    <definedName name="Start_12" localSheetId="0">#REF!</definedName>
    <definedName name="Start_12" localSheetId="1">#REF!</definedName>
    <definedName name="Start_12">#REF!</definedName>
    <definedName name="Start_13" localSheetId="2">#REF!</definedName>
    <definedName name="Start_13" localSheetId="0">#REF!</definedName>
    <definedName name="Start_13" localSheetId="1">#REF!</definedName>
    <definedName name="Start_13">#REF!</definedName>
    <definedName name="Start_2" localSheetId="2">#REF!</definedName>
    <definedName name="Start_2" localSheetId="0">#REF!</definedName>
    <definedName name="Start_2" localSheetId="1">#REF!</definedName>
    <definedName name="Start_2">#REF!</definedName>
    <definedName name="Start_3" localSheetId="2">#REF!</definedName>
    <definedName name="Start_3" localSheetId="0">#REF!</definedName>
    <definedName name="Start_3" localSheetId="1">#REF!</definedName>
    <definedName name="Start_3">#REF!</definedName>
    <definedName name="Start_4" localSheetId="2">#REF!</definedName>
    <definedName name="Start_4" localSheetId="0">#REF!</definedName>
    <definedName name="Start_4" localSheetId="1">#REF!</definedName>
    <definedName name="Start_4">#REF!</definedName>
    <definedName name="Start_5" localSheetId="2">#REF!</definedName>
    <definedName name="Start_5" localSheetId="0">#REF!</definedName>
    <definedName name="Start_5" localSheetId="1">#REF!</definedName>
    <definedName name="Start_5">#REF!</definedName>
    <definedName name="Start_6" localSheetId="2">#REF!</definedName>
    <definedName name="Start_6" localSheetId="0">#REF!</definedName>
    <definedName name="Start_6" localSheetId="1">#REF!</definedName>
    <definedName name="Start_6">#REF!</definedName>
    <definedName name="Start_7" localSheetId="2">#REF!</definedName>
    <definedName name="Start_7" localSheetId="0">#REF!</definedName>
    <definedName name="Start_7" localSheetId="1">#REF!</definedName>
    <definedName name="Start_7">#REF!</definedName>
    <definedName name="Start_8" localSheetId="2">#REF!</definedName>
    <definedName name="Start_8" localSheetId="0">#REF!</definedName>
    <definedName name="Start_8" localSheetId="1">#REF!</definedName>
    <definedName name="Start_8">#REF!</definedName>
    <definedName name="Start_9" localSheetId="2">#REF!</definedName>
    <definedName name="Start_9" localSheetId="0">#REF!</definedName>
    <definedName name="Start_9" localSheetId="1">#REF!</definedName>
    <definedName name="Start_9">#REF!</definedName>
    <definedName name="SUM" localSheetId="2">#REF!,#REF!</definedName>
    <definedName name="SUM" localSheetId="0">#REF!,#REF!</definedName>
    <definedName name="SUM" localSheetId="1">#REF!,#REF!</definedName>
    <definedName name="SUM">#REF!,#REF!</definedName>
    <definedName name="SUMMARY" localSheetId="2">#REF!</definedName>
    <definedName name="SUMMARY" localSheetId="0">#REF!</definedName>
    <definedName name="SUMMARY" localSheetId="1">#REF!</definedName>
    <definedName name="SUMMARY">#REF!</definedName>
    <definedName name="T" localSheetId="2">#REF!</definedName>
    <definedName name="T" localSheetId="0">#REF!</definedName>
    <definedName name="T" localSheetId="1">#REF!</definedName>
    <definedName name="T">#REF!</definedName>
    <definedName name="T12_" localSheetId="2">[2]Sheet2!#REF!</definedName>
    <definedName name="T12_">[2]Sheet2!#REF!</definedName>
    <definedName name="T2_" localSheetId="2">[2]Sheet2!#REF!</definedName>
    <definedName name="T2_">[2]Sheet2!#REF!</definedName>
    <definedName name="TaxTV">10%</definedName>
    <definedName name="TaxXL">5%</definedName>
    <definedName name="TemporaryWork" localSheetId="2">'[13]DGchitiet '!#REF!</definedName>
    <definedName name="TemporaryWork">'[13]DGchitiet '!#REF!</definedName>
    <definedName name="Thanh_tien_nhap">[14]KHO_X_N!$K$12:$K$272</definedName>
    <definedName name="Thanh_tien_xuat">[14]KHO_X_N!$J$12:$J$272</definedName>
    <definedName name="THI" localSheetId="2">#REF!</definedName>
    <definedName name="THI" localSheetId="0">#REF!</definedName>
    <definedName name="THI" localSheetId="1">#REF!</definedName>
    <definedName name="THI">#REF!</definedName>
    <definedName name="THK" localSheetId="2">#REF!</definedName>
    <definedName name="THK" localSheetId="0">#REF!</definedName>
    <definedName name="THK" localSheetId="1">#REF!</definedName>
    <definedName name="THK">#REF!</definedName>
    <definedName name="TileStone" localSheetId="2">'[13]DGchitiet '!#REF!</definedName>
    <definedName name="TileStone">'[13]DGchitiet '!#REF!</definedName>
    <definedName name="TITAN" localSheetId="2">#REF!</definedName>
    <definedName name="TITAN" localSheetId="0">#REF!</definedName>
    <definedName name="TITAN" localSheetId="1">#REF!</definedName>
    <definedName name="TITAN">#REF!</definedName>
    <definedName name="TMProtection" localSheetId="2">'[13]DGchitiet '!#REF!</definedName>
    <definedName name="TMProtection">'[13]DGchitiet '!#REF!</definedName>
    <definedName name="TN">"$A$1:$I$11"</definedName>
    <definedName name="TOT" localSheetId="2">#REF!</definedName>
    <definedName name="TOT" localSheetId="0">#REF!</definedName>
    <definedName name="TOT" localSheetId="1">#REF!</definedName>
    <definedName name="TOT">#REF!</definedName>
    <definedName name="TPLRP" localSheetId="2">#REF!</definedName>
    <definedName name="TPLRP" localSheetId="0">#REF!</definedName>
    <definedName name="TPLRP" localSheetId="1">#REF!</definedName>
    <definedName name="TPLRP">#REF!</definedName>
    <definedName name="TR" localSheetId="2">#REF!</definedName>
    <definedName name="TR" localSheetId="0">#REF!</definedName>
    <definedName name="TR" localSheetId="1">#REF!</definedName>
    <definedName name="TR">#REF!</definedName>
    <definedName name="TRADE2" localSheetId="2">#REF!</definedName>
    <definedName name="TRADE2" localSheetId="0">#REF!</definedName>
    <definedName name="TRADE2" localSheetId="1">#REF!</definedName>
    <definedName name="TRADE2">#REF!</definedName>
    <definedName name="tragiang" localSheetId="2" hidden="1">{"'Sheet1'!$L$16"}</definedName>
    <definedName name="tragiang" localSheetId="1" hidden="1">{"'Sheet1'!$L$16"}</definedName>
    <definedName name="tragiang" hidden="1">{"'Sheet1'!$L$16"}</definedName>
    <definedName name="TRANSFORMER" localSheetId="2">'[17]NEW-PANEL'!#REF!</definedName>
    <definedName name="TRANSFORMER">'[17]NEW-PANEL'!#REF!</definedName>
    <definedName name="ttbt" localSheetId="2">#REF!</definedName>
    <definedName name="ttbt" localSheetId="0">#REF!</definedName>
    <definedName name="ttbt" localSheetId="1">#REF!</definedName>
    <definedName name="ttbt">#REF!</definedName>
    <definedName name="ttt">'[4]CT Thang Mo'!$B$309:$M$309</definedName>
    <definedName name="tttb">'[4]CT Thang Mo'!$B$431:$I$431</definedName>
    <definedName name="tttttttttt" localSheetId="2" hidden="1">{"'Sheet1'!$L$16"}</definedName>
    <definedName name="tttttttttt" localSheetId="1" hidden="1">{"'Sheet1'!$L$16"}</definedName>
    <definedName name="tttttttttt" hidden="1">{"'Sheet1'!$L$16"}</definedName>
    <definedName name="twrrrrrrrrrrrrrrrrrwwwwwwwwwwwww" localSheetId="2" hidden="1">{"'Sheet1'!$L$16"}</definedName>
    <definedName name="twrrrrrrrrrrrrrrrrrwwwwwwwwwwwww" localSheetId="1" hidden="1">{"'Sheet1'!$L$16"}</definedName>
    <definedName name="twrrrrrrrrrrrrrrrrrwwwwwwwwwwwww" hidden="1">{"'Sheet1'!$L$16"}</definedName>
    <definedName name="Type" localSheetId="2">#REF!</definedName>
    <definedName name="Type" localSheetId="0">#REF!</definedName>
    <definedName name="Type" localSheetId="1">#REF!</definedName>
    <definedName name="Type">#REF!</definedName>
    <definedName name="up" localSheetId="2">#REF!,#REF!,#REF!,#REF!,#REF!,#REF!,#REF!,#REF!,#REF!,#REF!,#REF!</definedName>
    <definedName name="up" localSheetId="0">#REF!,#REF!,#REF!,#REF!,#REF!,#REF!,#REF!,#REF!,#REF!,#REF!,#REF!</definedName>
    <definedName name="up" localSheetId="1">#REF!,#REF!,#REF!,#REF!,#REF!,#REF!,#REF!,#REF!,#REF!,#REF!,#REF!</definedName>
    <definedName name="up">#REF!,#REF!,#REF!,#REF!,#REF!,#REF!,#REF!,#REF!,#REF!,#REF!,#REF!</definedName>
    <definedName name="UPVND" localSheetId="2">#REF!</definedName>
    <definedName name="UPVND" localSheetId="0">#REF!</definedName>
    <definedName name="UPVND" localSheetId="1">#REF!</definedName>
    <definedName name="UPVND">#REF!</definedName>
    <definedName name="usd">[23]SUMMARY!$I$16</definedName>
    <definedName name="v" localSheetId="2">#REF!</definedName>
    <definedName name="v" localSheetId="0">#REF!</definedName>
    <definedName name="v" localSheetId="1">#REF!</definedName>
    <definedName name="v">#REF!</definedName>
    <definedName name="Value0" localSheetId="2">#REF!</definedName>
    <definedName name="Value0" localSheetId="0">#REF!</definedName>
    <definedName name="Value0" localSheetId="1">#REF!</definedName>
    <definedName name="Value0">#REF!</definedName>
    <definedName name="Value1" localSheetId="2">#REF!</definedName>
    <definedName name="Value1" localSheetId="0">#REF!</definedName>
    <definedName name="Value1" localSheetId="1">#REF!</definedName>
    <definedName name="Value1">#REF!</definedName>
    <definedName name="Value10" localSheetId="2">#REF!</definedName>
    <definedName name="Value10" localSheetId="0">#REF!</definedName>
    <definedName name="Value10" localSheetId="1">#REF!</definedName>
    <definedName name="Value10">#REF!</definedName>
    <definedName name="Value11" localSheetId="2">#REF!</definedName>
    <definedName name="Value11" localSheetId="0">#REF!</definedName>
    <definedName name="Value11" localSheetId="1">#REF!</definedName>
    <definedName name="Value11">#REF!</definedName>
    <definedName name="Value12" localSheetId="2">#REF!</definedName>
    <definedName name="Value12" localSheetId="0">#REF!</definedName>
    <definedName name="Value12" localSheetId="1">#REF!</definedName>
    <definedName name="Value12">#REF!</definedName>
    <definedName name="Value13" localSheetId="2">#REF!</definedName>
    <definedName name="Value13" localSheetId="0">#REF!</definedName>
    <definedName name="Value13" localSheetId="1">#REF!</definedName>
    <definedName name="Value13">#REF!</definedName>
    <definedName name="Value14" localSheetId="2">#REF!</definedName>
    <definedName name="Value14" localSheetId="0">#REF!</definedName>
    <definedName name="Value14" localSheetId="1">#REF!</definedName>
    <definedName name="Value14">#REF!</definedName>
    <definedName name="Value15" localSheetId="2">#REF!</definedName>
    <definedName name="Value15" localSheetId="0">#REF!</definedName>
    <definedName name="Value15" localSheetId="1">#REF!</definedName>
    <definedName name="Value15">#REF!</definedName>
    <definedName name="Value16" localSheetId="2">#REF!</definedName>
    <definedName name="Value16" localSheetId="0">#REF!</definedName>
    <definedName name="Value16" localSheetId="1">#REF!</definedName>
    <definedName name="Value16">#REF!</definedName>
    <definedName name="Value17" localSheetId="2">#REF!</definedName>
    <definedName name="Value17" localSheetId="0">#REF!</definedName>
    <definedName name="Value17" localSheetId="1">#REF!</definedName>
    <definedName name="Value17">#REF!</definedName>
    <definedName name="Value18" localSheetId="2">#REF!</definedName>
    <definedName name="Value18" localSheetId="0">#REF!</definedName>
    <definedName name="Value18" localSheetId="1">#REF!</definedName>
    <definedName name="Value18">#REF!</definedName>
    <definedName name="Value19" localSheetId="2">#REF!</definedName>
    <definedName name="Value19" localSheetId="0">#REF!</definedName>
    <definedName name="Value19" localSheetId="1">#REF!</definedName>
    <definedName name="Value19">#REF!</definedName>
    <definedName name="Value2" localSheetId="2">#REF!</definedName>
    <definedName name="Value2" localSheetId="0">#REF!</definedName>
    <definedName name="Value2" localSheetId="1">#REF!</definedName>
    <definedName name="Value2">#REF!</definedName>
    <definedName name="Value20" localSheetId="2">#REF!</definedName>
    <definedName name="Value20" localSheetId="0">#REF!</definedName>
    <definedName name="Value20" localSheetId="1">#REF!</definedName>
    <definedName name="Value20">#REF!</definedName>
    <definedName name="Value21" localSheetId="2">#REF!</definedName>
    <definedName name="Value21" localSheetId="0">#REF!</definedName>
    <definedName name="Value21" localSheetId="1">#REF!</definedName>
    <definedName name="Value21">#REF!</definedName>
    <definedName name="Value22" localSheetId="2">#REF!</definedName>
    <definedName name="Value22" localSheetId="0">#REF!</definedName>
    <definedName name="Value22" localSheetId="1">#REF!</definedName>
    <definedName name="Value22">#REF!</definedName>
    <definedName name="Value23" localSheetId="2">#REF!</definedName>
    <definedName name="Value23" localSheetId="0">#REF!</definedName>
    <definedName name="Value23" localSheetId="1">#REF!</definedName>
    <definedName name="Value23">#REF!</definedName>
    <definedName name="Value24" localSheetId="2">#REF!</definedName>
    <definedName name="Value24" localSheetId="0">#REF!</definedName>
    <definedName name="Value24" localSheetId="1">#REF!</definedName>
    <definedName name="Value24">#REF!</definedName>
    <definedName name="Value25" localSheetId="2">#REF!</definedName>
    <definedName name="Value25" localSheetId="0">#REF!</definedName>
    <definedName name="Value25" localSheetId="1">#REF!</definedName>
    <definedName name="Value25">#REF!</definedName>
    <definedName name="Value26" localSheetId="2">#REF!</definedName>
    <definedName name="Value26" localSheetId="0">#REF!</definedName>
    <definedName name="Value26" localSheetId="1">#REF!</definedName>
    <definedName name="Value26">#REF!</definedName>
    <definedName name="Value27" localSheetId="2">#REF!</definedName>
    <definedName name="Value27" localSheetId="0">#REF!</definedName>
    <definedName name="Value27" localSheetId="1">#REF!</definedName>
    <definedName name="Value27">#REF!</definedName>
    <definedName name="Value28" localSheetId="2">#REF!</definedName>
    <definedName name="Value28" localSheetId="0">#REF!</definedName>
    <definedName name="Value28" localSheetId="1">#REF!</definedName>
    <definedName name="Value28">#REF!</definedName>
    <definedName name="Value29" localSheetId="2">#REF!</definedName>
    <definedName name="Value29" localSheetId="0">#REF!</definedName>
    <definedName name="Value29" localSheetId="1">#REF!</definedName>
    <definedName name="Value29">#REF!</definedName>
    <definedName name="Value3" localSheetId="2">#REF!</definedName>
    <definedName name="Value3" localSheetId="0">#REF!</definedName>
    <definedName name="Value3" localSheetId="1">#REF!</definedName>
    <definedName name="Value3">#REF!</definedName>
    <definedName name="Value30" localSheetId="2">#REF!</definedName>
    <definedName name="Value30" localSheetId="0">#REF!</definedName>
    <definedName name="Value30" localSheetId="1">#REF!</definedName>
    <definedName name="Value30">#REF!</definedName>
    <definedName name="Value31" localSheetId="2">#REF!</definedName>
    <definedName name="Value31" localSheetId="0">#REF!</definedName>
    <definedName name="Value31" localSheetId="1">#REF!</definedName>
    <definedName name="Value31">#REF!</definedName>
    <definedName name="Value32" localSheetId="2">#REF!</definedName>
    <definedName name="Value32" localSheetId="0">#REF!</definedName>
    <definedName name="Value32" localSheetId="1">#REF!</definedName>
    <definedName name="Value32">#REF!</definedName>
    <definedName name="Value33" localSheetId="2">#REF!</definedName>
    <definedName name="Value33" localSheetId="0">#REF!</definedName>
    <definedName name="Value33" localSheetId="1">#REF!</definedName>
    <definedName name="Value33">#REF!</definedName>
    <definedName name="Value34" localSheetId="2">#REF!</definedName>
    <definedName name="Value34" localSheetId="0">#REF!</definedName>
    <definedName name="Value34" localSheetId="1">#REF!</definedName>
    <definedName name="Value34">#REF!</definedName>
    <definedName name="Value35" localSheetId="2">#REF!</definedName>
    <definedName name="Value35" localSheetId="0">#REF!</definedName>
    <definedName name="Value35" localSheetId="1">#REF!</definedName>
    <definedName name="Value35">#REF!</definedName>
    <definedName name="Value36" localSheetId="2">#REF!</definedName>
    <definedName name="Value36" localSheetId="0">#REF!</definedName>
    <definedName name="Value36" localSheetId="1">#REF!</definedName>
    <definedName name="Value36">#REF!</definedName>
    <definedName name="Value37" localSheetId="2">#REF!</definedName>
    <definedName name="Value37" localSheetId="0">#REF!</definedName>
    <definedName name="Value37" localSheetId="1">#REF!</definedName>
    <definedName name="Value37">#REF!</definedName>
    <definedName name="Value38" localSheetId="2">#REF!</definedName>
    <definedName name="Value38" localSheetId="0">#REF!</definedName>
    <definedName name="Value38" localSheetId="1">#REF!</definedName>
    <definedName name="Value38">#REF!</definedName>
    <definedName name="Value39" localSheetId="2">#REF!</definedName>
    <definedName name="Value39" localSheetId="0">#REF!</definedName>
    <definedName name="Value39" localSheetId="1">#REF!</definedName>
    <definedName name="Value39">#REF!</definedName>
    <definedName name="Value4" localSheetId="2">#REF!</definedName>
    <definedName name="Value4" localSheetId="0">#REF!</definedName>
    <definedName name="Value4" localSheetId="1">#REF!</definedName>
    <definedName name="Value4">#REF!</definedName>
    <definedName name="Value40" localSheetId="2">#REF!</definedName>
    <definedName name="Value40" localSheetId="0">#REF!</definedName>
    <definedName name="Value40" localSheetId="1">#REF!</definedName>
    <definedName name="Value40">#REF!</definedName>
    <definedName name="Value41" localSheetId="2">#REF!</definedName>
    <definedName name="Value41" localSheetId="0">#REF!</definedName>
    <definedName name="Value41" localSheetId="1">#REF!</definedName>
    <definedName name="Value41">#REF!</definedName>
    <definedName name="Value42" localSheetId="2">#REF!</definedName>
    <definedName name="Value42" localSheetId="0">#REF!</definedName>
    <definedName name="Value42" localSheetId="1">#REF!</definedName>
    <definedName name="Value42">#REF!</definedName>
    <definedName name="Value43" localSheetId="2">#REF!</definedName>
    <definedName name="Value43" localSheetId="0">#REF!</definedName>
    <definedName name="Value43" localSheetId="1">#REF!</definedName>
    <definedName name="Value43">#REF!</definedName>
    <definedName name="Value44" localSheetId="2">#REF!</definedName>
    <definedName name="Value44" localSheetId="0">#REF!</definedName>
    <definedName name="Value44" localSheetId="1">#REF!</definedName>
    <definedName name="Value44">#REF!</definedName>
    <definedName name="Value45" localSheetId="2">#REF!</definedName>
    <definedName name="Value45" localSheetId="0">#REF!</definedName>
    <definedName name="Value45" localSheetId="1">#REF!</definedName>
    <definedName name="Value45">#REF!</definedName>
    <definedName name="Value46" localSheetId="2">#REF!</definedName>
    <definedName name="Value46" localSheetId="0">#REF!</definedName>
    <definedName name="Value46" localSheetId="1">#REF!</definedName>
    <definedName name="Value46">#REF!</definedName>
    <definedName name="Value47" localSheetId="2">#REF!</definedName>
    <definedName name="Value47" localSheetId="0">#REF!</definedName>
    <definedName name="Value47" localSheetId="1">#REF!</definedName>
    <definedName name="Value47">#REF!</definedName>
    <definedName name="Value48" localSheetId="2">#REF!</definedName>
    <definedName name="Value48" localSheetId="0">#REF!</definedName>
    <definedName name="Value48" localSheetId="1">#REF!</definedName>
    <definedName name="Value48">#REF!</definedName>
    <definedName name="Value49" localSheetId="2">#REF!</definedName>
    <definedName name="Value49" localSheetId="0">#REF!</definedName>
    <definedName name="Value49" localSheetId="1">#REF!</definedName>
    <definedName name="Value49">#REF!</definedName>
    <definedName name="Value5" localSheetId="2">#REF!</definedName>
    <definedName name="Value5" localSheetId="0">#REF!</definedName>
    <definedName name="Value5" localSheetId="1">#REF!</definedName>
    <definedName name="Value5">#REF!</definedName>
    <definedName name="Value50" localSheetId="2">#REF!</definedName>
    <definedName name="Value50" localSheetId="0">#REF!</definedName>
    <definedName name="Value50" localSheetId="1">#REF!</definedName>
    <definedName name="Value50">#REF!</definedName>
    <definedName name="Value51" localSheetId="2">#REF!</definedName>
    <definedName name="Value51" localSheetId="0">#REF!</definedName>
    <definedName name="Value51" localSheetId="1">#REF!</definedName>
    <definedName name="Value51">#REF!</definedName>
    <definedName name="Value52" localSheetId="2">#REF!</definedName>
    <definedName name="Value52" localSheetId="0">#REF!</definedName>
    <definedName name="Value52" localSheetId="1">#REF!</definedName>
    <definedName name="Value52">#REF!</definedName>
    <definedName name="Value53" localSheetId="2">#REF!</definedName>
    <definedName name="Value53" localSheetId="0">#REF!</definedName>
    <definedName name="Value53" localSheetId="1">#REF!</definedName>
    <definedName name="Value53">#REF!</definedName>
    <definedName name="Value54" localSheetId="2">#REF!</definedName>
    <definedName name="Value54" localSheetId="0">#REF!</definedName>
    <definedName name="Value54" localSheetId="1">#REF!</definedName>
    <definedName name="Value54">#REF!</definedName>
    <definedName name="Value55" localSheetId="2">#REF!</definedName>
    <definedName name="Value55" localSheetId="0">#REF!</definedName>
    <definedName name="Value55" localSheetId="1">#REF!</definedName>
    <definedName name="Value55">#REF!</definedName>
    <definedName name="Value6" localSheetId="2">#REF!</definedName>
    <definedName name="Value6" localSheetId="0">#REF!</definedName>
    <definedName name="Value6" localSheetId="1">#REF!</definedName>
    <definedName name="Value6">#REF!</definedName>
    <definedName name="Value7" localSheetId="2">#REF!</definedName>
    <definedName name="Value7" localSheetId="0">#REF!</definedName>
    <definedName name="Value7" localSheetId="1">#REF!</definedName>
    <definedName name="Value7">#REF!</definedName>
    <definedName name="Value8" localSheetId="2">#REF!</definedName>
    <definedName name="Value8" localSheetId="0">#REF!</definedName>
    <definedName name="Value8" localSheetId="1">#REF!</definedName>
    <definedName name="Value8">#REF!</definedName>
    <definedName name="Value9" localSheetId="2">#REF!</definedName>
    <definedName name="Value9" localSheetId="0">#REF!</definedName>
    <definedName name="Value9" localSheetId="1">#REF!</definedName>
    <definedName name="Value9">#REF!</definedName>
    <definedName name="VARIINST" localSheetId="2">#REF!</definedName>
    <definedName name="VARIINST" localSheetId="0">#REF!</definedName>
    <definedName name="VARIINST" localSheetId="1">#REF!</definedName>
    <definedName name="VARIINST">#REF!</definedName>
    <definedName name="VARIPURC" localSheetId="2">#REF!</definedName>
    <definedName name="VARIPURC" localSheetId="0">#REF!</definedName>
    <definedName name="VARIPURC" localSheetId="1">#REF!</definedName>
    <definedName name="VARIPURC">#REF!</definedName>
    <definedName name="vbtchongnuocm300" localSheetId="2">#REF!</definedName>
    <definedName name="vbtchongnuocm300" localSheetId="0">#REF!</definedName>
    <definedName name="vbtchongnuocm300" localSheetId="1">#REF!</definedName>
    <definedName name="vbtchongnuocm300">#REF!</definedName>
    <definedName name="vbtm150" localSheetId="2">#REF!</definedName>
    <definedName name="vbtm150" localSheetId="0">#REF!</definedName>
    <definedName name="vbtm150" localSheetId="1">#REF!</definedName>
    <definedName name="vbtm150">#REF!</definedName>
    <definedName name="vbtm300" localSheetId="2">#REF!</definedName>
    <definedName name="vbtm300" localSheetId="0">#REF!</definedName>
    <definedName name="vbtm300" localSheetId="1">#REF!</definedName>
    <definedName name="vbtm300">#REF!</definedName>
    <definedName name="vbtm400" localSheetId="2">#REF!</definedName>
    <definedName name="vbtm400" localSheetId="0">#REF!</definedName>
    <definedName name="vbtm400" localSheetId="1">#REF!</definedName>
    <definedName name="vbtm400">#REF!</definedName>
    <definedName name="vc3.">'[4]CT  PL'!$B$125:$H$125</definedName>
    <definedName name="vca">'[4]CT  PL'!$B$25:$H$25</definedName>
    <definedName name="vccot" localSheetId="2">#REF!</definedName>
    <definedName name="vccot" localSheetId="0">#REF!</definedName>
    <definedName name="vccot" localSheetId="1">#REF!</definedName>
    <definedName name="vccot">#REF!</definedName>
    <definedName name="vccot.">'[4]CT  PL'!$B$8:$H$8</definedName>
    <definedName name="vcdbt">'[4]CT Thang Mo'!$B$220:$I$220</definedName>
    <definedName name="vcdc." localSheetId="2">'[24]Chi tiet'!#REF!</definedName>
    <definedName name="vcdc.">'[24]Chi tiet'!#REF!</definedName>
    <definedName name="vcdd">'[4]CT Thang Mo'!$B$182:$H$182</definedName>
    <definedName name="vcdt">'[4]CT Thang Mo'!$B$406:$I$406</definedName>
    <definedName name="vcdtb">'[4]CT Thang Mo'!$B$432:$I$432</definedName>
    <definedName name="vctb" localSheetId="2">#REF!</definedName>
    <definedName name="vctb" localSheetId="0">#REF!</definedName>
    <definedName name="vctb" localSheetId="1">#REF!</definedName>
    <definedName name="vctb">#REF!</definedName>
    <definedName name="vctt">'[4]CT  PL'!$B$288:$H$288</definedName>
    <definedName name="vital1" localSheetId="2">#REF!</definedName>
    <definedName name="vital1" localSheetId="0">#REF!</definedName>
    <definedName name="vital1" localSheetId="1">#REF!</definedName>
    <definedName name="vital1">#REF!</definedName>
    <definedName name="vital2" localSheetId="2">#REF!</definedName>
    <definedName name="vital2" localSheetId="0">#REF!</definedName>
    <definedName name="vital2" localSheetId="1">#REF!</definedName>
    <definedName name="vital2">#REF!</definedName>
    <definedName name="vital4" localSheetId="2">#REF!</definedName>
    <definedName name="vital4" localSheetId="0">#REF!</definedName>
    <definedName name="vital4" localSheetId="1">#REF!</definedName>
    <definedName name="vital4">#REF!</definedName>
    <definedName name="vital5" localSheetId="2">#REF!</definedName>
    <definedName name="vital5" localSheetId="0">#REF!</definedName>
    <definedName name="vital5" localSheetId="1">#REF!</definedName>
    <definedName name="vital5">#REF!</definedName>
    <definedName name="vital6" localSheetId="2">#REF!</definedName>
    <definedName name="vital6" localSheetId="0">#REF!</definedName>
    <definedName name="vital6" localSheetId="1">#REF!</definedName>
    <definedName name="vital6">#REF!</definedName>
    <definedName name="vital8" localSheetId="2">#REF!</definedName>
    <definedName name="vital8" localSheetId="0">#REF!</definedName>
    <definedName name="vital8" localSheetId="1">#REF!</definedName>
    <definedName name="vital8">#REF!</definedName>
    <definedName name="vital9" localSheetId="2">#REF!</definedName>
    <definedName name="vital9" localSheetId="0">#REF!</definedName>
    <definedName name="vital9" localSheetId="1">#REF!</definedName>
    <definedName name="vital9">#REF!</definedName>
    <definedName name="vkcauthang" localSheetId="2">#REF!</definedName>
    <definedName name="vkcauthang" localSheetId="0">#REF!</definedName>
    <definedName name="vkcauthang" localSheetId="1">#REF!</definedName>
    <definedName name="vkcauthang">#REF!</definedName>
    <definedName name="vksan" localSheetId="2">#REF!</definedName>
    <definedName name="vksan" localSheetId="0">#REF!</definedName>
    <definedName name="vksan" localSheetId="1">#REF!</definedName>
    <definedName name="vksan">#REF!</definedName>
    <definedName name="vl" localSheetId="2">#REF!</definedName>
    <definedName name="vl" localSheetId="0">#REF!</definedName>
    <definedName name="vl" localSheetId="1">#REF!</definedName>
    <definedName name="vl">#REF!</definedName>
    <definedName name="Vlcap0.7" localSheetId="2">#REF!</definedName>
    <definedName name="Vlcap0.7" localSheetId="0">#REF!</definedName>
    <definedName name="Vlcap0.7" localSheetId="1">#REF!</definedName>
    <definedName name="Vlcap0.7">#REF!</definedName>
    <definedName name="VLcap1" localSheetId="2">#REF!</definedName>
    <definedName name="VLcap1" localSheetId="0">#REF!</definedName>
    <definedName name="VLcap1" localSheetId="1">#REF!</definedName>
    <definedName name="VLcap1">#REF!</definedName>
    <definedName name="voi" localSheetId="2">'[25]Gia vat tu'!#REF!</definedName>
    <definedName name="voi">'[25]Gia vat tu'!#REF!</definedName>
    <definedName name="Voøng_ñeäm_CAÙC_LOAÏI" localSheetId="2">#REF!</definedName>
    <definedName name="Voøng_ñeäm_CAÙC_LOAÏI" localSheetId="0">#REF!</definedName>
    <definedName name="Voøng_ñeäm_CAÙC_LOAÏI" localSheetId="1">#REF!</definedName>
    <definedName name="Voøng_ñeäm_CAÙC_LOAÏI">#REF!</definedName>
    <definedName name="W" localSheetId="2">#REF!</definedName>
    <definedName name="W" localSheetId="0">#REF!</definedName>
    <definedName name="W" localSheetId="1">#REF!</definedName>
    <definedName name="W">#REF!</definedName>
    <definedName name="Work_day" localSheetId="2">#REF!</definedName>
    <definedName name="Work_day" localSheetId="0">#REF!</definedName>
    <definedName name="Work_day" localSheetId="1">#REF!</definedName>
    <definedName name="Work_day">#REF!</definedName>
    <definedName name="X" localSheetId="2">'[13]DGchitiet '!#REF!</definedName>
    <definedName name="X">'[13]DGchitiet '!#REF!</definedName>
    <definedName name="X13H2000_Mauso04_List" localSheetId="2">#REF!</definedName>
    <definedName name="X13H2000_Mauso04_List" localSheetId="0">#REF!</definedName>
    <definedName name="X13H2000_Mauso04_List" localSheetId="1">#REF!</definedName>
    <definedName name="X13H2000_Mauso04_List">#REF!</definedName>
    <definedName name="xmcax" localSheetId="2">#REF!</definedName>
    <definedName name="xmcax" localSheetId="0">#REF!</definedName>
    <definedName name="xmcax" localSheetId="1">#REF!</definedName>
    <definedName name="xmcax">#REF!</definedName>
    <definedName name="Z12_" localSheetId="2">[2]Sheet2!#REF!</definedName>
    <definedName name="Z12_">[2]Sheet2!#REF!</definedName>
    <definedName name="ZYX" localSheetId="2">#REF!</definedName>
    <definedName name="ZYX" localSheetId="0">#REF!</definedName>
    <definedName name="ZYX" localSheetId="1">#REF!</definedName>
    <definedName name="ZYX">#REF!</definedName>
    <definedName name="ZZZ" localSheetId="2">#REF!</definedName>
    <definedName name="ZZZ" localSheetId="0">#REF!</definedName>
    <definedName name="ZZZ" localSheetId="1">#REF!</definedName>
    <definedName name="ZZZ">#REF!</definedName>
    <definedName name="계정과목" localSheetId="2">#REF!</definedName>
    <definedName name="계정과목" localSheetId="0">#REF!</definedName>
    <definedName name="계정과목" localSheetId="1">#REF!</definedName>
    <definedName name="계정과목">#REF!</definedName>
    <definedName name="도레미" localSheetId="2">#REF!</definedName>
    <definedName name="도레미" localSheetId="0">#REF!</definedName>
    <definedName name="도레미" localSheetId="1">#REF!</definedName>
    <definedName name="도레미">#REF!</definedName>
    <definedName name="ㅁ1" localSheetId="2">#REF!</definedName>
    <definedName name="ㅁ1" localSheetId="0">#REF!</definedName>
    <definedName name="ㅁ1" localSheetId="1">#REF!</definedName>
    <definedName name="ㅁ1">#REF!</definedName>
    <definedName name="ㅇㄴㅋ퓨" localSheetId="2" hidden="1">{"'Sheet1'!$L$16"}</definedName>
    <definedName name="ㅇㄴㅋ퓨" localSheetId="1" hidden="1">{"'Sheet1'!$L$16"}</definedName>
    <definedName name="ㅇㄴㅋ퓨" hidden="1">{"'Sheet1'!$L$16"}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5" i="24" l="1"/>
  <c r="I39" i="26"/>
  <c r="G39" i="26"/>
  <c r="F39" i="26"/>
  <c r="E39" i="26"/>
  <c r="C39" i="26"/>
  <c r="B39" i="26"/>
  <c r="I29" i="25"/>
  <c r="G29" i="25"/>
  <c r="F29" i="25"/>
  <c r="D29" i="25"/>
  <c r="C29" i="25"/>
  <c r="B29" i="25"/>
  <c r="A29" i="25"/>
  <c r="M32" i="24"/>
  <c r="K32" i="24"/>
  <c r="H29" i="25" s="1"/>
  <c r="J32" i="24"/>
  <c r="H39" i="26" s="1"/>
  <c r="D23" i="24"/>
  <c r="J29" i="25" l="1"/>
  <c r="J39" i="26"/>
  <c r="C21" i="25"/>
  <c r="B41" i="26"/>
  <c r="C41" i="26"/>
  <c r="E41" i="26"/>
  <c r="F41" i="26"/>
  <c r="G41" i="26"/>
  <c r="I41" i="26"/>
  <c r="A31" i="25"/>
  <c r="B31" i="25"/>
  <c r="C31" i="25"/>
  <c r="D31" i="25"/>
  <c r="F31" i="25"/>
  <c r="G31" i="25"/>
  <c r="I31" i="25"/>
  <c r="J34" i="24"/>
  <c r="H41" i="26" s="1"/>
  <c r="K34" i="24"/>
  <c r="H31" i="25" s="1"/>
  <c r="M34" i="24"/>
  <c r="B38" i="26"/>
  <c r="C38" i="26"/>
  <c r="E38" i="26"/>
  <c r="F38" i="26"/>
  <c r="G38" i="26"/>
  <c r="I38" i="26"/>
  <c r="B40" i="26"/>
  <c r="C40" i="26"/>
  <c r="E40" i="26"/>
  <c r="F40" i="26"/>
  <c r="G40" i="26"/>
  <c r="I40" i="26"/>
  <c r="A28" i="25"/>
  <c r="B28" i="25"/>
  <c r="C28" i="25"/>
  <c r="D28" i="25"/>
  <c r="F28" i="25"/>
  <c r="G28" i="25"/>
  <c r="I28" i="25"/>
  <c r="A30" i="25"/>
  <c r="B30" i="25"/>
  <c r="C30" i="25"/>
  <c r="D30" i="25"/>
  <c r="F30" i="25"/>
  <c r="G30" i="25"/>
  <c r="I30" i="25"/>
  <c r="J31" i="24"/>
  <c r="H38" i="26" s="1"/>
  <c r="K31" i="24"/>
  <c r="H28" i="25" s="1"/>
  <c r="M31" i="24"/>
  <c r="J33" i="24"/>
  <c r="H40" i="26" s="1"/>
  <c r="K33" i="24"/>
  <c r="H30" i="25" s="1"/>
  <c r="M33" i="24"/>
  <c r="J28" i="24"/>
  <c r="J29" i="24"/>
  <c r="J30" i="24"/>
  <c r="H37" i="26" s="1"/>
  <c r="B37" i="26"/>
  <c r="C37" i="26"/>
  <c r="E37" i="26"/>
  <c r="F37" i="26"/>
  <c r="G37" i="26"/>
  <c r="I37" i="26"/>
  <c r="A27" i="25"/>
  <c r="B27" i="25"/>
  <c r="C27" i="25"/>
  <c r="D27" i="25"/>
  <c r="F27" i="25"/>
  <c r="G27" i="25"/>
  <c r="I27" i="25"/>
  <c r="K30" i="24"/>
  <c r="H27" i="25" s="1"/>
  <c r="M30" i="24"/>
  <c r="J28" i="25" l="1"/>
  <c r="J41" i="26"/>
  <c r="J31" i="25"/>
  <c r="J40" i="26"/>
  <c r="J38" i="26"/>
  <c r="J30" i="25"/>
  <c r="J37" i="26"/>
  <c r="J27" i="25"/>
  <c r="I36" i="26"/>
  <c r="G36" i="26"/>
  <c r="F36" i="26"/>
  <c r="E36" i="26"/>
  <c r="C36" i="26"/>
  <c r="B36" i="26"/>
  <c r="I26" i="25"/>
  <c r="G26" i="25"/>
  <c r="F26" i="25"/>
  <c r="D26" i="25"/>
  <c r="C26" i="25"/>
  <c r="B26" i="25"/>
  <c r="A26" i="25"/>
  <c r="F35" i="24"/>
  <c r="J26" i="25" l="1"/>
  <c r="J36" i="26"/>
  <c r="M29" i="24"/>
  <c r="K29" i="24"/>
  <c r="H26" i="25" s="1"/>
  <c r="H36" i="26"/>
  <c r="I35" i="26" l="1"/>
  <c r="G35" i="26"/>
  <c r="F35" i="26"/>
  <c r="E35" i="26"/>
  <c r="C35" i="26"/>
  <c r="B35" i="26"/>
  <c r="I25" i="25"/>
  <c r="G25" i="25"/>
  <c r="F25" i="25"/>
  <c r="D25" i="25"/>
  <c r="C25" i="25"/>
  <c r="B25" i="25"/>
  <c r="A25" i="25"/>
  <c r="J35" i="26" l="1"/>
  <c r="J25" i="25"/>
  <c r="M28" i="24"/>
  <c r="K28" i="24"/>
  <c r="H25" i="25" s="1"/>
  <c r="H35" i="26"/>
  <c r="I24" i="25" l="1"/>
  <c r="G24" i="25"/>
  <c r="F24" i="25"/>
  <c r="D24" i="25"/>
  <c r="C24" i="25"/>
  <c r="B24" i="25"/>
  <c r="A24" i="25"/>
  <c r="H35" i="24"/>
  <c r="G35" i="24"/>
  <c r="I34" i="26"/>
  <c r="G34" i="26"/>
  <c r="F34" i="26"/>
  <c r="E34" i="26"/>
  <c r="C34" i="26"/>
  <c r="B34" i="26"/>
  <c r="J24" i="25" l="1"/>
  <c r="J34" i="26"/>
  <c r="M27" i="24"/>
  <c r="K27" i="24"/>
  <c r="J27" i="24"/>
  <c r="H34" i="26" l="1"/>
  <c r="H24" i="25"/>
  <c r="B10" i="26"/>
  <c r="B9" i="26"/>
  <c r="B16" i="26"/>
  <c r="B17" i="26"/>
  <c r="B15" i="26"/>
  <c r="F11" i="25" l="1"/>
  <c r="E11" i="25"/>
  <c r="F42" i="26" l="1"/>
  <c r="E42" i="26"/>
  <c r="I32" i="25"/>
  <c r="K35" i="24"/>
  <c r="J35" i="24"/>
  <c r="G32" i="25" l="1"/>
  <c r="F32" i="25"/>
  <c r="H32" i="25"/>
  <c r="H42" i="26"/>
  <c r="F46" i="26"/>
  <c r="G46" i="26"/>
  <c r="J32" i="25" l="1"/>
  <c r="G23" i="25"/>
  <c r="J3" i="26" l="1"/>
  <c r="C6" i="26" l="1"/>
  <c r="G22" i="25" l="1"/>
  <c r="A14" i="25"/>
  <c r="A15" i="25"/>
  <c r="A16" i="25"/>
  <c r="A17" i="25"/>
  <c r="A13" i="25"/>
  <c r="E15" i="25"/>
  <c r="E16" i="25"/>
  <c r="E17" i="25"/>
  <c r="E18" i="25"/>
  <c r="E19" i="25"/>
  <c r="E14" i="25"/>
  <c r="E13" i="25"/>
  <c r="C19" i="25" l="1"/>
  <c r="C20" i="25"/>
  <c r="C18" i="25"/>
  <c r="F10" i="25"/>
  <c r="F9" i="25"/>
  <c r="E10" i="25"/>
  <c r="E9" i="25"/>
  <c r="E3" i="26" l="1"/>
  <c r="D55" i="26"/>
  <c r="C33" i="26"/>
  <c r="F23" i="25" l="1"/>
  <c r="A11" i="25" l="1"/>
  <c r="A12" i="25"/>
  <c r="A10" i="25"/>
  <c r="D23" i="25" l="1"/>
  <c r="C23" i="25"/>
  <c r="B23" i="25"/>
  <c r="A19" i="25"/>
  <c r="A20" i="25"/>
  <c r="A21" i="25"/>
  <c r="A18" i="25"/>
  <c r="E7" i="25"/>
  <c r="E6" i="25"/>
  <c r="I5" i="25"/>
  <c r="E5" i="25"/>
  <c r="A5" i="25"/>
  <c r="A6" i="25"/>
  <c r="A7" i="25"/>
  <c r="A8" i="25"/>
  <c r="A4" i="25"/>
  <c r="F194" i="25" l="1"/>
  <c r="E194" i="25"/>
  <c r="I193" i="25"/>
  <c r="I194" i="25" s="1"/>
  <c r="F187" i="25"/>
  <c r="E187" i="25"/>
  <c r="I186" i="25"/>
  <c r="I187" i="25" s="1"/>
  <c r="F179" i="25"/>
  <c r="E179" i="25"/>
  <c r="I178" i="25"/>
  <c r="I177" i="25"/>
  <c r="F170" i="25"/>
  <c r="E170" i="25"/>
  <c r="I169" i="25"/>
  <c r="I168" i="25"/>
  <c r="F161" i="25"/>
  <c r="E161" i="25"/>
  <c r="I160" i="25"/>
  <c r="I159" i="25"/>
  <c r="I158" i="25"/>
  <c r="I157" i="25"/>
  <c r="F155" i="25"/>
  <c r="E155" i="25"/>
  <c r="I154" i="25"/>
  <c r="I153" i="25"/>
  <c r="I152" i="25"/>
  <c r="F144" i="25"/>
  <c r="E144" i="25"/>
  <c r="I143" i="25"/>
  <c r="I144" i="25" s="1"/>
  <c r="F141" i="25"/>
  <c r="E141" i="25"/>
  <c r="I140" i="25"/>
  <c r="I141" i="25" s="1"/>
  <c r="F132" i="25"/>
  <c r="E132" i="25"/>
  <c r="I131" i="25"/>
  <c r="I132" i="25" s="1"/>
  <c r="F128" i="25"/>
  <c r="E128" i="25"/>
  <c r="I127" i="25"/>
  <c r="I128" i="25" s="1"/>
  <c r="F120" i="25"/>
  <c r="E120" i="25"/>
  <c r="I119" i="25"/>
  <c r="I120" i="25" s="1"/>
  <c r="F111" i="25"/>
  <c r="E111" i="25"/>
  <c r="I110" i="25"/>
  <c r="I111" i="25" s="1"/>
  <c r="F103" i="25"/>
  <c r="E103" i="25"/>
  <c r="I102" i="25"/>
  <c r="I103" i="25" s="1"/>
  <c r="F96" i="25"/>
  <c r="E96" i="25"/>
  <c r="I95" i="25"/>
  <c r="I96" i="25" s="1"/>
  <c r="F89" i="25"/>
  <c r="E89" i="25"/>
  <c r="I88" i="25"/>
  <c r="I87" i="25"/>
  <c r="I89" i="25" s="1"/>
  <c r="F80" i="25"/>
  <c r="E80" i="25"/>
  <c r="I79" i="25"/>
  <c r="I80" i="25" s="1"/>
  <c r="F71" i="25"/>
  <c r="E71" i="25"/>
  <c r="I70" i="25"/>
  <c r="I69" i="25"/>
  <c r="I68" i="25"/>
  <c r="I67" i="25"/>
  <c r="F59" i="25"/>
  <c r="E59" i="25"/>
  <c r="I58" i="25"/>
  <c r="I57" i="25"/>
  <c r="I155" i="25" l="1"/>
  <c r="I161" i="25"/>
  <c r="I179" i="25"/>
  <c r="I59" i="25"/>
  <c r="I71" i="25"/>
  <c r="I170" i="25"/>
  <c r="C50" i="12" l="1"/>
  <c r="G59" i="12"/>
  <c r="H59" i="12" s="1"/>
  <c r="G58" i="12"/>
  <c r="H58" i="12" s="1"/>
  <c r="G48" i="12"/>
  <c r="H48" i="12" s="1"/>
  <c r="G40" i="12"/>
  <c r="H40" i="12" s="1"/>
  <c r="G39" i="12"/>
  <c r="H39" i="12" s="1"/>
  <c r="G38" i="12"/>
  <c r="H38" i="12" s="1"/>
  <c r="F59" i="12"/>
  <c r="F58" i="12"/>
  <c r="F48" i="12"/>
  <c r="F40" i="12"/>
  <c r="F39" i="12"/>
  <c r="F38" i="12"/>
  <c r="E59" i="12"/>
  <c r="E58" i="12"/>
  <c r="E48" i="12"/>
  <c r="E40" i="12"/>
  <c r="E39" i="12"/>
  <c r="E38" i="12"/>
  <c r="C59" i="12"/>
  <c r="C58" i="12"/>
  <c r="C56" i="12"/>
  <c r="C51" i="12"/>
  <c r="C48" i="12"/>
  <c r="C46" i="12"/>
  <c r="C36" i="12"/>
  <c r="C40" i="12"/>
  <c r="C39" i="12"/>
  <c r="C43" i="12"/>
  <c r="C42" i="12"/>
  <c r="I52" i="1"/>
  <c r="I51" i="1"/>
  <c r="I44" i="1"/>
  <c r="I37" i="1"/>
  <c r="I36" i="1"/>
  <c r="I35" i="1"/>
  <c r="F56" i="1"/>
  <c r="E56" i="1"/>
  <c r="D56" i="1"/>
  <c r="F12" i="12"/>
  <c r="A24" i="12"/>
  <c r="C38" i="12"/>
  <c r="H5" i="12"/>
  <c r="E5" i="12"/>
  <c r="E21" i="12" s="1"/>
  <c r="E19" i="12" s="1"/>
  <c r="E18" i="12" s="1"/>
  <c r="F13" i="12"/>
  <c r="F10" i="12"/>
  <c r="C32" i="12"/>
  <c r="C31" i="12"/>
  <c r="C30" i="12"/>
  <c r="G27" i="12"/>
  <c r="C24" i="12"/>
  <c r="A22" i="12"/>
  <c r="G47" i="5"/>
  <c r="F47" i="5"/>
  <c r="E47" i="5"/>
  <c r="H46" i="5"/>
  <c r="H47" i="5" s="1"/>
  <c r="G36" i="5"/>
  <c r="F36" i="5"/>
  <c r="E36" i="5"/>
  <c r="E49" i="5" s="1"/>
  <c r="H35" i="5"/>
  <c r="H36" i="5" s="1"/>
  <c r="H49" i="5" s="1"/>
  <c r="F48" i="4"/>
  <c r="E48" i="4"/>
  <c r="I48" i="4"/>
  <c r="G47" i="15"/>
  <c r="F47" i="15"/>
  <c r="E47" i="15"/>
  <c r="H46" i="15"/>
  <c r="H47" i="15" s="1"/>
  <c r="G36" i="15"/>
  <c r="F36" i="15"/>
  <c r="E36" i="15"/>
  <c r="H35" i="15"/>
  <c r="H36" i="15" s="1"/>
  <c r="H50" i="15" s="1"/>
  <c r="F48" i="7"/>
  <c r="E48" i="7"/>
  <c r="I43" i="7"/>
  <c r="I35" i="7"/>
  <c r="F49" i="5"/>
  <c r="H44" i="16"/>
  <c r="H46" i="16" s="1"/>
  <c r="F44" i="16"/>
  <c r="F46" i="16" s="1"/>
  <c r="E44" i="16"/>
  <c r="E46" i="16" s="1"/>
  <c r="I43" i="16"/>
  <c r="G43" i="16"/>
  <c r="I42" i="16"/>
  <c r="G42" i="16"/>
  <c r="I41" i="16"/>
  <c r="G41" i="16"/>
  <c r="I40" i="16"/>
  <c r="G40" i="16"/>
  <c r="I39" i="16"/>
  <c r="G39" i="16"/>
  <c r="I38" i="16"/>
  <c r="G38" i="16"/>
  <c r="I37" i="16"/>
  <c r="G37" i="16"/>
  <c r="E43" i="13"/>
  <c r="E45" i="13" s="1"/>
  <c r="H43" i="13"/>
  <c r="H45" i="13" s="1"/>
  <c r="G42" i="13"/>
  <c r="I42" i="13"/>
  <c r="F43" i="13"/>
  <c r="F45" i="13" s="1"/>
  <c r="J35" i="10"/>
  <c r="J39" i="10" s="1"/>
  <c r="I41" i="13"/>
  <c r="G41" i="13"/>
  <c r="I40" i="13"/>
  <c r="G40" i="13"/>
  <c r="I39" i="13"/>
  <c r="G39" i="13"/>
  <c r="I38" i="13"/>
  <c r="G38" i="13"/>
  <c r="I37" i="13"/>
  <c r="G37" i="13"/>
  <c r="I36" i="13"/>
  <c r="G36" i="13"/>
  <c r="G39" i="10"/>
  <c r="E39" i="10"/>
  <c r="J35" i="9"/>
  <c r="J38" i="9" s="1"/>
  <c r="G47" i="18"/>
  <c r="H48" i="17"/>
  <c r="F48" i="17"/>
  <c r="E48" i="17"/>
  <c r="I47" i="17"/>
  <c r="I48" i="17" s="1"/>
  <c r="G47" i="17"/>
  <c r="G48" i="17" s="1"/>
  <c r="H37" i="17"/>
  <c r="F37" i="17"/>
  <c r="E37" i="17"/>
  <c r="I36" i="17"/>
  <c r="I37" i="17" s="1"/>
  <c r="G36" i="17"/>
  <c r="G37" i="17" s="1"/>
  <c r="F47" i="18"/>
  <c r="E47" i="18"/>
  <c r="J47" i="18"/>
  <c r="E24" i="17"/>
  <c r="G38" i="9"/>
  <c r="F38" i="9"/>
  <c r="E38" i="9"/>
  <c r="F39" i="10"/>
  <c r="E24" i="13"/>
  <c r="E24" i="12"/>
  <c r="E24" i="5"/>
  <c r="K1036" i="3"/>
  <c r="I1036" i="3"/>
  <c r="K1035" i="3"/>
  <c r="I1035" i="3"/>
  <c r="K1034" i="3"/>
  <c r="I1034" i="3"/>
  <c r="K1033" i="3"/>
  <c r="I1033" i="3"/>
  <c r="K1032" i="3"/>
  <c r="I1032" i="3"/>
  <c r="K1031" i="3"/>
  <c r="I1031" i="3"/>
  <c r="K1030" i="3"/>
  <c r="I1030" i="3"/>
  <c r="K1029" i="3"/>
  <c r="I1029" i="3"/>
  <c r="K1028" i="3"/>
  <c r="I1028" i="3"/>
  <c r="K1027" i="3"/>
  <c r="I1027" i="3"/>
  <c r="K1026" i="3"/>
  <c r="I1026" i="3"/>
  <c r="K1025" i="3"/>
  <c r="I1025" i="3"/>
  <c r="K1024" i="3"/>
  <c r="I1024" i="3"/>
  <c r="K1023" i="3"/>
  <c r="I1023" i="3"/>
  <c r="K1022" i="3"/>
  <c r="I1022" i="3"/>
  <c r="K1021" i="3"/>
  <c r="I1021" i="3"/>
  <c r="K1020" i="3"/>
  <c r="I1020" i="3"/>
  <c r="K1019" i="3"/>
  <c r="I1019" i="3"/>
  <c r="K1018" i="3"/>
  <c r="I1018" i="3"/>
  <c r="K1017" i="3"/>
  <c r="I1017" i="3"/>
  <c r="K1016" i="3"/>
  <c r="I1016" i="3"/>
  <c r="K1015" i="3"/>
  <c r="I1015" i="3"/>
  <c r="K1014" i="3"/>
  <c r="I1014" i="3"/>
  <c r="K1013" i="3"/>
  <c r="I1013" i="3"/>
  <c r="K1012" i="3"/>
  <c r="I1012" i="3"/>
  <c r="K1011" i="3"/>
  <c r="I1011" i="3"/>
  <c r="K1010" i="3"/>
  <c r="I1010" i="3"/>
  <c r="K1009" i="3"/>
  <c r="I1009" i="3"/>
  <c r="K1008" i="3"/>
  <c r="I1008" i="3"/>
  <c r="K1007" i="3"/>
  <c r="I1007" i="3"/>
  <c r="K1006" i="3"/>
  <c r="I1006" i="3"/>
  <c r="K1005" i="3"/>
  <c r="I1005" i="3"/>
  <c r="K1004" i="3"/>
  <c r="I1004" i="3"/>
  <c r="K1003" i="3"/>
  <c r="I1003" i="3"/>
  <c r="K1002" i="3"/>
  <c r="I1002" i="3"/>
  <c r="K1001" i="3"/>
  <c r="I1001" i="3"/>
  <c r="K1000" i="3"/>
  <c r="I1000" i="3"/>
  <c r="K999" i="3"/>
  <c r="I999" i="3"/>
  <c r="K998" i="3"/>
  <c r="I998" i="3"/>
  <c r="K997" i="3"/>
  <c r="I997" i="3"/>
  <c r="K996" i="3"/>
  <c r="I996" i="3"/>
  <c r="K995" i="3"/>
  <c r="I995" i="3"/>
  <c r="K994" i="3"/>
  <c r="I994" i="3"/>
  <c r="K993" i="3"/>
  <c r="I993" i="3"/>
  <c r="K992" i="3"/>
  <c r="I992" i="3"/>
  <c r="K991" i="3"/>
  <c r="I991" i="3"/>
  <c r="K990" i="3"/>
  <c r="I990" i="3"/>
  <c r="K989" i="3"/>
  <c r="I989" i="3"/>
  <c r="K988" i="3"/>
  <c r="I988" i="3"/>
  <c r="K987" i="3"/>
  <c r="I987" i="3"/>
  <c r="K986" i="3"/>
  <c r="I986" i="3"/>
  <c r="K985" i="3"/>
  <c r="I985" i="3"/>
  <c r="K984" i="3"/>
  <c r="I984" i="3"/>
  <c r="K983" i="3"/>
  <c r="I983" i="3"/>
  <c r="K982" i="3"/>
  <c r="I982" i="3"/>
  <c r="K981" i="3"/>
  <c r="I981" i="3"/>
  <c r="K980" i="3"/>
  <c r="I980" i="3"/>
  <c r="K979" i="3"/>
  <c r="I979" i="3"/>
  <c r="K978" i="3"/>
  <c r="I978" i="3"/>
  <c r="K977" i="3"/>
  <c r="I977" i="3"/>
  <c r="K976" i="3"/>
  <c r="I976" i="3"/>
  <c r="K975" i="3"/>
  <c r="I975" i="3"/>
  <c r="K974" i="3"/>
  <c r="I974" i="3"/>
  <c r="K973" i="3"/>
  <c r="I973" i="3"/>
  <c r="K972" i="3"/>
  <c r="I972" i="3"/>
  <c r="K971" i="3"/>
  <c r="I971" i="3"/>
  <c r="K970" i="3"/>
  <c r="I970" i="3"/>
  <c r="K969" i="3"/>
  <c r="I969" i="3"/>
  <c r="K968" i="3"/>
  <c r="I968" i="3"/>
  <c r="K967" i="3"/>
  <c r="I967" i="3"/>
  <c r="K966" i="3"/>
  <c r="I966" i="3"/>
  <c r="K965" i="3"/>
  <c r="I965" i="3"/>
  <c r="K964" i="3"/>
  <c r="I964" i="3"/>
  <c r="K963" i="3"/>
  <c r="I963" i="3"/>
  <c r="K962" i="3"/>
  <c r="I962" i="3"/>
  <c r="K961" i="3"/>
  <c r="I961" i="3"/>
  <c r="K960" i="3"/>
  <c r="I960" i="3"/>
  <c r="K959" i="3"/>
  <c r="I959" i="3"/>
  <c r="K958" i="3"/>
  <c r="I958" i="3"/>
  <c r="K957" i="3"/>
  <c r="I957" i="3"/>
  <c r="K956" i="3"/>
  <c r="I956" i="3"/>
  <c r="K955" i="3"/>
  <c r="I955" i="3"/>
  <c r="K954" i="3"/>
  <c r="I954" i="3"/>
  <c r="K953" i="3"/>
  <c r="I953" i="3"/>
  <c r="K952" i="3"/>
  <c r="I952" i="3"/>
  <c r="K951" i="3"/>
  <c r="I951" i="3"/>
  <c r="K950" i="3"/>
  <c r="I950" i="3"/>
  <c r="K949" i="3"/>
  <c r="I949" i="3"/>
  <c r="K948" i="3"/>
  <c r="I948" i="3"/>
  <c r="K947" i="3"/>
  <c r="I947" i="3"/>
  <c r="K946" i="3"/>
  <c r="I946" i="3"/>
  <c r="K945" i="3"/>
  <c r="I945" i="3"/>
  <c r="K944" i="3"/>
  <c r="I944" i="3"/>
  <c r="K943" i="3"/>
  <c r="I943" i="3"/>
  <c r="K942" i="3"/>
  <c r="I942" i="3"/>
  <c r="K941" i="3"/>
  <c r="I941" i="3"/>
  <c r="K940" i="3"/>
  <c r="I940" i="3"/>
  <c r="K939" i="3"/>
  <c r="I939" i="3"/>
  <c r="K938" i="3"/>
  <c r="I938" i="3"/>
  <c r="K937" i="3"/>
  <c r="I937" i="3"/>
  <c r="K936" i="3"/>
  <c r="I936" i="3"/>
  <c r="K935" i="3"/>
  <c r="I935" i="3"/>
  <c r="K934" i="3"/>
  <c r="I934" i="3"/>
  <c r="K933" i="3"/>
  <c r="I933" i="3"/>
  <c r="K932" i="3"/>
  <c r="I932" i="3"/>
  <c r="K931" i="3"/>
  <c r="I931" i="3"/>
  <c r="K930" i="3"/>
  <c r="I930" i="3"/>
  <c r="K929" i="3"/>
  <c r="I929" i="3"/>
  <c r="K928" i="3"/>
  <c r="I928" i="3"/>
  <c r="K927" i="3"/>
  <c r="I927" i="3"/>
  <c r="K926" i="3"/>
  <c r="I926" i="3"/>
  <c r="K925" i="3"/>
  <c r="I925" i="3"/>
  <c r="K924" i="3"/>
  <c r="I924" i="3"/>
  <c r="K923" i="3"/>
  <c r="I923" i="3"/>
  <c r="K922" i="3"/>
  <c r="I922" i="3"/>
  <c r="K921" i="3"/>
  <c r="I921" i="3"/>
  <c r="K920" i="3"/>
  <c r="I920" i="3"/>
  <c r="K919" i="3"/>
  <c r="I919" i="3"/>
  <c r="K918" i="3"/>
  <c r="I918" i="3"/>
  <c r="K917" i="3"/>
  <c r="I917" i="3"/>
  <c r="K916" i="3"/>
  <c r="I916" i="3"/>
  <c r="K915" i="3"/>
  <c r="I915" i="3"/>
  <c r="K914" i="3"/>
  <c r="I914" i="3"/>
  <c r="K913" i="3"/>
  <c r="I913" i="3"/>
  <c r="K912" i="3"/>
  <c r="I912" i="3"/>
  <c r="K911" i="3"/>
  <c r="I911" i="3"/>
  <c r="K910" i="3"/>
  <c r="I910" i="3"/>
  <c r="K909" i="3"/>
  <c r="I909" i="3"/>
  <c r="K908" i="3"/>
  <c r="I908" i="3"/>
  <c r="K907" i="3"/>
  <c r="I907" i="3"/>
  <c r="K906" i="3"/>
  <c r="I906" i="3"/>
  <c r="K905" i="3"/>
  <c r="I905" i="3"/>
  <c r="K904" i="3"/>
  <c r="I904" i="3"/>
  <c r="K903" i="3"/>
  <c r="I903" i="3"/>
  <c r="K902" i="3"/>
  <c r="I902" i="3"/>
  <c r="K901" i="3"/>
  <c r="I901" i="3"/>
  <c r="K900" i="3"/>
  <c r="I900" i="3"/>
  <c r="K899" i="3"/>
  <c r="I899" i="3"/>
  <c r="K898" i="3"/>
  <c r="I898" i="3"/>
  <c r="K897" i="3"/>
  <c r="I897" i="3"/>
  <c r="K896" i="3"/>
  <c r="I896" i="3"/>
  <c r="K895" i="3"/>
  <c r="I895" i="3"/>
  <c r="K894" i="3"/>
  <c r="I894" i="3"/>
  <c r="K893" i="3"/>
  <c r="I893" i="3"/>
  <c r="K892" i="3"/>
  <c r="I892" i="3"/>
  <c r="K891" i="3"/>
  <c r="I891" i="3"/>
  <c r="K890" i="3"/>
  <c r="I890" i="3"/>
  <c r="K889" i="3"/>
  <c r="I889" i="3"/>
  <c r="K888" i="3"/>
  <c r="I888" i="3"/>
  <c r="K887" i="3"/>
  <c r="I887" i="3"/>
  <c r="K886" i="3"/>
  <c r="I886" i="3"/>
  <c r="K885" i="3"/>
  <c r="I885" i="3"/>
  <c r="K884" i="3"/>
  <c r="I884" i="3"/>
  <c r="K883" i="3"/>
  <c r="I883" i="3"/>
  <c r="K882" i="3"/>
  <c r="I882" i="3"/>
  <c r="K881" i="3"/>
  <c r="I881" i="3"/>
  <c r="K880" i="3"/>
  <c r="I880" i="3"/>
  <c r="K879" i="3"/>
  <c r="I879" i="3"/>
  <c r="K878" i="3"/>
  <c r="I878" i="3"/>
  <c r="K877" i="3"/>
  <c r="I877" i="3"/>
  <c r="K876" i="3"/>
  <c r="I876" i="3"/>
  <c r="K875" i="3"/>
  <c r="I875" i="3"/>
  <c r="K874" i="3"/>
  <c r="I874" i="3"/>
  <c r="K873" i="3"/>
  <c r="I873" i="3"/>
  <c r="K872" i="3"/>
  <c r="I872" i="3"/>
  <c r="K871" i="3"/>
  <c r="I871" i="3"/>
  <c r="K870" i="3"/>
  <c r="I870" i="3"/>
  <c r="K869" i="3"/>
  <c r="I869" i="3"/>
  <c r="K868" i="3"/>
  <c r="I868" i="3"/>
  <c r="K867" i="3"/>
  <c r="I867" i="3"/>
  <c r="K866" i="3"/>
  <c r="I866" i="3"/>
  <c r="K865" i="3"/>
  <c r="I865" i="3"/>
  <c r="K864" i="3"/>
  <c r="I864" i="3"/>
  <c r="K863" i="3"/>
  <c r="I863" i="3"/>
  <c r="K862" i="3"/>
  <c r="I862" i="3"/>
  <c r="K861" i="3"/>
  <c r="I861" i="3"/>
  <c r="K860" i="3"/>
  <c r="I860" i="3"/>
  <c r="K859" i="3"/>
  <c r="I859" i="3"/>
  <c r="K858" i="3"/>
  <c r="I858" i="3"/>
  <c r="K857" i="3"/>
  <c r="I857" i="3"/>
  <c r="K856" i="3"/>
  <c r="I856" i="3"/>
  <c r="K855" i="3"/>
  <c r="I855" i="3"/>
  <c r="K854" i="3"/>
  <c r="I854" i="3"/>
  <c r="K853" i="3"/>
  <c r="I853" i="3"/>
  <c r="K852" i="3"/>
  <c r="I852" i="3"/>
  <c r="K851" i="3"/>
  <c r="I851" i="3"/>
  <c r="K850" i="3"/>
  <c r="I850" i="3"/>
  <c r="K849" i="3"/>
  <c r="I849" i="3"/>
  <c r="K848" i="3"/>
  <c r="I848" i="3"/>
  <c r="K847" i="3"/>
  <c r="I847" i="3"/>
  <c r="K846" i="3"/>
  <c r="I846" i="3"/>
  <c r="K845" i="3"/>
  <c r="I845" i="3"/>
  <c r="K844" i="3"/>
  <c r="I844" i="3"/>
  <c r="K843" i="3"/>
  <c r="I843" i="3"/>
  <c r="K842" i="3"/>
  <c r="I842" i="3"/>
  <c r="K841" i="3"/>
  <c r="I841" i="3"/>
  <c r="K840" i="3"/>
  <c r="I840" i="3"/>
  <c r="K839" i="3"/>
  <c r="I839" i="3"/>
  <c r="K838" i="3"/>
  <c r="I838" i="3"/>
  <c r="K837" i="3"/>
  <c r="I837" i="3"/>
  <c r="K836" i="3"/>
  <c r="I836" i="3"/>
  <c r="K835" i="3"/>
  <c r="I835" i="3"/>
  <c r="K834" i="3"/>
  <c r="I834" i="3"/>
  <c r="K833" i="3"/>
  <c r="I833" i="3"/>
  <c r="K832" i="3"/>
  <c r="I832" i="3"/>
  <c r="K831" i="3"/>
  <c r="I831" i="3"/>
  <c r="K830" i="3"/>
  <c r="I830" i="3"/>
  <c r="K829" i="3"/>
  <c r="I829" i="3"/>
  <c r="K828" i="3"/>
  <c r="I828" i="3"/>
  <c r="K827" i="3"/>
  <c r="I827" i="3"/>
  <c r="K826" i="3"/>
  <c r="I826" i="3"/>
  <c r="K825" i="3"/>
  <c r="I825" i="3"/>
  <c r="K824" i="3"/>
  <c r="I824" i="3"/>
  <c r="K823" i="3"/>
  <c r="I823" i="3"/>
  <c r="K822" i="3"/>
  <c r="I822" i="3"/>
  <c r="K821" i="3"/>
  <c r="I821" i="3"/>
  <c r="K820" i="3"/>
  <c r="I820" i="3"/>
  <c r="K819" i="3"/>
  <c r="I819" i="3"/>
  <c r="K818" i="3"/>
  <c r="I818" i="3"/>
  <c r="K817" i="3"/>
  <c r="I817" i="3"/>
  <c r="K816" i="3"/>
  <c r="I816" i="3"/>
  <c r="K815" i="3"/>
  <c r="I815" i="3"/>
  <c r="K814" i="3"/>
  <c r="I814" i="3"/>
  <c r="K813" i="3"/>
  <c r="I813" i="3"/>
  <c r="K812" i="3"/>
  <c r="I812" i="3"/>
  <c r="K811" i="3"/>
  <c r="I811" i="3"/>
  <c r="K810" i="3"/>
  <c r="I810" i="3"/>
  <c r="K809" i="3"/>
  <c r="I809" i="3"/>
  <c r="K808" i="3"/>
  <c r="I808" i="3"/>
  <c r="K807" i="3"/>
  <c r="I807" i="3"/>
  <c r="K806" i="3"/>
  <c r="I806" i="3"/>
  <c r="K805" i="3"/>
  <c r="I805" i="3"/>
  <c r="K804" i="3"/>
  <c r="I804" i="3"/>
  <c r="K803" i="3"/>
  <c r="I803" i="3"/>
  <c r="K802" i="3"/>
  <c r="I802" i="3"/>
  <c r="K801" i="3"/>
  <c r="I801" i="3"/>
  <c r="K800" i="3"/>
  <c r="I800" i="3"/>
  <c r="K799" i="3"/>
  <c r="I799" i="3"/>
  <c r="K798" i="3"/>
  <c r="I798" i="3"/>
  <c r="K797" i="3"/>
  <c r="I797" i="3"/>
  <c r="K796" i="3"/>
  <c r="I796" i="3"/>
  <c r="K795" i="3"/>
  <c r="I795" i="3"/>
  <c r="K794" i="3"/>
  <c r="I794" i="3"/>
  <c r="K793" i="3"/>
  <c r="I793" i="3"/>
  <c r="K792" i="3"/>
  <c r="I792" i="3"/>
  <c r="K791" i="3"/>
  <c r="I791" i="3"/>
  <c r="K790" i="3"/>
  <c r="I790" i="3"/>
  <c r="K789" i="3"/>
  <c r="I789" i="3"/>
  <c r="K788" i="3"/>
  <c r="I788" i="3"/>
  <c r="K787" i="3"/>
  <c r="I787" i="3"/>
  <c r="K786" i="3"/>
  <c r="I786" i="3"/>
  <c r="K785" i="3"/>
  <c r="I785" i="3"/>
  <c r="K784" i="3"/>
  <c r="I784" i="3"/>
  <c r="K783" i="3"/>
  <c r="I783" i="3"/>
  <c r="K782" i="3"/>
  <c r="I782" i="3"/>
  <c r="K781" i="3"/>
  <c r="I781" i="3"/>
  <c r="K780" i="3"/>
  <c r="I780" i="3"/>
  <c r="K779" i="3"/>
  <c r="I779" i="3"/>
  <c r="K778" i="3"/>
  <c r="I778" i="3"/>
  <c r="K777" i="3"/>
  <c r="I777" i="3"/>
  <c r="K776" i="3"/>
  <c r="I776" i="3"/>
  <c r="K775" i="3"/>
  <c r="I775" i="3"/>
  <c r="K774" i="3"/>
  <c r="I774" i="3"/>
  <c r="K773" i="3"/>
  <c r="I773" i="3"/>
  <c r="K772" i="3"/>
  <c r="I772" i="3"/>
  <c r="K771" i="3"/>
  <c r="I771" i="3"/>
  <c r="K770" i="3"/>
  <c r="I770" i="3"/>
  <c r="K769" i="3"/>
  <c r="I769" i="3"/>
  <c r="K768" i="3"/>
  <c r="I768" i="3"/>
  <c r="K767" i="3"/>
  <c r="I767" i="3"/>
  <c r="K766" i="3"/>
  <c r="I766" i="3"/>
  <c r="K765" i="3"/>
  <c r="I765" i="3"/>
  <c r="K764" i="3"/>
  <c r="I764" i="3"/>
  <c r="K763" i="3"/>
  <c r="I763" i="3"/>
  <c r="K762" i="3"/>
  <c r="I762" i="3"/>
  <c r="K761" i="3"/>
  <c r="I761" i="3"/>
  <c r="K760" i="3"/>
  <c r="I760" i="3"/>
  <c r="K759" i="3"/>
  <c r="I759" i="3"/>
  <c r="K758" i="3"/>
  <c r="I758" i="3"/>
  <c r="K757" i="3"/>
  <c r="I757" i="3"/>
  <c r="K756" i="3"/>
  <c r="I756" i="3"/>
  <c r="K755" i="3"/>
  <c r="I755" i="3"/>
  <c r="K754" i="3"/>
  <c r="I754" i="3"/>
  <c r="K753" i="3"/>
  <c r="I753" i="3"/>
  <c r="K752" i="3"/>
  <c r="I752" i="3"/>
  <c r="K751" i="3"/>
  <c r="I751" i="3"/>
  <c r="K750" i="3"/>
  <c r="I750" i="3"/>
  <c r="K749" i="3"/>
  <c r="I749" i="3"/>
  <c r="K748" i="3"/>
  <c r="I748" i="3"/>
  <c r="K747" i="3"/>
  <c r="I747" i="3"/>
  <c r="K746" i="3"/>
  <c r="I746" i="3"/>
  <c r="K745" i="3"/>
  <c r="I745" i="3"/>
  <c r="K744" i="3"/>
  <c r="I744" i="3"/>
  <c r="K743" i="3"/>
  <c r="I743" i="3"/>
  <c r="K742" i="3"/>
  <c r="I742" i="3"/>
  <c r="K741" i="3"/>
  <c r="I741" i="3"/>
  <c r="K740" i="3"/>
  <c r="I740" i="3"/>
  <c r="K739" i="3"/>
  <c r="I739" i="3"/>
  <c r="K738" i="3"/>
  <c r="I738" i="3"/>
  <c r="K737" i="3"/>
  <c r="I737" i="3"/>
  <c r="K736" i="3"/>
  <c r="I736" i="3"/>
  <c r="K735" i="3"/>
  <c r="I735" i="3"/>
  <c r="K734" i="3"/>
  <c r="I734" i="3"/>
  <c r="K733" i="3"/>
  <c r="I733" i="3"/>
  <c r="K732" i="3"/>
  <c r="I732" i="3"/>
  <c r="K731" i="3"/>
  <c r="I731" i="3"/>
  <c r="K730" i="3"/>
  <c r="I730" i="3"/>
  <c r="K729" i="3"/>
  <c r="I729" i="3"/>
  <c r="K728" i="3"/>
  <c r="I728" i="3"/>
  <c r="K727" i="3"/>
  <c r="I727" i="3"/>
  <c r="K726" i="3"/>
  <c r="I726" i="3"/>
  <c r="K725" i="3"/>
  <c r="I725" i="3"/>
  <c r="K724" i="3"/>
  <c r="I724" i="3"/>
  <c r="K723" i="3"/>
  <c r="I723" i="3"/>
  <c r="K722" i="3"/>
  <c r="I722" i="3"/>
  <c r="K721" i="3"/>
  <c r="I721" i="3"/>
  <c r="K720" i="3"/>
  <c r="I720" i="3"/>
  <c r="K719" i="3"/>
  <c r="I719" i="3"/>
  <c r="K718" i="3"/>
  <c r="I718" i="3"/>
  <c r="K717" i="3"/>
  <c r="I717" i="3"/>
  <c r="K716" i="3"/>
  <c r="I716" i="3"/>
  <c r="K715" i="3"/>
  <c r="I715" i="3"/>
  <c r="K714" i="3"/>
  <c r="I714" i="3"/>
  <c r="K713" i="3"/>
  <c r="I713" i="3"/>
  <c r="K712" i="3"/>
  <c r="I712" i="3"/>
  <c r="K711" i="3"/>
  <c r="I711" i="3"/>
  <c r="K710" i="3"/>
  <c r="I710" i="3"/>
  <c r="K709" i="3"/>
  <c r="I709" i="3"/>
  <c r="K708" i="3"/>
  <c r="I708" i="3"/>
  <c r="K707" i="3"/>
  <c r="I707" i="3"/>
  <c r="K706" i="3"/>
  <c r="I706" i="3"/>
  <c r="K705" i="3"/>
  <c r="I705" i="3"/>
  <c r="K704" i="3"/>
  <c r="I704" i="3"/>
  <c r="K703" i="3"/>
  <c r="I703" i="3"/>
  <c r="K702" i="3"/>
  <c r="I702" i="3"/>
  <c r="K701" i="3"/>
  <c r="I701" i="3"/>
  <c r="K700" i="3"/>
  <c r="I700" i="3"/>
  <c r="K699" i="3"/>
  <c r="I699" i="3"/>
  <c r="K698" i="3"/>
  <c r="I698" i="3"/>
  <c r="K697" i="3"/>
  <c r="I697" i="3"/>
  <c r="K696" i="3"/>
  <c r="I696" i="3"/>
  <c r="K695" i="3"/>
  <c r="I695" i="3"/>
  <c r="K694" i="3"/>
  <c r="I694" i="3"/>
  <c r="K693" i="3"/>
  <c r="I693" i="3"/>
  <c r="K692" i="3"/>
  <c r="I692" i="3"/>
  <c r="K691" i="3"/>
  <c r="I691" i="3"/>
  <c r="K690" i="3"/>
  <c r="I690" i="3"/>
  <c r="K689" i="3"/>
  <c r="I689" i="3"/>
  <c r="K688" i="3"/>
  <c r="I688" i="3"/>
  <c r="K687" i="3"/>
  <c r="I687" i="3"/>
  <c r="K686" i="3"/>
  <c r="I686" i="3"/>
  <c r="K685" i="3"/>
  <c r="I685" i="3"/>
  <c r="K684" i="3"/>
  <c r="I684" i="3"/>
  <c r="K683" i="3"/>
  <c r="I683" i="3"/>
  <c r="K682" i="3"/>
  <c r="I682" i="3"/>
  <c r="K681" i="3"/>
  <c r="I681" i="3"/>
  <c r="K680" i="3"/>
  <c r="I680" i="3"/>
  <c r="K679" i="3"/>
  <c r="I679" i="3"/>
  <c r="K678" i="3"/>
  <c r="I678" i="3"/>
  <c r="K677" i="3"/>
  <c r="I677" i="3"/>
  <c r="K676" i="3"/>
  <c r="I676" i="3"/>
  <c r="K675" i="3"/>
  <c r="I675" i="3"/>
  <c r="K674" i="3"/>
  <c r="I674" i="3"/>
  <c r="K673" i="3"/>
  <c r="I673" i="3"/>
  <c r="K672" i="3"/>
  <c r="I672" i="3"/>
  <c r="K671" i="3"/>
  <c r="I671" i="3"/>
  <c r="K670" i="3"/>
  <c r="I670" i="3"/>
  <c r="K669" i="3"/>
  <c r="I669" i="3"/>
  <c r="K668" i="3"/>
  <c r="I668" i="3"/>
  <c r="K667" i="3"/>
  <c r="I667" i="3"/>
  <c r="K666" i="3"/>
  <c r="I666" i="3"/>
  <c r="K665" i="3"/>
  <c r="I665" i="3"/>
  <c r="K664" i="3"/>
  <c r="I664" i="3"/>
  <c r="K663" i="3"/>
  <c r="I663" i="3"/>
  <c r="K662" i="3"/>
  <c r="I662" i="3"/>
  <c r="K661" i="3"/>
  <c r="I661" i="3"/>
  <c r="K660" i="3"/>
  <c r="I660" i="3"/>
  <c r="K659" i="3"/>
  <c r="I659" i="3"/>
  <c r="K658" i="3"/>
  <c r="I658" i="3"/>
  <c r="K657" i="3"/>
  <c r="I657" i="3"/>
  <c r="K656" i="3"/>
  <c r="I656" i="3"/>
  <c r="K655" i="3"/>
  <c r="I655" i="3"/>
  <c r="K654" i="3"/>
  <c r="I654" i="3"/>
  <c r="K653" i="3"/>
  <c r="I653" i="3"/>
  <c r="K652" i="3"/>
  <c r="I652" i="3"/>
  <c r="K651" i="3"/>
  <c r="I651" i="3"/>
  <c r="K650" i="3"/>
  <c r="I650" i="3"/>
  <c r="K649" i="3"/>
  <c r="I649" i="3"/>
  <c r="K648" i="3"/>
  <c r="I648" i="3"/>
  <c r="K647" i="3"/>
  <c r="I647" i="3"/>
  <c r="K646" i="3"/>
  <c r="I646" i="3"/>
  <c r="K645" i="3"/>
  <c r="I645" i="3"/>
  <c r="K644" i="3"/>
  <c r="I644" i="3"/>
  <c r="K643" i="3"/>
  <c r="I643" i="3"/>
  <c r="K642" i="3"/>
  <c r="I642" i="3"/>
  <c r="K641" i="3"/>
  <c r="I641" i="3"/>
  <c r="K640" i="3"/>
  <c r="I640" i="3"/>
  <c r="K639" i="3"/>
  <c r="I639" i="3"/>
  <c r="K638" i="3"/>
  <c r="I638" i="3"/>
  <c r="K637" i="3"/>
  <c r="I637" i="3"/>
  <c r="K636" i="3"/>
  <c r="I636" i="3"/>
  <c r="K635" i="3"/>
  <c r="I635" i="3"/>
  <c r="K634" i="3"/>
  <c r="I634" i="3"/>
  <c r="K633" i="3"/>
  <c r="I633" i="3"/>
  <c r="K632" i="3"/>
  <c r="I632" i="3"/>
  <c r="K631" i="3"/>
  <c r="I631" i="3"/>
  <c r="K630" i="3"/>
  <c r="I630" i="3"/>
  <c r="K629" i="3"/>
  <c r="I629" i="3"/>
  <c r="K628" i="3"/>
  <c r="I628" i="3"/>
  <c r="K627" i="3"/>
  <c r="I627" i="3"/>
  <c r="K626" i="3"/>
  <c r="I626" i="3"/>
  <c r="K625" i="3"/>
  <c r="I625" i="3"/>
  <c r="K624" i="3"/>
  <c r="I624" i="3"/>
  <c r="K623" i="3"/>
  <c r="I623" i="3"/>
  <c r="K622" i="3"/>
  <c r="I622" i="3"/>
  <c r="K621" i="3"/>
  <c r="I621" i="3"/>
  <c r="K620" i="3"/>
  <c r="I620" i="3"/>
  <c r="K619" i="3"/>
  <c r="I619" i="3"/>
  <c r="K618" i="3"/>
  <c r="I618" i="3"/>
  <c r="K617" i="3"/>
  <c r="I617" i="3"/>
  <c r="K616" i="3"/>
  <c r="I616" i="3"/>
  <c r="K615" i="3"/>
  <c r="I615" i="3"/>
  <c r="K614" i="3"/>
  <c r="I614" i="3"/>
  <c r="K613" i="3"/>
  <c r="I613" i="3"/>
  <c r="K612" i="3"/>
  <c r="I612" i="3"/>
  <c r="K611" i="3"/>
  <c r="I611" i="3"/>
  <c r="K610" i="3"/>
  <c r="I610" i="3"/>
  <c r="K609" i="3"/>
  <c r="I609" i="3"/>
  <c r="K608" i="3"/>
  <c r="I608" i="3"/>
  <c r="K607" i="3"/>
  <c r="I607" i="3"/>
  <c r="K606" i="3"/>
  <c r="I606" i="3"/>
  <c r="K605" i="3"/>
  <c r="I605" i="3"/>
  <c r="K604" i="3"/>
  <c r="I604" i="3"/>
  <c r="K603" i="3"/>
  <c r="I603" i="3"/>
  <c r="K602" i="3"/>
  <c r="I602" i="3"/>
  <c r="K601" i="3"/>
  <c r="I601" i="3"/>
  <c r="K600" i="3"/>
  <c r="I600" i="3"/>
  <c r="K599" i="3"/>
  <c r="I599" i="3"/>
  <c r="K598" i="3"/>
  <c r="I598" i="3"/>
  <c r="K597" i="3"/>
  <c r="I597" i="3"/>
  <c r="K596" i="3"/>
  <c r="I596" i="3"/>
  <c r="K595" i="3"/>
  <c r="I595" i="3"/>
  <c r="K594" i="3"/>
  <c r="I594" i="3"/>
  <c r="K593" i="3"/>
  <c r="I593" i="3"/>
  <c r="K592" i="3"/>
  <c r="I592" i="3"/>
  <c r="K591" i="3"/>
  <c r="I591" i="3"/>
  <c r="K590" i="3"/>
  <c r="I590" i="3"/>
  <c r="K589" i="3"/>
  <c r="I589" i="3"/>
  <c r="K588" i="3"/>
  <c r="I588" i="3"/>
  <c r="K587" i="3"/>
  <c r="I587" i="3"/>
  <c r="K586" i="3"/>
  <c r="I586" i="3"/>
  <c r="K585" i="3"/>
  <c r="I585" i="3"/>
  <c r="K584" i="3"/>
  <c r="I584" i="3"/>
  <c r="K583" i="3"/>
  <c r="I583" i="3"/>
  <c r="K582" i="3"/>
  <c r="I582" i="3"/>
  <c r="K581" i="3"/>
  <c r="I581" i="3"/>
  <c r="K580" i="3"/>
  <c r="I580" i="3"/>
  <c r="K579" i="3"/>
  <c r="I579" i="3"/>
  <c r="K578" i="3"/>
  <c r="I578" i="3"/>
  <c r="K577" i="3"/>
  <c r="I577" i="3"/>
  <c r="K576" i="3"/>
  <c r="I576" i="3"/>
  <c r="K575" i="3"/>
  <c r="I575" i="3"/>
  <c r="K574" i="3"/>
  <c r="I574" i="3"/>
  <c r="K573" i="3"/>
  <c r="I573" i="3"/>
  <c r="K572" i="3"/>
  <c r="I572" i="3"/>
  <c r="K571" i="3"/>
  <c r="I571" i="3"/>
  <c r="K570" i="3"/>
  <c r="I570" i="3"/>
  <c r="K569" i="3"/>
  <c r="I569" i="3"/>
  <c r="K568" i="3"/>
  <c r="I568" i="3"/>
  <c r="K567" i="3"/>
  <c r="I567" i="3"/>
  <c r="K566" i="3"/>
  <c r="I566" i="3"/>
  <c r="K565" i="3"/>
  <c r="I565" i="3"/>
  <c r="K564" i="3"/>
  <c r="I564" i="3"/>
  <c r="K563" i="3"/>
  <c r="I563" i="3"/>
  <c r="K562" i="3"/>
  <c r="I562" i="3"/>
  <c r="K561" i="3"/>
  <c r="I561" i="3"/>
  <c r="K560" i="3"/>
  <c r="I560" i="3"/>
  <c r="K559" i="3"/>
  <c r="I559" i="3"/>
  <c r="K558" i="3"/>
  <c r="I558" i="3"/>
  <c r="K557" i="3"/>
  <c r="I557" i="3"/>
  <c r="K556" i="3"/>
  <c r="I556" i="3"/>
  <c r="K555" i="3"/>
  <c r="I555" i="3"/>
  <c r="K554" i="3"/>
  <c r="I554" i="3"/>
  <c r="K553" i="3"/>
  <c r="I553" i="3"/>
  <c r="K552" i="3"/>
  <c r="I552" i="3"/>
  <c r="K551" i="3"/>
  <c r="I551" i="3"/>
  <c r="K550" i="3"/>
  <c r="I550" i="3"/>
  <c r="K549" i="3"/>
  <c r="I549" i="3"/>
  <c r="K548" i="3"/>
  <c r="I548" i="3"/>
  <c r="K547" i="3"/>
  <c r="I547" i="3"/>
  <c r="K546" i="3"/>
  <c r="I546" i="3"/>
  <c r="K545" i="3"/>
  <c r="I545" i="3"/>
  <c r="K544" i="3"/>
  <c r="I544" i="3"/>
  <c r="K543" i="3"/>
  <c r="I543" i="3"/>
  <c r="K542" i="3"/>
  <c r="I542" i="3"/>
  <c r="K541" i="3"/>
  <c r="I541" i="3"/>
  <c r="K540" i="3"/>
  <c r="I540" i="3"/>
  <c r="K539" i="3"/>
  <c r="I539" i="3"/>
  <c r="K538" i="3"/>
  <c r="I538" i="3"/>
  <c r="K537" i="3"/>
  <c r="I537" i="3"/>
  <c r="K536" i="3"/>
  <c r="I536" i="3"/>
  <c r="K535" i="3"/>
  <c r="I535" i="3"/>
  <c r="K534" i="3"/>
  <c r="I534" i="3"/>
  <c r="K533" i="3"/>
  <c r="I533" i="3"/>
  <c r="K532" i="3"/>
  <c r="I532" i="3"/>
  <c r="K531" i="3"/>
  <c r="I531" i="3"/>
  <c r="K530" i="3"/>
  <c r="I530" i="3"/>
  <c r="K529" i="3"/>
  <c r="I529" i="3"/>
  <c r="K528" i="3"/>
  <c r="I528" i="3"/>
  <c r="K527" i="3"/>
  <c r="I527" i="3"/>
  <c r="K526" i="3"/>
  <c r="I526" i="3"/>
  <c r="K525" i="3"/>
  <c r="I525" i="3"/>
  <c r="K524" i="3"/>
  <c r="I524" i="3"/>
  <c r="K523" i="3"/>
  <c r="I523" i="3"/>
  <c r="K522" i="3"/>
  <c r="I522" i="3"/>
  <c r="K521" i="3"/>
  <c r="I521" i="3"/>
  <c r="K520" i="3"/>
  <c r="I520" i="3"/>
  <c r="K519" i="3"/>
  <c r="I519" i="3"/>
  <c r="K518" i="3"/>
  <c r="I518" i="3"/>
  <c r="K517" i="3"/>
  <c r="I517" i="3"/>
  <c r="K516" i="3"/>
  <c r="I516" i="3"/>
  <c r="K515" i="3"/>
  <c r="I515" i="3"/>
  <c r="K514" i="3"/>
  <c r="I514" i="3"/>
  <c r="K513" i="3"/>
  <c r="I513" i="3"/>
  <c r="K512" i="3"/>
  <c r="I512" i="3"/>
  <c r="K511" i="3"/>
  <c r="I511" i="3"/>
  <c r="K510" i="3"/>
  <c r="I510" i="3"/>
  <c r="K509" i="3"/>
  <c r="I509" i="3"/>
  <c r="K508" i="3"/>
  <c r="I508" i="3"/>
  <c r="K507" i="3"/>
  <c r="I507" i="3"/>
  <c r="K506" i="3"/>
  <c r="I506" i="3"/>
  <c r="K505" i="3"/>
  <c r="I505" i="3"/>
  <c r="K504" i="3"/>
  <c r="I504" i="3"/>
  <c r="K503" i="3"/>
  <c r="I503" i="3"/>
  <c r="K502" i="3"/>
  <c r="I502" i="3"/>
  <c r="K501" i="3"/>
  <c r="I501" i="3"/>
  <c r="K500" i="3"/>
  <c r="I500" i="3"/>
  <c r="K499" i="3"/>
  <c r="I499" i="3"/>
  <c r="K498" i="3"/>
  <c r="I498" i="3"/>
  <c r="K497" i="3"/>
  <c r="I497" i="3"/>
  <c r="K496" i="3"/>
  <c r="I496" i="3"/>
  <c r="K495" i="3"/>
  <c r="I495" i="3"/>
  <c r="K494" i="3"/>
  <c r="I494" i="3"/>
  <c r="K493" i="3"/>
  <c r="I493" i="3"/>
  <c r="K492" i="3"/>
  <c r="I492" i="3"/>
  <c r="K491" i="3"/>
  <c r="I491" i="3"/>
  <c r="K490" i="3"/>
  <c r="I490" i="3"/>
  <c r="K489" i="3"/>
  <c r="I489" i="3"/>
  <c r="K488" i="3"/>
  <c r="I488" i="3"/>
  <c r="K487" i="3"/>
  <c r="I487" i="3"/>
  <c r="K486" i="3"/>
  <c r="I486" i="3"/>
  <c r="K485" i="3"/>
  <c r="I485" i="3"/>
  <c r="K484" i="3"/>
  <c r="I484" i="3"/>
  <c r="K483" i="3"/>
  <c r="I483" i="3"/>
  <c r="K482" i="3"/>
  <c r="I482" i="3"/>
  <c r="K481" i="3"/>
  <c r="I481" i="3"/>
  <c r="K480" i="3"/>
  <c r="I480" i="3"/>
  <c r="K479" i="3"/>
  <c r="I479" i="3"/>
  <c r="K478" i="3"/>
  <c r="I478" i="3"/>
  <c r="K477" i="3"/>
  <c r="I477" i="3"/>
  <c r="K476" i="3"/>
  <c r="I476" i="3"/>
  <c r="K475" i="3"/>
  <c r="I475" i="3"/>
  <c r="K474" i="3"/>
  <c r="I474" i="3"/>
  <c r="K473" i="3"/>
  <c r="I473" i="3"/>
  <c r="K472" i="3"/>
  <c r="I472" i="3"/>
  <c r="K471" i="3"/>
  <c r="I471" i="3"/>
  <c r="K470" i="3"/>
  <c r="I470" i="3"/>
  <c r="K469" i="3"/>
  <c r="I469" i="3"/>
  <c r="K468" i="3"/>
  <c r="I468" i="3"/>
  <c r="K467" i="3"/>
  <c r="I467" i="3"/>
  <c r="K466" i="3"/>
  <c r="I466" i="3"/>
  <c r="K465" i="3"/>
  <c r="I465" i="3"/>
  <c r="K464" i="3"/>
  <c r="I464" i="3"/>
  <c r="K463" i="3"/>
  <c r="I463" i="3"/>
  <c r="K462" i="3"/>
  <c r="I462" i="3"/>
  <c r="K461" i="3"/>
  <c r="I461" i="3"/>
  <c r="K460" i="3"/>
  <c r="I460" i="3"/>
  <c r="K459" i="3"/>
  <c r="I459" i="3"/>
  <c r="K458" i="3"/>
  <c r="I458" i="3"/>
  <c r="K457" i="3"/>
  <c r="I457" i="3"/>
  <c r="K456" i="3"/>
  <c r="I456" i="3"/>
  <c r="K455" i="3"/>
  <c r="I455" i="3"/>
  <c r="K454" i="3"/>
  <c r="I454" i="3"/>
  <c r="K453" i="3"/>
  <c r="I453" i="3"/>
  <c r="K452" i="3"/>
  <c r="I452" i="3"/>
  <c r="K451" i="3"/>
  <c r="I451" i="3"/>
  <c r="K450" i="3"/>
  <c r="I450" i="3"/>
  <c r="K449" i="3"/>
  <c r="I449" i="3"/>
  <c r="K448" i="3"/>
  <c r="I448" i="3"/>
  <c r="J446" i="3"/>
  <c r="K446" i="3" s="1"/>
  <c r="H446" i="3"/>
  <c r="G446" i="3"/>
  <c r="K445" i="3"/>
  <c r="I445" i="3"/>
  <c r="K444" i="3"/>
  <c r="I444" i="3"/>
  <c r="K443" i="3"/>
  <c r="I443" i="3"/>
  <c r="K442" i="3"/>
  <c r="I442" i="3"/>
  <c r="K441" i="3"/>
  <c r="I441" i="3"/>
  <c r="K440" i="3"/>
  <c r="I440" i="3"/>
  <c r="K439" i="3"/>
  <c r="I439" i="3"/>
  <c r="K438" i="3"/>
  <c r="I438" i="3"/>
  <c r="K437" i="3"/>
  <c r="I437" i="3"/>
  <c r="K436" i="3"/>
  <c r="I436" i="3"/>
  <c r="K435" i="3"/>
  <c r="I435" i="3"/>
  <c r="K434" i="3"/>
  <c r="I434" i="3"/>
  <c r="K433" i="3"/>
  <c r="I433" i="3"/>
  <c r="K432" i="3"/>
  <c r="I432" i="3"/>
  <c r="K431" i="3"/>
  <c r="I431" i="3"/>
  <c r="K430" i="3"/>
  <c r="I430" i="3"/>
  <c r="K429" i="3"/>
  <c r="I429" i="3"/>
  <c r="K428" i="3"/>
  <c r="I428" i="3"/>
  <c r="K427" i="3"/>
  <c r="I427" i="3"/>
  <c r="K426" i="3"/>
  <c r="I426" i="3"/>
  <c r="K425" i="3"/>
  <c r="I425" i="3"/>
  <c r="K424" i="3"/>
  <c r="I424" i="3"/>
  <c r="K423" i="3"/>
  <c r="I423" i="3"/>
  <c r="K422" i="3"/>
  <c r="I422" i="3"/>
  <c r="K421" i="3"/>
  <c r="I421" i="3"/>
  <c r="K420" i="3"/>
  <c r="I420" i="3"/>
  <c r="K419" i="3"/>
  <c r="I419" i="3"/>
  <c r="K418" i="3"/>
  <c r="I418" i="3"/>
  <c r="K417" i="3"/>
  <c r="I417" i="3"/>
  <c r="K416" i="3"/>
  <c r="I416" i="3"/>
  <c r="K415" i="3"/>
  <c r="I415" i="3"/>
  <c r="K414" i="3"/>
  <c r="I414" i="3"/>
  <c r="K413" i="3"/>
  <c r="I413" i="3"/>
  <c r="K412" i="3"/>
  <c r="I412" i="3"/>
  <c r="K411" i="3"/>
  <c r="I411" i="3"/>
  <c r="K410" i="3"/>
  <c r="I410" i="3"/>
  <c r="K409" i="3"/>
  <c r="I409" i="3"/>
  <c r="K408" i="3"/>
  <c r="I408" i="3"/>
  <c r="K407" i="3"/>
  <c r="I407" i="3"/>
  <c r="K406" i="3"/>
  <c r="I406" i="3"/>
  <c r="K405" i="3"/>
  <c r="I405" i="3"/>
  <c r="K404" i="3"/>
  <c r="I404" i="3"/>
  <c r="K403" i="3"/>
  <c r="I403" i="3"/>
  <c r="K402" i="3"/>
  <c r="I402" i="3"/>
  <c r="K401" i="3"/>
  <c r="I401" i="3"/>
  <c r="K400" i="3"/>
  <c r="I400" i="3"/>
  <c r="K399" i="3"/>
  <c r="I399" i="3"/>
  <c r="K398" i="3"/>
  <c r="I398" i="3"/>
  <c r="K397" i="3"/>
  <c r="I397" i="3"/>
  <c r="K396" i="3"/>
  <c r="I396" i="3"/>
  <c r="K395" i="3"/>
  <c r="I395" i="3"/>
  <c r="K394" i="3"/>
  <c r="I394" i="3"/>
  <c r="K393" i="3"/>
  <c r="I393" i="3"/>
  <c r="K392" i="3"/>
  <c r="I392" i="3"/>
  <c r="K391" i="3"/>
  <c r="I391" i="3"/>
  <c r="K390" i="3"/>
  <c r="I390" i="3"/>
  <c r="K389" i="3"/>
  <c r="I389" i="3"/>
  <c r="K388" i="3"/>
  <c r="I388" i="3"/>
  <c r="K387" i="3"/>
  <c r="I387" i="3"/>
  <c r="K386" i="3"/>
  <c r="I386" i="3"/>
  <c r="K385" i="3"/>
  <c r="I385" i="3"/>
  <c r="K384" i="3"/>
  <c r="I384" i="3"/>
  <c r="K383" i="3"/>
  <c r="I383" i="3"/>
  <c r="K382" i="3"/>
  <c r="I382" i="3"/>
  <c r="K381" i="3"/>
  <c r="I381" i="3"/>
  <c r="K380" i="3"/>
  <c r="I380" i="3"/>
  <c r="K379" i="3"/>
  <c r="I379" i="3"/>
  <c r="K378" i="3"/>
  <c r="I378" i="3"/>
  <c r="K377" i="3"/>
  <c r="I377" i="3"/>
  <c r="K376" i="3"/>
  <c r="I376" i="3"/>
  <c r="K375" i="3"/>
  <c r="I375" i="3"/>
  <c r="K374" i="3"/>
  <c r="I374" i="3"/>
  <c r="K373" i="3"/>
  <c r="I373" i="3"/>
  <c r="K372" i="3"/>
  <c r="I372" i="3"/>
  <c r="K371" i="3"/>
  <c r="I371" i="3"/>
  <c r="K370" i="3"/>
  <c r="I370" i="3"/>
  <c r="K369" i="3"/>
  <c r="I369" i="3"/>
  <c r="K368" i="3"/>
  <c r="I368" i="3"/>
  <c r="K367" i="3"/>
  <c r="I367" i="3"/>
  <c r="K366" i="3"/>
  <c r="I366" i="3"/>
  <c r="K365" i="3"/>
  <c r="I365" i="3"/>
  <c r="K364" i="3"/>
  <c r="I364" i="3"/>
  <c r="K363" i="3"/>
  <c r="I363" i="3"/>
  <c r="K362" i="3"/>
  <c r="I362" i="3"/>
  <c r="K361" i="3"/>
  <c r="I361" i="3"/>
  <c r="K360" i="3"/>
  <c r="I360" i="3"/>
  <c r="K359" i="3"/>
  <c r="I359" i="3"/>
  <c r="K358" i="3"/>
  <c r="I358" i="3"/>
  <c r="K357" i="3"/>
  <c r="I357" i="3"/>
  <c r="K356" i="3"/>
  <c r="I356" i="3"/>
  <c r="K355" i="3"/>
  <c r="I355" i="3"/>
  <c r="K354" i="3"/>
  <c r="I354" i="3"/>
  <c r="J353" i="3"/>
  <c r="K353" i="3" s="1"/>
  <c r="H353" i="3"/>
  <c r="G353" i="3"/>
  <c r="K352" i="3"/>
  <c r="I352" i="3"/>
  <c r="K351" i="3"/>
  <c r="I351" i="3"/>
  <c r="K350" i="3"/>
  <c r="I350" i="3"/>
  <c r="K349" i="3"/>
  <c r="I349" i="3"/>
  <c r="K348" i="3"/>
  <c r="I348" i="3"/>
  <c r="K347" i="3"/>
  <c r="I347" i="3"/>
  <c r="K346" i="3"/>
  <c r="I346" i="3"/>
  <c r="K345" i="3"/>
  <c r="I345" i="3"/>
  <c r="K344" i="3"/>
  <c r="I344" i="3"/>
  <c r="K343" i="3"/>
  <c r="I343" i="3"/>
  <c r="K342" i="3"/>
  <c r="I342" i="3"/>
  <c r="K341" i="3"/>
  <c r="I341" i="3"/>
  <c r="K340" i="3"/>
  <c r="I340" i="3"/>
  <c r="K339" i="3"/>
  <c r="I339" i="3"/>
  <c r="K338" i="3"/>
  <c r="I338" i="3"/>
  <c r="K337" i="3"/>
  <c r="I337" i="3"/>
  <c r="K336" i="3"/>
  <c r="I336" i="3"/>
  <c r="K335" i="3"/>
  <c r="I335" i="3"/>
  <c r="K334" i="3"/>
  <c r="I334" i="3"/>
  <c r="K333" i="3"/>
  <c r="I333" i="3"/>
  <c r="K332" i="3"/>
  <c r="I332" i="3"/>
  <c r="K331" i="3"/>
  <c r="I331" i="3"/>
  <c r="K330" i="3"/>
  <c r="I330" i="3"/>
  <c r="K329" i="3"/>
  <c r="I329" i="3"/>
  <c r="K328" i="3"/>
  <c r="I328" i="3"/>
  <c r="K327" i="3"/>
  <c r="I327" i="3"/>
  <c r="K326" i="3"/>
  <c r="I326" i="3"/>
  <c r="K325" i="3"/>
  <c r="I325" i="3"/>
  <c r="K324" i="3"/>
  <c r="I324" i="3"/>
  <c r="K323" i="3"/>
  <c r="I323" i="3"/>
  <c r="K322" i="3"/>
  <c r="I322" i="3"/>
  <c r="K321" i="3"/>
  <c r="I321" i="3"/>
  <c r="K320" i="3"/>
  <c r="I320" i="3"/>
  <c r="K319" i="3"/>
  <c r="I319" i="3"/>
  <c r="K318" i="3"/>
  <c r="I318" i="3"/>
  <c r="K317" i="3"/>
  <c r="I317" i="3"/>
  <c r="K316" i="3"/>
  <c r="I316" i="3"/>
  <c r="K315" i="3"/>
  <c r="I315" i="3"/>
  <c r="K314" i="3"/>
  <c r="I314" i="3"/>
  <c r="K313" i="3"/>
  <c r="I313" i="3"/>
  <c r="K312" i="3"/>
  <c r="I312" i="3"/>
  <c r="K311" i="3"/>
  <c r="I311" i="3"/>
  <c r="K310" i="3"/>
  <c r="I310" i="3"/>
  <c r="K309" i="3"/>
  <c r="I309" i="3"/>
  <c r="K308" i="3"/>
  <c r="I308" i="3"/>
  <c r="K307" i="3"/>
  <c r="I307" i="3"/>
  <c r="K306" i="3"/>
  <c r="I306" i="3"/>
  <c r="K305" i="3"/>
  <c r="I305" i="3"/>
  <c r="K304" i="3"/>
  <c r="I304" i="3"/>
  <c r="K303" i="3"/>
  <c r="I303" i="3"/>
  <c r="K302" i="3"/>
  <c r="I302" i="3"/>
  <c r="K301" i="3"/>
  <c r="I301" i="3"/>
  <c r="K300" i="3"/>
  <c r="I300" i="3"/>
  <c r="K299" i="3"/>
  <c r="I299" i="3"/>
  <c r="K298" i="3"/>
  <c r="I298" i="3"/>
  <c r="K297" i="3"/>
  <c r="I297" i="3"/>
  <c r="K296" i="3"/>
  <c r="I296" i="3"/>
  <c r="K295" i="3"/>
  <c r="I295" i="3"/>
  <c r="K294" i="3"/>
  <c r="I294" i="3"/>
  <c r="K293" i="3"/>
  <c r="I293" i="3"/>
  <c r="K292" i="3"/>
  <c r="I292" i="3"/>
  <c r="K291" i="3"/>
  <c r="I291" i="3"/>
  <c r="K290" i="3"/>
  <c r="I290" i="3"/>
  <c r="K289" i="3"/>
  <c r="I289" i="3"/>
  <c r="K288" i="3"/>
  <c r="I288" i="3"/>
  <c r="K287" i="3"/>
  <c r="I287" i="3"/>
  <c r="K286" i="3"/>
  <c r="I286" i="3"/>
  <c r="K285" i="3"/>
  <c r="I285" i="3"/>
  <c r="K284" i="3"/>
  <c r="I284" i="3"/>
  <c r="K283" i="3"/>
  <c r="I283" i="3"/>
  <c r="K282" i="3"/>
  <c r="I282" i="3"/>
  <c r="K281" i="3"/>
  <c r="I281" i="3"/>
  <c r="K280" i="3"/>
  <c r="I280" i="3"/>
  <c r="K279" i="3"/>
  <c r="I279" i="3"/>
  <c r="K278" i="3"/>
  <c r="I278" i="3"/>
  <c r="K277" i="3"/>
  <c r="I277" i="3"/>
  <c r="K276" i="3"/>
  <c r="I276" i="3"/>
  <c r="K275" i="3"/>
  <c r="I275" i="3"/>
  <c r="K274" i="3"/>
  <c r="I274" i="3"/>
  <c r="K273" i="3"/>
  <c r="I273" i="3"/>
  <c r="K272" i="3"/>
  <c r="I272" i="3"/>
  <c r="K271" i="3"/>
  <c r="I271" i="3"/>
  <c r="K270" i="3"/>
  <c r="I270" i="3"/>
  <c r="K269" i="3"/>
  <c r="I269" i="3"/>
  <c r="K268" i="3"/>
  <c r="I268" i="3"/>
  <c r="K267" i="3"/>
  <c r="I267" i="3"/>
  <c r="K266" i="3"/>
  <c r="I266" i="3"/>
  <c r="K265" i="3"/>
  <c r="I265" i="3"/>
  <c r="K264" i="3"/>
  <c r="I264" i="3"/>
  <c r="K263" i="3"/>
  <c r="I263" i="3"/>
  <c r="K262" i="3"/>
  <c r="I262" i="3"/>
  <c r="K261" i="3"/>
  <c r="I261" i="3"/>
  <c r="K260" i="3"/>
  <c r="I260" i="3"/>
  <c r="K259" i="3"/>
  <c r="I259" i="3"/>
  <c r="K258" i="3"/>
  <c r="I258" i="3"/>
  <c r="K257" i="3"/>
  <c r="I257" i="3"/>
  <c r="K256" i="3"/>
  <c r="I256" i="3"/>
  <c r="K255" i="3"/>
  <c r="I255" i="3"/>
  <c r="K254" i="3"/>
  <c r="I254" i="3"/>
  <c r="K253" i="3"/>
  <c r="I253" i="3"/>
  <c r="K252" i="3"/>
  <c r="I252" i="3"/>
  <c r="K251" i="3"/>
  <c r="I251" i="3"/>
  <c r="K250" i="3"/>
  <c r="I250" i="3"/>
  <c r="K249" i="3"/>
  <c r="I249" i="3"/>
  <c r="K248" i="3"/>
  <c r="I248" i="3"/>
  <c r="K247" i="3"/>
  <c r="I247" i="3"/>
  <c r="K246" i="3"/>
  <c r="I246" i="3"/>
  <c r="K245" i="3"/>
  <c r="I245" i="3"/>
  <c r="K244" i="3"/>
  <c r="I244" i="3"/>
  <c r="K243" i="3"/>
  <c r="I243" i="3"/>
  <c r="K242" i="3"/>
  <c r="I242" i="3"/>
  <c r="K241" i="3"/>
  <c r="I241" i="3"/>
  <c r="K240" i="3"/>
  <c r="I240" i="3"/>
  <c r="K239" i="3"/>
  <c r="I239" i="3"/>
  <c r="K238" i="3"/>
  <c r="I238" i="3"/>
  <c r="K237" i="3"/>
  <c r="I237" i="3"/>
  <c r="K236" i="3"/>
  <c r="I236" i="3"/>
  <c r="K235" i="3"/>
  <c r="I235" i="3"/>
  <c r="K234" i="3"/>
  <c r="I234" i="3"/>
  <c r="K233" i="3"/>
  <c r="I233" i="3"/>
  <c r="K232" i="3"/>
  <c r="I232" i="3"/>
  <c r="K231" i="3"/>
  <c r="I231" i="3"/>
  <c r="K230" i="3"/>
  <c r="I230" i="3"/>
  <c r="K229" i="3"/>
  <c r="I229" i="3"/>
  <c r="K228" i="3"/>
  <c r="I228" i="3"/>
  <c r="K227" i="3"/>
  <c r="I227" i="3"/>
  <c r="K226" i="3"/>
  <c r="I226" i="3"/>
  <c r="K225" i="3"/>
  <c r="I225" i="3"/>
  <c r="K224" i="3"/>
  <c r="I224" i="3"/>
  <c r="K223" i="3"/>
  <c r="I223" i="3"/>
  <c r="K222" i="3"/>
  <c r="I222" i="3"/>
  <c r="K221" i="3"/>
  <c r="I221" i="3"/>
  <c r="K220" i="3"/>
  <c r="I220" i="3"/>
  <c r="K219" i="3"/>
  <c r="I219" i="3"/>
  <c r="K218" i="3"/>
  <c r="I218" i="3"/>
  <c r="K217" i="3"/>
  <c r="I217" i="3"/>
  <c r="K216" i="3"/>
  <c r="I216" i="3"/>
  <c r="K215" i="3"/>
  <c r="I215" i="3"/>
  <c r="K214" i="3"/>
  <c r="I214" i="3"/>
  <c r="K213" i="3"/>
  <c r="I213" i="3"/>
  <c r="K212" i="3"/>
  <c r="I212" i="3"/>
  <c r="K211" i="3"/>
  <c r="I211" i="3"/>
  <c r="K210" i="3"/>
  <c r="I210" i="3"/>
  <c r="K209" i="3"/>
  <c r="I209" i="3"/>
  <c r="K208" i="3"/>
  <c r="I208" i="3"/>
  <c r="K207" i="3"/>
  <c r="I207" i="3"/>
  <c r="K206" i="3"/>
  <c r="I206" i="3"/>
  <c r="K205" i="3"/>
  <c r="I205" i="3"/>
  <c r="K204" i="3"/>
  <c r="I204" i="3"/>
  <c r="K203" i="3"/>
  <c r="I203" i="3"/>
  <c r="K202" i="3"/>
  <c r="I202" i="3"/>
  <c r="K201" i="3"/>
  <c r="I201" i="3"/>
  <c r="K200" i="3"/>
  <c r="I200" i="3"/>
  <c r="K199" i="3"/>
  <c r="I199" i="3"/>
  <c r="K198" i="3"/>
  <c r="I198" i="3"/>
  <c r="K197" i="3"/>
  <c r="I197" i="3"/>
  <c r="K196" i="3"/>
  <c r="I196" i="3"/>
  <c r="K195" i="3"/>
  <c r="I195" i="3"/>
  <c r="K194" i="3"/>
  <c r="I194" i="3"/>
  <c r="K193" i="3"/>
  <c r="I193" i="3"/>
  <c r="K192" i="3"/>
  <c r="I192" i="3"/>
  <c r="K191" i="3"/>
  <c r="I191" i="3"/>
  <c r="K190" i="3"/>
  <c r="I190" i="3"/>
  <c r="K189" i="3"/>
  <c r="I189" i="3"/>
  <c r="K188" i="3"/>
  <c r="I188" i="3"/>
  <c r="K187" i="3"/>
  <c r="I187" i="3"/>
  <c r="K186" i="3"/>
  <c r="I186" i="3"/>
  <c r="K185" i="3"/>
  <c r="I185" i="3"/>
  <c r="K184" i="3"/>
  <c r="I184" i="3"/>
  <c r="K183" i="3"/>
  <c r="I183" i="3"/>
  <c r="K182" i="3"/>
  <c r="I182" i="3"/>
  <c r="K181" i="3"/>
  <c r="I181" i="3"/>
  <c r="K180" i="3"/>
  <c r="I180" i="3"/>
  <c r="K179" i="3"/>
  <c r="I179" i="3"/>
  <c r="K178" i="3"/>
  <c r="I178" i="3"/>
  <c r="K177" i="3"/>
  <c r="I177" i="3"/>
  <c r="K176" i="3"/>
  <c r="I176" i="3"/>
  <c r="K175" i="3"/>
  <c r="I175" i="3"/>
  <c r="K174" i="3"/>
  <c r="I174" i="3"/>
  <c r="K173" i="3"/>
  <c r="I173" i="3"/>
  <c r="K172" i="3"/>
  <c r="I172" i="3"/>
  <c r="K171" i="3"/>
  <c r="I171" i="3"/>
  <c r="K170" i="3"/>
  <c r="I170" i="3"/>
  <c r="K169" i="3"/>
  <c r="I169" i="3"/>
  <c r="K168" i="3"/>
  <c r="I168" i="3"/>
  <c r="K167" i="3"/>
  <c r="I167" i="3"/>
  <c r="K166" i="3"/>
  <c r="I166" i="3"/>
  <c r="K165" i="3"/>
  <c r="I165" i="3"/>
  <c r="K164" i="3"/>
  <c r="I164" i="3"/>
  <c r="K163" i="3"/>
  <c r="I163" i="3"/>
  <c r="K162" i="3"/>
  <c r="I162" i="3"/>
  <c r="K161" i="3"/>
  <c r="I161" i="3"/>
  <c r="K160" i="3"/>
  <c r="I160" i="3"/>
  <c r="K159" i="3"/>
  <c r="I159" i="3"/>
  <c r="K158" i="3"/>
  <c r="I158" i="3"/>
  <c r="K157" i="3"/>
  <c r="I157" i="3"/>
  <c r="K156" i="3"/>
  <c r="I156" i="3"/>
  <c r="K155" i="3"/>
  <c r="I155" i="3"/>
  <c r="K154" i="3"/>
  <c r="I154" i="3"/>
  <c r="K153" i="3"/>
  <c r="I153" i="3"/>
  <c r="K152" i="3"/>
  <c r="I152" i="3"/>
  <c r="K151" i="3"/>
  <c r="I151" i="3"/>
  <c r="K150" i="3"/>
  <c r="I150" i="3"/>
  <c r="K149" i="3"/>
  <c r="I149" i="3"/>
  <c r="K148" i="3"/>
  <c r="I148" i="3"/>
  <c r="K147" i="3"/>
  <c r="I147" i="3"/>
  <c r="K146" i="3"/>
  <c r="I146" i="3"/>
  <c r="K145" i="3"/>
  <c r="I145" i="3"/>
  <c r="K144" i="3"/>
  <c r="I144" i="3"/>
  <c r="K143" i="3"/>
  <c r="I143" i="3"/>
  <c r="K142" i="3"/>
  <c r="I142" i="3"/>
  <c r="K141" i="3"/>
  <c r="I141" i="3"/>
  <c r="J139" i="3"/>
  <c r="J140" i="3" s="1"/>
  <c r="H139" i="3"/>
  <c r="H140" i="3" s="1"/>
  <c r="K138" i="3"/>
  <c r="I138" i="3"/>
  <c r="K137" i="3"/>
  <c r="I137" i="3"/>
  <c r="K136" i="3"/>
  <c r="I136" i="3"/>
  <c r="K135" i="3"/>
  <c r="I135" i="3"/>
  <c r="K134" i="3"/>
  <c r="I134" i="3"/>
  <c r="K133" i="3"/>
  <c r="I133" i="3"/>
  <c r="K132" i="3"/>
  <c r="I132" i="3"/>
  <c r="K131" i="3"/>
  <c r="I131" i="3"/>
  <c r="K130" i="3"/>
  <c r="I130" i="3"/>
  <c r="K129" i="3"/>
  <c r="I129" i="3"/>
  <c r="K128" i="3"/>
  <c r="I128" i="3"/>
  <c r="K127" i="3"/>
  <c r="I127" i="3"/>
  <c r="K126" i="3"/>
  <c r="I126" i="3"/>
  <c r="K125" i="3"/>
  <c r="I125" i="3"/>
  <c r="K124" i="3"/>
  <c r="I124" i="3"/>
  <c r="J122" i="3"/>
  <c r="K122" i="3" s="1"/>
  <c r="H122" i="3"/>
  <c r="K121" i="3"/>
  <c r="I121" i="3"/>
  <c r="K120" i="3"/>
  <c r="I120" i="3"/>
  <c r="K119" i="3"/>
  <c r="I119" i="3"/>
  <c r="K118" i="3"/>
  <c r="I118" i="3"/>
  <c r="K117" i="3"/>
  <c r="I117" i="3"/>
  <c r="K116" i="3"/>
  <c r="I116" i="3"/>
  <c r="K115" i="3"/>
  <c r="I115" i="3"/>
  <c r="K114" i="3"/>
  <c r="I114" i="3"/>
  <c r="K113" i="3"/>
  <c r="I113" i="3"/>
  <c r="K112" i="3"/>
  <c r="I112" i="3"/>
  <c r="K111" i="3"/>
  <c r="I111" i="3"/>
  <c r="K110" i="3"/>
  <c r="I110" i="3"/>
  <c r="K109" i="3"/>
  <c r="I109" i="3"/>
  <c r="K108" i="3"/>
  <c r="I108" i="3"/>
  <c r="K107" i="3"/>
  <c r="I107" i="3"/>
  <c r="K106" i="3"/>
  <c r="I106" i="3"/>
  <c r="K105" i="3"/>
  <c r="I105" i="3"/>
  <c r="K104" i="3"/>
  <c r="I104" i="3"/>
  <c r="K103" i="3"/>
  <c r="I103" i="3"/>
  <c r="K102" i="3"/>
  <c r="I102" i="3"/>
  <c r="K101" i="3"/>
  <c r="I101" i="3"/>
  <c r="K100" i="3"/>
  <c r="I100" i="3"/>
  <c r="K99" i="3"/>
  <c r="I99" i="3"/>
  <c r="K98" i="3"/>
  <c r="I98" i="3"/>
  <c r="K97" i="3"/>
  <c r="I97" i="3"/>
  <c r="K96" i="3"/>
  <c r="I96" i="3"/>
  <c r="K95" i="3"/>
  <c r="I95" i="3"/>
  <c r="K94" i="3"/>
  <c r="I94" i="3"/>
  <c r="K93" i="3"/>
  <c r="I93" i="3"/>
  <c r="K92" i="3"/>
  <c r="I92" i="3"/>
  <c r="K91" i="3"/>
  <c r="I91" i="3"/>
  <c r="K90" i="3"/>
  <c r="I90" i="3"/>
  <c r="K89" i="3"/>
  <c r="I89" i="3"/>
  <c r="K88" i="3"/>
  <c r="I88" i="3"/>
  <c r="K87" i="3"/>
  <c r="I87" i="3"/>
  <c r="K86" i="3"/>
  <c r="I86" i="3"/>
  <c r="K85" i="3"/>
  <c r="I85" i="3"/>
  <c r="K84" i="3"/>
  <c r="I84" i="3"/>
  <c r="K83" i="3"/>
  <c r="I83" i="3"/>
  <c r="K82" i="3"/>
  <c r="I82" i="3"/>
  <c r="K81" i="3"/>
  <c r="I81" i="3"/>
  <c r="K80" i="3"/>
  <c r="I80" i="3"/>
  <c r="K79" i="3"/>
  <c r="I79" i="3"/>
  <c r="K78" i="3"/>
  <c r="I78" i="3"/>
  <c r="K77" i="3"/>
  <c r="I77" i="3"/>
  <c r="K76" i="3"/>
  <c r="I76" i="3"/>
  <c r="K75" i="3"/>
  <c r="I75" i="3"/>
  <c r="K74" i="3"/>
  <c r="I74" i="3"/>
  <c r="K73" i="3"/>
  <c r="I73" i="3"/>
  <c r="K72" i="3"/>
  <c r="I72" i="3"/>
  <c r="K71" i="3"/>
  <c r="I71" i="3"/>
  <c r="K70" i="3"/>
  <c r="I70" i="3"/>
  <c r="J69" i="3"/>
  <c r="K69" i="3" s="1"/>
  <c r="H69" i="3"/>
  <c r="K68" i="3"/>
  <c r="I68" i="3"/>
  <c r="K67" i="3"/>
  <c r="I67" i="3"/>
  <c r="K66" i="3"/>
  <c r="I66" i="3"/>
  <c r="K65" i="3"/>
  <c r="I65" i="3"/>
  <c r="K64" i="3"/>
  <c r="I64" i="3"/>
  <c r="K63" i="3"/>
  <c r="I63" i="3"/>
  <c r="K62" i="3"/>
  <c r="I62" i="3"/>
  <c r="K61" i="3"/>
  <c r="I61" i="3"/>
  <c r="K60" i="3"/>
  <c r="I60" i="3"/>
  <c r="K59" i="3"/>
  <c r="I59" i="3"/>
  <c r="K58" i="3"/>
  <c r="I58" i="3"/>
  <c r="K57" i="3"/>
  <c r="I57" i="3"/>
  <c r="K56" i="3"/>
  <c r="I56" i="3"/>
  <c r="K55" i="3"/>
  <c r="I55" i="3"/>
  <c r="K54" i="3"/>
  <c r="I54" i="3"/>
  <c r="K53" i="3"/>
  <c r="I53" i="3"/>
  <c r="K52" i="3"/>
  <c r="I52" i="3"/>
  <c r="K51" i="3"/>
  <c r="I51" i="3"/>
  <c r="K50" i="3"/>
  <c r="I50" i="3"/>
  <c r="K49" i="3"/>
  <c r="I49" i="3"/>
  <c r="K48" i="3"/>
  <c r="I48" i="3"/>
  <c r="K47" i="3"/>
  <c r="I47" i="3"/>
  <c r="K46" i="3"/>
  <c r="I46" i="3"/>
  <c r="K45" i="3"/>
  <c r="I45" i="3"/>
  <c r="K44" i="3"/>
  <c r="I44" i="3"/>
  <c r="K43" i="3"/>
  <c r="I43" i="3"/>
  <c r="K42" i="3"/>
  <c r="I42" i="3"/>
  <c r="K41" i="3"/>
  <c r="I41" i="3"/>
  <c r="K40" i="3"/>
  <c r="I40" i="3"/>
  <c r="K39" i="3"/>
  <c r="I39" i="3"/>
  <c r="K38" i="3"/>
  <c r="I38" i="3"/>
  <c r="K37" i="3"/>
  <c r="I37" i="3"/>
  <c r="K36" i="3"/>
  <c r="I36" i="3"/>
  <c r="K35" i="3"/>
  <c r="I35" i="3"/>
  <c r="K34" i="3"/>
  <c r="I34" i="3"/>
  <c r="K33" i="3"/>
  <c r="I33" i="3"/>
  <c r="K32" i="3"/>
  <c r="I32" i="3"/>
  <c r="K31" i="3"/>
  <c r="I31" i="3"/>
  <c r="K30" i="3"/>
  <c r="I30" i="3"/>
  <c r="K29" i="3"/>
  <c r="I29" i="3"/>
  <c r="K28" i="3"/>
  <c r="I28" i="3"/>
  <c r="K27" i="3"/>
  <c r="I27" i="3"/>
  <c r="G50" i="15" l="1"/>
  <c r="I43" i="13"/>
  <c r="I45" i="13" s="1"/>
  <c r="G44" i="16"/>
  <c r="G46" i="16" s="1"/>
  <c r="I69" i="3"/>
  <c r="H123" i="3"/>
  <c r="H447" i="3" s="1"/>
  <c r="H1037" i="3" s="1"/>
  <c r="I44" i="16"/>
  <c r="I46" i="16" s="1"/>
  <c r="I51" i="17"/>
  <c r="I139" i="3"/>
  <c r="I446" i="3"/>
  <c r="G447" i="3"/>
  <c r="G1037" i="3" s="1"/>
  <c r="H51" i="17"/>
  <c r="I48" i="7"/>
  <c r="E51" i="17"/>
  <c r="E50" i="15"/>
  <c r="F61" i="12"/>
  <c r="F51" i="17"/>
  <c r="E61" i="12"/>
  <c r="I353" i="3"/>
  <c r="G43" i="13"/>
  <c r="G45" i="13" s="1"/>
  <c r="F50" i="15"/>
  <c r="G49" i="5"/>
  <c r="I56" i="1"/>
  <c r="H61" i="12"/>
  <c r="K140" i="3"/>
  <c r="I140" i="3"/>
  <c r="K139" i="3"/>
  <c r="I122" i="3"/>
  <c r="J123" i="3"/>
  <c r="G61" i="12"/>
  <c r="I123" i="3" l="1"/>
  <c r="I447" i="3" s="1"/>
  <c r="I1037" i="3" s="1"/>
  <c r="K123" i="3"/>
  <c r="K447" i="3" s="1"/>
  <c r="K1037" i="3" s="1"/>
  <c r="J447" i="3"/>
  <c r="J1037" i="3" s="1"/>
</calcChain>
</file>

<file path=xl/sharedStrings.xml><?xml version="1.0" encoding="utf-8"?>
<sst xmlns="http://schemas.openxmlformats.org/spreadsheetml/2006/main" count="8980" uniqueCount="720">
  <si>
    <t xml:space="preserve">COMMERCIAL INVOICE  </t>
    <phoneticPr fontId="3" type="noConversion"/>
  </si>
  <si>
    <t>1.Shipper/exporter</t>
  </si>
  <si>
    <t>8.No and date of invoice</t>
    <phoneticPr fontId="2" type="noConversion"/>
  </si>
  <si>
    <t xml:space="preserve">  SEWANG TEXTILE CO.,LTD.</t>
    <phoneticPr fontId="2" type="noConversion"/>
  </si>
  <si>
    <t xml:space="preserve">  302 DAEHWA BLDG. 107-5,</t>
    <phoneticPr fontId="2" type="noConversion"/>
  </si>
  <si>
    <t>9.NO and date of Credit</t>
    <phoneticPr fontId="2" type="noConversion"/>
  </si>
  <si>
    <t xml:space="preserve">  SAMSUNGDONG, KANGNAMGU,</t>
    <phoneticPr fontId="2" type="noConversion"/>
  </si>
  <si>
    <t xml:space="preserve"> </t>
    <phoneticPr fontId="2" type="noConversion"/>
  </si>
  <si>
    <t xml:space="preserve">  SEOUL, 135-090, KOREA</t>
    <phoneticPr fontId="2" type="noConversion"/>
  </si>
  <si>
    <t>2.For Account and Risk of Messrs</t>
    <phoneticPr fontId="2" type="noConversion"/>
  </si>
  <si>
    <t>10.L/C issuing bank</t>
  </si>
  <si>
    <t xml:space="preserve">  KANMAX ENTERPRISES LTD.</t>
    <phoneticPr fontId="2" type="noConversion"/>
  </si>
  <si>
    <t xml:space="preserve">  PALM GROVE HOUSE, P.O.BOX 438,</t>
    <phoneticPr fontId="2" type="noConversion"/>
  </si>
  <si>
    <t xml:space="preserve">  ROAD TOWN, TORTOLA, BRITISH VIRGIN ISLANDS</t>
    <phoneticPr fontId="2" type="noConversion"/>
  </si>
  <si>
    <t>3.Notify party</t>
    <phoneticPr fontId="2" type="noConversion"/>
  </si>
  <si>
    <t>11.Remarks</t>
  </si>
  <si>
    <t xml:space="preserve">  CHUTEX INTERNATIONAL CO.,LTD.</t>
    <phoneticPr fontId="2" type="noConversion"/>
  </si>
  <si>
    <t>* CONSIGNED TO / SHIP TO</t>
    <phoneticPr fontId="2" type="noConversion"/>
  </si>
  <si>
    <t xml:space="preserve">  NO.18 THONG NHAT ROAD, SONG THAN INDUSTRIAL ZONE II</t>
    <phoneticPr fontId="2" type="noConversion"/>
  </si>
  <si>
    <t xml:space="preserve">  DI AN TOWN BINH DUONG PROVINCE VIETNAM</t>
    <phoneticPr fontId="2" type="noConversion"/>
  </si>
  <si>
    <t>4.Port of loading</t>
    <phoneticPr fontId="2" type="noConversion"/>
  </si>
  <si>
    <t>5.Final destination</t>
  </si>
  <si>
    <t>* COUNTRY OF ORIGIN : SOUTH KOREA</t>
  </si>
  <si>
    <t>12.Marks and numbers of PKGS</t>
    <phoneticPr fontId="2" type="noConversion"/>
  </si>
  <si>
    <t>13.Description of goods</t>
  </si>
  <si>
    <t>15.Unit-Price</t>
  </si>
  <si>
    <t>KNITTED FABRIC</t>
    <phoneticPr fontId="2" type="noConversion"/>
  </si>
  <si>
    <t>Signed by</t>
  </si>
  <si>
    <t>14.Quantity</t>
    <phoneticPr fontId="2" type="noConversion"/>
  </si>
  <si>
    <t>15.Net-weight</t>
    <phoneticPr fontId="2" type="noConversion"/>
  </si>
  <si>
    <t>16.Gross-weight</t>
    <phoneticPr fontId="2" type="noConversion"/>
  </si>
  <si>
    <t xml:space="preserve">WEIGHT NOTE  </t>
    <phoneticPr fontId="3" type="noConversion"/>
  </si>
  <si>
    <t>P.O.NO.</t>
    <phoneticPr fontId="3" type="noConversion"/>
  </si>
  <si>
    <t>REF NO.</t>
    <phoneticPr fontId="2" type="noConversion"/>
  </si>
  <si>
    <t>DESCRIPTION</t>
    <phoneticPr fontId="3" type="noConversion"/>
  </si>
  <si>
    <t>COLOR</t>
  </si>
  <si>
    <t>ROLL NO.</t>
    <phoneticPr fontId="3" type="noConversion"/>
  </si>
  <si>
    <t>YDS</t>
    <phoneticPr fontId="2" type="noConversion"/>
  </si>
  <si>
    <t>LBS</t>
    <phoneticPr fontId="3" type="noConversion"/>
  </si>
  <si>
    <t>N.W.</t>
    <phoneticPr fontId="2" type="noConversion"/>
  </si>
  <si>
    <t>G.W.</t>
    <phoneticPr fontId="2" type="noConversion"/>
  </si>
  <si>
    <t>CM30S/1 SLUB SINGLE</t>
  </si>
  <si>
    <t xml:space="preserve">  BUSAN, KOREA</t>
    <phoneticPr fontId="2" type="noConversion"/>
  </si>
  <si>
    <t xml:space="preserve">  HOCHIMINH, VIETNAM</t>
    <phoneticPr fontId="2" type="noConversion"/>
  </si>
  <si>
    <t>6.Carrier</t>
    <phoneticPr fontId="2" type="noConversion"/>
  </si>
  <si>
    <t>7.Sailing on about</t>
    <phoneticPr fontId="2" type="noConversion"/>
  </si>
  <si>
    <t>LOT</t>
    <phoneticPr fontId="3" type="noConversion"/>
  </si>
  <si>
    <t>CON. NO.</t>
    <phoneticPr fontId="2" type="noConversion"/>
  </si>
  <si>
    <t xml:space="preserve">  LCIC800117</t>
    <phoneticPr fontId="2" type="noConversion"/>
  </si>
  <si>
    <t xml:space="preserve">  BANGKOK BANK PUBLIC COMPANY LIMITED HONG KONG BRANCH</t>
    <phoneticPr fontId="2" type="noConversion"/>
  </si>
  <si>
    <t xml:space="preserve"> 28 DES VOEUX ROAD, CENTRAL</t>
    <phoneticPr fontId="2" type="noConversion"/>
  </si>
  <si>
    <t xml:space="preserve">* CTNR NO. </t>
    <phoneticPr fontId="2" type="noConversion"/>
  </si>
  <si>
    <t>CM30S SLUB SINGLE</t>
  </si>
  <si>
    <t>TOTAL</t>
    <phoneticPr fontId="34" type="noConversion"/>
  </si>
  <si>
    <t>183K0738-A-B4</t>
    <phoneticPr fontId="2" type="noConversion"/>
  </si>
  <si>
    <t>CTNR NO.</t>
    <phoneticPr fontId="2" type="noConversion"/>
  </si>
  <si>
    <t>PKG</t>
    <phoneticPr fontId="2" type="noConversion"/>
  </si>
  <si>
    <t>YD</t>
    <phoneticPr fontId="2" type="noConversion"/>
  </si>
  <si>
    <t>LB</t>
    <phoneticPr fontId="2" type="noConversion"/>
  </si>
  <si>
    <t>N.W.(KG)</t>
    <phoneticPr fontId="2" type="noConversion"/>
  </si>
  <si>
    <t>G.W.(KG)</t>
    <phoneticPr fontId="2" type="noConversion"/>
  </si>
  <si>
    <t>CM30S SLUB SINGLE(210278)</t>
  </si>
  <si>
    <t>CM30S/1 SLUB S/T JSY</t>
  </si>
  <si>
    <t>CM30S SLUB SINGLE(OLD NAVY)</t>
  </si>
  <si>
    <t>BELLA DONNA PINK</t>
    <phoneticPr fontId="34" type="noConversion"/>
  </si>
  <si>
    <t>KV03853/773949</t>
    <phoneticPr fontId="34" type="noConversion"/>
  </si>
  <si>
    <t>WINTER WINE</t>
    <phoneticPr fontId="34" type="noConversion"/>
  </si>
  <si>
    <t>SIMPLY SAGE</t>
    <phoneticPr fontId="34" type="noConversion"/>
  </si>
  <si>
    <t>183K0739</t>
    <phoneticPr fontId="2" type="noConversion"/>
  </si>
  <si>
    <t>KV03860/287652</t>
    <phoneticPr fontId="34" type="noConversion"/>
  </si>
  <si>
    <t>44-B7</t>
  </si>
  <si>
    <t>KV03847/290889</t>
    <phoneticPr fontId="34" type="noConversion"/>
  </si>
  <si>
    <t>KV03844/340747</t>
    <phoneticPr fontId="34" type="noConversion"/>
  </si>
  <si>
    <t>183K0716-A-C4</t>
    <phoneticPr fontId="2" type="noConversion"/>
  </si>
  <si>
    <t>183K0721-A-A7</t>
    <phoneticPr fontId="2" type="noConversion"/>
  </si>
  <si>
    <t>CC77(B12B+CREAM)</t>
    <phoneticPr fontId="34" type="noConversion"/>
  </si>
  <si>
    <t>ITEM TOTAL</t>
    <phoneticPr fontId="34" type="noConversion"/>
  </si>
  <si>
    <t>CC19 SPICE(Reverse)</t>
    <phoneticPr fontId="34" type="noConversion"/>
  </si>
  <si>
    <t>CC20 WATERSHED(Reverse)</t>
    <phoneticPr fontId="34" type="noConversion"/>
  </si>
  <si>
    <t>CONTAINER TOTAL</t>
    <phoneticPr fontId="34" type="noConversion"/>
  </si>
  <si>
    <t>COAL SMOKE</t>
    <phoneticPr fontId="34" type="noConversion"/>
  </si>
  <si>
    <t>GRAND TOTAL</t>
    <phoneticPr fontId="34" type="noConversion"/>
  </si>
  <si>
    <t>G.TOTAL</t>
  </si>
  <si>
    <t xml:space="preserve"> SW-KME-18029</t>
    <phoneticPr fontId="2" type="noConversion"/>
  </si>
  <si>
    <t>SKY CHALLENGE 1806S</t>
    <phoneticPr fontId="2" type="noConversion"/>
  </si>
  <si>
    <t>* TOTAL :     973  PACKAGES</t>
    <phoneticPr fontId="2" type="noConversion"/>
  </si>
  <si>
    <t>37-12</t>
  </si>
  <si>
    <t>TOTAL</t>
  </si>
  <si>
    <t>37-13</t>
  </si>
  <si>
    <t>01-7</t>
  </si>
  <si>
    <t>44-B2.</t>
  </si>
  <si>
    <t>44-B9</t>
  </si>
  <si>
    <t>CM30S/1 SLUB STP(SINGLE)</t>
  </si>
  <si>
    <t>44-B10</t>
  </si>
  <si>
    <t>19-8(Reverse)</t>
  </si>
  <si>
    <t>19-9(Reverse)</t>
  </si>
  <si>
    <t>20-5(Reverse)</t>
  </si>
  <si>
    <t>20-6(Reverse)</t>
  </si>
  <si>
    <t>06-5</t>
  </si>
  <si>
    <t xml:space="preserve">1 </t>
  </si>
  <si>
    <t xml:space="preserve">74 </t>
  </si>
  <si>
    <t xml:space="preserve">17.0 </t>
  </si>
  <si>
    <t xml:space="preserve">2 </t>
  </si>
  <si>
    <t xml:space="preserve">78 </t>
  </si>
  <si>
    <t xml:space="preserve">17.1 </t>
  </si>
  <si>
    <t xml:space="preserve">3 </t>
  </si>
  <si>
    <t xml:space="preserve">4 </t>
  </si>
  <si>
    <t xml:space="preserve">16.3 </t>
  </si>
  <si>
    <t xml:space="preserve">5 </t>
  </si>
  <si>
    <t xml:space="preserve">77 </t>
  </si>
  <si>
    <t xml:space="preserve">16.9 </t>
  </si>
  <si>
    <t xml:space="preserve">6 </t>
  </si>
  <si>
    <t xml:space="preserve">7 </t>
  </si>
  <si>
    <t xml:space="preserve">8 </t>
  </si>
  <si>
    <t xml:space="preserve">80 </t>
  </si>
  <si>
    <t xml:space="preserve">17.5 </t>
  </si>
  <si>
    <t xml:space="preserve">9 </t>
  </si>
  <si>
    <t xml:space="preserve">16.1 </t>
  </si>
  <si>
    <t xml:space="preserve">10 </t>
  </si>
  <si>
    <t xml:space="preserve">75 </t>
  </si>
  <si>
    <t xml:space="preserve">16.4 </t>
  </si>
  <si>
    <t xml:space="preserve">11 </t>
  </si>
  <si>
    <t xml:space="preserve">12 </t>
  </si>
  <si>
    <t xml:space="preserve">13 </t>
  </si>
  <si>
    <t xml:space="preserve">14 </t>
  </si>
  <si>
    <t xml:space="preserve">16 </t>
  </si>
  <si>
    <t xml:space="preserve">76 </t>
  </si>
  <si>
    <t xml:space="preserve">16.7 </t>
  </si>
  <si>
    <t xml:space="preserve">17 </t>
  </si>
  <si>
    <t xml:space="preserve">18 </t>
  </si>
  <si>
    <t xml:space="preserve">19 </t>
  </si>
  <si>
    <t xml:space="preserve">20 </t>
  </si>
  <si>
    <t xml:space="preserve">22 </t>
  </si>
  <si>
    <t xml:space="preserve">23 </t>
  </si>
  <si>
    <t xml:space="preserve">24 </t>
  </si>
  <si>
    <t xml:space="preserve">25 </t>
  </si>
  <si>
    <t xml:space="preserve">26 </t>
  </si>
  <si>
    <t xml:space="preserve">27 </t>
  </si>
  <si>
    <t xml:space="preserve">28 </t>
  </si>
  <si>
    <t xml:space="preserve">29 </t>
  </si>
  <si>
    <t xml:space="preserve">30 </t>
  </si>
  <si>
    <t xml:space="preserve">32 </t>
  </si>
  <si>
    <t xml:space="preserve">33 </t>
  </si>
  <si>
    <t xml:space="preserve">34 </t>
  </si>
  <si>
    <t xml:space="preserve">71 </t>
  </si>
  <si>
    <t xml:space="preserve">15.6 </t>
  </si>
  <si>
    <t xml:space="preserve">35 </t>
  </si>
  <si>
    <t xml:space="preserve">36 </t>
  </si>
  <si>
    <t xml:space="preserve">79 </t>
  </si>
  <si>
    <t xml:space="preserve">17.3 </t>
  </si>
  <si>
    <t xml:space="preserve">37 </t>
  </si>
  <si>
    <t xml:space="preserve">38 </t>
  </si>
  <si>
    <t xml:space="preserve">39 </t>
  </si>
  <si>
    <t xml:space="preserve">40 </t>
  </si>
  <si>
    <t xml:space="preserve">16.5 </t>
  </si>
  <si>
    <t xml:space="preserve">2,852 </t>
  </si>
  <si>
    <t xml:space="preserve">626.0 </t>
  </si>
  <si>
    <t>06-6</t>
  </si>
  <si>
    <t xml:space="preserve">16.8 </t>
  </si>
  <si>
    <t xml:space="preserve">16.6 </t>
  </si>
  <si>
    <t xml:space="preserve">17.6 </t>
  </si>
  <si>
    <t xml:space="preserve">15 </t>
  </si>
  <si>
    <t xml:space="preserve">17.4 </t>
  </si>
  <si>
    <t xml:space="preserve">17.2 </t>
  </si>
  <si>
    <t xml:space="preserve">21 </t>
  </si>
  <si>
    <t xml:space="preserve">81 </t>
  </si>
  <si>
    <t xml:space="preserve">17.8 </t>
  </si>
  <si>
    <t xml:space="preserve">31 </t>
  </si>
  <si>
    <t xml:space="preserve">3,139 </t>
  </si>
  <si>
    <t xml:space="preserve">686.2 </t>
  </si>
  <si>
    <t>06-7</t>
  </si>
  <si>
    <t xml:space="preserve">82 </t>
  </si>
  <si>
    <t xml:space="preserve">17.9 </t>
  </si>
  <si>
    <t xml:space="preserve">73 </t>
  </si>
  <si>
    <t xml:space="preserve">15.9 </t>
  </si>
  <si>
    <t xml:space="preserve">83 </t>
  </si>
  <si>
    <t xml:space="preserve">18.1 </t>
  </si>
  <si>
    <t xml:space="preserve">3,130 </t>
  </si>
  <si>
    <t xml:space="preserve">685.9 </t>
  </si>
  <si>
    <t>06-8</t>
  </si>
  <si>
    <t xml:space="preserve">60 </t>
  </si>
  <si>
    <t xml:space="preserve">13.1 </t>
  </si>
  <si>
    <t xml:space="preserve">16.0 </t>
  </si>
  <si>
    <t xml:space="preserve">66 </t>
  </si>
  <si>
    <t xml:space="preserve">14.5 </t>
  </si>
  <si>
    <t xml:space="preserve">2,502 </t>
  </si>
  <si>
    <t xml:space="preserve">547.6 </t>
  </si>
  <si>
    <t>06-9</t>
    <phoneticPr fontId="46" type="noConversion"/>
  </si>
  <si>
    <t xml:space="preserve">303 </t>
  </si>
  <si>
    <t xml:space="preserve">66.4 </t>
  </si>
  <si>
    <t xml:space="preserve">154 </t>
  </si>
  <si>
    <t xml:space="preserve">11,926 </t>
  </si>
  <si>
    <t xml:space="preserve">2,612.1 </t>
  </si>
  <si>
    <t>4-2</t>
  </si>
  <si>
    <t xml:space="preserve">17.7 </t>
  </si>
  <si>
    <t xml:space="preserve">3,098 </t>
  </si>
  <si>
    <t xml:space="preserve">679.6 </t>
  </si>
  <si>
    <t>4-3</t>
  </si>
  <si>
    <t xml:space="preserve">68 </t>
  </si>
  <si>
    <t xml:space="preserve">14.8 </t>
  </si>
  <si>
    <t xml:space="preserve">89 </t>
  </si>
  <si>
    <t xml:space="preserve">19.6 </t>
  </si>
  <si>
    <t xml:space="preserve">3,168 </t>
  </si>
  <si>
    <t xml:space="preserve">695.0 </t>
  </si>
  <si>
    <t>4-4</t>
  </si>
  <si>
    <t xml:space="preserve">84 </t>
  </si>
  <si>
    <t xml:space="preserve">18.3 </t>
  </si>
  <si>
    <t xml:space="preserve">3,156 </t>
  </si>
  <si>
    <t xml:space="preserve">691.7 </t>
  </si>
  <si>
    <t>4-5</t>
  </si>
  <si>
    <t xml:space="preserve">87 </t>
  </si>
  <si>
    <t xml:space="preserve">19.0 </t>
  </si>
  <si>
    <t xml:space="preserve">3,175 </t>
  </si>
  <si>
    <t xml:space="preserve">695.6 </t>
  </si>
  <si>
    <t xml:space="preserve">159 </t>
  </si>
  <si>
    <t xml:space="preserve">12,597 </t>
  </si>
  <si>
    <t xml:space="preserve">2,761.9 </t>
  </si>
  <si>
    <t>2-5</t>
  </si>
  <si>
    <t xml:space="preserve">69 </t>
  </si>
  <si>
    <t xml:space="preserve">15.1 </t>
  </si>
  <si>
    <t xml:space="preserve">679.5 </t>
  </si>
  <si>
    <t>2-6</t>
  </si>
  <si>
    <t xml:space="preserve">18.0 </t>
  </si>
  <si>
    <t xml:space="preserve">103 </t>
  </si>
  <si>
    <t xml:space="preserve">22.5 </t>
  </si>
  <si>
    <t xml:space="preserve">15.5 </t>
  </si>
  <si>
    <t xml:space="preserve">99 </t>
  </si>
  <si>
    <t xml:space="preserve">21.7 </t>
  </si>
  <si>
    <t xml:space="preserve">72 </t>
  </si>
  <si>
    <t xml:space="preserve">15.8 </t>
  </si>
  <si>
    <t xml:space="preserve">3,182 </t>
  </si>
  <si>
    <t xml:space="preserve">696.8 </t>
  </si>
  <si>
    <t>2-7</t>
  </si>
  <si>
    <t xml:space="preserve">92 </t>
  </si>
  <si>
    <t xml:space="preserve">20.2 </t>
  </si>
  <si>
    <t xml:space="preserve">64 </t>
  </si>
  <si>
    <t xml:space="preserve">14.1 </t>
  </si>
  <si>
    <t xml:space="preserve">3,085 </t>
  </si>
  <si>
    <t xml:space="preserve">675.1 </t>
  </si>
  <si>
    <t>2-8막</t>
  </si>
  <si>
    <t xml:space="preserve">15.7 </t>
  </si>
  <si>
    <t xml:space="preserve">43 </t>
  </si>
  <si>
    <t xml:space="preserve">44 </t>
  </si>
  <si>
    <t xml:space="preserve">45 </t>
  </si>
  <si>
    <t xml:space="preserve">46 </t>
  </si>
  <si>
    <t xml:space="preserve">47 </t>
  </si>
  <si>
    <t xml:space="preserve">48 </t>
  </si>
  <si>
    <t xml:space="preserve">49 </t>
  </si>
  <si>
    <t xml:space="preserve">70 </t>
  </si>
  <si>
    <t xml:space="preserve">15.3 </t>
  </si>
  <si>
    <t xml:space="preserve">50 </t>
  </si>
  <si>
    <t xml:space="preserve">51 </t>
  </si>
  <si>
    <t xml:space="preserve">52 </t>
  </si>
  <si>
    <t xml:space="preserve">53 </t>
  </si>
  <si>
    <t xml:space="preserve">54 </t>
  </si>
  <si>
    <t xml:space="preserve">55 </t>
  </si>
  <si>
    <t xml:space="preserve">56 </t>
  </si>
  <si>
    <t xml:space="preserve">57 </t>
  </si>
  <si>
    <t xml:space="preserve">58 </t>
  </si>
  <si>
    <t xml:space="preserve">59 </t>
  </si>
  <si>
    <t xml:space="preserve">61 </t>
  </si>
  <si>
    <t xml:space="preserve">62 </t>
  </si>
  <si>
    <t xml:space="preserve">63 </t>
  </si>
  <si>
    <t xml:space="preserve">65 </t>
  </si>
  <si>
    <t xml:space="preserve">67 </t>
  </si>
  <si>
    <t xml:space="preserve">4,533 </t>
  </si>
  <si>
    <t xml:space="preserve">993.5 </t>
  </si>
  <si>
    <t xml:space="preserve">178 </t>
  </si>
  <si>
    <t xml:space="preserve">13,898 </t>
  </si>
  <si>
    <t xml:space="preserve">3,044.9 </t>
  </si>
  <si>
    <t>16-8</t>
  </si>
  <si>
    <t xml:space="preserve">12.7 </t>
  </si>
  <si>
    <t xml:space="preserve">3,050 </t>
  </si>
  <si>
    <t xml:space="preserve">667.8 </t>
  </si>
  <si>
    <t>16-9</t>
  </si>
  <si>
    <t xml:space="preserve">14.9 </t>
  </si>
  <si>
    <t xml:space="preserve">18.5 </t>
  </si>
  <si>
    <t xml:space="preserve">2,984 </t>
  </si>
  <si>
    <t xml:space="preserve">653.8 </t>
  </si>
  <si>
    <t xml:space="preserve">6,034 </t>
  </si>
  <si>
    <t xml:space="preserve">1,321.6 </t>
  </si>
  <si>
    <t xml:space="preserve">44,455 </t>
  </si>
  <si>
    <t xml:space="preserve">9,740.5 </t>
  </si>
  <si>
    <t>HJMU1514901</t>
    <phoneticPr fontId="2" type="noConversion"/>
  </si>
  <si>
    <t>KV03859/605657</t>
    <phoneticPr fontId="34" type="noConversion"/>
  </si>
  <si>
    <t>183K0232-D</t>
    <phoneticPr fontId="2" type="noConversion"/>
  </si>
  <si>
    <t>GOLLY GEE GARNET</t>
    <phoneticPr fontId="34" type="noConversion"/>
  </si>
  <si>
    <t>KV03850/136199</t>
    <phoneticPr fontId="34" type="noConversion"/>
  </si>
  <si>
    <t>183K0713-A~B2+</t>
    <phoneticPr fontId="2" type="noConversion"/>
  </si>
  <si>
    <t>SEGU6492191</t>
    <phoneticPr fontId="2" type="noConversion"/>
  </si>
  <si>
    <t>CREAM DE LA CREAM</t>
    <phoneticPr fontId="34" type="noConversion"/>
  </si>
  <si>
    <t>HJMU1514901</t>
    <phoneticPr fontId="2" type="noConversion"/>
  </si>
  <si>
    <t>SEGU6492191</t>
    <phoneticPr fontId="2" type="noConversion"/>
  </si>
  <si>
    <t>* B/L NO. DFS050040230</t>
    <phoneticPr fontId="2" type="noConversion"/>
  </si>
  <si>
    <t>HJMU1514901/156925/40HQ</t>
    <phoneticPr fontId="2" type="noConversion"/>
  </si>
  <si>
    <t>SEGU6492191/140166/40HQ</t>
    <phoneticPr fontId="2" type="noConversion"/>
  </si>
  <si>
    <t>3.PROCESSER OF PARTY A :</t>
    <phoneticPr fontId="2" type="noConversion"/>
  </si>
  <si>
    <t xml:space="preserve">  NO.18 THONG NHAT ROAD, SONG THAN INDUSTRIAL ZONE II</t>
    <phoneticPr fontId="2" type="noConversion"/>
  </si>
  <si>
    <t xml:space="preserve">  DI AN TOWN BINH DUONG PROVINCE VIETNAM</t>
    <phoneticPr fontId="2" type="noConversion"/>
  </si>
  <si>
    <t>4.Port of loading</t>
    <phoneticPr fontId="2" type="noConversion"/>
  </si>
  <si>
    <t xml:space="preserve">  Binh Dương, Vietnam</t>
    <phoneticPr fontId="2" type="noConversion"/>
  </si>
  <si>
    <t>1.Seller</t>
    <phoneticPr fontId="2" type="noConversion"/>
  </si>
  <si>
    <t>8.No and date of invoice</t>
    <phoneticPr fontId="2" type="noConversion"/>
  </si>
  <si>
    <t xml:space="preserve">  SEWANG TEXTILE CO.,LTD.</t>
    <phoneticPr fontId="2" type="noConversion"/>
  </si>
  <si>
    <t xml:space="preserve">  302 DAEHWA BLDG. 107-5,</t>
    <phoneticPr fontId="2" type="noConversion"/>
  </si>
  <si>
    <t>9.NO and date of Credit</t>
    <phoneticPr fontId="2" type="noConversion"/>
  </si>
  <si>
    <t xml:space="preserve">  SAMSUNGDONG, KANGNAMGU,</t>
    <phoneticPr fontId="2" type="noConversion"/>
  </si>
  <si>
    <t xml:space="preserve"> </t>
    <phoneticPr fontId="2" type="noConversion"/>
  </si>
  <si>
    <t xml:space="preserve">  SEOUL, 135-090, KOREA</t>
    <phoneticPr fontId="2" type="noConversion"/>
  </si>
  <si>
    <t>2. Buyer/ For account and risk of messrs</t>
    <phoneticPr fontId="2" type="noConversion"/>
  </si>
  <si>
    <t xml:space="preserve">  KANMAX ENTERPRISES LTD.</t>
    <phoneticPr fontId="2" type="noConversion"/>
  </si>
  <si>
    <t xml:space="preserve">  PALM GROVE HOUSE, P.O.BOX 438,</t>
    <phoneticPr fontId="2" type="noConversion"/>
  </si>
  <si>
    <t xml:space="preserve">  SEWANG VINA CO., LTD</t>
    <phoneticPr fontId="2" type="noConversion"/>
  </si>
  <si>
    <t>* CONSIGNED TO / SHIP TO</t>
    <phoneticPr fontId="2" type="noConversion"/>
  </si>
  <si>
    <t xml:space="preserve">  Lot B_3A_CN, Lot B_2B_CN, Bau Bang Industrial Park,</t>
    <phoneticPr fontId="2" type="noConversion"/>
  </si>
  <si>
    <t xml:space="preserve">  Lai Uyen Ward, Bau Bang District,</t>
    <phoneticPr fontId="2" type="noConversion"/>
  </si>
  <si>
    <t xml:space="preserve">  Binh Duong province, Vietnam</t>
    <phoneticPr fontId="2" type="noConversion"/>
  </si>
  <si>
    <t xml:space="preserve">  Bau bang, Vietnam</t>
    <phoneticPr fontId="2" type="noConversion"/>
  </si>
  <si>
    <t>6.Carrier</t>
    <phoneticPr fontId="2" type="noConversion"/>
  </si>
  <si>
    <t>7.Sailing on about</t>
    <phoneticPr fontId="2" type="noConversion"/>
  </si>
  <si>
    <t>* COUNTRY OF ORIGIN : Vietnam</t>
    <phoneticPr fontId="2" type="noConversion"/>
  </si>
  <si>
    <t>12.Marks and numbers of PKGS</t>
    <phoneticPr fontId="2" type="noConversion"/>
  </si>
  <si>
    <t>14.Quantity/Unit</t>
    <phoneticPr fontId="2" type="noConversion"/>
  </si>
  <si>
    <t>16.Amount</t>
    <phoneticPr fontId="2" type="noConversion"/>
  </si>
  <si>
    <t>CPT.BINH DUONG</t>
    <phoneticPr fontId="2" type="noConversion"/>
  </si>
  <si>
    <t># 1</t>
    <phoneticPr fontId="2" type="noConversion"/>
  </si>
  <si>
    <t>/YD</t>
    <phoneticPr fontId="2" type="noConversion"/>
  </si>
  <si>
    <t># 2</t>
    <phoneticPr fontId="2" type="noConversion"/>
  </si>
  <si>
    <t>TOTAL</t>
    <phoneticPr fontId="2" type="noConversion"/>
  </si>
  <si>
    <t xml:space="preserve"> TRUCK</t>
    <phoneticPr fontId="2" type="noConversion"/>
  </si>
  <si>
    <t>PACKING LIST</t>
    <phoneticPr fontId="3" type="noConversion"/>
  </si>
  <si>
    <t>TOTAL</t>
    <phoneticPr fontId="2" type="noConversion"/>
  </si>
  <si>
    <t>LOT</t>
    <phoneticPr fontId="59" type="noConversion"/>
  </si>
  <si>
    <t>Roll</t>
  </si>
  <si>
    <t>Yards</t>
  </si>
  <si>
    <t>Net( KG)</t>
  </si>
  <si>
    <t>Gross ( KG)</t>
  </si>
  <si>
    <t>SUB TOTAL</t>
    <phoneticPr fontId="59" type="noConversion"/>
  </si>
  <si>
    <t>LBS</t>
    <phoneticPr fontId="2" type="noConversion"/>
  </si>
  <si>
    <t>100PCT COTTON 30S/1 SLUB JERSEY</t>
  </si>
  <si>
    <t>150GM/M2 (AFTER WASHED)</t>
  </si>
  <si>
    <t>USABLE WIDTH: 68'' TOTAL WIDTH: 70''</t>
  </si>
  <si>
    <t>LCIC800193</t>
    <phoneticPr fontId="2" type="noConversion"/>
  </si>
  <si>
    <t>KNITTED FABRIC</t>
    <phoneticPr fontId="2" type="noConversion"/>
  </si>
  <si>
    <t># 1</t>
    <phoneticPr fontId="2" type="noConversion"/>
  </si>
  <si>
    <t>** NON COMMERCIAL VALUE **</t>
  </si>
  <si>
    <t>** NON COMMERCIAL VALUE **</t>
    <phoneticPr fontId="2" type="noConversion"/>
  </si>
  <si>
    <t>9.NO and date of Credit</t>
    <phoneticPr fontId="2" type="noConversion"/>
  </si>
  <si>
    <t>RE: REF NO.183K0734-A-B2+ OLD NAVY LADIES KNIT FAL'18 STYLE 286498</t>
    <phoneticPr fontId="2" type="noConversion"/>
  </si>
  <si>
    <t>(PO NO.:KV03943)</t>
    <phoneticPr fontId="2" type="noConversion"/>
  </si>
  <si>
    <t>ROUGE VERMILLION 932</t>
    <phoneticPr fontId="2" type="noConversion"/>
  </si>
  <si>
    <t>.</t>
    <phoneticPr fontId="2" type="noConversion"/>
  </si>
  <si>
    <t>RE: REF NO.183K0735-A-B2+ OLD NAVY LADIES KNIT FAL'18 STYLE 286503</t>
    <phoneticPr fontId="2" type="noConversion"/>
  </si>
  <si>
    <t>(PO NO.:KV03915)</t>
    <phoneticPr fontId="2" type="noConversion"/>
  </si>
  <si>
    <t>BUST A MAUVE 103</t>
    <phoneticPr fontId="2" type="noConversion"/>
  </si>
  <si>
    <t>.</t>
    <phoneticPr fontId="59" type="noConversion"/>
  </si>
  <si>
    <t>17-1</t>
    <phoneticPr fontId="2" type="noConversion"/>
  </si>
  <si>
    <t>FOC</t>
    <phoneticPr fontId="2" type="noConversion"/>
  </si>
  <si>
    <t>JUST CHILL</t>
    <phoneticPr fontId="2" type="noConversion"/>
  </si>
  <si>
    <t>VN-KME-18013NCV</t>
    <phoneticPr fontId="2" type="noConversion"/>
  </si>
  <si>
    <t>#2</t>
    <phoneticPr fontId="2" type="noConversion"/>
  </si>
  <si>
    <t>14</t>
    <phoneticPr fontId="2" type="noConversion"/>
  </si>
  <si>
    <t>12</t>
    <phoneticPr fontId="2" type="noConversion"/>
  </si>
  <si>
    <t>13</t>
    <phoneticPr fontId="2" type="noConversion"/>
  </si>
  <si>
    <t>15</t>
    <phoneticPr fontId="2" type="noConversion"/>
  </si>
  <si>
    <t>16</t>
    <phoneticPr fontId="2" type="noConversion"/>
  </si>
  <si>
    <t>18-5</t>
    <phoneticPr fontId="2" type="noConversion"/>
  </si>
  <si>
    <t>19-5</t>
    <phoneticPr fontId="2" type="noConversion"/>
  </si>
  <si>
    <t>VN-KME-18014B</t>
    <phoneticPr fontId="2" type="noConversion"/>
  </si>
  <si>
    <t>20-6</t>
    <phoneticPr fontId="2" type="noConversion"/>
  </si>
  <si>
    <t>CHUNG JEA MOON</t>
    <phoneticPr fontId="2" type="noConversion"/>
  </si>
  <si>
    <t>KNITTED FABRIC</t>
    <phoneticPr fontId="2" type="noConversion"/>
  </si>
  <si>
    <t>FOC</t>
    <phoneticPr fontId="2" type="noConversion"/>
  </si>
  <si>
    <t># 1</t>
    <phoneticPr fontId="2" type="noConversion"/>
  </si>
  <si>
    <t># 1</t>
    <phoneticPr fontId="2" type="noConversion"/>
  </si>
  <si>
    <t>TT</t>
    <phoneticPr fontId="2" type="noConversion"/>
  </si>
  <si>
    <t xml:space="preserve">  Cat Lai , Vietnam</t>
    <phoneticPr fontId="2" type="noConversion"/>
  </si>
  <si>
    <t>HANSOLL TEXTILE LTD</t>
    <phoneticPr fontId="2" type="noConversion"/>
  </si>
  <si>
    <t xml:space="preserve">  HANSOLL TEXTILE BLDG., 268, SONGPA-DAERO,</t>
    <phoneticPr fontId="2" type="noConversion"/>
  </si>
  <si>
    <t xml:space="preserve">  SONGPA-GU, SEOUL, KOREA</t>
    <phoneticPr fontId="2" type="noConversion"/>
  </si>
  <si>
    <t>SW-HSIN180925</t>
    <phoneticPr fontId="2" type="noConversion"/>
  </si>
  <si>
    <t>SW-HSIN180925</t>
    <phoneticPr fontId="2" type="noConversion"/>
  </si>
  <si>
    <t>SW-HSIN180925</t>
    <phoneticPr fontId="2" type="noConversion"/>
  </si>
  <si>
    <t>65PCT POLYESTER + 35PCT RAYON, TR(65/35) 26'S/1 SINGLE JERSEY SOLID</t>
    <phoneticPr fontId="2" type="noConversion"/>
  </si>
  <si>
    <t>STYLE NO. 980/194294-001</t>
    <phoneticPr fontId="2" type="noConversion"/>
  </si>
  <si>
    <t>WIDTH : 62", WEIGHT : 170G/M2, 245G/YD</t>
    <phoneticPr fontId="2" type="noConversion"/>
  </si>
  <si>
    <t>BLACK</t>
    <phoneticPr fontId="2" type="noConversion"/>
  </si>
  <si>
    <t># 2</t>
    <phoneticPr fontId="2" type="noConversion"/>
  </si>
  <si>
    <t>FRESH BLUE</t>
    <phoneticPr fontId="2" type="noConversion"/>
  </si>
  <si>
    <t>KMTC PENANG 1805S</t>
    <phoneticPr fontId="2" type="noConversion"/>
  </si>
  <si>
    <t>Jakarta, Indonesia</t>
    <phoneticPr fontId="2" type="noConversion"/>
  </si>
  <si>
    <t># 2</t>
    <phoneticPr fontId="2" type="noConversion"/>
  </si>
  <si>
    <t>FOB.HCMC</t>
    <phoneticPr fontId="2" type="noConversion"/>
  </si>
  <si>
    <t>CONT/SEAL(1*20GP)</t>
    <phoneticPr fontId="2" type="noConversion"/>
  </si>
  <si>
    <t>SKLU1205840/980934</t>
    <phoneticPr fontId="2" type="noConversion"/>
  </si>
  <si>
    <t>Bales</t>
    <phoneticPr fontId="2" type="noConversion"/>
  </si>
  <si>
    <t>Bales</t>
    <phoneticPr fontId="2" type="noConversion"/>
  </si>
  <si>
    <t>Bales</t>
    <phoneticPr fontId="2" type="noConversion"/>
  </si>
  <si>
    <t>Bales</t>
    <phoneticPr fontId="2" type="noConversion"/>
  </si>
  <si>
    <t xml:space="preserve">  PT. SADUA INDO</t>
  </si>
  <si>
    <t>ATTN : ARYO(62-298-610-337)</t>
  </si>
  <si>
    <t>DUSUN GINTUNGAN, RT.19 RW. II DESA BUTUH, KEC, TEN GARAN,
KAB. SEMARANG, JA WA TENGAH, INDONESIA</t>
  </si>
  <si>
    <t>DUSUN GINTUNGAN, RT.19 RW. II DESA BUTUH, KEC, TEN GARAN, KAB. SEMARANG, JA WA TENGAH, INDONESIA</t>
  </si>
  <si>
    <t>DUSUN GINTUNGAN, RT.19 RW. II DESA BUTUH, KEC, TEN GARAN, KAB.
 SEMARANG, JA WA TENGAH, INDONESIA</t>
  </si>
  <si>
    <t>HO CHI MINH, VIET NAM</t>
    <phoneticPr fontId="2" type="noConversion"/>
  </si>
  <si>
    <t>P/O NO</t>
    <phoneticPr fontId="2" type="noConversion"/>
  </si>
  <si>
    <t>VN FILE NO.</t>
    <phoneticPr fontId="2" type="noConversion"/>
  </si>
  <si>
    <t xml:space="preserve">STYLE NO </t>
    <phoneticPr fontId="2" type="noConversion"/>
  </si>
  <si>
    <t xml:space="preserve">  Lai UyenTown, Bau Bang District,</t>
    <phoneticPr fontId="2" type="noConversion"/>
  </si>
  <si>
    <t>SEWANG VINA CO.,LTD</t>
    <phoneticPr fontId="2" type="noConversion"/>
  </si>
  <si>
    <t xml:space="preserve">  Lai Uyen Town, Bau Bang District,</t>
    <phoneticPr fontId="2" type="noConversion"/>
  </si>
  <si>
    <t>COLOR</t>
    <phoneticPr fontId="2" type="noConversion"/>
  </si>
  <si>
    <t>BALES</t>
    <phoneticPr fontId="2" type="noConversion"/>
  </si>
  <si>
    <t>Q'TY(KGS)</t>
    <phoneticPr fontId="2" type="noConversion"/>
  </si>
  <si>
    <t>Q'TY(YDS)</t>
    <phoneticPr fontId="2" type="noConversion"/>
  </si>
  <si>
    <t>UN/PRICE</t>
    <phoneticPr fontId="2" type="noConversion"/>
  </si>
  <si>
    <t>AMOUNT</t>
    <phoneticPr fontId="2" type="noConversion"/>
  </si>
  <si>
    <t>CPT. JAKARTA</t>
    <phoneticPr fontId="2" type="noConversion"/>
  </si>
  <si>
    <t>SW-HSIN190102-NCV</t>
    <phoneticPr fontId="2" type="noConversion"/>
  </si>
  <si>
    <t>: K01-00287530-Purch/K01-00281901-Purch</t>
    <phoneticPr fontId="2" type="noConversion"/>
  </si>
  <si>
    <t>SV18-2-0258-001/SV18-2-0285-001</t>
    <phoneticPr fontId="2" type="noConversion"/>
  </si>
  <si>
    <t>660/159233-007/660-197230-001</t>
    <phoneticPr fontId="2" type="noConversion"/>
  </si>
  <si>
    <t>STYLE NO.660/159233-007/660-197230-001</t>
    <phoneticPr fontId="2" type="noConversion"/>
  </si>
  <si>
    <t>100 PCT COTTON 30'S/1 SINGLE JERSEY SOLID</t>
    <phoneticPr fontId="2" type="noConversion"/>
  </si>
  <si>
    <t>CUTTABLE WIDTH : 70", WEIGHT :150G/M2, 244G/YD</t>
    <phoneticPr fontId="2" type="noConversion"/>
  </si>
  <si>
    <t>BLUE DEPTHS</t>
    <phoneticPr fontId="2" type="noConversion"/>
  </si>
  <si>
    <t>PANAMANIAN GOLD</t>
    <phoneticPr fontId="2" type="noConversion"/>
  </si>
  <si>
    <t>TRUE CHAMBRAY BLUE</t>
    <phoneticPr fontId="2" type="noConversion"/>
  </si>
  <si>
    <t>100 PCT COTTON CM 30S/1 Y/D FEEDER STRIPE SINGLE JERSEY</t>
    <phoneticPr fontId="2" type="noConversion"/>
  </si>
  <si>
    <t>STRIPE 1407A</t>
    <phoneticPr fontId="2" type="noConversion"/>
  </si>
  <si>
    <t>PALE MINT</t>
    <phoneticPr fontId="2" type="noConversion"/>
  </si>
  <si>
    <t>PARKER PINK</t>
    <phoneticPr fontId="2" type="noConversion"/>
  </si>
  <si>
    <t>4/5</t>
    <phoneticPr fontId="2" type="noConversion"/>
  </si>
  <si>
    <t>5</t>
    <phoneticPr fontId="2" type="noConversion"/>
  </si>
  <si>
    <t># 3</t>
    <phoneticPr fontId="2" type="noConversion"/>
  </si>
  <si>
    <t># 2</t>
    <phoneticPr fontId="2" type="noConversion"/>
  </si>
  <si>
    <t>60 PCT COTTON 40 PCT POLYESTER CVC(60/40) 30S/1 SLUB SINGLE JERSEY</t>
    <phoneticPr fontId="2" type="noConversion"/>
  </si>
  <si>
    <t>CUTTABLE WIDTH : 70", WEIGHT :150G/M2, 244G/YD</t>
    <phoneticPr fontId="2" type="noConversion"/>
  </si>
  <si>
    <t>FX5194</t>
    <phoneticPr fontId="2" type="noConversion"/>
  </si>
  <si>
    <t xml:space="preserve">COMMERCIAL INVOICE  </t>
    <phoneticPr fontId="3" type="noConversion"/>
  </si>
  <si>
    <t>8.No and date of invoice</t>
    <phoneticPr fontId="2" type="noConversion"/>
  </si>
  <si>
    <t xml:space="preserve"> TEL: +84-274-2221982-83  FAX: +84-274-2221984  </t>
  </si>
  <si>
    <t>FILE VN  :</t>
  </si>
  <si>
    <t>DESCRIPTION OF GOODS</t>
  </si>
  <si>
    <t>NO</t>
  </si>
  <si>
    <t>KNITTED FABRIC</t>
  </si>
  <si>
    <t xml:space="preserve">STYLE </t>
  </si>
  <si>
    <t>Quantity 
(KG)</t>
  </si>
  <si>
    <t>Quantity 
(Yard)</t>
  </si>
  <si>
    <t xml:space="preserve"> Unit price
(USD) /  Yard</t>
  </si>
  <si>
    <t>Amount 
(USD)</t>
  </si>
  <si>
    <t>SEWANG VINA CO., LTD</t>
  </si>
  <si>
    <t>I</t>
  </si>
  <si>
    <t xml:space="preserve">PACKING LIST  </t>
    <phoneticPr fontId="3" type="noConversion"/>
  </si>
  <si>
    <t>LOT</t>
  </si>
  <si>
    <t>Net.W (KGS)</t>
  </si>
  <si>
    <t>AMERICAN NAVY-BSD</t>
  </si>
  <si>
    <t>KGS</t>
    <phoneticPr fontId="2" type="noConversion"/>
  </si>
  <si>
    <t>KGS</t>
    <phoneticPr fontId="2" type="noConversion"/>
  </si>
  <si>
    <t>KGS</t>
    <phoneticPr fontId="2" type="noConversion"/>
  </si>
  <si>
    <t>KGS</t>
  </si>
  <si>
    <t>#4</t>
  </si>
  <si>
    <t>COLOR</t>
    <phoneticPr fontId="3" type="noConversion"/>
  </si>
  <si>
    <t>Q'TY(YDS)</t>
    <phoneticPr fontId="3" type="noConversion"/>
  </si>
  <si>
    <t>N.W(KGS)</t>
    <phoneticPr fontId="3" type="noConversion"/>
  </si>
  <si>
    <t>G.W(KGS)</t>
    <phoneticPr fontId="3" type="noConversion"/>
  </si>
  <si>
    <t>DUSTED CLAY-BSD</t>
  </si>
  <si>
    <t>KGS</t>
    <phoneticPr fontId="2" type="noConversion"/>
  </si>
  <si>
    <t>2</t>
  </si>
  <si>
    <t>KGS</t>
    <phoneticPr fontId="2" type="noConversion"/>
  </si>
  <si>
    <t>3</t>
  </si>
  <si>
    <t>KGS</t>
    <phoneticPr fontId="2" type="noConversion"/>
  </si>
  <si>
    <t>5</t>
  </si>
  <si>
    <t>#5</t>
  </si>
  <si>
    <t>COLOR</t>
    <phoneticPr fontId="3" type="noConversion"/>
  </si>
  <si>
    <t>Q'TY(YDS)</t>
    <phoneticPr fontId="3" type="noConversion"/>
  </si>
  <si>
    <t>N.W(KGS)</t>
    <phoneticPr fontId="3" type="noConversion"/>
  </si>
  <si>
    <t>G.W(KGS)</t>
    <phoneticPr fontId="3" type="noConversion"/>
  </si>
  <si>
    <t>COLOR</t>
    <phoneticPr fontId="3" type="noConversion"/>
  </si>
  <si>
    <t>Q'TY(YDS)</t>
    <phoneticPr fontId="3" type="noConversion"/>
  </si>
  <si>
    <t>N.W(KGS)</t>
    <phoneticPr fontId="3" type="noConversion"/>
  </si>
  <si>
    <t>BRILLIANT TEAL-BSD</t>
  </si>
  <si>
    <t>KGS</t>
    <phoneticPr fontId="2" type="noConversion"/>
  </si>
  <si>
    <t>#6</t>
  </si>
  <si>
    <t>COLOR</t>
    <phoneticPr fontId="3" type="noConversion"/>
  </si>
  <si>
    <t>G.W(KGS)</t>
    <phoneticPr fontId="3" type="noConversion"/>
  </si>
  <si>
    <t>NEON BERRY</t>
  </si>
  <si>
    <t>BC09 S/D</t>
  </si>
  <si>
    <t>26</t>
  </si>
  <si>
    <t>SEASON: SPRING 2019, PPK NO. 122660-840 / SUB-LOT: 840-3083 CAT(1) (AC-5574C-CAT(1))</t>
    <phoneticPr fontId="3" type="noConversion"/>
  </si>
  <si>
    <t>COMPOSITION: 65PCT POLYESTER 35PCT RAYON JERSEY</t>
    <phoneticPr fontId="3" type="noConversion"/>
  </si>
  <si>
    <t>WIDTH: 64"  WEIGHT: 150GM/M2</t>
    <phoneticPr fontId="3" type="noConversion"/>
  </si>
  <si>
    <t>COLOR</t>
    <phoneticPr fontId="3" type="noConversion"/>
  </si>
  <si>
    <t>N.W(KGS)</t>
    <phoneticPr fontId="3" type="noConversion"/>
  </si>
  <si>
    <t>G.W(KGS)</t>
    <phoneticPr fontId="3" type="noConversion"/>
  </si>
  <si>
    <t>CYBER RED</t>
    <phoneticPr fontId="2" type="noConversion"/>
  </si>
  <si>
    <t>34</t>
  </si>
  <si>
    <t>KGS</t>
    <phoneticPr fontId="2" type="noConversion"/>
  </si>
  <si>
    <t>SEASON: SPRING 2019, PPK NO. 122660-840 / SUB-LOT: 840-3083 CAT(2) (AC-5574C-CAT(2))</t>
    <phoneticPr fontId="3" type="noConversion"/>
  </si>
  <si>
    <t>COMPOSITION: 65PCT POLYESTER 35PCT RAYON JERSEY</t>
    <phoneticPr fontId="3" type="noConversion"/>
  </si>
  <si>
    <t>WIDTH: 64"  WEIGHT: 150GM/M2</t>
    <phoneticPr fontId="3" type="noConversion"/>
  </si>
  <si>
    <t>N.W(KGS)</t>
    <phoneticPr fontId="3" type="noConversion"/>
  </si>
  <si>
    <t>G.W(KGS)</t>
    <phoneticPr fontId="3" type="noConversion"/>
  </si>
  <si>
    <t>CYBER RED</t>
  </si>
  <si>
    <t>SEASON: SPRING 2019, PPK NO. 122660-240 / SUB-LOT: 240-1018,1019,1020,1021 CAT(1) (AC-5575C-CAT(1))</t>
    <phoneticPr fontId="3" type="noConversion"/>
  </si>
  <si>
    <t>WIDTH: 64"  WEIGHT: 150GM/M2</t>
    <phoneticPr fontId="3" type="noConversion"/>
  </si>
  <si>
    <t>CONTRACT NO.: SW2018-AT002-VN</t>
    <phoneticPr fontId="3" type="noConversion"/>
  </si>
  <si>
    <t>SEASON: SPRING 2019, PPK NO. 195874-240 / SUB-LOT: 240-1008,1010,1015 CAT(1) (AC-5573C-CAT(1))</t>
    <phoneticPr fontId="3" type="noConversion"/>
  </si>
  <si>
    <t>SEASON: SPRING 2019, PPK NO. 195874-760 / SUB-LOT: 760-4142 CAT(1) (AC-5578C-CAT(1))</t>
    <phoneticPr fontId="3" type="noConversion"/>
  </si>
  <si>
    <t>COMPOSITION: 65PCT POLYESTER 35PCT RAYON JERSEY</t>
    <phoneticPr fontId="3" type="noConversion"/>
  </si>
  <si>
    <t>WIDTH: 64"  WEIGHT: 150GM/M2</t>
    <phoneticPr fontId="3" type="noConversion"/>
  </si>
  <si>
    <t>Q'TY(YDS)</t>
    <phoneticPr fontId="3" type="noConversion"/>
  </si>
  <si>
    <t>N.W(KGS)</t>
    <phoneticPr fontId="3" type="noConversion"/>
  </si>
  <si>
    <t>G.W(KGS)</t>
    <phoneticPr fontId="3" type="noConversion"/>
  </si>
  <si>
    <t>KGS</t>
    <phoneticPr fontId="2" type="noConversion"/>
  </si>
  <si>
    <t>Q'TY(YDS)</t>
    <phoneticPr fontId="3" type="noConversion"/>
  </si>
  <si>
    <t>N.W(KGS)</t>
    <phoneticPr fontId="3" type="noConversion"/>
  </si>
  <si>
    <t>G.W(KGS)</t>
    <phoneticPr fontId="3" type="noConversion"/>
  </si>
  <si>
    <t>FUSHION BLUE</t>
  </si>
  <si>
    <t>17</t>
  </si>
  <si>
    <t>KGS</t>
    <phoneticPr fontId="2" type="noConversion"/>
  </si>
  <si>
    <t>CONTRACT NO.: SW2018-AT001-VN</t>
    <phoneticPr fontId="3" type="noConversion"/>
  </si>
  <si>
    <t>SEASON: SPRING 2019, PPK NO. 195874-840 / SUB-LOT: 840-3077 3RD (AC-5570-3RD)</t>
    <phoneticPr fontId="3" type="noConversion"/>
  </si>
  <si>
    <t>COMPOSITION: 65PCT POLYESTER 35PCT RAYON JERSEY</t>
    <phoneticPr fontId="3" type="noConversion"/>
  </si>
  <si>
    <t>WIDTH: 64"  WEIGHT: 150GM/M2</t>
    <phoneticPr fontId="3" type="noConversion"/>
  </si>
  <si>
    <t>COLOR</t>
    <phoneticPr fontId="3" type="noConversion"/>
  </si>
  <si>
    <t>BLACK</t>
  </si>
  <si>
    <t>29</t>
  </si>
  <si>
    <t>11-5</t>
  </si>
  <si>
    <t>KGS</t>
    <phoneticPr fontId="2" type="noConversion"/>
  </si>
  <si>
    <t>SEASON: SPRING 2019, PPK NO. 195874-840 / SUB-LOT: 840-3077 1ST, SM1 (AC-5570-1ST)</t>
    <phoneticPr fontId="3" type="noConversion"/>
  </si>
  <si>
    <t>COMPOSITION: 65PCT POLYESTER 35PCT RAYON JERSEY</t>
    <phoneticPr fontId="3" type="noConversion"/>
  </si>
  <si>
    <t>WIDTH: 64"  WEIGHT: 150GM/M2</t>
    <phoneticPr fontId="3" type="noConversion"/>
  </si>
  <si>
    <t>27</t>
  </si>
  <si>
    <t>KGS</t>
    <phoneticPr fontId="2" type="noConversion"/>
  </si>
  <si>
    <t>28</t>
  </si>
  <si>
    <t>KGS</t>
    <phoneticPr fontId="2" type="noConversion"/>
  </si>
  <si>
    <t>KGS</t>
    <phoneticPr fontId="2" type="noConversion"/>
  </si>
  <si>
    <t>KGS</t>
    <phoneticPr fontId="2" type="noConversion"/>
  </si>
  <si>
    <t>KGS</t>
    <phoneticPr fontId="2" type="noConversion"/>
  </si>
  <si>
    <t>12</t>
  </si>
  <si>
    <t>16</t>
  </si>
  <si>
    <t>KGS</t>
    <phoneticPr fontId="2" type="noConversion"/>
  </si>
  <si>
    <t>KGS</t>
    <phoneticPr fontId="2" type="noConversion"/>
  </si>
  <si>
    <t>SEASON: SPRING 2019, PPK NO. 195874-840 / SUB-LOT: 840-3077 2ND (AC-5570-2ND)</t>
    <phoneticPr fontId="3" type="noConversion"/>
  </si>
  <si>
    <t>COMPOSITION: 65PCT POLYESTER 35PCT RAYON JERSEY</t>
    <phoneticPr fontId="3" type="noConversion"/>
  </si>
  <si>
    <t>COLOR</t>
    <phoneticPr fontId="3" type="noConversion"/>
  </si>
  <si>
    <t>Q'TY(YDS)</t>
    <phoneticPr fontId="3" type="noConversion"/>
  </si>
  <si>
    <t>N.W(KGS)</t>
    <phoneticPr fontId="3" type="noConversion"/>
  </si>
  <si>
    <t>G.W(KGS)</t>
    <phoneticPr fontId="3" type="noConversion"/>
  </si>
  <si>
    <t>13</t>
  </si>
  <si>
    <t>SEASON: SPRING 2019, PPK NO. 195874-840 / SUB-LOT: 840-3077 4TH (AC-5570-4TH)</t>
    <phoneticPr fontId="3" type="noConversion"/>
  </si>
  <si>
    <t>COMPOSITION: 65PCT POLYESTER 35PCT RAYON JERSEY</t>
    <phoneticPr fontId="3" type="noConversion"/>
  </si>
  <si>
    <t>WIDTH: 64"  WEIGHT: 150GM/M2</t>
    <phoneticPr fontId="3" type="noConversion"/>
  </si>
  <si>
    <t>Q'TY(YDS)</t>
    <phoneticPr fontId="3" type="noConversion"/>
  </si>
  <si>
    <t>15</t>
  </si>
  <si>
    <t>SEASON: SPRING 2019, PPK NO. 195874-840 / SUB-LOT: 840-3077 CAT(1) (AC-5570C-CAT(1))</t>
    <phoneticPr fontId="3" type="noConversion"/>
  </si>
  <si>
    <t>COMPOSITION: 65PCT POLYESTER 35PCT RAYON JERSEY</t>
    <phoneticPr fontId="3" type="noConversion"/>
  </si>
  <si>
    <t>WIDTH: 64"  WEIGHT: 150GM/M2</t>
    <phoneticPr fontId="3" type="noConversion"/>
  </si>
  <si>
    <t>COLOR</t>
    <phoneticPr fontId="3" type="noConversion"/>
  </si>
  <si>
    <t>Q'TY(YDS)</t>
    <phoneticPr fontId="3" type="noConversion"/>
  </si>
  <si>
    <t>N.W(KGS)</t>
    <phoneticPr fontId="3" type="noConversion"/>
  </si>
  <si>
    <t>SEASON: SPRING 2019, PPK NO. 195874-840 / SUB-LOT: 840-3077 CAT(2) (AC-5570C-CAT(2))</t>
    <phoneticPr fontId="3" type="noConversion"/>
  </si>
  <si>
    <t>COMPOSITION: 65PCT POLYESTER 35PCT RAYON JERSEY</t>
    <phoneticPr fontId="3" type="noConversion"/>
  </si>
  <si>
    <t>WIDTH: 64"  WEIGHT: 150GM/M2</t>
    <phoneticPr fontId="3" type="noConversion"/>
  </si>
  <si>
    <t>COLOR</t>
    <phoneticPr fontId="3" type="noConversion"/>
  </si>
  <si>
    <t>Q'TY(YDS)</t>
    <phoneticPr fontId="3" type="noConversion"/>
  </si>
  <si>
    <t>Signed by</t>
    <phoneticPr fontId="3" type="noConversion"/>
  </si>
  <si>
    <t>HANSOLL TEXTILE LTD</t>
    <phoneticPr fontId="2" type="noConversion"/>
  </si>
  <si>
    <t xml:space="preserve">  HANSOLL TEXTILE BLDG., 268, SONGPA-DAERO,</t>
    <phoneticPr fontId="2" type="noConversion"/>
  </si>
  <si>
    <t xml:space="preserve">  SONGPA-GU, SEOUL, KOREA</t>
    <phoneticPr fontId="2" type="noConversion"/>
  </si>
  <si>
    <t xml:space="preserve">  PT. HANDSOME</t>
    <phoneticPr fontId="2" type="noConversion"/>
  </si>
  <si>
    <t>KP. CIELA RT.01 RW.01 DS. WANAKERTA KEC.
PURWADADI KAB. SUBANG, JAWA BARAT, INDONESIA</t>
    <phoneticPr fontId="2" type="noConversion"/>
  </si>
  <si>
    <t>TEL. : 62-260-460-690 FAX. : 62-260-462-086</t>
    <phoneticPr fontId="2" type="noConversion"/>
  </si>
  <si>
    <t>* COUNTRY OF ORIGIN : Vietnam</t>
    <phoneticPr fontId="2" type="noConversion"/>
  </si>
  <si>
    <t>9.Term of payment</t>
    <phoneticPr fontId="2" type="noConversion"/>
  </si>
  <si>
    <t xml:space="preserve">7.Sailing on boat </t>
    <phoneticPr fontId="2" type="noConversion"/>
  </si>
  <si>
    <t>S/#: AS ROLL STICKER</t>
    <phoneticPr fontId="3" type="noConversion"/>
  </si>
  <si>
    <t>ITEM: AS ROLL STICKER</t>
    <phoneticPr fontId="3" type="noConversion"/>
  </si>
  <si>
    <t>COLOR: AS ROLL STICKER</t>
    <phoneticPr fontId="3" type="noConversion"/>
  </si>
  <si>
    <t>ORDER WIDTH: AS ROLL STICKER</t>
    <phoneticPr fontId="3" type="noConversion"/>
  </si>
  <si>
    <t>LOT: AS ROLL STICKER</t>
    <phoneticPr fontId="3" type="noConversion"/>
  </si>
  <si>
    <t>R/NO: AS ROLL STICKER</t>
    <phoneticPr fontId="3" type="noConversion"/>
  </si>
  <si>
    <t>FINISH WEIGHT: AS ROLL STICKER</t>
    <phoneticPr fontId="3" type="noConversion"/>
  </si>
  <si>
    <t>LENGTH: AS ROLL STICKER</t>
    <phoneticPr fontId="3" type="noConversion"/>
  </si>
  <si>
    <t>CUT: AS ROLL STICKER</t>
    <phoneticPr fontId="3" type="noConversion"/>
  </si>
  <si>
    <t>Gross Weight</t>
    <phoneticPr fontId="2" type="noConversion"/>
  </si>
  <si>
    <t>Lot</t>
    <phoneticPr fontId="2" type="noConversion"/>
  </si>
  <si>
    <t xml:space="preserve">No : </t>
  </si>
  <si>
    <t>Date :</t>
  </si>
  <si>
    <t xml:space="preserve">Today, </t>
  </si>
  <si>
    <t>at SEWANG VINA’s office, we are include:</t>
  </si>
  <si>
    <t>POSITION:</t>
  </si>
  <si>
    <t xml:space="preserve">After negotiation and discussion, all the parties have agreed to sign this contract with terms and condition as follows: </t>
  </si>
  <si>
    <t>No</t>
  </si>
  <si>
    <t>Description</t>
  </si>
  <si>
    <t xml:space="preserve">Q'TY                </t>
  </si>
  <si>
    <t>YARD</t>
  </si>
  <si>
    <t>KG</t>
  </si>
  <si>
    <t>ARTICLE II : DELIVERY</t>
  </si>
  <si>
    <t>PARTIAL SHIPMENT IS ALLOWED</t>
  </si>
  <si>
    <t xml:space="preserve">: FLAT PACKED </t>
  </si>
  <si>
    <t>TRANSPORTATION</t>
  </si>
  <si>
    <t>ARTICLE III : PAYMENT TERM</t>
  </si>
  <si>
    <t>PAYMENT</t>
  </si>
  <si>
    <t>THE CURRENCY FOR PAYMENT WILL BE USD.</t>
  </si>
  <si>
    <t xml:space="preserve">BENEFICIARY : </t>
  </si>
  <si>
    <t>BANK :</t>
  </si>
  <si>
    <t>SWIFT CODE : </t>
  </si>
  <si>
    <t xml:space="preserve"> ACC NO</t>
  </si>
  <si>
    <t>USD 700-008-419560</t>
  </si>
  <si>
    <t>8.No and date of invoice</t>
  </si>
  <si>
    <t>2.Buyer / For Account and Risk of Messrs</t>
  </si>
  <si>
    <t xml:space="preserve">  PT. HANDSOME</t>
  </si>
  <si>
    <t>KP. CIELA RT.01 RW.01 DS. WANAKERTA KEC.
PURWADADI KAB. SUBANG, JAWA BARAT, INDONESIA</t>
  </si>
  <si>
    <t>TEL. : 62-260-460-690 FAX. : 62-260-462-086</t>
  </si>
  <si>
    <t>Quantity 
(Bale)</t>
  </si>
  <si>
    <t>Sea A Bldg, 429 Yeongdong- Dearo, Gangnam- Gu, Seoul, Korea</t>
  </si>
  <si>
    <t>AGREEMENT</t>
  </si>
  <si>
    <t>POSITION :</t>
  </si>
  <si>
    <t>DIRECTOR</t>
  </si>
  <si>
    <t>Consignee &amp; Notity : SAE-A TRADING CO. LTD</t>
  </si>
  <si>
    <t>TEL 82-2-6252-7121/  Fax:  82-2-6252-7011</t>
    <phoneticPr fontId="85" type="noConversion"/>
  </si>
  <si>
    <t xml:space="preserve">REPRESENTED BY MR.J.S.HA        </t>
    <phoneticPr fontId="103" type="noConversion"/>
  </si>
  <si>
    <t>DIRECTOR</t>
    <phoneticPr fontId="104" type="noConversion"/>
  </si>
  <si>
    <t>Receiver : HAIANHTEX JOINT STOCK COMPANY</t>
  </si>
  <si>
    <t>BA DONG-BINH MINH-BINH GIANG-HAI DUONG-VIET NAM</t>
  </si>
  <si>
    <t>Tax code: 0800447164</t>
  </si>
  <si>
    <t>REPRESENTED BY MR. VU XUAN HAI</t>
  </si>
  <si>
    <t>ARTICLE I: COMMODITY, QUANTITY, PRICE</t>
  </si>
  <si>
    <t>SALE PRICE                     ( USD/YARD)</t>
  </si>
  <si>
    <t xml:space="preserve">SALE AMOUNT ( USD )                  </t>
    <phoneticPr fontId="2" type="noConversion"/>
  </si>
  <si>
    <t>TOTAL</t>
    <phoneticPr fontId="3" type="noConversion"/>
  </si>
  <si>
    <t>PACKING</t>
    <phoneticPr fontId="3" type="noConversion"/>
  </si>
  <si>
    <t>SHIP TO</t>
    <phoneticPr fontId="3" type="noConversion"/>
  </si>
  <si>
    <t xml:space="preserve"> BUYER</t>
    <phoneticPr fontId="2" type="noConversion"/>
  </si>
  <si>
    <t>SEWANG VINA CO., LTD</t>
    <phoneticPr fontId="2" type="noConversion"/>
  </si>
  <si>
    <t xml:space="preserve">Party A: SEWANG TEXTILE CO., LTD  have to take responsibility for paying PROCESSING FEE </t>
  </si>
  <si>
    <t>ALL BANKING CHARGE ARE FOR ACCOUNT OF BENEFICIARY</t>
  </si>
  <si>
    <t>SHINHAN BANK VIETNAM-BINH DUONG BRANCH</t>
  </si>
  <si>
    <t>SHBKVNVX</t>
  </si>
  <si>
    <t xml:space="preserve">Appertain on Processing Contract  No </t>
  </si>
  <si>
    <t>PROCESSING 
PRICE
(USD/KG)</t>
  </si>
  <si>
    <t>PROCESSING 
AMOUNT
(USD)</t>
  </si>
  <si>
    <t>1.Seller</t>
    <phoneticPr fontId="2" type="noConversion"/>
  </si>
  <si>
    <t xml:space="preserve">  SEWANG TEXTILE CO., LTD.</t>
    <phoneticPr fontId="2" type="noConversion"/>
  </si>
  <si>
    <t xml:space="preserve">  TEL: 82 2 546 6066  FAX: 82 2 546 1134</t>
  </si>
  <si>
    <t xml:space="preserve"> SEWANG VINA CO. LTD.</t>
    <phoneticPr fontId="2" type="noConversion"/>
  </si>
  <si>
    <t>2.Buyer / For Account and Risk of Messrs</t>
    <phoneticPr fontId="2" type="noConversion"/>
  </si>
  <si>
    <t>4.Consignee &amp; Notity</t>
  </si>
  <si>
    <t>PARTY B :   SEWANG VINA CO., LTD</t>
  </si>
  <si>
    <t xml:space="preserve">TEL: 82 2 546 0066 FAX: 82 2 546 1134 </t>
  </si>
  <si>
    <t>REPRESENTED BY MR. CHOI JAE RAK</t>
  </si>
  <si>
    <t>3.Processer of Seller/ Exporter</t>
    <phoneticPr fontId="2" type="noConversion"/>
  </si>
  <si>
    <t>JAKARTA, INDONESIA</t>
    <phoneticPr fontId="2" type="noConversion"/>
  </si>
  <si>
    <t>Processing Price
(USD/KG)</t>
    <phoneticPr fontId="2" type="noConversion"/>
  </si>
  <si>
    <t>Processign Amount
(USD)</t>
    <phoneticPr fontId="2" type="noConversion"/>
  </si>
  <si>
    <t>MTR</t>
    <phoneticPr fontId="2" type="noConversion"/>
  </si>
  <si>
    <t>MTR</t>
    <phoneticPr fontId="2" type="noConversion"/>
  </si>
  <si>
    <t>* COUNTRY OF ORIGIN : VIETNAM</t>
    <phoneticPr fontId="2" type="noConversion"/>
  </si>
  <si>
    <t>PARTY A</t>
    <phoneticPr fontId="2" type="noConversion"/>
  </si>
  <si>
    <t>Party A: SEWANG TEXTILE CO., LTD</t>
    <phoneticPr fontId="2" type="noConversion"/>
  </si>
  <si>
    <t>SEWANG TEXTILE CO., LTD</t>
    <phoneticPr fontId="2" type="noConversion"/>
  </si>
  <si>
    <t>TT</t>
    <phoneticPr fontId="2" type="noConversion"/>
  </si>
  <si>
    <t>KWON YEOKYUNG</t>
  </si>
  <si>
    <t>REPRESENTED BY MR. KWON YEOKYUNG</t>
  </si>
  <si>
    <t xml:space="preserve">IMPORT EXPORT MANAGER </t>
  </si>
  <si>
    <t>VESSEL</t>
  </si>
  <si>
    <t>DAEHWA B/D, 10,YEONGDONG-DAERO 112-GIL,</t>
    <phoneticPr fontId="2" type="noConversion"/>
  </si>
  <si>
    <t>GANGNAM-GU, SEOUL, 06083, KOREA</t>
    <phoneticPr fontId="2" type="noConversion"/>
  </si>
  <si>
    <t>STYLE  :</t>
    <phoneticPr fontId="2" type="noConversion"/>
  </si>
  <si>
    <t>FILE NO  :</t>
    <phoneticPr fontId="2" type="noConversion"/>
  </si>
  <si>
    <t xml:space="preserve">The cargo is  a transitional sourcing products of  Processing Contract no </t>
  </si>
  <si>
    <t xml:space="preserve">between SEWANG TEXTILE CO., LTD </t>
  </si>
  <si>
    <t>with SEWANG VINA CO., LTD</t>
  </si>
  <si>
    <t xml:space="preserve">FOB HO CHI MINH </t>
    <phoneticPr fontId="2" type="noConversion"/>
  </si>
  <si>
    <t>HOCHIMINH , VIETNAM</t>
    <phoneticPr fontId="2" type="noConversion"/>
  </si>
  <si>
    <t xml:space="preserve">with delivery term is </t>
  </si>
  <si>
    <t>FOB HO CHI MINH</t>
  </si>
  <si>
    <t xml:space="preserve"> LOT B_3A_CN, LOT B_2B_CN,LOT B_1C_CN, BAU BANG INDUSTRIAL PARK, </t>
  </si>
  <si>
    <t>BAU BANG COMMUNE, HOCHIMINH CITY, VIETNAM</t>
  </si>
  <si>
    <t xml:space="preserve">PT NIRWANA ALABARE GARMENT </t>
  </si>
  <si>
    <t>JL. RAYA RANCAEKEK-MAJALAYA NO.289, DESA SOLOKAN JERUK,</t>
  </si>
  <si>
    <t>KECAMATAN SOLOKAN JERUK,</t>
  </si>
  <si>
    <t>KABUPATEN BANDUNG JAWA BARAT 40382, INDONESIA</t>
  </si>
  <si>
    <t>NPWP.74.540.692.6-444.000</t>
  </si>
  <si>
    <t>Tel 6222-85962076</t>
  </si>
  <si>
    <t>EPOCH LAY ENTERPRISE LTD</t>
  </si>
  <si>
    <t>6A, JALAN HARMONIUM 35/2, TAMAN DESA TERBAU</t>
  </si>
  <si>
    <t>81100 JOHOR BAHRU, JOHOR, MALAYSIA</t>
  </si>
  <si>
    <t>TEL: (+607) 8613568 FAX: (+607) 8614568</t>
  </si>
  <si>
    <t xml:space="preserve">Party B (SEWANG VINA CO., LTD) will deliver to Consignee of Party A: PT NIRWANA ALABARE GARMENT </t>
  </si>
  <si>
    <t>at:  JL. RAYA RANCAEKEK-MAJALAYA NO.289, DESA SOLOKAN JERUK,KECAMATAN SOLOKAN JERUK,</t>
  </si>
  <si>
    <t>Consignee of Party A-PT NIRWANA ALABARE GARMENT  only recieves the cargo and doesn’t have to take responsibility for paying sale's amount</t>
  </si>
  <si>
    <t>CHAIRMAN</t>
  </si>
  <si>
    <t>PO NO</t>
  </si>
  <si>
    <t>FOC</t>
  </si>
  <si>
    <t>SW-PTNI-260828-P</t>
    <phoneticPr fontId="2" type="noConversion"/>
  </si>
  <si>
    <t>GREEN PACIFIC 2624S</t>
    <phoneticPr fontId="2" type="noConversion"/>
  </si>
  <si>
    <t>PARROT CORAL(265E0123 A/A4/AA RS)</t>
  </si>
  <si>
    <t>PARROT CORAL(265E0123 B/B4/BA RS)</t>
  </si>
  <si>
    <t>PARROT CORAL(265E0124 A/A4 PS)</t>
  </si>
  <si>
    <t>PARROT CORAL(265E0124 B4 PS)</t>
  </si>
  <si>
    <t>265E0123/0124 WC7SK033RS/PS(2-8-29)</t>
    <phoneticPr fontId="2" type="noConversion"/>
  </si>
  <si>
    <t>EPD 00075</t>
    <phoneticPr fontId="2" type="noConversion"/>
  </si>
  <si>
    <t>100% COTTON BCI CM 40/1  INTERLOCK, WIDTH: 66/68", WEIGHT: 195G/M2</t>
    <phoneticPr fontId="2" type="noConversion"/>
  </si>
  <si>
    <t>265E0123/0124 WC7SK033RS/PS(2-8-29)</t>
    <phoneticPr fontId="2" type="noConversion"/>
  </si>
  <si>
    <t>SW26-2-0008-029</t>
  </si>
  <si>
    <t>SW2620008029</t>
  </si>
  <si>
    <t>265E0123/0124 WC7SK033RS/PS(2-8-29)</t>
    <phoneticPr fontId="2" type="noConversion"/>
  </si>
  <si>
    <t>SWVN-2026-10</t>
    <phoneticPr fontId="2" type="noConversion"/>
  </si>
  <si>
    <t>CONT: UETU 5971757 // SEAL: SITR742681 * 40'</t>
    <phoneticPr fontId="2" type="noConversion"/>
  </si>
  <si>
    <t>2/3/4/4-1Y/5C/5C-1Y</t>
  </si>
  <si>
    <t>11/11-1Y/13C/13C-1Y</t>
  </si>
  <si>
    <t>6/7/8C/8C-1Y</t>
  </si>
  <si>
    <t>14C/14C-1Y</t>
  </si>
  <si>
    <t>13C</t>
  </si>
  <si>
    <t>8C</t>
  </si>
  <si>
    <t>14C</t>
  </si>
  <si>
    <t>100% COTTON BCI CM 40/1  INTERLOCK, WIDTH: 66/68", WEIGHT: 195G/M2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</si>
</sst>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2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* #,##0.00_-;\-* #,##0.00_-;_-* &quot;-&quot;_-;_-@_-"/>
    <numFmt numFmtId="166" formatCode="#,##0.0_);[Red]\(#,##0.0\)"/>
    <numFmt numFmtId="167" formatCode="dd&quot;-&quot;mmm&quot;-&quot;yy"/>
    <numFmt numFmtId="168" formatCode="[$-409]mmmm\ d\,\ yyyy;@"/>
    <numFmt numFmtId="169" formatCode="#,##0.0&quot;LBS&quot;"/>
    <numFmt numFmtId="170" formatCode="#,##0.0&quot;YDS&quot;"/>
    <numFmt numFmtId="171" formatCode="&quot;US$&quot;#,##0.00_);[Red]\(&quot;US$&quot;#,##0.00\)"/>
    <numFmt numFmtId="172" formatCode="#,##0.0_ "/>
    <numFmt numFmtId="173" formatCode="0.0_);[Red]\(0.0\)"/>
    <numFmt numFmtId="174" formatCode="0.0_ "/>
    <numFmt numFmtId="175" formatCode="#,##0.0\ &quot;KGS&quot;"/>
    <numFmt numFmtId="176" formatCode="#,##0\ &quot;Rolls&quot;"/>
    <numFmt numFmtId="177" formatCode="#,##0.00_);\-#,##0.00"/>
    <numFmt numFmtId="178" formatCode="#,##0.00&quot;LBS&quot;"/>
    <numFmt numFmtId="179" formatCode="#,##0.00\ &quot;KGS&quot;"/>
    <numFmt numFmtId="180" formatCode="#,##0.00&quot;YDS&quot;"/>
    <numFmt numFmtId="181" formatCode="0.000"/>
    <numFmt numFmtId="182" formatCode="0.0"/>
    <numFmt numFmtId="183" formatCode="#,##0\ &quot;Bales&quot;"/>
    <numFmt numFmtId="184" formatCode="#,##0\ &quot;KG&quot;"/>
    <numFmt numFmtId="185" formatCode="0_);[Red]\(0\)"/>
    <numFmt numFmtId="186" formatCode="[$-409]d&quot;-&quot;mmm&quot;-&quot;yy;@"/>
    <numFmt numFmtId="187" formatCode="_-[$$-409]* #,##0.00_ ;_-[$$-409]* \-#,##0.00\ ;_-[$$-409]* &quot;-&quot;??_ ;_-@_ "/>
    <numFmt numFmtId="188" formatCode="&quot;US$&quot;#,##0.0000_);[Red]\(&quot;US$&quot;#,##0.0000\)"/>
    <numFmt numFmtId="189" formatCode="[$-409]d\-mmm\-yy;@"/>
    <numFmt numFmtId="190" formatCode="&quot;$&quot;#,##0.00"/>
    <numFmt numFmtId="191" formatCode="_-* #,##0.000_-;\-* #,##0.000_-;_-* &quot;-&quot;_-;_-@_-"/>
    <numFmt numFmtId="192" formatCode="&quot;$&quot;#,##0.000"/>
    <numFmt numFmtId="193" formatCode="[$-409]d/mmm/yy;@"/>
  </numFmts>
  <fonts count="115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7"/>
      <name val="Arial Narrow"/>
      <family val="2"/>
    </font>
    <font>
      <sz val="9"/>
      <name val="Arial Narrow"/>
      <family val="2"/>
    </font>
    <font>
      <b/>
      <sz val="9"/>
      <name val="Arial Narrow"/>
      <family val="2"/>
    </font>
    <font>
      <sz val="11"/>
      <name val="Arial Narrow"/>
      <family val="2"/>
    </font>
    <font>
      <sz val="8"/>
      <name val="Arial Narrow"/>
      <family val="2"/>
    </font>
    <font>
      <sz val="10"/>
      <name val="Arial Narrow"/>
      <family val="2"/>
    </font>
    <font>
      <sz val="10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Arial"/>
      <family val="2"/>
    </font>
    <font>
      <sz val="10"/>
      <name val="Times New Roman"/>
      <family val="1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2"/>
      <name val="新細明體"/>
      <family val="1"/>
      <charset val="136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2"/>
      <name val="바탕체"/>
      <family val="1"/>
      <charset val="129"/>
    </font>
    <font>
      <sz val="12"/>
      <name val="宋体"/>
      <family val="3"/>
      <charset val="129"/>
    </font>
    <font>
      <sz val="9"/>
      <name val="굴림"/>
      <family val="3"/>
      <charset val="129"/>
    </font>
    <font>
      <sz val="8"/>
      <name val="맑은 고딕"/>
      <family val="3"/>
      <charset val="129"/>
    </font>
    <font>
      <sz val="11"/>
      <color theme="1"/>
      <name val="Calibri"/>
      <family val="3"/>
      <charset val="129"/>
      <scheme val="minor"/>
    </font>
    <font>
      <u/>
      <sz val="10"/>
      <color theme="10"/>
      <name val="Arial"/>
      <family val="2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sz val="9"/>
      <color theme="1"/>
      <name val="Arial Narrow"/>
      <family val="2"/>
    </font>
    <font>
      <sz val="9"/>
      <name val="Calibri"/>
      <family val="3"/>
      <charset val="129"/>
      <scheme val="minor"/>
    </font>
    <font>
      <b/>
      <sz val="9"/>
      <name val="Calibri"/>
      <family val="3"/>
      <charset val="129"/>
      <scheme val="minor"/>
    </font>
    <font>
      <b/>
      <sz val="20"/>
      <color theme="1"/>
      <name val="Calibri"/>
      <family val="3"/>
      <charset val="129"/>
      <scheme val="minor"/>
    </font>
    <font>
      <sz val="9"/>
      <name val="굴림체"/>
      <family val="3"/>
      <charset val="129"/>
    </font>
    <font>
      <sz val="9"/>
      <color rgb="FFFF0000"/>
      <name val="Arial Narrow"/>
      <family val="2"/>
    </font>
    <font>
      <b/>
      <sz val="9"/>
      <name val="굴림체"/>
      <family val="3"/>
      <charset val="129"/>
    </font>
    <font>
      <b/>
      <sz val="8"/>
      <name val="돋움"/>
      <family val="3"/>
      <charset val="129"/>
    </font>
    <font>
      <sz val="9"/>
      <name val="Arial"/>
      <family val="2"/>
    </font>
    <font>
      <sz val="7"/>
      <name val="Arial"/>
      <family val="2"/>
    </font>
    <font>
      <sz val="11"/>
      <color theme="1"/>
      <name val="Arial"/>
      <family val="2"/>
    </font>
    <font>
      <b/>
      <sz val="9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sz val="8"/>
      <name val="Arial"/>
      <family val="2"/>
    </font>
    <font>
      <b/>
      <sz val="9"/>
      <color rgb="FF0000FF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b/>
      <sz val="10"/>
      <color indexed="8"/>
      <name val="Times New Roman"/>
      <family val="1"/>
    </font>
    <font>
      <sz val="8"/>
      <name val="VNI-Times"/>
    </font>
    <font>
      <b/>
      <sz val="10"/>
      <name val="Arial Narrow"/>
      <family val="2"/>
    </font>
    <font>
      <sz val="10"/>
      <color rgb="FFFF0000"/>
      <name val="Arial Narrow"/>
      <family val="2"/>
    </font>
    <font>
      <sz val="11"/>
      <color rgb="FFFF0000"/>
      <name val="Arial Narrow"/>
      <family val="2"/>
    </font>
    <font>
      <b/>
      <sz val="10"/>
      <color rgb="FFFF0000"/>
      <name val="Arial Narrow"/>
      <family val="2"/>
    </font>
    <font>
      <sz val="10"/>
      <color rgb="FFFF0000"/>
      <name val="Times New Roman"/>
      <family val="1"/>
    </font>
    <font>
      <b/>
      <sz val="10"/>
      <name val="Times New Roman"/>
      <family val="1"/>
    </font>
    <font>
      <b/>
      <sz val="11"/>
      <name val="Arial Narrow"/>
      <family val="2"/>
    </font>
    <font>
      <b/>
      <sz val="10"/>
      <color theme="1"/>
      <name val="Arial Narrow"/>
      <family val="2"/>
    </font>
    <font>
      <i/>
      <sz val="9"/>
      <name val="Arial Narrow"/>
      <family val="2"/>
    </font>
    <font>
      <i/>
      <sz val="9"/>
      <name val="Arial"/>
      <family val="2"/>
    </font>
    <font>
      <b/>
      <i/>
      <sz val="10"/>
      <name val="Arial Narrow"/>
      <family val="2"/>
    </font>
    <font>
      <i/>
      <sz val="10"/>
      <name val="Arial Narrow"/>
      <family val="2"/>
    </font>
    <font>
      <i/>
      <sz val="11"/>
      <name val="Arial Narrow"/>
      <family val="2"/>
    </font>
    <font>
      <i/>
      <sz val="11"/>
      <name val="돋움"/>
      <family val="3"/>
      <charset val="129"/>
    </font>
    <font>
      <b/>
      <i/>
      <sz val="10"/>
      <color indexed="8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8"/>
      <color theme="1"/>
      <name val="Times New Roman"/>
      <family val="1"/>
    </font>
    <font>
      <u/>
      <sz val="11"/>
      <color theme="10"/>
      <name val="맑은 고딕"/>
      <family val="3"/>
      <charset val="129"/>
    </font>
    <font>
      <b/>
      <sz val="8"/>
      <color theme="1"/>
      <name val="Times New Roman"/>
      <family val="1"/>
    </font>
    <font>
      <b/>
      <sz val="8"/>
      <color indexed="8"/>
      <name val="Times New Roman"/>
      <family val="1"/>
    </font>
    <font>
      <b/>
      <sz val="10"/>
      <color theme="1"/>
      <name val="Times New Roman"/>
      <family val="1"/>
    </font>
    <font>
      <sz val="9"/>
      <name val="Times New Roman"/>
      <family val="1"/>
    </font>
    <font>
      <sz val="12"/>
      <name val="Times New Roman"/>
      <family val="1"/>
    </font>
    <font>
      <sz val="10"/>
      <color theme="1"/>
      <name val="Times New Roman"/>
      <family val="1"/>
    </font>
    <font>
      <sz val="10"/>
      <name val="VNI-Times"/>
      <family val="2"/>
    </font>
    <font>
      <sz val="11"/>
      <color theme="1"/>
      <name val="Times New Roman"/>
      <family val="1"/>
    </font>
    <font>
      <b/>
      <sz val="20"/>
      <color theme="1"/>
      <name val="Times New Roman"/>
      <family val="1"/>
    </font>
    <font>
      <b/>
      <sz val="9"/>
      <name val="Times New Roman"/>
      <family val="1"/>
    </font>
    <font>
      <sz val="9"/>
      <color rgb="FFFF0000"/>
      <name val="Times New Roman"/>
      <family val="1"/>
    </font>
    <font>
      <sz val="9"/>
      <color theme="1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b/>
      <sz val="9"/>
      <color theme="1"/>
      <name val="Times New Roman"/>
      <family val="1"/>
    </font>
    <font>
      <b/>
      <sz val="12"/>
      <name val="Times New Roman"/>
      <family val="1"/>
    </font>
    <font>
      <b/>
      <sz val="11"/>
      <color indexed="8"/>
      <name val="Times New Roman"/>
      <family val="1"/>
    </font>
    <font>
      <b/>
      <sz val="24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i/>
      <sz val="12"/>
      <name val="VNI-Times"/>
      <family val="2"/>
    </font>
    <font>
      <sz val="12"/>
      <name val=".VnTime"/>
      <family val="2"/>
    </font>
    <font>
      <u/>
      <sz val="10"/>
      <color indexed="36"/>
      <name val="VNI-Times"/>
      <family val="2"/>
    </font>
    <font>
      <b/>
      <sz val="1"/>
      <color indexed="8"/>
      <name val="Courier"/>
      <family val="3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b/>
      <u/>
      <sz val="11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u/>
      <sz val="10"/>
      <name val="Times New Roman"/>
      <family val="1"/>
    </font>
    <font>
      <sz val="13"/>
      <name val="Times New Roman"/>
      <family val="1"/>
    </font>
    <font>
      <sz val="13"/>
      <color rgb="FF000000"/>
      <name val="Times New Roman"/>
      <family val="1"/>
    </font>
    <font>
      <b/>
      <sz val="13"/>
      <name val="Times New Roman"/>
      <family val="1"/>
    </font>
    <font>
      <b/>
      <sz val="9"/>
      <color rgb="FFFF0000"/>
      <name val="Times New Roman"/>
      <family val="1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7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5">
    <xf numFmtId="0" fontId="0" fillId="0" borderId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3" fillId="0" borderId="0"/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64" fontId="1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2" fillId="0" borderId="4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41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/>
    <xf numFmtId="0" fontId="1" fillId="0" borderId="0"/>
    <xf numFmtId="0" fontId="35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35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 applyAlignment="0">
      <alignment vertical="top" wrapText="1"/>
      <protection locked="0"/>
    </xf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36" fillId="0" borderId="0" applyNumberFormat="0" applyFill="0" applyBorder="0" applyAlignment="0" applyProtection="0">
      <alignment vertical="top"/>
      <protection locked="0"/>
    </xf>
    <xf numFmtId="0" fontId="35" fillId="0" borderId="0">
      <alignment vertical="center"/>
    </xf>
    <xf numFmtId="0" fontId="13" fillId="0" borderId="0"/>
    <xf numFmtId="0" fontId="13" fillId="0" borderId="0"/>
    <xf numFmtId="0" fontId="35" fillId="0" borderId="0">
      <alignment vertical="center"/>
    </xf>
    <xf numFmtId="41" fontId="35" fillId="0" borderId="0" applyFon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top"/>
      <protection locked="0"/>
    </xf>
    <xf numFmtId="0" fontId="13" fillId="0" borderId="0"/>
    <xf numFmtId="0" fontId="85" fillId="0" borderId="0"/>
    <xf numFmtId="0" fontId="13" fillId="0" borderId="0"/>
    <xf numFmtId="164" fontId="85" fillId="0" borderId="0" applyFont="0" applyFill="0" applyBorder="0" applyAlignment="0" applyProtection="0"/>
    <xf numFmtId="0" fontId="1" fillId="0" borderId="0">
      <alignment vertical="center"/>
    </xf>
    <xf numFmtId="0" fontId="102" fillId="0" borderId="0"/>
    <xf numFmtId="164" fontId="1" fillId="0" borderId="0" applyFont="0" applyFill="0" applyBorder="0" applyAlignment="0" applyProtection="0">
      <alignment vertical="center"/>
    </xf>
  </cellStyleXfs>
  <cellXfs count="730">
    <xf numFmtId="0" fontId="0" fillId="0" borderId="0" xfId="0">
      <alignment vertical="center"/>
    </xf>
    <xf numFmtId="0" fontId="0" fillId="0" borderId="10" xfId="0" applyBorder="1">
      <alignment vertical="center"/>
    </xf>
    <xf numFmtId="0" fontId="4" fillId="0" borderId="11" xfId="0" applyFont="1" applyBorder="1">
      <alignment vertical="center"/>
    </xf>
    <xf numFmtId="165" fontId="4" fillId="0" borderId="12" xfId="64" applyNumberFormat="1" applyFont="1" applyFill="1" applyBorder="1" applyAlignment="1">
      <alignment vertical="center"/>
    </xf>
    <xf numFmtId="166" fontId="4" fillId="0" borderId="11" xfId="0" applyNumberFormat="1" applyFont="1" applyBorder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>
      <alignment vertical="center"/>
    </xf>
    <xf numFmtId="165" fontId="6" fillId="0" borderId="13" xfId="64" applyNumberFormat="1" applyFont="1" applyFill="1" applyBorder="1" applyAlignment="1">
      <alignment vertical="center"/>
    </xf>
    <xf numFmtId="0" fontId="5" fillId="0" borderId="10" xfId="0" applyFont="1" applyBorder="1">
      <alignment vertical="center"/>
    </xf>
    <xf numFmtId="14" fontId="5" fillId="0" borderId="10" xfId="0" applyNumberFormat="1" applyFont="1" applyBorder="1">
      <alignment vertical="center"/>
    </xf>
    <xf numFmtId="0" fontId="38" fillId="0" borderId="0" xfId="0" applyFont="1">
      <alignment vertical="center"/>
    </xf>
    <xf numFmtId="0" fontId="7" fillId="0" borderId="11" xfId="0" applyFont="1" applyBorder="1" applyAlignment="1">
      <alignment horizontal="right" vertical="center"/>
    </xf>
    <xf numFmtId="49" fontId="5" fillId="0" borderId="14" xfId="0" applyNumberFormat="1" applyFont="1" applyBorder="1" applyAlignment="1">
      <alignment horizontal="left" vertical="center"/>
    </xf>
    <xf numFmtId="0" fontId="39" fillId="0" borderId="0" xfId="0" applyFont="1">
      <alignment vertical="center"/>
    </xf>
    <xf numFmtId="14" fontId="5" fillId="0" borderId="0" xfId="0" applyNumberFormat="1" applyFont="1" applyAlignment="1">
      <alignment horizontal="right" vertical="center"/>
    </xf>
    <xf numFmtId="165" fontId="5" fillId="0" borderId="14" xfId="64" applyNumberFormat="1" applyFont="1" applyFill="1" applyBorder="1" applyAlignment="1">
      <alignment horizontal="left" vertical="center"/>
    </xf>
    <xf numFmtId="167" fontId="5" fillId="0" borderId="0" xfId="0" applyNumberFormat="1" applyFont="1" applyAlignment="1">
      <alignment horizontal="right" vertical="center"/>
    </xf>
    <xf numFmtId="14" fontId="5" fillId="0" borderId="0" xfId="0" applyNumberFormat="1" applyFont="1">
      <alignment vertical="center"/>
    </xf>
    <xf numFmtId="165" fontId="5" fillId="0" borderId="14" xfId="64" applyNumberFormat="1" applyFont="1" applyFill="1" applyBorder="1" applyAlignment="1">
      <alignment vertical="center"/>
    </xf>
    <xf numFmtId="166" fontId="5" fillId="0" borderId="10" xfId="0" applyNumberFormat="1" applyFont="1" applyBorder="1" applyAlignment="1">
      <alignment horizontal="right" vertical="center"/>
    </xf>
    <xf numFmtId="0" fontId="7" fillId="0" borderId="15" xfId="0" applyFont="1" applyBorder="1">
      <alignment vertical="center"/>
    </xf>
    <xf numFmtId="165" fontId="4" fillId="0" borderId="11" xfId="64" applyNumberFormat="1" applyFont="1" applyFill="1" applyBorder="1" applyAlignment="1">
      <alignment vertical="center"/>
    </xf>
    <xf numFmtId="0" fontId="8" fillId="0" borderId="11" xfId="0" applyFont="1" applyBorder="1">
      <alignment vertical="center"/>
    </xf>
    <xf numFmtId="0" fontId="7" fillId="0" borderId="11" xfId="0" applyFont="1" applyBorder="1">
      <alignment vertical="center"/>
    </xf>
    <xf numFmtId="166" fontId="7" fillId="0" borderId="11" xfId="0" applyNumberFormat="1" applyFont="1" applyBorder="1">
      <alignment vertical="center"/>
    </xf>
    <xf numFmtId="0" fontId="5" fillId="0" borderId="16" xfId="0" applyFont="1" applyBorder="1">
      <alignment vertical="center"/>
    </xf>
    <xf numFmtId="166" fontId="5" fillId="0" borderId="0" xfId="0" applyNumberFormat="1" applyFont="1">
      <alignment vertical="center"/>
    </xf>
    <xf numFmtId="165" fontId="5" fillId="0" borderId="0" xfId="64" applyNumberFormat="1" applyFont="1" applyFill="1" applyBorder="1" applyAlignment="1">
      <alignment vertical="center"/>
    </xf>
    <xf numFmtId="165" fontId="5" fillId="0" borderId="0" xfId="64" quotePrefix="1" applyNumberFormat="1" applyFont="1" applyFill="1" applyBorder="1" applyAlignment="1">
      <alignment vertical="center"/>
    </xf>
    <xf numFmtId="0" fontId="5" fillId="0" borderId="11" xfId="0" applyFont="1" applyBorder="1">
      <alignment vertical="center"/>
    </xf>
    <xf numFmtId="0" fontId="5" fillId="0" borderId="0" xfId="170" applyFont="1" applyAlignment="1">
      <alignment vertical="center"/>
    </xf>
    <xf numFmtId="0" fontId="5" fillId="0" borderId="0" xfId="0" applyFont="1" applyAlignment="1"/>
    <xf numFmtId="3" fontId="5" fillId="0" borderId="0" xfId="0" quotePrefix="1" applyNumberFormat="1" applyFont="1">
      <alignment vertical="center"/>
    </xf>
    <xf numFmtId="166" fontId="5" fillId="0" borderId="0" xfId="0" quotePrefix="1" applyNumberFormat="1" applyFont="1">
      <alignment vertical="center"/>
    </xf>
    <xf numFmtId="0" fontId="4" fillId="0" borderId="12" xfId="0" applyFont="1" applyBorder="1">
      <alignment vertical="center"/>
    </xf>
    <xf numFmtId="0" fontId="4" fillId="0" borderId="15" xfId="0" applyFont="1" applyBorder="1">
      <alignment vertical="center"/>
    </xf>
    <xf numFmtId="0" fontId="5" fillId="0" borderId="17" xfId="0" applyFont="1" applyBorder="1">
      <alignment vertical="center"/>
    </xf>
    <xf numFmtId="0" fontId="5" fillId="0" borderId="13" xfId="0" applyFont="1" applyBorder="1">
      <alignment vertical="center"/>
    </xf>
    <xf numFmtId="165" fontId="5" fillId="0" borderId="0" xfId="64" applyNumberFormat="1" applyFont="1" applyFill="1" applyBorder="1" applyAlignment="1">
      <alignment horizontal="left" vertical="center"/>
    </xf>
    <xf numFmtId="0" fontId="6" fillId="0" borderId="0" xfId="142" applyFont="1" applyAlignment="1">
      <alignment vertical="center"/>
    </xf>
    <xf numFmtId="168" fontId="5" fillId="0" borderId="13" xfId="0" applyNumberFormat="1" applyFont="1" applyBorder="1">
      <alignment vertical="center"/>
    </xf>
    <xf numFmtId="168" fontId="5" fillId="0" borderId="17" xfId="0" applyNumberFormat="1" applyFont="1" applyBorder="1">
      <alignment vertical="center"/>
    </xf>
    <xf numFmtId="165" fontId="5" fillId="0" borderId="0" xfId="64" applyNumberFormat="1" applyFont="1" applyFill="1" applyAlignment="1">
      <alignment vertical="center"/>
    </xf>
    <xf numFmtId="166" fontId="5" fillId="0" borderId="10" xfId="0" applyNumberFormat="1" applyFont="1" applyBorder="1">
      <alignment vertical="center"/>
    </xf>
    <xf numFmtId="0" fontId="5" fillId="0" borderId="0" xfId="140" applyFont="1">
      <alignment vertical="center"/>
    </xf>
    <xf numFmtId="169" fontId="5" fillId="0" borderId="0" xfId="140" applyNumberFormat="1" applyFont="1">
      <alignment vertical="center"/>
    </xf>
    <xf numFmtId="165" fontId="5" fillId="0" borderId="10" xfId="0" applyNumberFormat="1" applyFont="1" applyBorder="1">
      <alignment vertical="center"/>
    </xf>
    <xf numFmtId="0" fontId="9" fillId="0" borderId="0" xfId="0" applyFont="1">
      <alignment vertical="center"/>
    </xf>
    <xf numFmtId="166" fontId="5" fillId="0" borderId="0" xfId="140" applyNumberFormat="1" applyFont="1">
      <alignment vertical="center"/>
    </xf>
    <xf numFmtId="0" fontId="40" fillId="0" borderId="19" xfId="140" applyFont="1" applyBorder="1" applyAlignment="1">
      <alignment horizontal="center" vertical="center"/>
    </xf>
    <xf numFmtId="166" fontId="40" fillId="0" borderId="19" xfId="140" applyNumberFormat="1" applyFont="1" applyBorder="1" applyAlignment="1">
      <alignment horizontal="center" vertical="center"/>
    </xf>
    <xf numFmtId="0" fontId="5" fillId="0" borderId="0" xfId="140" applyFont="1" applyAlignment="1">
      <alignment horizontal="center" vertical="center"/>
    </xf>
    <xf numFmtId="170" fontId="5" fillId="0" borderId="0" xfId="140" applyNumberFormat="1" applyFont="1" applyAlignment="1">
      <alignment horizontal="center" vertical="center"/>
    </xf>
    <xf numFmtId="0" fontId="40" fillId="0" borderId="10" xfId="140" applyFont="1" applyBorder="1" applyAlignment="1">
      <alignment horizontal="center" vertical="center"/>
    </xf>
    <xf numFmtId="0" fontId="10" fillId="0" borderId="0" xfId="0" applyFont="1">
      <alignment vertical="center"/>
    </xf>
    <xf numFmtId="0" fontId="35" fillId="0" borderId="0" xfId="140">
      <alignment vertical="center"/>
    </xf>
    <xf numFmtId="0" fontId="35" fillId="0" borderId="10" xfId="140" applyBorder="1">
      <alignment vertical="center"/>
    </xf>
    <xf numFmtId="0" fontId="37" fillId="0" borderId="0" xfId="14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172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0" fontId="40" fillId="0" borderId="0" xfId="140" applyFont="1">
      <alignment vertical="center"/>
    </xf>
    <xf numFmtId="0" fontId="6" fillId="25" borderId="23" xfId="140" applyFont="1" applyFill="1" applyBorder="1" applyAlignment="1">
      <alignment horizontal="center" vertical="center"/>
    </xf>
    <xf numFmtId="166" fontId="6" fillId="25" borderId="23" xfId="140" applyNumberFormat="1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>
      <alignment vertical="center"/>
    </xf>
    <xf numFmtId="0" fontId="5" fillId="0" borderId="26" xfId="0" applyFont="1" applyBorder="1">
      <alignment vertical="center"/>
    </xf>
    <xf numFmtId="166" fontId="39" fillId="0" borderId="24" xfId="98" applyNumberFormat="1" applyFont="1" applyBorder="1" applyAlignment="1">
      <alignment horizontal="center" vertical="center"/>
    </xf>
    <xf numFmtId="0" fontId="41" fillId="0" borderId="0" xfId="140" applyFont="1">
      <alignment vertical="center"/>
    </xf>
    <xf numFmtId="0" fontId="41" fillId="0" borderId="0" xfId="140" applyFont="1" applyAlignment="1">
      <alignment horizontal="center" vertical="center"/>
    </xf>
    <xf numFmtId="0" fontId="40" fillId="0" borderId="0" xfId="140" applyFont="1" applyAlignment="1">
      <alignment horizontal="center" vertical="center"/>
    </xf>
    <xf numFmtId="166" fontId="40" fillId="0" borderId="0" xfId="140" applyNumberFormat="1" applyFont="1">
      <alignment vertical="center"/>
    </xf>
    <xf numFmtId="0" fontId="5" fillId="0" borderId="24" xfId="0" quotePrefix="1" applyFont="1" applyBorder="1" applyAlignment="1">
      <alignment horizontal="center" vertical="center"/>
    </xf>
    <xf numFmtId="173" fontId="5" fillId="0" borderId="24" xfId="0" applyNumberFormat="1" applyFont="1" applyBorder="1" applyAlignment="1">
      <alignment horizontal="center" vertical="center"/>
    </xf>
    <xf numFmtId="0" fontId="43" fillId="0" borderId="19" xfId="0" applyFont="1" applyBorder="1" applyAlignment="1" applyProtection="1">
      <alignment horizontal="right" vertical="center"/>
      <protection locked="0"/>
    </xf>
    <xf numFmtId="174" fontId="43" fillId="0" borderId="19" xfId="0" applyNumberFormat="1" applyFont="1" applyBorder="1" applyAlignment="1" applyProtection="1">
      <alignment horizontal="right" vertical="center"/>
      <protection locked="0"/>
    </xf>
    <xf numFmtId="174" fontId="5" fillId="0" borderId="24" xfId="0" applyNumberFormat="1" applyFont="1" applyBorder="1" applyAlignment="1">
      <alignment horizontal="center" vertical="center"/>
    </xf>
    <xf numFmtId="0" fontId="44" fillId="0" borderId="0" xfId="0" applyFont="1" applyAlignment="1"/>
    <xf numFmtId="0" fontId="45" fillId="0" borderId="19" xfId="0" applyFont="1" applyBorder="1" applyAlignment="1" applyProtection="1">
      <alignment horizontal="right" vertical="center"/>
      <protection locked="0"/>
    </xf>
    <xf numFmtId="174" fontId="45" fillId="0" borderId="19" xfId="0" applyNumberFormat="1" applyFont="1" applyBorder="1" applyAlignment="1" applyProtection="1">
      <alignment horizontal="right" vertical="center"/>
      <protection locked="0"/>
    </xf>
    <xf numFmtId="0" fontId="5" fillId="0" borderId="24" xfId="0" applyFont="1" applyBorder="1" applyAlignment="1">
      <alignment horizontal="center" vertical="center" wrapText="1"/>
    </xf>
    <xf numFmtId="0" fontId="48" fillId="0" borderId="11" xfId="0" applyFont="1" applyBorder="1">
      <alignment vertical="center"/>
    </xf>
    <xf numFmtId="165" fontId="48" fillId="0" borderId="12" xfId="64" applyNumberFormat="1" applyFont="1" applyFill="1" applyBorder="1" applyAlignment="1">
      <alignment vertical="center"/>
    </xf>
    <xf numFmtId="166" fontId="48" fillId="0" borderId="11" xfId="0" applyNumberFormat="1" applyFont="1" applyBorder="1">
      <alignment vertical="center"/>
    </xf>
    <xf numFmtId="0" fontId="49" fillId="0" borderId="0" xfId="0" applyFont="1">
      <alignment vertical="center"/>
    </xf>
    <xf numFmtId="0" fontId="47" fillId="0" borderId="0" xfId="0" applyFont="1" applyAlignment="1">
      <alignment horizontal="left" vertical="center"/>
    </xf>
    <xf numFmtId="0" fontId="47" fillId="0" borderId="0" xfId="0" applyFont="1">
      <alignment vertical="center"/>
    </xf>
    <xf numFmtId="165" fontId="50" fillId="0" borderId="13" xfId="64" applyNumberFormat="1" applyFont="1" applyFill="1" applyBorder="1" applyAlignment="1">
      <alignment vertical="center"/>
    </xf>
    <xf numFmtId="0" fontId="47" fillId="0" borderId="10" xfId="0" applyFont="1" applyBorder="1">
      <alignment vertical="center"/>
    </xf>
    <xf numFmtId="14" fontId="47" fillId="0" borderId="10" xfId="0" applyNumberFormat="1" applyFont="1" applyBorder="1">
      <alignment vertical="center"/>
    </xf>
    <xf numFmtId="0" fontId="51" fillId="0" borderId="0" xfId="0" applyFont="1">
      <alignment vertical="center"/>
    </xf>
    <xf numFmtId="0" fontId="52" fillId="0" borderId="11" xfId="0" applyFont="1" applyBorder="1" applyAlignment="1">
      <alignment horizontal="right" vertical="center"/>
    </xf>
    <xf numFmtId="0" fontId="53" fillId="0" borderId="0" xfId="0" applyFont="1">
      <alignment vertical="center"/>
    </xf>
    <xf numFmtId="165" fontId="47" fillId="0" borderId="14" xfId="64" applyNumberFormat="1" applyFont="1" applyFill="1" applyBorder="1" applyAlignment="1">
      <alignment horizontal="left" vertical="center"/>
    </xf>
    <xf numFmtId="167" fontId="47" fillId="0" borderId="0" xfId="0" applyNumberFormat="1" applyFont="1" applyAlignment="1">
      <alignment horizontal="right" vertical="center"/>
    </xf>
    <xf numFmtId="14" fontId="47" fillId="0" borderId="0" xfId="0" applyNumberFormat="1" applyFont="1">
      <alignment vertical="center"/>
    </xf>
    <xf numFmtId="165" fontId="47" fillId="0" borderId="14" xfId="64" applyNumberFormat="1" applyFont="1" applyFill="1" applyBorder="1" applyAlignment="1">
      <alignment vertical="center"/>
    </xf>
    <xf numFmtId="166" fontId="47" fillId="0" borderId="10" xfId="0" applyNumberFormat="1" applyFont="1" applyBorder="1" applyAlignment="1">
      <alignment horizontal="right" vertical="center"/>
    </xf>
    <xf numFmtId="0" fontId="52" fillId="0" borderId="15" xfId="0" applyFont="1" applyBorder="1">
      <alignment vertical="center"/>
    </xf>
    <xf numFmtId="165" fontId="48" fillId="0" borderId="11" xfId="64" applyNumberFormat="1" applyFont="1" applyFill="1" applyBorder="1" applyAlignment="1">
      <alignment vertical="center"/>
    </xf>
    <xf numFmtId="0" fontId="54" fillId="0" borderId="11" xfId="0" applyFont="1" applyBorder="1">
      <alignment vertical="center"/>
    </xf>
    <xf numFmtId="0" fontId="52" fillId="0" borderId="11" xfId="0" applyFont="1" applyBorder="1">
      <alignment vertical="center"/>
    </xf>
    <xf numFmtId="166" fontId="52" fillId="0" borderId="11" xfId="0" applyNumberFormat="1" applyFont="1" applyBorder="1">
      <alignment vertical="center"/>
    </xf>
    <xf numFmtId="0" fontId="47" fillId="0" borderId="16" xfId="0" applyFont="1" applyBorder="1">
      <alignment vertical="center"/>
    </xf>
    <xf numFmtId="166" fontId="47" fillId="0" borderId="0" xfId="0" applyNumberFormat="1" applyFont="1">
      <alignment vertical="center"/>
    </xf>
    <xf numFmtId="165" fontId="47" fillId="0" borderId="0" xfId="64" applyNumberFormat="1" applyFont="1" applyFill="1" applyBorder="1" applyAlignment="1">
      <alignment vertical="center"/>
    </xf>
    <xf numFmtId="165" fontId="47" fillId="0" borderId="0" xfId="64" quotePrefix="1" applyNumberFormat="1" applyFont="1" applyFill="1" applyBorder="1" applyAlignment="1">
      <alignment vertical="center"/>
    </xf>
    <xf numFmtId="0" fontId="47" fillId="0" borderId="11" xfId="0" applyFont="1" applyBorder="1">
      <alignment vertical="center"/>
    </xf>
    <xf numFmtId="0" fontId="47" fillId="0" borderId="0" xfId="170" applyFont="1" applyAlignment="1">
      <alignment vertical="center"/>
    </xf>
    <xf numFmtId="0" fontId="50" fillId="0" borderId="0" xfId="0" applyFont="1">
      <alignment vertical="center"/>
    </xf>
    <xf numFmtId="3" fontId="47" fillId="0" borderId="0" xfId="0" quotePrefix="1" applyNumberFormat="1" applyFont="1">
      <alignment vertical="center"/>
    </xf>
    <xf numFmtId="166" fontId="47" fillId="0" borderId="0" xfId="0" quotePrefix="1" applyNumberFormat="1" applyFont="1">
      <alignment vertical="center"/>
    </xf>
    <xf numFmtId="0" fontId="48" fillId="0" borderId="12" xfId="0" applyFont="1" applyBorder="1">
      <alignment vertical="center"/>
    </xf>
    <xf numFmtId="0" fontId="48" fillId="0" borderId="15" xfId="0" applyFont="1" applyBorder="1">
      <alignment vertical="center"/>
    </xf>
    <xf numFmtId="0" fontId="47" fillId="0" borderId="17" xfId="0" applyFont="1" applyBorder="1">
      <alignment vertical="center"/>
    </xf>
    <xf numFmtId="0" fontId="47" fillId="0" borderId="13" xfId="0" applyFont="1" applyBorder="1">
      <alignment vertical="center"/>
    </xf>
    <xf numFmtId="165" fontId="47" fillId="0" borderId="0" xfId="64" applyNumberFormat="1" applyFont="1" applyFill="1" applyBorder="1" applyAlignment="1">
      <alignment horizontal="left" vertical="center"/>
    </xf>
    <xf numFmtId="0" fontId="50" fillId="0" borderId="0" xfId="142" applyFont="1" applyAlignment="1">
      <alignment vertical="center"/>
    </xf>
    <xf numFmtId="0" fontId="55" fillId="0" borderId="10" xfId="0" applyFont="1" applyBorder="1">
      <alignment vertical="center"/>
    </xf>
    <xf numFmtId="168" fontId="47" fillId="0" borderId="17" xfId="0" applyNumberFormat="1" applyFont="1" applyBorder="1">
      <alignment vertical="center"/>
    </xf>
    <xf numFmtId="165" fontId="47" fillId="0" borderId="0" xfId="64" applyNumberFormat="1" applyFont="1" applyFill="1" applyAlignment="1">
      <alignment vertical="center"/>
    </xf>
    <xf numFmtId="166" fontId="47" fillId="0" borderId="10" xfId="0" applyNumberFormat="1" applyFont="1" applyBorder="1">
      <alignment vertical="center"/>
    </xf>
    <xf numFmtId="0" fontId="47" fillId="0" borderId="0" xfId="0" applyFont="1" applyAlignment="1"/>
    <xf numFmtId="0" fontId="47" fillId="0" borderId="0" xfId="0" applyFont="1" applyAlignment="1">
      <alignment horizontal="center"/>
    </xf>
    <xf numFmtId="0" fontId="13" fillId="0" borderId="0" xfId="0" applyFont="1">
      <alignment vertical="center"/>
    </xf>
    <xf numFmtId="166" fontId="13" fillId="0" borderId="0" xfId="65" applyNumberFormat="1" applyFont="1" applyFill="1" applyBorder="1" applyAlignment="1">
      <alignment vertical="center"/>
    </xf>
    <xf numFmtId="0" fontId="52" fillId="0" borderId="0" xfId="0" applyFont="1">
      <alignment vertical="center"/>
    </xf>
    <xf numFmtId="170" fontId="47" fillId="0" borderId="0" xfId="65" applyNumberFormat="1" applyFont="1" applyFill="1" applyBorder="1" applyAlignment="1">
      <alignment vertical="center"/>
    </xf>
    <xf numFmtId="169" fontId="47" fillId="0" borderId="0" xfId="0" applyNumberFormat="1" applyFont="1">
      <alignment vertical="center"/>
    </xf>
    <xf numFmtId="0" fontId="56" fillId="0" borderId="0" xfId="0" applyFont="1">
      <alignment vertical="center"/>
    </xf>
    <xf numFmtId="170" fontId="47" fillId="0" borderId="0" xfId="0" applyNumberFormat="1" applyFont="1">
      <alignment vertical="center"/>
    </xf>
    <xf numFmtId="0" fontId="47" fillId="0" borderId="18" xfId="0" applyFont="1" applyBorder="1">
      <alignment vertical="center"/>
    </xf>
    <xf numFmtId="170" fontId="47" fillId="0" borderId="18" xfId="0" applyNumberFormat="1" applyFont="1" applyBorder="1">
      <alignment vertical="center"/>
    </xf>
    <xf numFmtId="170" fontId="47" fillId="0" borderId="18" xfId="65" applyNumberFormat="1" applyFont="1" applyFill="1" applyBorder="1" applyAlignment="1">
      <alignment vertical="center"/>
    </xf>
    <xf numFmtId="0" fontId="47" fillId="0" borderId="0" xfId="140" applyFont="1">
      <alignment vertical="center"/>
    </xf>
    <xf numFmtId="170" fontId="47" fillId="0" borderId="0" xfId="140" applyNumberFormat="1" applyFont="1">
      <alignment vertical="center"/>
    </xf>
    <xf numFmtId="169" fontId="47" fillId="0" borderId="0" xfId="140" applyNumberFormat="1" applyFont="1">
      <alignment vertical="center"/>
    </xf>
    <xf numFmtId="165" fontId="47" fillId="0" borderId="10" xfId="0" applyNumberFormat="1" applyFont="1" applyBorder="1">
      <alignment vertical="center"/>
    </xf>
    <xf numFmtId="166" fontId="47" fillId="0" borderId="0" xfId="65" applyNumberFormat="1" applyFont="1" applyFill="1" applyBorder="1" applyAlignment="1">
      <alignment vertical="center"/>
    </xf>
    <xf numFmtId="171" fontId="47" fillId="0" borderId="0" xfId="0" applyNumberFormat="1" applyFont="1">
      <alignment vertical="center"/>
    </xf>
    <xf numFmtId="171" fontId="47" fillId="0" borderId="0" xfId="65" applyNumberFormat="1" applyFont="1" applyFill="1" applyBorder="1" applyAlignment="1">
      <alignment horizontal="center" vertical="center"/>
    </xf>
    <xf numFmtId="168" fontId="55" fillId="0" borderId="13" xfId="0" applyNumberFormat="1" applyFont="1" applyBorder="1">
      <alignment vertical="center"/>
    </xf>
    <xf numFmtId="166" fontId="47" fillId="0" borderId="0" xfId="140" applyNumberFormat="1" applyFont="1">
      <alignment vertical="center"/>
    </xf>
    <xf numFmtId="165" fontId="48" fillId="0" borderId="14" xfId="64" applyNumberFormat="1" applyFont="1" applyFill="1" applyBorder="1" applyAlignment="1">
      <alignment vertical="center"/>
    </xf>
    <xf numFmtId="0" fontId="48" fillId="0" borderId="0" xfId="0" applyFont="1">
      <alignment vertical="center"/>
    </xf>
    <xf numFmtId="166" fontId="48" fillId="0" borderId="0" xfId="0" applyNumberFormat="1" applyFont="1">
      <alignment vertical="center"/>
    </xf>
    <xf numFmtId="166" fontId="52" fillId="0" borderId="0" xfId="0" applyNumberFormat="1" applyFont="1">
      <alignment vertical="center"/>
    </xf>
    <xf numFmtId="0" fontId="4" fillId="0" borderId="14" xfId="0" applyFont="1" applyBorder="1">
      <alignment vertical="center"/>
    </xf>
    <xf numFmtId="0" fontId="52" fillId="0" borderId="0" xfId="0" applyFont="1" applyAlignment="1">
      <alignment horizontal="center" vertical="center"/>
    </xf>
    <xf numFmtId="175" fontId="47" fillId="0" borderId="0" xfId="0" applyNumberFormat="1" applyFont="1">
      <alignment vertical="center"/>
    </xf>
    <xf numFmtId="175" fontId="47" fillId="0" borderId="29" xfId="0" applyNumberFormat="1" applyFont="1" applyBorder="1">
      <alignment vertical="center"/>
    </xf>
    <xf numFmtId="165" fontId="48" fillId="0" borderId="0" xfId="64" applyNumberFormat="1" applyFont="1" applyFill="1" applyBorder="1" applyAlignment="1">
      <alignment vertical="center"/>
    </xf>
    <xf numFmtId="165" fontId="50" fillId="0" borderId="10" xfId="64" applyNumberFormat="1" applyFont="1" applyFill="1" applyBorder="1" applyAlignment="1">
      <alignment vertical="center"/>
    </xf>
    <xf numFmtId="176" fontId="47" fillId="0" borderId="0" xfId="65" applyNumberFormat="1" applyFont="1" applyFill="1" applyBorder="1" applyAlignment="1">
      <alignment vertical="center"/>
    </xf>
    <xf numFmtId="176" fontId="47" fillId="0" borderId="18" xfId="0" applyNumberFormat="1" applyFont="1" applyBorder="1">
      <alignment vertical="center"/>
    </xf>
    <xf numFmtId="165" fontId="57" fillId="0" borderId="14" xfId="64" applyNumberFormat="1" applyFont="1" applyFill="1" applyBorder="1" applyAlignment="1">
      <alignment horizontal="left" vertical="center"/>
    </xf>
    <xf numFmtId="0" fontId="58" fillId="24" borderId="0" xfId="173" applyFont="1" applyFill="1" applyAlignment="1">
      <alignment horizontal="center" vertical="center" wrapText="1"/>
    </xf>
    <xf numFmtId="0" fontId="58" fillId="24" borderId="0" xfId="173" applyFont="1" applyFill="1" applyAlignment="1">
      <alignment horizontal="center" vertical="center"/>
    </xf>
    <xf numFmtId="0" fontId="58" fillId="24" borderId="16" xfId="173" applyFont="1" applyFill="1" applyBorder="1" applyAlignment="1">
      <alignment horizontal="center" vertical="center"/>
    </xf>
    <xf numFmtId="16" fontId="14" fillId="0" borderId="0" xfId="174" quotePrefix="1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39" fontId="14" fillId="0" borderId="0" xfId="0" applyNumberFormat="1" applyFont="1" applyAlignment="1">
      <alignment horizontal="center" vertical="center"/>
    </xf>
    <xf numFmtId="177" fontId="14" fillId="24" borderId="16" xfId="0" applyNumberFormat="1" applyFont="1" applyFill="1" applyBorder="1" applyAlignment="1">
      <alignment horizontal="center" vertical="center"/>
    </xf>
    <xf numFmtId="16" fontId="14" fillId="27" borderId="0" xfId="174" applyNumberFormat="1" applyFont="1" applyFill="1" applyAlignment="1">
      <alignment horizontal="right" vertical="center"/>
    </xf>
    <xf numFmtId="0" fontId="14" fillId="27" borderId="0" xfId="0" applyFont="1" applyFill="1" applyAlignment="1">
      <alignment horizontal="center" vertical="center"/>
    </xf>
    <xf numFmtId="2" fontId="14" fillId="27" borderId="0" xfId="0" applyNumberFormat="1" applyFont="1" applyFill="1" applyAlignment="1">
      <alignment horizontal="center" vertical="center"/>
    </xf>
    <xf numFmtId="39" fontId="14" fillId="27" borderId="0" xfId="0" applyNumberFormat="1" applyFont="1" applyFill="1" applyAlignment="1">
      <alignment horizontal="center" vertical="center"/>
    </xf>
    <xf numFmtId="0" fontId="14" fillId="26" borderId="0" xfId="0" applyFont="1" applyFill="1" applyAlignment="1">
      <alignment horizontal="center" vertical="center"/>
    </xf>
    <xf numFmtId="39" fontId="14" fillId="26" borderId="0" xfId="0" applyNumberFormat="1" applyFont="1" applyFill="1" applyAlignment="1">
      <alignment horizontal="center" vertical="center"/>
    </xf>
    <xf numFmtId="0" fontId="58" fillId="24" borderId="0" xfId="173" applyFont="1" applyFill="1" applyAlignment="1">
      <alignment vertical="center" wrapText="1"/>
    </xf>
    <xf numFmtId="177" fontId="14" fillId="27" borderId="0" xfId="0" applyNumberFormat="1" applyFont="1" applyFill="1" applyAlignment="1">
      <alignment horizontal="center" vertical="center"/>
    </xf>
    <xf numFmtId="179" fontId="47" fillId="0" borderId="18" xfId="0" applyNumberFormat="1" applyFont="1" applyBorder="1">
      <alignment vertical="center"/>
    </xf>
    <xf numFmtId="178" fontId="47" fillId="0" borderId="18" xfId="0" applyNumberFormat="1" applyFont="1" applyBorder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0" fillId="0" borderId="0" xfId="0" applyFont="1">
      <alignment vertical="center"/>
    </xf>
    <xf numFmtId="166" fontId="9" fillId="0" borderId="0" xfId="65" applyNumberFormat="1" applyFont="1" applyFill="1" applyBorder="1" applyAlignment="1">
      <alignment vertical="center"/>
    </xf>
    <xf numFmtId="171" fontId="9" fillId="0" borderId="0" xfId="0" applyNumberFormat="1" applyFont="1">
      <alignment vertical="center"/>
    </xf>
    <xf numFmtId="171" fontId="9" fillId="0" borderId="0" xfId="65" applyNumberFormat="1" applyFont="1" applyFill="1" applyBorder="1" applyAlignment="1">
      <alignment horizontal="center" vertical="center"/>
    </xf>
    <xf numFmtId="0" fontId="7" fillId="0" borderId="0" xfId="0" applyFont="1">
      <alignment vertical="center"/>
    </xf>
    <xf numFmtId="176" fontId="5" fillId="0" borderId="0" xfId="65" applyNumberFormat="1" applyFont="1" applyFill="1" applyBorder="1" applyAlignment="1">
      <alignment vertical="center"/>
    </xf>
    <xf numFmtId="178" fontId="5" fillId="0" borderId="0" xfId="0" applyNumberFormat="1" applyFont="1">
      <alignment vertical="center"/>
    </xf>
    <xf numFmtId="0" fontId="44" fillId="0" borderId="0" xfId="0" applyFont="1">
      <alignment vertical="center"/>
    </xf>
    <xf numFmtId="0" fontId="61" fillId="0" borderId="0" xfId="0" applyFont="1">
      <alignment vertical="center"/>
    </xf>
    <xf numFmtId="170" fontId="44" fillId="0" borderId="0" xfId="65" applyNumberFormat="1" applyFont="1" applyFill="1" applyBorder="1" applyAlignment="1">
      <alignment vertical="center"/>
    </xf>
    <xf numFmtId="171" fontId="61" fillId="0" borderId="0" xfId="0" applyNumberFormat="1" applyFont="1">
      <alignment vertical="center"/>
    </xf>
    <xf numFmtId="171" fontId="61" fillId="0" borderId="0" xfId="65" applyNumberFormat="1" applyFont="1" applyFill="1" applyBorder="1" applyAlignment="1">
      <alignment horizontal="center" vertical="center"/>
    </xf>
    <xf numFmtId="0" fontId="62" fillId="0" borderId="0" xfId="0" applyFont="1">
      <alignment vertical="center"/>
    </xf>
    <xf numFmtId="169" fontId="44" fillId="0" borderId="0" xfId="0" applyNumberFormat="1" applyFont="1">
      <alignment vertical="center"/>
    </xf>
    <xf numFmtId="170" fontId="5" fillId="26" borderId="0" xfId="65" applyNumberFormat="1" applyFont="1" applyFill="1" applyBorder="1" applyAlignment="1">
      <alignment vertical="center"/>
    </xf>
    <xf numFmtId="0" fontId="63" fillId="0" borderId="0" xfId="0" applyFont="1">
      <alignment vertical="center"/>
    </xf>
    <xf numFmtId="170" fontId="5" fillId="0" borderId="0" xfId="0" applyNumberFormat="1" applyFont="1">
      <alignment vertical="center"/>
    </xf>
    <xf numFmtId="169" fontId="5" fillId="0" borderId="0" xfId="0" applyNumberFormat="1" applyFont="1">
      <alignment vertical="center"/>
    </xf>
    <xf numFmtId="0" fontId="5" fillId="0" borderId="18" xfId="0" applyFont="1" applyBorder="1">
      <alignment vertical="center"/>
    </xf>
    <xf numFmtId="170" fontId="5" fillId="0" borderId="18" xfId="0" applyNumberFormat="1" applyFont="1" applyBorder="1">
      <alignment vertical="center"/>
    </xf>
    <xf numFmtId="176" fontId="5" fillId="0" borderId="18" xfId="0" applyNumberFormat="1" applyFont="1" applyBorder="1">
      <alignment vertical="center"/>
    </xf>
    <xf numFmtId="170" fontId="5" fillId="0" borderId="18" xfId="65" applyNumberFormat="1" applyFont="1" applyFill="1" applyBorder="1" applyAlignment="1">
      <alignment vertical="center"/>
    </xf>
    <xf numFmtId="178" fontId="5" fillId="0" borderId="18" xfId="0" applyNumberFormat="1" applyFont="1" applyBorder="1">
      <alignment vertical="center"/>
    </xf>
    <xf numFmtId="0" fontId="5" fillId="0" borderId="18" xfId="0" applyFont="1" applyBorder="1" applyAlignment="1">
      <alignment horizontal="center" vertical="center"/>
    </xf>
    <xf numFmtId="171" fontId="5" fillId="0" borderId="18" xfId="0" applyNumberFormat="1" applyFont="1" applyBorder="1" applyAlignment="1">
      <alignment horizontal="center" vertical="center"/>
    </xf>
    <xf numFmtId="166" fontId="44" fillId="0" borderId="0" xfId="140" applyNumberFormat="1" applyFont="1">
      <alignment vertical="center"/>
    </xf>
    <xf numFmtId="16" fontId="14" fillId="26" borderId="0" xfId="174" applyNumberFormat="1" applyFont="1" applyFill="1" applyAlignment="1">
      <alignment horizontal="right" vertical="center"/>
    </xf>
    <xf numFmtId="2" fontId="14" fillId="26" borderId="0" xfId="0" applyNumberFormat="1" applyFont="1" applyFill="1" applyAlignment="1">
      <alignment horizontal="center" vertical="center"/>
    </xf>
    <xf numFmtId="0" fontId="9" fillId="26" borderId="0" xfId="0" applyFont="1" applyFill="1">
      <alignment vertical="center"/>
    </xf>
    <xf numFmtId="171" fontId="9" fillId="26" borderId="0" xfId="0" applyNumberFormat="1" applyFont="1" applyFill="1">
      <alignment vertical="center"/>
    </xf>
    <xf numFmtId="171" fontId="9" fillId="26" borderId="0" xfId="65" applyNumberFormat="1" applyFont="1" applyFill="1" applyBorder="1" applyAlignment="1">
      <alignment horizontal="center" vertical="center"/>
    </xf>
    <xf numFmtId="176" fontId="5" fillId="26" borderId="0" xfId="65" applyNumberFormat="1" applyFont="1" applyFill="1" applyBorder="1" applyAlignment="1">
      <alignment vertical="center"/>
    </xf>
    <xf numFmtId="178" fontId="5" fillId="26" borderId="0" xfId="0" applyNumberFormat="1" applyFont="1" applyFill="1">
      <alignment vertical="center"/>
    </xf>
    <xf numFmtId="0" fontId="61" fillId="26" borderId="0" xfId="0" applyFont="1" applyFill="1">
      <alignment vertical="center"/>
    </xf>
    <xf numFmtId="170" fontId="44" fillId="26" borderId="0" xfId="65" applyNumberFormat="1" applyFont="1" applyFill="1" applyBorder="1" applyAlignment="1">
      <alignment vertical="center"/>
    </xf>
    <xf numFmtId="180" fontId="5" fillId="0" borderId="18" xfId="65" applyNumberFormat="1" applyFont="1" applyFill="1" applyBorder="1" applyAlignment="1">
      <alignment vertical="center"/>
    </xf>
    <xf numFmtId="165" fontId="56" fillId="0" borderId="14" xfId="64" applyNumberFormat="1" applyFont="1" applyFill="1" applyBorder="1" applyAlignment="1">
      <alignment horizontal="left" vertical="center"/>
    </xf>
    <xf numFmtId="165" fontId="56" fillId="0" borderId="0" xfId="64" applyNumberFormat="1" applyFont="1" applyFill="1" applyBorder="1" applyAlignment="1">
      <alignment horizontal="left" vertical="center"/>
    </xf>
    <xf numFmtId="167" fontId="56" fillId="0" borderId="0" xfId="0" applyNumberFormat="1" applyFont="1" applyAlignment="1">
      <alignment horizontal="right" vertical="center"/>
    </xf>
    <xf numFmtId="14" fontId="56" fillId="0" borderId="0" xfId="0" applyNumberFormat="1" applyFont="1">
      <alignment vertical="center"/>
    </xf>
    <xf numFmtId="176" fontId="44" fillId="26" borderId="0" xfId="65" applyNumberFormat="1" applyFont="1" applyFill="1" applyBorder="1" applyAlignment="1">
      <alignment vertical="center"/>
    </xf>
    <xf numFmtId="178" fontId="44" fillId="26" borderId="0" xfId="0" applyNumberFormat="1" applyFont="1" applyFill="1">
      <alignment vertical="center"/>
    </xf>
    <xf numFmtId="171" fontId="61" fillId="26" borderId="0" xfId="0" applyNumberFormat="1" applyFont="1" applyFill="1">
      <alignment vertical="center"/>
    </xf>
    <xf numFmtId="171" fontId="61" fillId="26" borderId="0" xfId="65" applyNumberFormat="1" applyFont="1" applyFill="1" applyBorder="1" applyAlignment="1">
      <alignment horizontal="center" vertical="center"/>
    </xf>
    <xf numFmtId="177" fontId="14" fillId="24" borderId="0" xfId="0" applyNumberFormat="1" applyFont="1" applyFill="1" applyAlignment="1">
      <alignment horizontal="center" vertical="center"/>
    </xf>
    <xf numFmtId="0" fontId="7" fillId="26" borderId="0" xfId="0" applyFont="1" applyFill="1">
      <alignment vertical="center"/>
    </xf>
    <xf numFmtId="166" fontId="9" fillId="26" borderId="0" xfId="65" applyNumberFormat="1" applyFont="1" applyFill="1" applyBorder="1" applyAlignment="1">
      <alignment vertical="center"/>
    </xf>
    <xf numFmtId="180" fontId="5" fillId="26" borderId="0" xfId="65" applyNumberFormat="1" applyFont="1" applyFill="1" applyBorder="1" applyAlignment="1">
      <alignment vertical="center"/>
    </xf>
    <xf numFmtId="180" fontId="47" fillId="0" borderId="18" xfId="65" applyNumberFormat="1" applyFont="1" applyFill="1" applyBorder="1" applyAlignment="1">
      <alignment vertical="center"/>
    </xf>
    <xf numFmtId="0" fontId="6" fillId="0" borderId="10" xfId="0" applyFont="1" applyBorder="1">
      <alignment vertical="center"/>
    </xf>
    <xf numFmtId="0" fontId="47" fillId="26" borderId="0" xfId="0" applyFont="1" applyFill="1" applyAlignment="1">
      <alignment horizontal="center"/>
    </xf>
    <xf numFmtId="0" fontId="51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9" fillId="0" borderId="19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9" fillId="26" borderId="0" xfId="0" applyFont="1" applyFill="1" applyAlignment="1">
      <alignment horizontal="left" vertical="center"/>
    </xf>
    <xf numFmtId="0" fontId="64" fillId="24" borderId="0" xfId="173" quotePrefix="1" applyFont="1" applyFill="1" applyAlignment="1">
      <alignment horizontal="center" vertical="center" wrapText="1"/>
    </xf>
    <xf numFmtId="0" fontId="64" fillId="24" borderId="0" xfId="173" applyFont="1" applyFill="1" applyAlignment="1">
      <alignment horizontal="center" vertical="center"/>
    </xf>
    <xf numFmtId="2" fontId="64" fillId="24" borderId="0" xfId="173" applyNumberFormat="1" applyFont="1" applyFill="1" applyAlignment="1">
      <alignment horizontal="center" vertical="center"/>
    </xf>
    <xf numFmtId="2" fontId="64" fillId="26" borderId="0" xfId="0" applyNumberFormat="1" applyFont="1" applyFill="1" applyAlignment="1">
      <alignment horizontal="center" vertical="center"/>
    </xf>
    <xf numFmtId="180" fontId="44" fillId="26" borderId="0" xfId="65" applyNumberFormat="1" applyFont="1" applyFill="1" applyBorder="1" applyAlignment="1">
      <alignment vertical="center"/>
    </xf>
    <xf numFmtId="0" fontId="51" fillId="0" borderId="19" xfId="0" applyFont="1" applyBorder="1">
      <alignment vertical="center"/>
    </xf>
    <xf numFmtId="0" fontId="49" fillId="0" borderId="19" xfId="0" applyFont="1" applyBorder="1">
      <alignment vertical="center"/>
    </xf>
    <xf numFmtId="0" fontId="14" fillId="24" borderId="0" xfId="173" quotePrefix="1" applyFont="1" applyFill="1" applyAlignment="1">
      <alignment horizontal="center" vertical="center" wrapText="1"/>
    </xf>
    <xf numFmtId="0" fontId="14" fillId="24" borderId="0" xfId="173" applyFont="1" applyFill="1" applyAlignment="1">
      <alignment horizontal="center" vertical="center"/>
    </xf>
    <xf numFmtId="2" fontId="14" fillId="24" borderId="0" xfId="173" applyNumberFormat="1" applyFont="1" applyFill="1" applyAlignment="1">
      <alignment horizontal="center" vertical="center"/>
    </xf>
    <xf numFmtId="2" fontId="14" fillId="26" borderId="16" xfId="0" applyNumberFormat="1" applyFont="1" applyFill="1" applyBorder="1" applyAlignment="1">
      <alignment horizontal="center" vertical="center"/>
    </xf>
    <xf numFmtId="0" fontId="51" fillId="0" borderId="19" xfId="0" applyFont="1" applyBorder="1" applyAlignment="1">
      <alignment horizontal="center" vertical="center"/>
    </xf>
    <xf numFmtId="0" fontId="6" fillId="0" borderId="0" xfId="0" applyFont="1">
      <alignment vertical="center"/>
    </xf>
    <xf numFmtId="181" fontId="14" fillId="27" borderId="0" xfId="0" applyNumberFormat="1" applyFont="1" applyFill="1" applyAlignment="1">
      <alignment horizontal="center" vertical="center"/>
    </xf>
    <xf numFmtId="182" fontId="14" fillId="24" borderId="0" xfId="173" applyNumberFormat="1" applyFont="1" applyFill="1" applyAlignment="1">
      <alignment horizontal="center" vertical="center"/>
    </xf>
    <xf numFmtId="182" fontId="64" fillId="24" borderId="0" xfId="173" applyNumberFormat="1" applyFont="1" applyFill="1" applyAlignment="1">
      <alignment horizontal="center" vertical="center"/>
    </xf>
    <xf numFmtId="182" fontId="14" fillId="27" borderId="0" xfId="0" applyNumberFormat="1" applyFont="1" applyFill="1" applyAlignment="1">
      <alignment horizontal="center" vertical="center"/>
    </xf>
    <xf numFmtId="183" fontId="9" fillId="26" borderId="0" xfId="0" applyNumberFormat="1" applyFont="1" applyFill="1" applyAlignment="1">
      <alignment horizontal="left" vertical="center"/>
    </xf>
    <xf numFmtId="183" fontId="5" fillId="26" borderId="0" xfId="65" applyNumberFormat="1" applyFont="1" applyFill="1" applyBorder="1" applyAlignment="1">
      <alignment vertical="center"/>
    </xf>
    <xf numFmtId="183" fontId="44" fillId="26" borderId="0" xfId="65" applyNumberFormat="1" applyFont="1" applyFill="1" applyBorder="1" applyAlignment="1">
      <alignment vertical="center"/>
    </xf>
    <xf numFmtId="183" fontId="7" fillId="26" borderId="0" xfId="0" applyNumberFormat="1" applyFont="1" applyFill="1">
      <alignment vertical="center"/>
    </xf>
    <xf numFmtId="183" fontId="5" fillId="0" borderId="18" xfId="0" applyNumberFormat="1" applyFont="1" applyBorder="1">
      <alignment vertical="center"/>
    </xf>
    <xf numFmtId="183" fontId="47" fillId="0" borderId="18" xfId="0" applyNumberFormat="1" applyFont="1" applyBorder="1">
      <alignment vertical="center"/>
    </xf>
    <xf numFmtId="165" fontId="47" fillId="0" borderId="11" xfId="64" applyNumberFormat="1" applyFont="1" applyFill="1" applyBorder="1" applyAlignment="1">
      <alignment vertical="center"/>
    </xf>
    <xf numFmtId="165" fontId="13" fillId="0" borderId="11" xfId="64" applyNumberFormat="1" applyFont="1" applyFill="1" applyBorder="1" applyAlignment="1">
      <alignment vertical="center"/>
    </xf>
    <xf numFmtId="0" fontId="50" fillId="0" borderId="18" xfId="0" applyFont="1" applyBorder="1">
      <alignment vertical="center"/>
    </xf>
    <xf numFmtId="3" fontId="50" fillId="0" borderId="18" xfId="0" applyNumberFormat="1" applyFont="1" applyBorder="1" applyAlignment="1">
      <alignment horizontal="center" vertical="center"/>
    </xf>
    <xf numFmtId="179" fontId="50" fillId="0" borderId="18" xfId="0" applyNumberFormat="1" applyFont="1" applyBorder="1">
      <alignment vertical="center"/>
    </xf>
    <xf numFmtId="3" fontId="50" fillId="0" borderId="0" xfId="0" applyNumberFormat="1" applyFont="1" applyAlignment="1">
      <alignment horizontal="center" vertical="center"/>
    </xf>
    <xf numFmtId="183" fontId="50" fillId="0" borderId="0" xfId="0" applyNumberFormat="1" applyFont="1">
      <alignment vertical="center"/>
    </xf>
    <xf numFmtId="180" fontId="50" fillId="0" borderId="0" xfId="65" applyNumberFormat="1" applyFont="1" applyFill="1" applyBorder="1" applyAlignment="1">
      <alignment vertical="center"/>
    </xf>
    <xf numFmtId="179" fontId="50" fillId="0" borderId="0" xfId="0" applyNumberFormat="1" applyFont="1">
      <alignment vertical="center"/>
    </xf>
    <xf numFmtId="0" fontId="60" fillId="26" borderId="0" xfId="0" applyFont="1" applyFill="1">
      <alignment vertical="center"/>
    </xf>
    <xf numFmtId="0" fontId="66" fillId="26" borderId="0" xfId="0" applyFont="1" applyFill="1">
      <alignment vertical="center"/>
    </xf>
    <xf numFmtId="166" fontId="60" fillId="26" borderId="0" xfId="65" applyNumberFormat="1" applyFont="1" applyFill="1" applyBorder="1" applyAlignment="1">
      <alignment vertical="center"/>
    </xf>
    <xf numFmtId="171" fontId="60" fillId="26" borderId="0" xfId="0" applyNumberFormat="1" applyFont="1" applyFill="1">
      <alignment vertical="center"/>
    </xf>
    <xf numFmtId="0" fontId="60" fillId="26" borderId="0" xfId="0" applyFont="1" applyFill="1" applyAlignment="1">
      <alignment horizontal="left" vertical="center"/>
    </xf>
    <xf numFmtId="183" fontId="9" fillId="26" borderId="0" xfId="65" applyNumberFormat="1" applyFont="1" applyFill="1" applyBorder="1" applyAlignment="1">
      <alignment vertical="center"/>
    </xf>
    <xf numFmtId="165" fontId="9" fillId="26" borderId="0" xfId="64" applyNumberFormat="1" applyFont="1" applyFill="1" applyBorder="1" applyAlignment="1">
      <alignment vertical="center"/>
    </xf>
    <xf numFmtId="180" fontId="9" fillId="26" borderId="0" xfId="65" applyNumberFormat="1" applyFont="1" applyFill="1" applyBorder="1" applyAlignment="1">
      <alignment vertical="center"/>
    </xf>
    <xf numFmtId="183" fontId="61" fillId="26" borderId="0" xfId="65" applyNumberFormat="1" applyFont="1" applyFill="1" applyBorder="1" applyAlignment="1">
      <alignment vertical="center"/>
    </xf>
    <xf numFmtId="184" fontId="9" fillId="26" borderId="0" xfId="65" applyNumberFormat="1" applyFont="1" applyFill="1" applyBorder="1" applyAlignment="1">
      <alignment vertical="center"/>
    </xf>
    <xf numFmtId="180" fontId="61" fillId="26" borderId="0" xfId="65" applyNumberFormat="1" applyFont="1" applyFill="1" applyBorder="1" applyAlignment="1">
      <alignment vertical="center"/>
    </xf>
    <xf numFmtId="0" fontId="60" fillId="0" borderId="30" xfId="0" applyFont="1" applyBorder="1">
      <alignment vertical="center"/>
    </xf>
    <xf numFmtId="183" fontId="60" fillId="26" borderId="30" xfId="65" applyNumberFormat="1" applyFont="1" applyFill="1" applyBorder="1" applyAlignment="1">
      <alignment vertical="center"/>
    </xf>
    <xf numFmtId="165" fontId="60" fillId="26" borderId="30" xfId="64" applyNumberFormat="1" applyFont="1" applyFill="1" applyBorder="1" applyAlignment="1">
      <alignment vertical="center"/>
    </xf>
    <xf numFmtId="170" fontId="60" fillId="0" borderId="30" xfId="65" applyNumberFormat="1" applyFont="1" applyFill="1" applyBorder="1" applyAlignment="1">
      <alignment vertical="center"/>
    </xf>
    <xf numFmtId="0" fontId="60" fillId="0" borderId="30" xfId="0" applyFont="1" applyBorder="1" applyAlignment="1">
      <alignment horizontal="center" vertical="center"/>
    </xf>
    <xf numFmtId="180" fontId="50" fillId="0" borderId="18" xfId="0" applyNumberFormat="1" applyFont="1" applyBorder="1">
      <alignment vertical="center"/>
    </xf>
    <xf numFmtId="0" fontId="0" fillId="0" borderId="31" xfId="0" applyBorder="1">
      <alignment vertical="center"/>
    </xf>
    <xf numFmtId="0" fontId="0" fillId="0" borderId="32" xfId="0" applyBorder="1">
      <alignment vertical="center"/>
    </xf>
    <xf numFmtId="0" fontId="0" fillId="0" borderId="34" xfId="0" applyBorder="1">
      <alignment vertical="center"/>
    </xf>
    <xf numFmtId="0" fontId="0" fillId="0" borderId="36" xfId="0" applyBorder="1">
      <alignment vertical="center"/>
    </xf>
    <xf numFmtId="0" fontId="48" fillId="0" borderId="38" xfId="0" applyFont="1" applyBorder="1">
      <alignment vertical="center"/>
    </xf>
    <xf numFmtId="166" fontId="48" fillId="0" borderId="39" xfId="0" applyNumberFormat="1" applyFont="1" applyBorder="1">
      <alignment vertical="center"/>
    </xf>
    <xf numFmtId="0" fontId="47" fillId="0" borderId="34" xfId="0" applyFont="1" applyBorder="1" applyAlignment="1">
      <alignment horizontal="left" vertical="center"/>
    </xf>
    <xf numFmtId="14" fontId="47" fillId="0" borderId="37" xfId="0" applyNumberFormat="1" applyFont="1" applyBorder="1">
      <alignment vertical="center"/>
    </xf>
    <xf numFmtId="0" fontId="52" fillId="0" borderId="39" xfId="0" applyFont="1" applyBorder="1" applyAlignment="1">
      <alignment horizontal="right" vertical="center"/>
    </xf>
    <xf numFmtId="14" fontId="56" fillId="0" borderId="35" xfId="0" applyNumberFormat="1" applyFont="1" applyBorder="1">
      <alignment vertical="center"/>
    </xf>
    <xf numFmtId="14" fontId="47" fillId="0" borderId="35" xfId="0" applyNumberFormat="1" applyFont="1" applyBorder="1">
      <alignment vertical="center"/>
    </xf>
    <xf numFmtId="0" fontId="47" fillId="0" borderId="34" xfId="0" applyFont="1" applyBorder="1">
      <alignment vertical="center"/>
    </xf>
    <xf numFmtId="166" fontId="47" fillId="0" borderId="37" xfId="0" applyNumberFormat="1" applyFont="1" applyBorder="1" applyAlignment="1">
      <alignment horizontal="right" vertical="center"/>
    </xf>
    <xf numFmtId="166" fontId="52" fillId="0" borderId="39" xfId="0" applyNumberFormat="1" applyFont="1" applyBorder="1">
      <alignment vertical="center"/>
    </xf>
    <xf numFmtId="166" fontId="47" fillId="0" borderId="35" xfId="0" applyNumberFormat="1" applyFont="1" applyBorder="1">
      <alignment vertical="center"/>
    </xf>
    <xf numFmtId="166" fontId="47" fillId="0" borderId="37" xfId="0" applyNumberFormat="1" applyFont="1" applyBorder="1">
      <alignment vertical="center"/>
    </xf>
    <xf numFmtId="0" fontId="48" fillId="0" borderId="40" xfId="0" applyFont="1" applyBorder="1">
      <alignment vertical="center"/>
    </xf>
    <xf numFmtId="0" fontId="47" fillId="0" borderId="35" xfId="0" applyFont="1" applyBorder="1">
      <alignment vertical="center"/>
    </xf>
    <xf numFmtId="0" fontId="5" fillId="0" borderId="34" xfId="0" applyFont="1" applyBorder="1" applyAlignment="1"/>
    <xf numFmtId="0" fontId="5" fillId="0" borderId="35" xfId="0" applyFont="1" applyBorder="1">
      <alignment vertical="center"/>
    </xf>
    <xf numFmtId="0" fontId="9" fillId="0" borderId="34" xfId="0" applyFont="1" applyBorder="1" applyAlignment="1"/>
    <xf numFmtId="165" fontId="9" fillId="0" borderId="0" xfId="64" applyNumberFormat="1" applyFont="1" applyFill="1" applyBorder="1" applyAlignment="1">
      <alignment vertical="center"/>
    </xf>
    <xf numFmtId="0" fontId="9" fillId="0" borderId="35" xfId="0" applyFont="1" applyBorder="1">
      <alignment vertical="center"/>
    </xf>
    <xf numFmtId="0" fontId="67" fillId="0" borderId="0" xfId="0" applyFont="1">
      <alignment vertical="center"/>
    </xf>
    <xf numFmtId="0" fontId="38" fillId="0" borderId="35" xfId="0" applyFont="1" applyBorder="1">
      <alignment vertical="center"/>
    </xf>
    <xf numFmtId="0" fontId="9" fillId="0" borderId="0" xfId="0" applyFont="1" applyAlignment="1">
      <alignment horizontal="center"/>
    </xf>
    <xf numFmtId="171" fontId="9" fillId="26" borderId="35" xfId="65" applyNumberFormat="1" applyFont="1" applyFill="1" applyBorder="1" applyAlignment="1">
      <alignment horizontal="center" vertical="center"/>
    </xf>
    <xf numFmtId="171" fontId="61" fillId="26" borderId="35" xfId="65" applyNumberFormat="1" applyFont="1" applyFill="1" applyBorder="1" applyAlignment="1">
      <alignment horizontal="center" vertical="center"/>
    </xf>
    <xf numFmtId="0" fontId="9" fillId="0" borderId="34" xfId="0" applyFont="1" applyBorder="1">
      <alignment vertical="center"/>
    </xf>
    <xf numFmtId="171" fontId="60" fillId="0" borderId="41" xfId="0" applyNumberFormat="1" applyFont="1" applyBorder="1" applyAlignment="1">
      <alignment horizontal="center" vertical="center"/>
    </xf>
    <xf numFmtId="0" fontId="13" fillId="0" borderId="0" xfId="0" applyFont="1" applyAlignment="1"/>
    <xf numFmtId="0" fontId="13" fillId="0" borderId="0" xfId="140" applyFont="1">
      <alignment vertical="center"/>
    </xf>
    <xf numFmtId="170" fontId="13" fillId="0" borderId="0" xfId="140" applyNumberFormat="1" applyFont="1">
      <alignment vertical="center"/>
    </xf>
    <xf numFmtId="0" fontId="51" fillId="0" borderId="35" xfId="0" applyFont="1" applyBorder="1">
      <alignment vertical="center"/>
    </xf>
    <xf numFmtId="0" fontId="53" fillId="0" borderId="35" xfId="0" applyFont="1" applyBorder="1">
      <alignment vertical="center"/>
    </xf>
    <xf numFmtId="0" fontId="47" fillId="0" borderId="37" xfId="0" applyFont="1" applyBorder="1">
      <alignment vertical="center"/>
    </xf>
    <xf numFmtId="0" fontId="47" fillId="0" borderId="42" xfId="0" applyFont="1" applyBorder="1">
      <alignment vertical="center"/>
    </xf>
    <xf numFmtId="0" fontId="47" fillId="0" borderId="43" xfId="0" applyFont="1" applyBorder="1">
      <alignment vertical="center"/>
    </xf>
    <xf numFmtId="0" fontId="47" fillId="0" borderId="44" xfId="0" applyFont="1" applyBorder="1">
      <alignment vertical="center"/>
    </xf>
    <xf numFmtId="171" fontId="60" fillId="26" borderId="35" xfId="65" applyNumberFormat="1" applyFont="1" applyFill="1" applyBorder="1" applyAlignment="1">
      <alignment horizontal="center" vertical="center"/>
    </xf>
    <xf numFmtId="166" fontId="60" fillId="26" borderId="0" xfId="65" applyNumberFormat="1" applyFont="1" applyFill="1" applyBorder="1" applyAlignment="1">
      <alignment horizontal="right" vertical="center"/>
    </xf>
    <xf numFmtId="0" fontId="60" fillId="26" borderId="0" xfId="0" applyFont="1" applyFill="1" applyAlignment="1">
      <alignment horizontal="right" vertical="center"/>
    </xf>
    <xf numFmtId="166" fontId="47" fillId="0" borderId="39" xfId="0" applyNumberFormat="1" applyFont="1" applyBorder="1">
      <alignment vertical="center"/>
    </xf>
    <xf numFmtId="185" fontId="14" fillId="24" borderId="0" xfId="173" quotePrefix="1" applyNumberFormat="1" applyFont="1" applyFill="1" applyAlignment="1">
      <alignment horizontal="center" vertical="center" wrapText="1"/>
    </xf>
    <xf numFmtId="0" fontId="68" fillId="0" borderId="0" xfId="0" applyFont="1" applyAlignment="1"/>
    <xf numFmtId="0" fontId="69" fillId="0" borderId="0" xfId="0" applyFont="1">
      <alignment vertical="center"/>
    </xf>
    <xf numFmtId="0" fontId="70" fillId="26" borderId="0" xfId="0" applyFont="1" applyFill="1" applyAlignment="1">
      <alignment horizontal="left" vertical="center"/>
    </xf>
    <xf numFmtId="0" fontId="71" fillId="26" borderId="0" xfId="0" applyFont="1" applyFill="1">
      <alignment vertical="center"/>
    </xf>
    <xf numFmtId="0" fontId="72" fillId="26" borderId="0" xfId="0" applyFont="1" applyFill="1">
      <alignment vertical="center"/>
    </xf>
    <xf numFmtId="166" fontId="71" fillId="26" borderId="0" xfId="65" applyNumberFormat="1" applyFont="1" applyFill="1" applyBorder="1" applyAlignment="1">
      <alignment vertical="center"/>
    </xf>
    <xf numFmtId="175" fontId="69" fillId="0" borderId="0" xfId="0" applyNumberFormat="1" applyFont="1">
      <alignment vertical="center"/>
    </xf>
    <xf numFmtId="0" fontId="73" fillId="0" borderId="0" xfId="0" applyFont="1">
      <alignment vertical="center"/>
    </xf>
    <xf numFmtId="0" fontId="74" fillId="24" borderId="0" xfId="173" applyFont="1" applyFill="1" applyAlignment="1">
      <alignment horizontal="center" vertical="center" wrapText="1"/>
    </xf>
    <xf numFmtId="0" fontId="74" fillId="24" borderId="0" xfId="173" applyFont="1" applyFill="1" applyAlignment="1">
      <alignment horizontal="center" vertical="center"/>
    </xf>
    <xf numFmtId="0" fontId="74" fillId="24" borderId="16" xfId="173" applyFont="1" applyFill="1" applyBorder="1" applyAlignment="1">
      <alignment horizontal="center" vertical="center"/>
    </xf>
    <xf numFmtId="49" fontId="14" fillId="24" borderId="0" xfId="173" quotePrefix="1" applyNumberFormat="1" applyFont="1" applyFill="1" applyAlignment="1">
      <alignment horizontal="center" vertical="center" wrapText="1"/>
    </xf>
    <xf numFmtId="0" fontId="50" fillId="0" borderId="18" xfId="0" applyFont="1" applyBorder="1" applyAlignment="1">
      <alignment horizontal="center" vertical="center"/>
    </xf>
    <xf numFmtId="0" fontId="75" fillId="26" borderId="0" xfId="175" applyFont="1" applyFill="1">
      <alignment vertical="center"/>
    </xf>
    <xf numFmtId="0" fontId="80" fillId="24" borderId="45" xfId="178" applyFont="1" applyFill="1" applyBorder="1" applyAlignment="1">
      <alignment horizontal="center" vertical="center" wrapText="1"/>
    </xf>
    <xf numFmtId="0" fontId="82" fillId="26" borderId="12" xfId="175" applyFont="1" applyFill="1" applyBorder="1">
      <alignment vertical="center"/>
    </xf>
    <xf numFmtId="165" fontId="14" fillId="26" borderId="14" xfId="176" applyNumberFormat="1" applyFont="1" applyFill="1" applyBorder="1" applyAlignment="1">
      <alignment horizontal="left" vertical="center"/>
    </xf>
    <xf numFmtId="165" fontId="65" fillId="26" borderId="14" xfId="176" applyNumberFormat="1" applyFont="1" applyFill="1" applyBorder="1" applyAlignment="1">
      <alignment horizontal="left" vertical="center"/>
    </xf>
    <xf numFmtId="165" fontId="14" fillId="0" borderId="0" xfId="176" applyNumberFormat="1" applyFont="1" applyBorder="1" applyAlignment="1" applyProtection="1">
      <alignment horizontal="left" vertical="center" wrapText="1"/>
      <protection locked="0"/>
    </xf>
    <xf numFmtId="165" fontId="14" fillId="26" borderId="0" xfId="176" applyNumberFormat="1" applyFont="1" applyFill="1" applyBorder="1" applyAlignment="1">
      <alignment horizontal="left" vertical="center"/>
    </xf>
    <xf numFmtId="165" fontId="84" fillId="26" borderId="0" xfId="176" applyNumberFormat="1" applyFont="1" applyFill="1" applyBorder="1" applyAlignment="1">
      <alignment horizontal="left" vertical="center"/>
    </xf>
    <xf numFmtId="165" fontId="84" fillId="26" borderId="0" xfId="176" applyNumberFormat="1" applyFont="1" applyFill="1" applyAlignment="1">
      <alignment horizontal="left" vertical="center"/>
    </xf>
    <xf numFmtId="0" fontId="84" fillId="26" borderId="0" xfId="175" applyFont="1" applyFill="1" applyAlignment="1">
      <alignment horizontal="left" vertical="center"/>
    </xf>
    <xf numFmtId="165" fontId="14" fillId="25" borderId="0" xfId="176" applyNumberFormat="1" applyFont="1" applyFill="1" applyBorder="1" applyAlignment="1">
      <alignment horizontal="left" vertical="center"/>
    </xf>
    <xf numFmtId="165" fontId="14" fillId="0" borderId="0" xfId="176" applyNumberFormat="1" applyFont="1" applyFill="1" applyBorder="1" applyAlignment="1">
      <alignment horizontal="left" vertical="center"/>
    </xf>
    <xf numFmtId="165" fontId="14" fillId="25" borderId="0" xfId="176" quotePrefix="1" applyNumberFormat="1" applyFont="1" applyFill="1" applyBorder="1" applyAlignment="1">
      <alignment horizontal="left" vertical="center"/>
    </xf>
    <xf numFmtId="165" fontId="14" fillId="0" borderId="0" xfId="176" quotePrefix="1" applyNumberFormat="1" applyFont="1" applyFill="1" applyBorder="1" applyAlignment="1">
      <alignment horizontal="left" vertical="center"/>
    </xf>
    <xf numFmtId="0" fontId="58" fillId="24" borderId="45" xfId="173" applyFont="1" applyFill="1" applyBorder="1" applyAlignment="1">
      <alignment horizontal="center" vertical="center" wrapText="1"/>
    </xf>
    <xf numFmtId="0" fontId="77" fillId="26" borderId="34" xfId="175" applyFont="1" applyFill="1" applyBorder="1">
      <alignment vertical="center"/>
    </xf>
    <xf numFmtId="0" fontId="79" fillId="26" borderId="48" xfId="175" applyFont="1" applyFill="1" applyBorder="1" applyAlignment="1">
      <alignment horizontal="center" vertical="center"/>
    </xf>
    <xf numFmtId="0" fontId="86" fillId="26" borderId="31" xfId="175" applyFont="1" applyFill="1" applyBorder="1">
      <alignment vertical="center"/>
    </xf>
    <xf numFmtId="0" fontId="86" fillId="26" borderId="32" xfId="175" applyFont="1" applyFill="1" applyBorder="1">
      <alignment vertical="center"/>
    </xf>
    <xf numFmtId="0" fontId="86" fillId="0" borderId="0" xfId="175" applyFont="1">
      <alignment vertical="center"/>
    </xf>
    <xf numFmtId="0" fontId="86" fillId="26" borderId="34" xfId="175" applyFont="1" applyFill="1" applyBorder="1">
      <alignment vertical="center"/>
    </xf>
    <xf numFmtId="0" fontId="86" fillId="26" borderId="0" xfId="175" applyFont="1" applyFill="1">
      <alignment vertical="center"/>
    </xf>
    <xf numFmtId="0" fontId="86" fillId="26" borderId="10" xfId="175" applyFont="1" applyFill="1" applyBorder="1">
      <alignment vertical="center"/>
    </xf>
    <xf numFmtId="0" fontId="82" fillId="26" borderId="38" xfId="175" applyFont="1" applyFill="1" applyBorder="1">
      <alignment vertical="center"/>
    </xf>
    <xf numFmtId="0" fontId="82" fillId="26" borderId="11" xfId="175" applyFont="1" applyFill="1" applyBorder="1">
      <alignment vertical="center"/>
    </xf>
    <xf numFmtId="0" fontId="82" fillId="26" borderId="39" xfId="175" applyFont="1" applyFill="1" applyBorder="1">
      <alignment vertical="center"/>
    </xf>
    <xf numFmtId="0" fontId="88" fillId="26" borderId="34" xfId="175" applyFont="1" applyFill="1" applyBorder="1">
      <alignment vertical="center"/>
    </xf>
    <xf numFmtId="0" fontId="89" fillId="26" borderId="0" xfId="175" applyFont="1" applyFill="1">
      <alignment vertical="center"/>
    </xf>
    <xf numFmtId="0" fontId="82" fillId="26" borderId="0" xfId="175" applyFont="1" applyFill="1">
      <alignment vertical="center"/>
    </xf>
    <xf numFmtId="0" fontId="82" fillId="26" borderId="10" xfId="175" applyFont="1" applyFill="1" applyBorder="1">
      <alignment vertical="center"/>
    </xf>
    <xf numFmtId="14" fontId="86" fillId="0" borderId="0" xfId="175" applyNumberFormat="1" applyFont="1">
      <alignment vertical="center"/>
    </xf>
    <xf numFmtId="0" fontId="82" fillId="26" borderId="34" xfId="175" applyFont="1" applyFill="1" applyBorder="1">
      <alignment vertical="center"/>
    </xf>
    <xf numFmtId="167" fontId="82" fillId="26" borderId="0" xfId="175" applyNumberFormat="1" applyFont="1" applyFill="1" applyAlignment="1">
      <alignment horizontal="right" vertical="center"/>
    </xf>
    <xf numFmtId="14" fontId="82" fillId="26" borderId="35" xfId="175" applyNumberFormat="1" applyFont="1" applyFill="1" applyBorder="1">
      <alignment vertical="center"/>
    </xf>
    <xf numFmtId="0" fontId="83" fillId="26" borderId="0" xfId="175" applyFont="1" applyFill="1">
      <alignment vertical="center"/>
    </xf>
    <xf numFmtId="0" fontId="82" fillId="26" borderId="35" xfId="175" applyFont="1" applyFill="1" applyBorder="1">
      <alignment vertical="center"/>
    </xf>
    <xf numFmtId="0" fontId="88" fillId="26" borderId="0" xfId="175" applyFont="1" applyFill="1">
      <alignment vertical="center"/>
    </xf>
    <xf numFmtId="3" fontId="82" fillId="26" borderId="35" xfId="175" quotePrefix="1" applyNumberFormat="1" applyFont="1" applyFill="1" applyBorder="1">
      <alignment vertical="center"/>
    </xf>
    <xf numFmtId="0" fontId="14" fillId="26" borderId="0" xfId="175" applyFont="1" applyFill="1">
      <alignment vertical="center"/>
    </xf>
    <xf numFmtId="0" fontId="91" fillId="26" borderId="0" xfId="175" applyFont="1" applyFill="1">
      <alignment vertical="center"/>
    </xf>
    <xf numFmtId="0" fontId="77" fillId="26" borderId="0" xfId="175" applyFont="1" applyFill="1">
      <alignment vertical="center"/>
    </xf>
    <xf numFmtId="0" fontId="14" fillId="26" borderId="0" xfId="175" applyFont="1" applyFill="1" applyAlignment="1">
      <alignment vertical="center" wrapText="1"/>
    </xf>
    <xf numFmtId="0" fontId="75" fillId="0" borderId="0" xfId="175" applyFont="1" applyAlignment="1" applyProtection="1">
      <alignment horizontal="center" vertical="center" wrapText="1"/>
      <protection locked="0"/>
    </xf>
    <xf numFmtId="0" fontId="75" fillId="0" borderId="0" xfId="175" applyFont="1" applyAlignment="1" applyProtection="1">
      <alignment horizontal="right" vertical="center" wrapText="1"/>
      <protection locked="0"/>
    </xf>
    <xf numFmtId="165" fontId="75" fillId="0" borderId="0" xfId="176" applyNumberFormat="1" applyFont="1" applyBorder="1" applyAlignment="1" applyProtection="1">
      <alignment horizontal="right" vertical="center" wrapText="1"/>
      <protection locked="0"/>
    </xf>
    <xf numFmtId="166" fontId="82" fillId="26" borderId="0" xfId="175" applyNumberFormat="1" applyFont="1" applyFill="1">
      <alignment vertical="center"/>
    </xf>
    <xf numFmtId="40" fontId="82" fillId="26" borderId="0" xfId="176" applyNumberFormat="1" applyFont="1" applyFill="1" applyBorder="1" applyAlignment="1">
      <alignment vertical="center"/>
    </xf>
    <xf numFmtId="166" fontId="82" fillId="26" borderId="35" xfId="175" applyNumberFormat="1" applyFont="1" applyFill="1" applyBorder="1">
      <alignment vertical="center"/>
    </xf>
    <xf numFmtId="0" fontId="77" fillId="26" borderId="34" xfId="0" applyFont="1" applyFill="1" applyBorder="1">
      <alignment vertical="center"/>
    </xf>
    <xf numFmtId="0" fontId="14" fillId="26" borderId="0" xfId="0" applyFont="1" applyFill="1">
      <alignment vertical="center"/>
    </xf>
    <xf numFmtId="0" fontId="82" fillId="26" borderId="0" xfId="175" applyFont="1" applyFill="1" applyAlignment="1">
      <alignment horizontal="center" vertical="center"/>
    </xf>
    <xf numFmtId="0" fontId="92" fillId="26" borderId="0" xfId="175" applyFont="1" applyFill="1">
      <alignment vertical="center"/>
    </xf>
    <xf numFmtId="0" fontId="86" fillId="26" borderId="35" xfId="175" applyFont="1" applyFill="1" applyBorder="1">
      <alignment vertical="center"/>
    </xf>
    <xf numFmtId="0" fontId="90" fillId="26" borderId="0" xfId="165" applyFont="1" applyFill="1" applyAlignment="1">
      <alignment vertical="center"/>
    </xf>
    <xf numFmtId="0" fontId="82" fillId="26" borderId="0" xfId="165" applyFont="1" applyFill="1" applyAlignment="1">
      <alignment vertical="center"/>
    </xf>
    <xf numFmtId="171" fontId="75" fillId="26" borderId="0" xfId="65" applyNumberFormat="1" applyFont="1" applyFill="1" applyBorder="1" applyAlignment="1">
      <alignment horizontal="left" vertical="center"/>
    </xf>
    <xf numFmtId="171" fontId="75" fillId="26" borderId="0" xfId="65" applyNumberFormat="1" applyFont="1" applyFill="1" applyBorder="1" applyAlignment="1">
      <alignment horizontal="center" vertical="center"/>
    </xf>
    <xf numFmtId="0" fontId="77" fillId="26" borderId="0" xfId="0" applyFont="1" applyFill="1">
      <alignment vertical="center"/>
    </xf>
    <xf numFmtId="165" fontId="93" fillId="26" borderId="0" xfId="175" applyNumberFormat="1" applyFont="1" applyFill="1">
      <alignment vertical="center"/>
    </xf>
    <xf numFmtId="0" fontId="93" fillId="26" borderId="0" xfId="175" applyFont="1" applyFill="1">
      <alignment vertical="center"/>
    </xf>
    <xf numFmtId="0" fontId="82" fillId="25" borderId="0" xfId="175" applyFont="1" applyFill="1">
      <alignment vertical="center"/>
    </xf>
    <xf numFmtId="0" fontId="82" fillId="25" borderId="0" xfId="175" applyFont="1" applyFill="1" applyAlignment="1">
      <alignment horizontal="center" vertical="center"/>
    </xf>
    <xf numFmtId="40" fontId="82" fillId="25" borderId="0" xfId="176" applyNumberFormat="1" applyFont="1" applyFill="1" applyBorder="1" applyAlignment="1">
      <alignment vertical="center"/>
    </xf>
    <xf numFmtId="166" fontId="82" fillId="25" borderId="0" xfId="175" applyNumberFormat="1" applyFont="1" applyFill="1">
      <alignment vertical="center"/>
    </xf>
    <xf numFmtId="0" fontId="75" fillId="0" borderId="0" xfId="175" applyFont="1" applyAlignment="1" applyProtection="1">
      <alignment horizontal="center" vertical="center"/>
      <protection locked="0"/>
    </xf>
    <xf numFmtId="0" fontId="82" fillId="0" borderId="0" xfId="175" applyFont="1">
      <alignment vertical="center"/>
    </xf>
    <xf numFmtId="0" fontId="82" fillId="0" borderId="0" xfId="175" applyFont="1" applyAlignment="1">
      <alignment horizontal="center" vertical="center"/>
    </xf>
    <xf numFmtId="40" fontId="82" fillId="0" borderId="0" xfId="176" applyNumberFormat="1" applyFont="1" applyFill="1" applyBorder="1" applyAlignment="1">
      <alignment vertical="center"/>
    </xf>
    <xf numFmtId="166" fontId="82" fillId="0" borderId="0" xfId="175" applyNumberFormat="1" applyFont="1">
      <alignment vertical="center"/>
    </xf>
    <xf numFmtId="0" fontId="82" fillId="25" borderId="0" xfId="165" quotePrefix="1" applyFont="1" applyFill="1" applyAlignment="1">
      <alignment horizontal="right" vertical="center"/>
    </xf>
    <xf numFmtId="2" fontId="82" fillId="25" borderId="0" xfId="165" quotePrefix="1" applyNumberFormat="1" applyFont="1" applyFill="1" applyAlignment="1">
      <alignment horizontal="right" vertical="center"/>
    </xf>
    <xf numFmtId="0" fontId="82" fillId="0" borderId="0" xfId="165" quotePrefix="1" applyFont="1" applyAlignment="1">
      <alignment horizontal="right" vertical="center"/>
    </xf>
    <xf numFmtId="2" fontId="82" fillId="0" borderId="0" xfId="165" quotePrefix="1" applyNumberFormat="1" applyFont="1" applyAlignment="1">
      <alignment horizontal="right" vertical="center"/>
    </xf>
    <xf numFmtId="0" fontId="88" fillId="0" borderId="0" xfId="175" applyFont="1">
      <alignment vertical="center"/>
    </xf>
    <xf numFmtId="0" fontId="82" fillId="26" borderId="0" xfId="175" quotePrefix="1" applyFont="1" applyFill="1" applyAlignment="1">
      <alignment horizontal="center" vertical="center"/>
    </xf>
    <xf numFmtId="0" fontId="82" fillId="25" borderId="0" xfId="175" quotePrefix="1" applyFont="1" applyFill="1" applyAlignment="1">
      <alignment horizontal="center" vertical="center"/>
    </xf>
    <xf numFmtId="0" fontId="94" fillId="26" borderId="0" xfId="165" applyFont="1" applyFill="1" applyAlignment="1">
      <alignment vertical="center"/>
    </xf>
    <xf numFmtId="166" fontId="82" fillId="26" borderId="0" xfId="65" applyNumberFormat="1" applyFont="1" applyFill="1" applyBorder="1" applyAlignment="1">
      <alignment vertical="center"/>
    </xf>
    <xf numFmtId="165" fontId="93" fillId="26" borderId="10" xfId="175" applyNumberFormat="1" applyFont="1" applyFill="1" applyBorder="1">
      <alignment vertical="center"/>
    </xf>
    <xf numFmtId="0" fontId="93" fillId="26" borderId="10" xfId="175" applyFont="1" applyFill="1" applyBorder="1">
      <alignment vertical="center"/>
    </xf>
    <xf numFmtId="165" fontId="82" fillId="26" borderId="0" xfId="176" applyNumberFormat="1" applyFont="1" applyFill="1" applyBorder="1" applyAlignment="1">
      <alignment vertical="center"/>
    </xf>
    <xf numFmtId="0" fontId="86" fillId="26" borderId="36" xfId="175" applyFont="1" applyFill="1" applyBorder="1">
      <alignment vertical="center"/>
    </xf>
    <xf numFmtId="0" fontId="77" fillId="0" borderId="0" xfId="175" applyFont="1">
      <alignment vertical="center"/>
    </xf>
    <xf numFmtId="0" fontId="84" fillId="26" borderId="34" xfId="175" applyFont="1" applyFill="1" applyBorder="1">
      <alignment vertical="center"/>
    </xf>
    <xf numFmtId="165" fontId="82" fillId="26" borderId="0" xfId="176" applyNumberFormat="1" applyFont="1" applyFill="1" applyBorder="1">
      <alignment vertical="center"/>
    </xf>
    <xf numFmtId="0" fontId="88" fillId="26" borderId="35" xfId="175" applyFont="1" applyFill="1" applyBorder="1" applyAlignment="1">
      <alignment horizontal="center" vertical="center"/>
    </xf>
    <xf numFmtId="165" fontId="82" fillId="26" borderId="0" xfId="165" applyNumberFormat="1" applyFont="1" applyFill="1" applyAlignment="1">
      <alignment vertical="center"/>
    </xf>
    <xf numFmtId="188" fontId="82" fillId="26" borderId="0" xfId="165" applyNumberFormat="1" applyFont="1" applyFill="1" applyAlignment="1">
      <alignment vertical="center"/>
    </xf>
    <xf numFmtId="171" fontId="82" fillId="26" borderId="35" xfId="65" applyNumberFormat="1" applyFont="1" applyFill="1" applyBorder="1" applyAlignment="1">
      <alignment horizontal="center" vertical="center"/>
    </xf>
    <xf numFmtId="165" fontId="82" fillId="0" borderId="0" xfId="176" applyNumberFormat="1" applyFont="1" applyFill="1" applyBorder="1" applyAlignment="1">
      <alignment vertical="center"/>
    </xf>
    <xf numFmtId="0" fontId="82" fillId="0" borderId="35" xfId="175" applyFont="1" applyBorder="1">
      <alignment vertical="center"/>
    </xf>
    <xf numFmtId="0" fontId="75" fillId="26" borderId="0" xfId="165" applyFont="1" applyFill="1" applyAlignment="1">
      <alignment horizontal="right" vertical="center"/>
    </xf>
    <xf numFmtId="0" fontId="82" fillId="0" borderId="0" xfId="175" applyFont="1" applyAlignment="1">
      <alignment horizontal="left" vertical="center"/>
    </xf>
    <xf numFmtId="0" fontId="82" fillId="26" borderId="0" xfId="175" applyFont="1" applyFill="1" applyAlignment="1">
      <alignment horizontal="left" vertical="center"/>
    </xf>
    <xf numFmtId="171" fontId="90" fillId="0" borderId="0" xfId="175" applyNumberFormat="1" applyFont="1">
      <alignment vertical="center"/>
    </xf>
    <xf numFmtId="171" fontId="82" fillId="26" borderId="0" xfId="165" applyNumberFormat="1" applyFont="1" applyFill="1" applyAlignment="1">
      <alignment vertical="center"/>
    </xf>
    <xf numFmtId="0" fontId="77" fillId="0" borderId="0" xfId="175" applyFont="1" applyAlignment="1">
      <alignment horizontal="center" vertical="center"/>
    </xf>
    <xf numFmtId="3" fontId="75" fillId="0" borderId="0" xfId="175" applyNumberFormat="1" applyFont="1" applyAlignment="1" applyProtection="1">
      <alignment horizontal="right" vertical="center" wrapText="1"/>
      <protection locked="0"/>
    </xf>
    <xf numFmtId="171" fontId="82" fillId="26" borderId="0" xfId="65" applyNumberFormat="1" applyFont="1" applyFill="1" applyBorder="1" applyAlignment="1">
      <alignment horizontal="center" vertical="center"/>
    </xf>
    <xf numFmtId="3" fontId="82" fillId="0" borderId="0" xfId="175" applyNumberFormat="1" applyFont="1" applyAlignment="1" applyProtection="1">
      <alignment horizontal="right" vertical="center" wrapText="1"/>
      <protection locked="0"/>
    </xf>
    <xf numFmtId="0" fontId="90" fillId="0" borderId="0" xfId="175" applyFont="1">
      <alignment vertical="center"/>
    </xf>
    <xf numFmtId="165" fontId="82" fillId="26" borderId="0" xfId="175" applyNumberFormat="1" applyFont="1" applyFill="1">
      <alignment vertical="center"/>
    </xf>
    <xf numFmtId="165" fontId="82" fillId="26" borderId="10" xfId="175" applyNumberFormat="1" applyFont="1" applyFill="1" applyBorder="1">
      <alignment vertical="center"/>
    </xf>
    <xf numFmtId="165" fontId="82" fillId="26" borderId="12" xfId="176" applyNumberFormat="1" applyFont="1" applyFill="1" applyBorder="1" applyAlignment="1">
      <alignment vertical="center"/>
    </xf>
    <xf numFmtId="165" fontId="88" fillId="26" borderId="13" xfId="176" applyNumberFormat="1" applyFont="1" applyFill="1" applyBorder="1" applyAlignment="1">
      <alignment vertical="center"/>
    </xf>
    <xf numFmtId="186" fontId="82" fillId="26" borderId="37" xfId="175" applyNumberFormat="1" applyFont="1" applyFill="1" applyBorder="1">
      <alignment vertical="center"/>
    </xf>
    <xf numFmtId="0" fontId="82" fillId="26" borderId="39" xfId="175" applyFont="1" applyFill="1" applyBorder="1" applyAlignment="1">
      <alignment horizontal="right" vertical="center"/>
    </xf>
    <xf numFmtId="165" fontId="82" fillId="26" borderId="14" xfId="176" applyNumberFormat="1" applyFont="1" applyFill="1" applyBorder="1" applyAlignment="1">
      <alignment horizontal="left" vertical="center"/>
    </xf>
    <xf numFmtId="186" fontId="88" fillId="26" borderId="35" xfId="175" applyNumberFormat="1" applyFont="1" applyFill="1" applyBorder="1" applyAlignment="1">
      <alignment horizontal="right" vertical="center"/>
    </xf>
    <xf numFmtId="165" fontId="82" fillId="26" borderId="13" xfId="176" applyNumberFormat="1" applyFont="1" applyFill="1" applyBorder="1" applyAlignment="1">
      <alignment vertical="center"/>
    </xf>
    <xf numFmtId="0" fontId="90" fillId="26" borderId="0" xfId="175" applyFont="1" applyFill="1">
      <alignment vertical="center"/>
    </xf>
    <xf numFmtId="165" fontId="82" fillId="26" borderId="14" xfId="176" quotePrefix="1" applyNumberFormat="1" applyFont="1" applyFill="1" applyBorder="1" applyAlignment="1">
      <alignment vertical="center"/>
    </xf>
    <xf numFmtId="165" fontId="88" fillId="26" borderId="14" xfId="176" applyNumberFormat="1" applyFont="1" applyFill="1" applyBorder="1" applyAlignment="1">
      <alignment horizontal="left" vertical="center"/>
    </xf>
    <xf numFmtId="0" fontId="82" fillId="0" borderId="14" xfId="0" applyFont="1" applyBorder="1">
      <alignment vertical="center"/>
    </xf>
    <xf numFmtId="0" fontId="82" fillId="0" borderId="0" xfId="0" applyFont="1">
      <alignment vertical="center"/>
    </xf>
    <xf numFmtId="0" fontId="82" fillId="0" borderId="35" xfId="0" applyFont="1" applyBorder="1">
      <alignment vertical="center"/>
    </xf>
    <xf numFmtId="0" fontId="82" fillId="26" borderId="14" xfId="175" applyFont="1" applyFill="1" applyBorder="1" applyAlignment="1">
      <alignment horizontal="left" vertical="center"/>
    </xf>
    <xf numFmtId="0" fontId="82" fillId="26" borderId="14" xfId="0" applyFont="1" applyFill="1" applyBorder="1">
      <alignment vertical="center"/>
    </xf>
    <xf numFmtId="0" fontId="90" fillId="26" borderId="48" xfId="175" applyFont="1" applyFill="1" applyBorder="1" applyAlignment="1">
      <alignment horizontal="center" vertical="center"/>
    </xf>
    <xf numFmtId="187" fontId="82" fillId="26" borderId="45" xfId="175" applyNumberFormat="1" applyFont="1" applyFill="1" applyBorder="1">
      <alignment vertical="center"/>
    </xf>
    <xf numFmtId="0" fontId="94" fillId="26" borderId="48" xfId="175" applyFont="1" applyFill="1" applyBorder="1">
      <alignment vertical="center"/>
    </xf>
    <xf numFmtId="0" fontId="90" fillId="26" borderId="48" xfId="175" applyFont="1" applyFill="1" applyBorder="1">
      <alignment vertical="center"/>
    </xf>
    <xf numFmtId="0" fontId="14" fillId="0" borderId="50" xfId="0" applyFont="1" applyBorder="1" applyAlignment="1">
      <alignment horizontal="center" vertical="center"/>
    </xf>
    <xf numFmtId="14" fontId="95" fillId="26" borderId="37" xfId="175" applyNumberFormat="1" applyFont="1" applyFill="1" applyBorder="1">
      <alignment vertical="center"/>
    </xf>
    <xf numFmtId="0" fontId="83" fillId="0" borderId="0" xfId="179" applyFont="1" applyAlignment="1">
      <alignment vertical="center"/>
    </xf>
    <xf numFmtId="0" fontId="83" fillId="0" borderId="0" xfId="179" applyFont="1"/>
    <xf numFmtId="0" fontId="98" fillId="0" borderId="0" xfId="179" applyFont="1" applyAlignment="1">
      <alignment horizontal="center" vertical="center"/>
    </xf>
    <xf numFmtId="189" fontId="95" fillId="0" borderId="0" xfId="179" applyNumberFormat="1" applyFont="1" applyAlignment="1">
      <alignment horizontal="center" vertical="center"/>
    </xf>
    <xf numFmtId="0" fontId="83" fillId="0" borderId="0" xfId="179" applyFont="1" applyAlignment="1">
      <alignment horizontal="right" vertical="center"/>
    </xf>
    <xf numFmtId="189" fontId="83" fillId="0" borderId="0" xfId="179" applyNumberFormat="1" applyFont="1" applyAlignment="1">
      <alignment horizontal="center" vertical="center"/>
    </xf>
    <xf numFmtId="0" fontId="83" fillId="0" borderId="0" xfId="179" applyFont="1" applyAlignment="1">
      <alignment horizontal="center" vertical="center"/>
    </xf>
    <xf numFmtId="0" fontId="91" fillId="0" borderId="0" xfId="179" applyFont="1" applyAlignment="1">
      <alignment vertical="center"/>
    </xf>
    <xf numFmtId="0" fontId="83" fillId="26" borderId="0" xfId="179" applyFont="1" applyFill="1" applyAlignment="1">
      <alignment vertical="center"/>
    </xf>
    <xf numFmtId="0" fontId="91" fillId="0" borderId="0" xfId="179" applyFont="1" applyAlignment="1">
      <alignment horizontal="left" vertical="center"/>
    </xf>
    <xf numFmtId="0" fontId="91" fillId="0" borderId="0" xfId="179" applyFont="1"/>
    <xf numFmtId="0" fontId="91" fillId="0" borderId="0" xfId="179" applyFont="1" applyAlignment="1">
      <alignment horizontal="left"/>
    </xf>
    <xf numFmtId="0" fontId="99" fillId="26" borderId="0" xfId="178" applyFont="1" applyFill="1"/>
    <xf numFmtId="0" fontId="99" fillId="26" borderId="0" xfId="178" applyFont="1" applyFill="1" applyAlignment="1">
      <alignment horizontal="left"/>
    </xf>
    <xf numFmtId="0" fontId="98" fillId="26" borderId="0" xfId="178" applyFont="1" applyFill="1"/>
    <xf numFmtId="189" fontId="99" fillId="26" borderId="0" xfId="178" applyNumberFormat="1" applyFont="1" applyFill="1" applyAlignment="1">
      <alignment horizontal="left"/>
    </xf>
    <xf numFmtId="0" fontId="100" fillId="0" borderId="0" xfId="179" applyFont="1" applyAlignment="1">
      <alignment vertical="center"/>
    </xf>
    <xf numFmtId="0" fontId="83" fillId="26" borderId="0" xfId="172" applyFont="1" applyFill="1">
      <alignment vertical="center"/>
    </xf>
    <xf numFmtId="0" fontId="101" fillId="26" borderId="0" xfId="179" applyFont="1" applyFill="1" applyAlignment="1">
      <alignment vertical="top" wrapText="1"/>
    </xf>
    <xf numFmtId="0" fontId="100" fillId="26" borderId="0" xfId="179" applyFont="1" applyFill="1" applyAlignment="1">
      <alignment horizontal="left" vertical="center"/>
    </xf>
    <xf numFmtId="0" fontId="86" fillId="0" borderId="0" xfId="183" applyFont="1" applyAlignment="1">
      <alignment vertical="center"/>
    </xf>
    <xf numFmtId="0" fontId="86" fillId="0" borderId="0" xfId="183" applyFont="1"/>
    <xf numFmtId="0" fontId="86" fillId="0" borderId="0" xfId="183" applyFont="1" applyAlignment="1">
      <alignment horizontal="left" vertical="center"/>
    </xf>
    <xf numFmtId="0" fontId="83" fillId="26" borderId="0" xfId="179" applyFont="1" applyFill="1" applyAlignment="1">
      <alignment vertical="top"/>
    </xf>
    <xf numFmtId="0" fontId="83" fillId="26" borderId="0" xfId="179" applyFont="1" applyFill="1" applyAlignment="1">
      <alignment vertical="top" wrapText="1"/>
    </xf>
    <xf numFmtId="0" fontId="95" fillId="26" borderId="0" xfId="179" applyFont="1" applyFill="1" applyAlignment="1">
      <alignment vertical="top"/>
    </xf>
    <xf numFmtId="49" fontId="83" fillId="0" borderId="0" xfId="179" applyNumberFormat="1" applyFont="1"/>
    <xf numFmtId="0" fontId="91" fillId="0" borderId="0" xfId="183" applyFont="1" applyAlignment="1">
      <alignment horizontal="left" vertical="center"/>
    </xf>
    <xf numFmtId="0" fontId="99" fillId="0" borderId="0" xfId="179" applyFont="1"/>
    <xf numFmtId="0" fontId="99" fillId="24" borderId="0" xfId="180" applyFont="1" applyFill="1" applyAlignment="1">
      <alignment horizontal="center" vertical="center" wrapText="1"/>
    </xf>
    <xf numFmtId="0" fontId="75" fillId="0" borderId="0" xfId="179" applyFont="1"/>
    <xf numFmtId="0" fontId="93" fillId="0" borderId="0" xfId="179" applyFont="1" applyAlignment="1">
      <alignment vertical="center"/>
    </xf>
    <xf numFmtId="0" fontId="75" fillId="0" borderId="0" xfId="179" applyFont="1" applyAlignment="1">
      <alignment vertical="center"/>
    </xf>
    <xf numFmtId="0" fontId="91" fillId="0" borderId="0" xfId="179" applyFont="1" applyAlignment="1">
      <alignment horizontal="center" vertical="center"/>
    </xf>
    <xf numFmtId="0" fontId="80" fillId="0" borderId="0" xfId="179" applyFont="1"/>
    <xf numFmtId="0" fontId="80" fillId="0" borderId="51" xfId="179" applyFont="1" applyBorder="1" applyAlignment="1">
      <alignment horizontal="center" vertical="center"/>
    </xf>
    <xf numFmtId="0" fontId="58" fillId="0" borderId="53" xfId="179" applyFont="1" applyBorder="1" applyAlignment="1">
      <alignment horizontal="center" vertical="center" wrapText="1"/>
    </xf>
    <xf numFmtId="0" fontId="58" fillId="0" borderId="54" xfId="179" applyFont="1" applyBorder="1" applyAlignment="1">
      <alignment horizontal="center" vertical="center" wrapText="1"/>
    </xf>
    <xf numFmtId="0" fontId="80" fillId="0" borderId="48" xfId="179" applyFont="1" applyBorder="1" applyAlignment="1">
      <alignment vertical="center"/>
    </xf>
    <xf numFmtId="0" fontId="96" fillId="0" borderId="45" xfId="179" applyFont="1" applyBorder="1"/>
    <xf numFmtId="0" fontId="105" fillId="0" borderId="48" xfId="179" applyFont="1" applyBorder="1" applyAlignment="1">
      <alignment horizontal="center" vertical="center"/>
    </xf>
    <xf numFmtId="190" fontId="93" fillId="0" borderId="45" xfId="179" applyNumberFormat="1" applyFont="1" applyBorder="1" applyAlignment="1">
      <alignment horizontal="center" vertical="center"/>
    </xf>
    <xf numFmtId="164" fontId="96" fillId="0" borderId="58" xfId="179" applyNumberFormat="1" applyFont="1" applyBorder="1" applyAlignment="1">
      <alignment vertical="center"/>
    </xf>
    <xf numFmtId="49" fontId="83" fillId="24" borderId="0" xfId="179" applyNumberFormat="1" applyFont="1" applyFill="1" applyAlignment="1">
      <alignment horizontal="center" vertical="top"/>
    </xf>
    <xf numFmtId="0" fontId="107" fillId="0" borderId="0" xfId="179" applyFont="1" applyAlignment="1">
      <alignment vertical="center"/>
    </xf>
    <xf numFmtId="4" fontId="83" fillId="0" borderId="0" xfId="179" applyNumberFormat="1" applyFont="1"/>
    <xf numFmtId="0" fontId="108" fillId="0" borderId="0" xfId="179" applyFont="1" applyAlignment="1">
      <alignment vertical="center"/>
    </xf>
    <xf numFmtId="0" fontId="99" fillId="0" borderId="0" xfId="179" applyFont="1" applyAlignment="1">
      <alignment horizontal="justify" vertical="center"/>
    </xf>
    <xf numFmtId="0" fontId="93" fillId="0" borderId="0" xfId="182" applyFont="1">
      <alignment vertical="center"/>
    </xf>
    <xf numFmtId="0" fontId="93" fillId="0" borderId="0" xfId="179" applyFont="1"/>
    <xf numFmtId="49" fontId="91" fillId="24" borderId="0" xfId="179" applyNumberFormat="1" applyFont="1" applyFill="1" applyAlignment="1">
      <alignment vertical="top"/>
    </xf>
    <xf numFmtId="0" fontId="83" fillId="0" borderId="0" xfId="179" applyFont="1" applyAlignment="1">
      <alignment horizontal="justify" vertical="center"/>
    </xf>
    <xf numFmtId="0" fontId="93" fillId="0" borderId="0" xfId="179" applyFont="1" applyAlignment="1">
      <alignment horizontal="center"/>
    </xf>
    <xf numFmtId="0" fontId="109" fillId="0" borderId="0" xfId="179" applyFont="1" applyAlignment="1">
      <alignment horizontal="justify" vertical="center"/>
    </xf>
    <xf numFmtId="0" fontId="95" fillId="0" borderId="0" xfId="179" applyFont="1"/>
    <xf numFmtId="0" fontId="91" fillId="0" borderId="0" xfId="179" applyFont="1" applyAlignment="1">
      <alignment horizontal="center"/>
    </xf>
    <xf numFmtId="0" fontId="93" fillId="0" borderId="0" xfId="179" applyFont="1" applyAlignment="1">
      <alignment horizontal="center" vertical="center"/>
    </xf>
    <xf numFmtId="0" fontId="110" fillId="0" borderId="0" xfId="179" applyFont="1" applyAlignment="1">
      <alignment horizontal="justify" vertical="center"/>
    </xf>
    <xf numFmtId="0" fontId="14" fillId="0" borderId="0" xfId="179" applyFont="1" applyAlignment="1">
      <alignment horizontal="justify" vertical="center"/>
    </xf>
    <xf numFmtId="0" fontId="65" fillId="0" borderId="0" xfId="179" applyFont="1" applyAlignment="1">
      <alignment horizontal="justify" vertical="center"/>
    </xf>
    <xf numFmtId="0" fontId="77" fillId="26" borderId="0" xfId="175" applyFont="1" applyFill="1" applyAlignment="1">
      <alignment horizontal="center" vertical="center"/>
    </xf>
    <xf numFmtId="0" fontId="88" fillId="26" borderId="0" xfId="175" applyFont="1" applyFill="1" applyAlignment="1">
      <alignment horizontal="center" vertical="center"/>
    </xf>
    <xf numFmtId="0" fontId="82" fillId="26" borderId="34" xfId="0" applyFont="1" applyFill="1" applyBorder="1">
      <alignment vertical="center"/>
    </xf>
    <xf numFmtId="0" fontId="76" fillId="26" borderId="50" xfId="175" applyFont="1" applyFill="1" applyBorder="1">
      <alignment vertical="center"/>
    </xf>
    <xf numFmtId="0" fontId="80" fillId="24" borderId="50" xfId="178" applyFont="1" applyFill="1" applyBorder="1" applyAlignment="1">
      <alignment horizontal="center" vertical="center" wrapText="1"/>
    </xf>
    <xf numFmtId="0" fontId="82" fillId="26" borderId="50" xfId="175" applyFont="1" applyFill="1" applyBorder="1" applyAlignment="1">
      <alignment vertical="center" wrapText="1"/>
    </xf>
    <xf numFmtId="165" fontId="82" fillId="26" borderId="50" xfId="176" applyNumberFormat="1" applyFont="1" applyFill="1" applyBorder="1" applyAlignment="1">
      <alignment vertical="center"/>
    </xf>
    <xf numFmtId="165" fontId="82" fillId="26" borderId="50" xfId="175" applyNumberFormat="1" applyFont="1" applyFill="1" applyBorder="1">
      <alignment vertical="center"/>
    </xf>
    <xf numFmtId="191" fontId="82" fillId="26" borderId="50" xfId="175" applyNumberFormat="1" applyFont="1" applyFill="1" applyBorder="1">
      <alignment vertical="center"/>
    </xf>
    <xf numFmtId="187" fontId="82" fillId="26" borderId="50" xfId="175" applyNumberFormat="1" applyFont="1" applyFill="1" applyBorder="1">
      <alignment vertical="center"/>
    </xf>
    <xf numFmtId="0" fontId="88" fillId="26" borderId="50" xfId="175" applyFont="1" applyFill="1" applyBorder="1">
      <alignment vertical="center"/>
    </xf>
    <xf numFmtId="165" fontId="88" fillId="26" borderId="50" xfId="175" applyNumberFormat="1" applyFont="1" applyFill="1" applyBorder="1">
      <alignment vertical="center"/>
    </xf>
    <xf numFmtId="0" fontId="77" fillId="26" borderId="49" xfId="175" applyFont="1" applyFill="1" applyBorder="1">
      <alignment vertical="center"/>
    </xf>
    <xf numFmtId="0" fontId="77" fillId="0" borderId="59" xfId="175" applyFont="1" applyBorder="1" applyAlignment="1">
      <alignment horizontal="center" vertical="center"/>
    </xf>
    <xf numFmtId="0" fontId="82" fillId="26" borderId="59" xfId="175" applyFont="1" applyFill="1" applyBorder="1" applyAlignment="1">
      <alignment horizontal="left" vertical="center"/>
    </xf>
    <xf numFmtId="165" fontId="75" fillId="0" borderId="59" xfId="176" applyNumberFormat="1" applyFont="1" applyBorder="1" applyAlignment="1" applyProtection="1">
      <alignment horizontal="right" vertical="center" wrapText="1"/>
      <protection locked="0"/>
    </xf>
    <xf numFmtId="165" fontId="93" fillId="26" borderId="59" xfId="175" applyNumberFormat="1" applyFont="1" applyFill="1" applyBorder="1" applyAlignment="1"/>
    <xf numFmtId="0" fontId="93" fillId="26" borderId="59" xfId="175" applyFont="1" applyFill="1" applyBorder="1" applyAlignment="1"/>
    <xf numFmtId="0" fontId="93" fillId="26" borderId="59" xfId="175" applyFont="1" applyFill="1" applyBorder="1">
      <alignment vertical="center"/>
    </xf>
    <xf numFmtId="171" fontId="90" fillId="0" borderId="59" xfId="175" applyNumberFormat="1" applyFont="1" applyBorder="1">
      <alignment vertical="center"/>
    </xf>
    <xf numFmtId="171" fontId="82" fillId="26" borderId="59" xfId="165" applyNumberFormat="1" applyFont="1" applyFill="1" applyBorder="1" applyAlignment="1">
      <alignment vertical="center"/>
    </xf>
    <xf numFmtId="171" fontId="82" fillId="26" borderId="60" xfId="65" applyNumberFormat="1" applyFont="1" applyFill="1" applyBorder="1" applyAlignment="1">
      <alignment horizontal="center" vertical="center"/>
    </xf>
    <xf numFmtId="0" fontId="111" fillId="0" borderId="0" xfId="179" applyFont="1"/>
    <xf numFmtId="0" fontId="111" fillId="0" borderId="0" xfId="179" applyFont="1" applyAlignment="1">
      <alignment vertical="center"/>
    </xf>
    <xf numFmtId="49" fontId="111" fillId="24" borderId="0" xfId="179" applyNumberFormat="1" applyFont="1" applyFill="1" applyAlignment="1">
      <alignment horizontal="center" vertical="top"/>
    </xf>
    <xf numFmtId="0" fontId="112" fillId="0" borderId="0" xfId="179" applyFont="1" applyAlignment="1">
      <alignment vertical="center"/>
    </xf>
    <xf numFmtId="0" fontId="111" fillId="0" borderId="0" xfId="179" applyFont="1" applyAlignment="1">
      <alignment horizontal="right" vertical="center"/>
    </xf>
    <xf numFmtId="0" fontId="111" fillId="0" borderId="0" xfId="179" applyFont="1" applyAlignment="1">
      <alignment horizontal="center" vertical="center"/>
    </xf>
    <xf numFmtId="189" fontId="111" fillId="0" borderId="0" xfId="179" applyNumberFormat="1" applyFont="1" applyAlignment="1">
      <alignment horizontal="center" vertical="center" wrapText="1"/>
    </xf>
    <xf numFmtId="0" fontId="75" fillId="26" borderId="38" xfId="175" applyFont="1" applyFill="1" applyBorder="1">
      <alignment vertical="center"/>
    </xf>
    <xf numFmtId="0" fontId="75" fillId="26" borderId="11" xfId="175" applyFont="1" applyFill="1" applyBorder="1">
      <alignment vertical="center"/>
    </xf>
    <xf numFmtId="0" fontId="76" fillId="26" borderId="34" xfId="175" applyFont="1" applyFill="1" applyBorder="1" applyAlignment="1">
      <alignment horizontal="left" vertical="center"/>
    </xf>
    <xf numFmtId="0" fontId="75" fillId="26" borderId="34" xfId="175" applyFont="1" applyFill="1" applyBorder="1">
      <alignment vertical="center"/>
    </xf>
    <xf numFmtId="165" fontId="76" fillId="26" borderId="34" xfId="176" applyNumberFormat="1" applyFont="1" applyFill="1" applyBorder="1" applyAlignment="1">
      <alignment horizontal="left" vertical="center"/>
    </xf>
    <xf numFmtId="0" fontId="82" fillId="26" borderId="16" xfId="175" applyFont="1" applyFill="1" applyBorder="1">
      <alignment vertical="center"/>
    </xf>
    <xf numFmtId="0" fontId="113" fillId="0" borderId="0" xfId="179" applyFont="1" applyAlignment="1">
      <alignment vertical="center"/>
    </xf>
    <xf numFmtId="0" fontId="111" fillId="0" borderId="0" xfId="179" applyFont="1" applyAlignment="1">
      <alignment horizontal="left" vertical="center"/>
    </xf>
    <xf numFmtId="0" fontId="111" fillId="24" borderId="0" xfId="179" applyFont="1" applyFill="1" applyAlignment="1">
      <alignment vertical="center"/>
    </xf>
    <xf numFmtId="0" fontId="82" fillId="26" borderId="61" xfId="175" applyFont="1" applyFill="1" applyBorder="1">
      <alignment vertical="center"/>
    </xf>
    <xf numFmtId="0" fontId="82" fillId="26" borderId="15" xfId="175" applyFont="1" applyFill="1" applyBorder="1">
      <alignment vertical="center"/>
    </xf>
    <xf numFmtId="0" fontId="81" fillId="26" borderId="48" xfId="175" applyFont="1" applyFill="1" applyBorder="1" applyAlignment="1">
      <alignment horizontal="center" vertical="center"/>
    </xf>
    <xf numFmtId="0" fontId="86" fillId="0" borderId="0" xfId="175" applyFont="1" applyAlignment="1">
      <alignment horizontal="center" vertical="center"/>
    </xf>
    <xf numFmtId="0" fontId="114" fillId="26" borderId="0" xfId="175" applyFont="1" applyFill="1">
      <alignment vertical="center"/>
    </xf>
    <xf numFmtId="0" fontId="82" fillId="26" borderId="62" xfId="175" applyFont="1" applyFill="1" applyBorder="1" applyAlignment="1">
      <alignment vertical="center" wrapText="1"/>
    </xf>
    <xf numFmtId="0" fontId="90" fillId="26" borderId="62" xfId="165" applyFont="1" applyFill="1" applyBorder="1" applyAlignment="1">
      <alignment horizontal="center" vertical="center" wrapText="1"/>
    </xf>
    <xf numFmtId="49" fontId="82" fillId="26" borderId="62" xfId="176" applyNumberFormat="1" applyFont="1" applyFill="1" applyBorder="1" applyAlignment="1">
      <alignment horizontal="center" vertical="center" wrapText="1"/>
    </xf>
    <xf numFmtId="0" fontId="96" fillId="0" borderId="62" xfId="179" applyFont="1" applyBorder="1" applyAlignment="1">
      <alignment horizontal="center" vertical="center"/>
    </xf>
    <xf numFmtId="0" fontId="96" fillId="0" borderId="63" xfId="179" applyFont="1" applyBorder="1" applyAlignment="1">
      <alignment horizontal="center" vertical="center"/>
    </xf>
    <xf numFmtId="171" fontId="96" fillId="24" borderId="63" xfId="179" applyNumberFormat="1" applyFont="1" applyFill="1" applyBorder="1" applyAlignment="1">
      <alignment horizontal="center" vertical="center"/>
    </xf>
    <xf numFmtId="164" fontId="105" fillId="0" borderId="62" xfId="181" applyFont="1" applyBorder="1" applyAlignment="1">
      <alignment horizontal="center" vertical="center"/>
    </xf>
    <xf numFmtId="164" fontId="105" fillId="0" borderId="63" xfId="181" applyFont="1" applyBorder="1" applyAlignment="1">
      <alignment horizontal="center" vertical="center"/>
    </xf>
    <xf numFmtId="192" fontId="91" fillId="24" borderId="63" xfId="179" applyNumberFormat="1" applyFont="1" applyFill="1" applyBorder="1" applyAlignment="1">
      <alignment horizontal="center" vertical="center"/>
    </xf>
    <xf numFmtId="0" fontId="82" fillId="26" borderId="66" xfId="175" applyFont="1" applyFill="1" applyBorder="1">
      <alignment vertical="center"/>
    </xf>
    <xf numFmtId="0" fontId="82" fillId="26" borderId="65" xfId="175" applyFont="1" applyFill="1" applyBorder="1">
      <alignment vertical="center"/>
    </xf>
    <xf numFmtId="165" fontId="14" fillId="26" borderId="66" xfId="176" applyNumberFormat="1" applyFont="1" applyFill="1" applyBorder="1" applyAlignment="1">
      <alignment horizontal="left" vertical="center"/>
    </xf>
    <xf numFmtId="165" fontId="14" fillId="26" borderId="65" xfId="176" applyNumberFormat="1" applyFont="1" applyFill="1" applyBorder="1" applyAlignment="1">
      <alignment horizontal="left" vertical="center"/>
    </xf>
    <xf numFmtId="0" fontId="82" fillId="26" borderId="68" xfId="175" applyFont="1" applyFill="1" applyBorder="1">
      <alignment vertical="center"/>
    </xf>
    <xf numFmtId="0" fontId="82" fillId="26" borderId="64" xfId="175" applyFont="1" applyFill="1" applyBorder="1">
      <alignment vertical="center"/>
    </xf>
    <xf numFmtId="186" fontId="82" fillId="26" borderId="65" xfId="175" applyNumberFormat="1" applyFont="1" applyFill="1" applyBorder="1">
      <alignment vertical="center"/>
    </xf>
    <xf numFmtId="186" fontId="82" fillId="26" borderId="68" xfId="175" applyNumberFormat="1" applyFont="1" applyFill="1" applyBorder="1" applyAlignment="1">
      <alignment horizontal="right" vertical="center"/>
    </xf>
    <xf numFmtId="0" fontId="65" fillId="26" borderId="69" xfId="175" applyFont="1" applyFill="1" applyBorder="1">
      <alignment vertical="center"/>
    </xf>
    <xf numFmtId="0" fontId="65" fillId="26" borderId="69" xfId="175" applyFont="1" applyFill="1" applyBorder="1" applyAlignment="1">
      <alignment horizontal="left" vertical="center"/>
    </xf>
    <xf numFmtId="0" fontId="65" fillId="26" borderId="70" xfId="175" applyFont="1" applyFill="1" applyBorder="1">
      <alignment vertical="center"/>
    </xf>
    <xf numFmtId="0" fontId="65" fillId="26" borderId="62" xfId="175" applyFont="1" applyFill="1" applyBorder="1" applyAlignment="1">
      <alignment horizontal="center" vertical="center" wrapText="1"/>
    </xf>
    <xf numFmtId="0" fontId="65" fillId="26" borderId="62" xfId="175" applyFont="1" applyFill="1" applyBorder="1" applyAlignment="1">
      <alignment horizontal="center" vertical="center"/>
    </xf>
    <xf numFmtId="0" fontId="81" fillId="0" borderId="62" xfId="175" applyFont="1" applyBorder="1" applyAlignment="1">
      <alignment horizontal="center" vertical="center" wrapText="1"/>
    </xf>
    <xf numFmtId="0" fontId="58" fillId="24" borderId="62" xfId="173" applyFont="1" applyFill="1" applyBorder="1" applyAlignment="1">
      <alignment horizontal="center" vertical="center" wrapText="1"/>
    </xf>
    <xf numFmtId="0" fontId="88" fillId="26" borderId="62" xfId="175" applyFont="1" applyFill="1" applyBorder="1" applyAlignment="1">
      <alignment horizontal="center" vertical="center" wrapText="1"/>
    </xf>
    <xf numFmtId="0" fontId="88" fillId="26" borderId="62" xfId="175" applyFont="1" applyFill="1" applyBorder="1">
      <alignment vertical="center"/>
    </xf>
    <xf numFmtId="0" fontId="88" fillId="0" borderId="62" xfId="175" applyFont="1" applyBorder="1" applyAlignment="1" applyProtection="1">
      <alignment horizontal="center" vertical="center" wrapText="1"/>
      <protection locked="0"/>
    </xf>
    <xf numFmtId="165" fontId="88" fillId="0" borderId="62" xfId="176" applyNumberFormat="1" applyFont="1" applyBorder="1" applyAlignment="1" applyProtection="1">
      <alignment horizontal="left" vertical="center" wrapText="1"/>
      <protection locked="0"/>
    </xf>
    <xf numFmtId="165" fontId="88" fillId="0" borderId="62" xfId="176" applyNumberFormat="1" applyFont="1" applyBorder="1" applyAlignment="1" applyProtection="1">
      <alignment horizontal="right" vertical="center" wrapText="1"/>
      <protection locked="0"/>
    </xf>
    <xf numFmtId="0" fontId="86" fillId="0" borderId="71" xfId="175" applyFont="1" applyBorder="1">
      <alignment vertical="center"/>
    </xf>
    <xf numFmtId="0" fontId="14" fillId="26" borderId="72" xfId="0" applyFont="1" applyFill="1" applyBorder="1">
      <alignment vertical="center"/>
    </xf>
    <xf numFmtId="0" fontId="82" fillId="26" borderId="72" xfId="175" applyFont="1" applyFill="1" applyBorder="1">
      <alignment vertical="center"/>
    </xf>
    <xf numFmtId="0" fontId="75" fillId="0" borderId="72" xfId="175" applyFont="1" applyBorder="1" applyAlignment="1" applyProtection="1">
      <alignment horizontal="center" vertical="center" wrapText="1"/>
      <protection locked="0"/>
    </xf>
    <xf numFmtId="165" fontId="14" fillId="0" borderId="72" xfId="176" applyNumberFormat="1" applyFont="1" applyBorder="1" applyAlignment="1" applyProtection="1">
      <alignment horizontal="left" vertical="center" wrapText="1"/>
      <protection locked="0"/>
    </xf>
    <xf numFmtId="0" fontId="93" fillId="26" borderId="72" xfId="175" applyFont="1" applyFill="1" applyBorder="1" applyAlignment="1">
      <alignment horizontal="center" vertical="center"/>
    </xf>
    <xf numFmtId="0" fontId="82" fillId="26" borderId="73" xfId="175" applyFont="1" applyFill="1" applyBorder="1">
      <alignment vertical="center"/>
    </xf>
    <xf numFmtId="0" fontId="65" fillId="26" borderId="46" xfId="175" applyFont="1" applyFill="1" applyBorder="1">
      <alignment vertical="center"/>
    </xf>
    <xf numFmtId="0" fontId="77" fillId="26" borderId="11" xfId="175" applyFont="1" applyFill="1" applyBorder="1">
      <alignment vertical="center"/>
    </xf>
    <xf numFmtId="0" fontId="90" fillId="26" borderId="11" xfId="175" applyFont="1" applyFill="1" applyBorder="1">
      <alignment vertical="center"/>
    </xf>
    <xf numFmtId="0" fontId="79" fillId="26" borderId="50" xfId="175" applyFont="1" applyFill="1" applyBorder="1" applyAlignment="1">
      <alignment horizontal="center" vertical="center"/>
    </xf>
    <xf numFmtId="0" fontId="94" fillId="26" borderId="50" xfId="175" applyFont="1" applyFill="1" applyBorder="1" applyAlignment="1">
      <alignment horizontal="center" vertical="center"/>
    </xf>
    <xf numFmtId="0" fontId="84" fillId="26" borderId="0" xfId="175" applyFont="1" applyFill="1">
      <alignment vertical="center"/>
    </xf>
    <xf numFmtId="0" fontId="84" fillId="26" borderId="0" xfId="0" applyFont="1" applyFill="1">
      <alignment vertical="center"/>
    </xf>
    <xf numFmtId="164" fontId="82" fillId="26" borderId="62" xfId="184" applyFont="1" applyFill="1" applyBorder="1" applyAlignment="1">
      <alignment horizontal="center" vertical="center"/>
    </xf>
    <xf numFmtId="164" fontId="82" fillId="26" borderId="45" xfId="184" applyFont="1" applyFill="1" applyBorder="1" applyAlignment="1">
      <alignment horizontal="center" vertical="center"/>
    </xf>
    <xf numFmtId="0" fontId="90" fillId="26" borderId="0" xfId="175" quotePrefix="1" applyFont="1" applyFill="1">
      <alignment vertical="center"/>
    </xf>
    <xf numFmtId="0" fontId="90" fillId="26" borderId="35" xfId="175" quotePrefix="1" applyFont="1" applyFill="1" applyBorder="1">
      <alignment vertical="center"/>
    </xf>
    <xf numFmtId="189" fontId="111" fillId="0" borderId="0" xfId="179" applyNumberFormat="1" applyFont="1"/>
    <xf numFmtId="165" fontId="82" fillId="26" borderId="34" xfId="176" applyNumberFormat="1" applyFont="1" applyFill="1" applyBorder="1" applyAlignment="1">
      <alignment horizontal="left" vertical="center"/>
    </xf>
    <xf numFmtId="0" fontId="90" fillId="26" borderId="34" xfId="175" applyFont="1" applyFill="1" applyBorder="1">
      <alignment vertical="center"/>
    </xf>
    <xf numFmtId="0" fontId="90" fillId="0" borderId="74" xfId="175" applyFont="1" applyBorder="1" applyAlignment="1">
      <alignment vertical="center" wrapText="1"/>
    </xf>
    <xf numFmtId="0" fontId="35" fillId="26" borderId="0" xfId="175" applyFill="1">
      <alignment vertical="center"/>
    </xf>
    <xf numFmtId="0" fontId="82" fillId="0" borderId="34" xfId="175" applyFont="1" applyBorder="1">
      <alignment vertical="center"/>
    </xf>
    <xf numFmtId="0" fontId="90" fillId="0" borderId="0" xfId="0" applyFont="1" applyAlignment="1">
      <alignment horizontal="left" vertical="center"/>
    </xf>
    <xf numFmtId="165" fontId="82" fillId="26" borderId="0" xfId="176" quotePrefix="1" applyNumberFormat="1" applyFont="1" applyFill="1" applyBorder="1" applyAlignment="1">
      <alignment vertical="center"/>
    </xf>
    <xf numFmtId="0" fontId="76" fillId="0" borderId="34" xfId="175" applyFont="1" applyBorder="1" applyAlignment="1">
      <alignment horizontal="left" vertical="center"/>
    </xf>
    <xf numFmtId="0" fontId="77" fillId="0" borderId="34" xfId="0" applyFont="1" applyBorder="1" applyAlignment="1">
      <alignment horizontal="left" vertical="center"/>
    </xf>
    <xf numFmtId="165" fontId="88" fillId="0" borderId="14" xfId="176" applyNumberFormat="1" applyFont="1" applyFill="1" applyBorder="1" applyAlignment="1">
      <alignment horizontal="left" vertical="center"/>
    </xf>
    <xf numFmtId="0" fontId="75" fillId="26" borderId="65" xfId="175" applyFont="1" applyFill="1" applyBorder="1">
      <alignment vertical="center"/>
    </xf>
    <xf numFmtId="0" fontId="76" fillId="26" borderId="0" xfId="175" applyFont="1" applyFill="1" applyAlignment="1">
      <alignment horizontal="left" vertical="center"/>
    </xf>
    <xf numFmtId="165" fontId="76" fillId="26" borderId="0" xfId="176" applyNumberFormat="1" applyFont="1" applyFill="1" applyBorder="1" applyAlignment="1">
      <alignment horizontal="left" vertical="center"/>
    </xf>
    <xf numFmtId="165" fontId="82" fillId="26" borderId="0" xfId="176" applyNumberFormat="1" applyFont="1" applyFill="1" applyBorder="1" applyAlignment="1">
      <alignment horizontal="left" vertical="center"/>
    </xf>
    <xf numFmtId="0" fontId="82" fillId="26" borderId="0" xfId="0" applyFont="1" applyFill="1">
      <alignment vertical="center"/>
    </xf>
    <xf numFmtId="0" fontId="79" fillId="26" borderId="67" xfId="175" applyFont="1" applyFill="1" applyBorder="1" applyAlignment="1">
      <alignment horizontal="center" vertical="center"/>
    </xf>
    <xf numFmtId="0" fontId="94" fillId="26" borderId="67" xfId="175" applyFont="1" applyFill="1" applyBorder="1">
      <alignment vertical="center"/>
    </xf>
    <xf numFmtId="0" fontId="77" fillId="26" borderId="72" xfId="175" applyFont="1" applyFill="1" applyBorder="1">
      <alignment vertical="center"/>
    </xf>
    <xf numFmtId="0" fontId="90" fillId="26" borderId="67" xfId="175" applyFont="1" applyFill="1" applyBorder="1" applyAlignment="1">
      <alignment horizontal="center" vertical="center" wrapText="1"/>
    </xf>
    <xf numFmtId="0" fontId="92" fillId="0" borderId="0" xfId="175" applyFont="1">
      <alignment vertical="center"/>
    </xf>
    <xf numFmtId="0" fontId="81" fillId="28" borderId="0" xfId="175" applyFont="1" applyFill="1" applyAlignment="1">
      <alignment horizontal="center" vertical="center"/>
    </xf>
    <xf numFmtId="0" fontId="87" fillId="26" borderId="32" xfId="175" applyFont="1" applyFill="1" applyBorder="1" applyAlignment="1">
      <alignment horizontal="right" vertical="center"/>
    </xf>
    <xf numFmtId="0" fontId="87" fillId="26" borderId="33" xfId="175" applyFont="1" applyFill="1" applyBorder="1" applyAlignment="1">
      <alignment horizontal="right" vertical="center"/>
    </xf>
    <xf numFmtId="0" fontId="87" fillId="26" borderId="0" xfId="175" applyFont="1" applyFill="1" applyAlignment="1">
      <alignment horizontal="right" vertical="center"/>
    </xf>
    <xf numFmtId="0" fontId="87" fillId="26" borderId="35" xfId="175" applyFont="1" applyFill="1" applyBorder="1" applyAlignment="1">
      <alignment horizontal="right" vertical="center"/>
    </xf>
    <xf numFmtId="0" fontId="87" fillId="26" borderId="10" xfId="175" applyFont="1" applyFill="1" applyBorder="1" applyAlignment="1">
      <alignment horizontal="right" vertical="center"/>
    </xf>
    <xf numFmtId="0" fontId="87" fillId="26" borderId="37" xfId="175" applyFont="1" applyFill="1" applyBorder="1" applyAlignment="1">
      <alignment horizontal="right" vertical="center"/>
    </xf>
    <xf numFmtId="0" fontId="76" fillId="26" borderId="46" xfId="175" applyFont="1" applyFill="1" applyBorder="1" applyAlignment="1">
      <alignment horizontal="center" vertical="center"/>
    </xf>
    <xf numFmtId="0" fontId="76" fillId="26" borderId="69" xfId="175" applyFont="1" applyFill="1" applyBorder="1" applyAlignment="1">
      <alignment horizontal="center" vertical="center"/>
    </xf>
    <xf numFmtId="0" fontId="76" fillId="26" borderId="21" xfId="175" applyFont="1" applyFill="1" applyBorder="1" applyAlignment="1">
      <alignment horizontal="center" vertical="center"/>
    </xf>
    <xf numFmtId="0" fontId="76" fillId="26" borderId="22" xfId="175" applyFont="1" applyFill="1" applyBorder="1" applyAlignment="1">
      <alignment horizontal="center" vertical="center"/>
    </xf>
    <xf numFmtId="165" fontId="76" fillId="26" borderId="20" xfId="176" applyNumberFormat="1" applyFont="1" applyFill="1" applyBorder="1" applyAlignment="1">
      <alignment horizontal="center" vertical="center"/>
    </xf>
    <xf numFmtId="165" fontId="76" fillId="26" borderId="21" xfId="176" applyNumberFormat="1" applyFont="1" applyFill="1" applyBorder="1" applyAlignment="1">
      <alignment horizontal="center" vertical="center"/>
    </xf>
    <xf numFmtId="165" fontId="76" fillId="26" borderId="69" xfId="176" applyNumberFormat="1" applyFont="1" applyFill="1" applyBorder="1" applyAlignment="1">
      <alignment horizontal="center" vertical="center"/>
    </xf>
    <xf numFmtId="165" fontId="76" fillId="26" borderId="47" xfId="176" applyNumberFormat="1" applyFont="1" applyFill="1" applyBorder="1" applyAlignment="1">
      <alignment horizontal="center" vertical="center"/>
    </xf>
    <xf numFmtId="0" fontId="77" fillId="26" borderId="0" xfId="175" applyFont="1" applyFill="1" applyAlignment="1">
      <alignment horizontal="center" vertical="center"/>
    </xf>
    <xf numFmtId="0" fontId="82" fillId="26" borderId="36" xfId="175" applyFont="1" applyFill="1" applyBorder="1" applyAlignment="1">
      <alignment horizontal="center" vertical="center"/>
    </xf>
    <xf numFmtId="0" fontId="82" fillId="26" borderId="10" xfId="175" applyFont="1" applyFill="1" applyBorder="1" applyAlignment="1">
      <alignment horizontal="center" vertical="center"/>
    </xf>
    <xf numFmtId="0" fontId="82" fillId="26" borderId="17" xfId="175" applyFont="1" applyFill="1" applyBorder="1" applyAlignment="1">
      <alignment horizontal="center" vertical="center"/>
    </xf>
    <xf numFmtId="0" fontId="82" fillId="26" borderId="13" xfId="175" applyFont="1" applyFill="1" applyBorder="1" applyAlignment="1">
      <alignment horizontal="center" vertical="center"/>
    </xf>
    <xf numFmtId="0" fontId="88" fillId="0" borderId="36" xfId="175" applyFont="1" applyBorder="1" applyAlignment="1">
      <alignment horizontal="center" vertical="center"/>
    </xf>
    <xf numFmtId="0" fontId="88" fillId="0" borderId="10" xfId="175" applyFont="1" applyBorder="1" applyAlignment="1">
      <alignment horizontal="center" vertical="center"/>
    </xf>
    <xf numFmtId="0" fontId="88" fillId="0" borderId="17" xfId="175" applyFont="1" applyBorder="1" applyAlignment="1">
      <alignment horizontal="center" vertical="center"/>
    </xf>
    <xf numFmtId="168" fontId="82" fillId="0" borderId="10" xfId="175" applyNumberFormat="1" applyFont="1" applyBorder="1" applyAlignment="1">
      <alignment horizontal="center" vertical="center"/>
    </xf>
    <xf numFmtId="0" fontId="88" fillId="0" borderId="46" xfId="175" applyFont="1" applyBorder="1" applyAlignment="1">
      <alignment horizontal="center" vertical="center" wrapText="1"/>
    </xf>
    <xf numFmtId="0" fontId="88" fillId="0" borderId="69" xfId="175" applyFont="1" applyBorder="1" applyAlignment="1">
      <alignment horizontal="center" vertical="center" wrapText="1"/>
    </xf>
    <xf numFmtId="0" fontId="88" fillId="0" borderId="69" xfId="175" applyFont="1" applyBorder="1" applyAlignment="1">
      <alignment horizontal="center" vertical="center"/>
    </xf>
    <xf numFmtId="0" fontId="88" fillId="0" borderId="67" xfId="175" applyFont="1" applyBorder="1" applyAlignment="1">
      <alignment horizontal="center" vertical="center"/>
    </xf>
    <xf numFmtId="193" fontId="82" fillId="26" borderId="13" xfId="175" applyNumberFormat="1" applyFont="1" applyFill="1" applyBorder="1" applyAlignment="1">
      <alignment horizontal="center" vertical="center"/>
    </xf>
    <xf numFmtId="193" fontId="82" fillId="26" borderId="17" xfId="175" applyNumberFormat="1" applyFont="1" applyFill="1" applyBorder="1" applyAlignment="1">
      <alignment horizontal="center" vertical="center"/>
    </xf>
    <xf numFmtId="0" fontId="93" fillId="26" borderId="72" xfId="175" applyFont="1" applyFill="1" applyBorder="1" applyAlignment="1">
      <alignment horizontal="center" vertical="center"/>
    </xf>
    <xf numFmtId="0" fontId="87" fillId="26" borderId="32" xfId="175" applyFont="1" applyFill="1" applyBorder="1" applyAlignment="1">
      <alignment horizontal="center" vertical="center"/>
    </xf>
    <xf numFmtId="0" fontId="87" fillId="26" borderId="33" xfId="175" applyFont="1" applyFill="1" applyBorder="1" applyAlignment="1">
      <alignment horizontal="center" vertical="center"/>
    </xf>
    <xf numFmtId="0" fontId="87" fillId="26" borderId="0" xfId="175" applyFont="1" applyFill="1" applyAlignment="1">
      <alignment horizontal="center" vertical="center"/>
    </xf>
    <xf numFmtId="0" fontId="87" fillId="26" borderId="35" xfId="175" applyFont="1" applyFill="1" applyBorder="1" applyAlignment="1">
      <alignment horizontal="center" vertical="center"/>
    </xf>
    <xf numFmtId="0" fontId="87" fillId="26" borderId="10" xfId="175" applyFont="1" applyFill="1" applyBorder="1" applyAlignment="1">
      <alignment horizontal="center" vertical="center"/>
    </xf>
    <xf numFmtId="0" fontId="87" fillId="26" borderId="37" xfId="175" applyFont="1" applyFill="1" applyBorder="1" applyAlignment="1">
      <alignment horizontal="center" vertical="center"/>
    </xf>
    <xf numFmtId="186" fontId="82" fillId="26" borderId="10" xfId="175" applyNumberFormat="1" applyFont="1" applyFill="1" applyBorder="1" applyAlignment="1">
      <alignment horizontal="right" vertical="center"/>
    </xf>
    <xf numFmtId="186" fontId="82" fillId="26" borderId="37" xfId="175" applyNumberFormat="1" applyFont="1" applyFill="1" applyBorder="1" applyAlignment="1">
      <alignment horizontal="right" vertical="center"/>
    </xf>
    <xf numFmtId="186" fontId="82" fillId="26" borderId="0" xfId="175" applyNumberFormat="1" applyFont="1" applyFill="1" applyAlignment="1">
      <alignment horizontal="right" vertical="center"/>
    </xf>
    <xf numFmtId="186" fontId="82" fillId="26" borderId="35" xfId="175" applyNumberFormat="1" applyFont="1" applyFill="1" applyBorder="1" applyAlignment="1">
      <alignment horizontal="right" vertical="center"/>
    </xf>
    <xf numFmtId="0" fontId="77" fillId="26" borderId="35" xfId="175" applyFont="1" applyFill="1" applyBorder="1" applyAlignment="1">
      <alignment horizontal="center" vertical="center"/>
    </xf>
    <xf numFmtId="0" fontId="82" fillId="26" borderId="0" xfId="175" applyFont="1" applyFill="1" applyAlignment="1">
      <alignment horizontal="left" vertical="center" wrapText="1"/>
    </xf>
    <xf numFmtId="0" fontId="82" fillId="26" borderId="35" xfId="175" applyFont="1" applyFill="1" applyBorder="1" applyAlignment="1">
      <alignment horizontal="left" vertical="center" wrapText="1"/>
    </xf>
    <xf numFmtId="0" fontId="97" fillId="0" borderId="0" xfId="179" applyFont="1" applyAlignment="1">
      <alignment horizontal="center" vertical="center"/>
    </xf>
    <xf numFmtId="0" fontId="113" fillId="0" borderId="0" xfId="179" applyFont="1" applyAlignment="1">
      <alignment horizontal="left" vertical="center"/>
    </xf>
    <xf numFmtId="0" fontId="80" fillId="0" borderId="52" xfId="179" applyFont="1" applyBorder="1" applyAlignment="1">
      <alignment horizontal="center" vertical="center" wrapText="1"/>
    </xf>
    <xf numFmtId="0" fontId="58" fillId="0" borderId="52" xfId="179" applyFont="1" applyBorder="1" applyAlignment="1">
      <alignment horizontal="center" vertical="center" wrapText="1"/>
    </xf>
    <xf numFmtId="0" fontId="93" fillId="0" borderId="0" xfId="179" applyFont="1" applyAlignment="1">
      <alignment horizontal="center" vertical="center"/>
    </xf>
    <xf numFmtId="9" fontId="106" fillId="0" borderId="63" xfId="179" applyNumberFormat="1" applyFont="1" applyBorder="1" applyAlignment="1">
      <alignment horizontal="left" vertical="center" wrapText="1"/>
    </xf>
    <xf numFmtId="0" fontId="106" fillId="0" borderId="67" xfId="179" applyFont="1" applyBorder="1" applyAlignment="1">
      <alignment horizontal="left" vertical="center" wrapText="1"/>
    </xf>
    <xf numFmtId="0" fontId="80" fillId="0" borderId="63" xfId="179" applyFont="1" applyBorder="1" applyAlignment="1">
      <alignment horizontal="center" vertical="center" wrapText="1"/>
    </xf>
    <xf numFmtId="0" fontId="80" fillId="0" borderId="67" xfId="179" applyFont="1" applyBorder="1" applyAlignment="1">
      <alignment horizontal="center" vertical="center" wrapText="1"/>
    </xf>
    <xf numFmtId="0" fontId="96" fillId="0" borderId="55" xfId="179" applyFont="1" applyBorder="1" applyAlignment="1">
      <alignment horizontal="center" vertical="center"/>
    </xf>
    <xf numFmtId="0" fontId="96" fillId="0" borderId="56" xfId="179" applyFont="1" applyBorder="1" applyAlignment="1">
      <alignment horizontal="center" vertical="center"/>
    </xf>
    <xf numFmtId="0" fontId="96" fillId="0" borderId="57" xfId="179" applyFont="1" applyBorder="1" applyAlignment="1">
      <alignment horizontal="center" vertical="center"/>
    </xf>
    <xf numFmtId="0" fontId="93" fillId="0" borderId="0" xfId="179" applyFont="1" applyAlignment="1">
      <alignment horizontal="center" wrapText="1"/>
    </xf>
    <xf numFmtId="0" fontId="83" fillId="0" borderId="0" xfId="179" applyFont="1" applyAlignment="1">
      <alignment horizontal="center"/>
    </xf>
    <xf numFmtId="171" fontId="60" fillId="26" borderId="0" xfId="0" applyNumberFormat="1" applyFont="1" applyFill="1" applyAlignment="1">
      <alignment horizontal="center" vertical="center"/>
    </xf>
    <xf numFmtId="0" fontId="42" fillId="0" borderId="32" xfId="0" applyFont="1" applyBorder="1" applyAlignment="1">
      <alignment horizontal="right" vertical="center"/>
    </xf>
    <xf numFmtId="0" fontId="42" fillId="0" borderId="33" xfId="0" applyFont="1" applyBorder="1" applyAlignment="1">
      <alignment horizontal="right" vertical="center"/>
    </xf>
    <xf numFmtId="0" fontId="42" fillId="0" borderId="0" xfId="0" applyFont="1" applyAlignment="1">
      <alignment horizontal="right" vertical="center"/>
    </xf>
    <xf numFmtId="0" fontId="42" fillId="0" borderId="35" xfId="0" applyFont="1" applyBorder="1" applyAlignment="1">
      <alignment horizontal="right" vertical="center"/>
    </xf>
    <xf numFmtId="0" fontId="42" fillId="0" borderId="10" xfId="0" applyFont="1" applyBorder="1" applyAlignment="1">
      <alignment horizontal="right" vertical="center"/>
    </xf>
    <xf numFmtId="0" fontId="42" fillId="0" borderId="37" xfId="0" applyFont="1" applyBorder="1" applyAlignment="1">
      <alignment horizontal="right" vertical="center"/>
    </xf>
    <xf numFmtId="168" fontId="55" fillId="0" borderId="13" xfId="0" applyNumberFormat="1" applyFont="1" applyBorder="1" applyAlignment="1">
      <alignment horizontal="center" vertical="center"/>
    </xf>
    <xf numFmtId="168" fontId="55" fillId="0" borderId="17" xfId="0" applyNumberFormat="1" applyFont="1" applyBorder="1" applyAlignment="1">
      <alignment horizontal="center" vertical="center"/>
    </xf>
    <xf numFmtId="0" fontId="51" fillId="0" borderId="20" xfId="0" applyFont="1" applyBorder="1" applyAlignment="1">
      <alignment horizontal="center" vertical="center"/>
    </xf>
    <xf numFmtId="0" fontId="51" fillId="0" borderId="21" xfId="0" applyFont="1" applyBorder="1" applyAlignment="1">
      <alignment horizontal="center" vertical="center"/>
    </xf>
    <xf numFmtId="0" fontId="51" fillId="0" borderId="22" xfId="0" applyFont="1" applyBorder="1" applyAlignment="1">
      <alignment horizontal="center" vertical="center"/>
    </xf>
    <xf numFmtId="0" fontId="50" fillId="0" borderId="14" xfId="0" applyFont="1" applyBorder="1" applyAlignment="1">
      <alignment horizontal="left" vertical="center" wrapText="1"/>
    </xf>
    <xf numFmtId="0" fontId="50" fillId="0" borderId="0" xfId="0" applyFont="1" applyAlignment="1">
      <alignment horizontal="left" vertical="center" wrapText="1"/>
    </xf>
    <xf numFmtId="0" fontId="50" fillId="0" borderId="35" xfId="0" applyFont="1" applyBorder="1" applyAlignment="1">
      <alignment horizontal="left" vertical="center" wrapText="1"/>
    </xf>
    <xf numFmtId="0" fontId="55" fillId="0" borderId="36" xfId="0" applyFont="1" applyBorder="1" applyAlignment="1">
      <alignment horizontal="center" vertical="center"/>
    </xf>
    <xf numFmtId="0" fontId="55" fillId="0" borderId="17" xfId="0" applyFont="1" applyBorder="1" applyAlignment="1">
      <alignment horizontal="center" vertical="center"/>
    </xf>
    <xf numFmtId="0" fontId="47" fillId="0" borderId="13" xfId="0" applyFont="1" applyBorder="1" applyAlignment="1">
      <alignment horizontal="center" vertical="center"/>
    </xf>
    <xf numFmtId="0" fontId="47" fillId="0" borderId="17" xfId="0" applyFont="1" applyBorder="1" applyAlignment="1">
      <alignment horizontal="center" vertical="center"/>
    </xf>
    <xf numFmtId="0" fontId="47" fillId="0" borderId="36" xfId="0" applyFont="1" applyBorder="1" applyAlignment="1">
      <alignment horizontal="center" vertical="center"/>
    </xf>
    <xf numFmtId="0" fontId="47" fillId="0" borderId="34" xfId="0" applyFont="1" applyBorder="1" applyAlignment="1">
      <alignment horizontal="left" vertical="center" wrapText="1"/>
    </xf>
    <xf numFmtId="0" fontId="47" fillId="0" borderId="0" xfId="0" applyFont="1" applyAlignment="1">
      <alignment horizontal="left" vertical="center" wrapText="1"/>
    </xf>
    <xf numFmtId="0" fontId="47" fillId="0" borderId="16" xfId="0" applyFont="1" applyBorder="1" applyAlignment="1">
      <alignment horizontal="left" vertical="center" wrapText="1"/>
    </xf>
    <xf numFmtId="2" fontId="65" fillId="26" borderId="0" xfId="0" applyNumberFormat="1" applyFont="1" applyFill="1" applyAlignment="1">
      <alignment horizontal="center" vertical="center"/>
    </xf>
    <xf numFmtId="0" fontId="51" fillId="0" borderId="19" xfId="0" applyFont="1" applyBorder="1" applyAlignment="1">
      <alignment horizontal="center" vertical="center"/>
    </xf>
    <xf numFmtId="0" fontId="47" fillId="0" borderId="10" xfId="0" applyFont="1" applyBorder="1" applyAlignment="1">
      <alignment horizontal="center" vertical="center"/>
    </xf>
    <xf numFmtId="0" fontId="55" fillId="0" borderId="10" xfId="0" applyFont="1" applyBorder="1" applyAlignment="1">
      <alignment horizontal="center" vertical="center"/>
    </xf>
    <xf numFmtId="0" fontId="41" fillId="0" borderId="20" xfId="140" applyFont="1" applyBorder="1">
      <alignment vertical="center"/>
    </xf>
    <xf numFmtId="0" fontId="41" fillId="0" borderId="21" xfId="140" applyFont="1" applyBorder="1">
      <alignment vertical="center"/>
    </xf>
    <xf numFmtId="0" fontId="41" fillId="0" borderId="22" xfId="140" applyFont="1" applyBorder="1">
      <alignment vertical="center"/>
    </xf>
    <xf numFmtId="0" fontId="42" fillId="0" borderId="0" xfId="140" applyFont="1" applyAlignment="1">
      <alignment horizontal="right" vertical="center"/>
    </xf>
    <xf numFmtId="0" fontId="42" fillId="0" borderId="10" xfId="140" applyFont="1" applyBorder="1" applyAlignment="1">
      <alignment horizontal="right" vertical="center"/>
    </xf>
    <xf numFmtId="0" fontId="6" fillId="25" borderId="27" xfId="140" applyFont="1" applyFill="1" applyBorder="1" applyAlignment="1">
      <alignment horizontal="center" vertical="center"/>
    </xf>
    <xf numFmtId="0" fontId="6" fillId="25" borderId="28" xfId="140" applyFont="1" applyFill="1" applyBorder="1" applyAlignment="1">
      <alignment horizontal="center" vertical="center"/>
    </xf>
    <xf numFmtId="0" fontId="40" fillId="0" borderId="20" xfId="140" applyFont="1" applyBorder="1">
      <alignment vertical="center"/>
    </xf>
    <xf numFmtId="0" fontId="40" fillId="0" borderId="21" xfId="140" applyFont="1" applyBorder="1">
      <alignment vertical="center"/>
    </xf>
    <xf numFmtId="0" fontId="40" fillId="0" borderId="22" xfId="140" applyFont="1" applyBorder="1">
      <alignment vertical="center"/>
    </xf>
  </cellXfs>
  <cellStyles count="185">
    <cellStyle name="20% - 강조색1 2" xfId="1" xr:uid="{00000000-0005-0000-0000-000000000000}"/>
    <cellStyle name="20% - 강조색1 3" xfId="2" xr:uid="{00000000-0005-0000-0000-000001000000}"/>
    <cellStyle name="20% - 강조색2 2" xfId="3" xr:uid="{00000000-0005-0000-0000-000002000000}"/>
    <cellStyle name="20% - 강조색2 3" xfId="4" xr:uid="{00000000-0005-0000-0000-000003000000}"/>
    <cellStyle name="20% - 강조색3 2" xfId="5" xr:uid="{00000000-0005-0000-0000-000004000000}"/>
    <cellStyle name="20% - 강조색3 3" xfId="6" xr:uid="{00000000-0005-0000-0000-000005000000}"/>
    <cellStyle name="20% - 강조색4 2" xfId="7" xr:uid="{00000000-0005-0000-0000-000006000000}"/>
    <cellStyle name="20% - 강조색4 3" xfId="8" xr:uid="{00000000-0005-0000-0000-000007000000}"/>
    <cellStyle name="20% - 강조색5 2" xfId="9" xr:uid="{00000000-0005-0000-0000-000008000000}"/>
    <cellStyle name="20% - 강조색5 3" xfId="10" xr:uid="{00000000-0005-0000-0000-000009000000}"/>
    <cellStyle name="20% - 강조색6 2" xfId="11" xr:uid="{00000000-0005-0000-0000-00000A000000}"/>
    <cellStyle name="20% - 강조색6 3" xfId="12" xr:uid="{00000000-0005-0000-0000-00000B000000}"/>
    <cellStyle name="40% - 강조색1 2" xfId="13" xr:uid="{00000000-0005-0000-0000-00000C000000}"/>
    <cellStyle name="40% - 강조색1 3" xfId="14" xr:uid="{00000000-0005-0000-0000-00000D000000}"/>
    <cellStyle name="40% - 강조색2 2" xfId="15" xr:uid="{00000000-0005-0000-0000-00000E000000}"/>
    <cellStyle name="40% - 강조색2 3" xfId="16" xr:uid="{00000000-0005-0000-0000-00000F000000}"/>
    <cellStyle name="40% - 강조색3 2" xfId="17" xr:uid="{00000000-0005-0000-0000-000010000000}"/>
    <cellStyle name="40% - 강조색3 3" xfId="18" xr:uid="{00000000-0005-0000-0000-000011000000}"/>
    <cellStyle name="40% - 강조색4 2" xfId="19" xr:uid="{00000000-0005-0000-0000-000012000000}"/>
    <cellStyle name="40% - 강조색4 3" xfId="20" xr:uid="{00000000-0005-0000-0000-000013000000}"/>
    <cellStyle name="40% - 강조색5 2" xfId="21" xr:uid="{00000000-0005-0000-0000-000014000000}"/>
    <cellStyle name="40% - 강조색5 3" xfId="22" xr:uid="{00000000-0005-0000-0000-000015000000}"/>
    <cellStyle name="40% - 강조색6 2" xfId="23" xr:uid="{00000000-0005-0000-0000-000016000000}"/>
    <cellStyle name="40% - 강조색6 3" xfId="24" xr:uid="{00000000-0005-0000-0000-000017000000}"/>
    <cellStyle name="60% - 강조색1 2" xfId="25" xr:uid="{00000000-0005-0000-0000-000018000000}"/>
    <cellStyle name="60% - 강조색1 3" xfId="26" xr:uid="{00000000-0005-0000-0000-000019000000}"/>
    <cellStyle name="60% - 강조색2 2" xfId="27" xr:uid="{00000000-0005-0000-0000-00001A000000}"/>
    <cellStyle name="60% - 강조색2 3" xfId="28" xr:uid="{00000000-0005-0000-0000-00001B000000}"/>
    <cellStyle name="60% - 강조색3 2" xfId="29" xr:uid="{00000000-0005-0000-0000-00001C000000}"/>
    <cellStyle name="60% - 강조색3 3" xfId="30" xr:uid="{00000000-0005-0000-0000-00001D000000}"/>
    <cellStyle name="60% - 강조색4 2" xfId="31" xr:uid="{00000000-0005-0000-0000-00001E000000}"/>
    <cellStyle name="60% - 강조색4 3" xfId="32" xr:uid="{00000000-0005-0000-0000-00001F000000}"/>
    <cellStyle name="60% - 강조색5 2" xfId="33" xr:uid="{00000000-0005-0000-0000-000020000000}"/>
    <cellStyle name="60% - 강조색5 3" xfId="34" xr:uid="{00000000-0005-0000-0000-000021000000}"/>
    <cellStyle name="60% - 강조색6 2" xfId="35" xr:uid="{00000000-0005-0000-0000-000022000000}"/>
    <cellStyle name="60% - 강조색6 3" xfId="36" xr:uid="{00000000-0005-0000-0000-000023000000}"/>
    <cellStyle name="Comma" xfId="184" builtinId="3"/>
    <cellStyle name="Comma [0]" xfId="64" builtinId="6"/>
    <cellStyle name="Comma [0] 2" xfId="176" xr:uid="{00000000-0005-0000-0000-000024000000}"/>
    <cellStyle name="Comma 2 3" xfId="181" xr:uid="{00000000-0005-0000-0000-000025000000}"/>
    <cellStyle name="Hyperlink 2" xfId="177" xr:uid="{00000000-0005-0000-0000-000026000000}"/>
    <cellStyle name="Normal" xfId="0" builtinId="0"/>
    <cellStyle name="Normal 19" xfId="179" xr:uid="{00000000-0005-0000-0000-000027000000}"/>
    <cellStyle name="Normal 2" xfId="175" xr:uid="{00000000-0005-0000-0000-000028000000}"/>
    <cellStyle name="Normal 2 2" xfId="183" xr:uid="{00000000-0005-0000-0000-000029000000}"/>
    <cellStyle name="Normal_9-HANSAE (SAM WOON) 2" xfId="174" xr:uid="{00000000-0005-0000-0000-00002A000000}"/>
    <cellStyle name="Normal_BEST-DUCNHAN 7.09(July 25,2007)" xfId="173" xr:uid="{00000000-0005-0000-0000-00002B000000}"/>
    <cellStyle name="Normal_BEST-DUCNHAN 7.09(July 25,2007) 2" xfId="180" xr:uid="{00000000-0005-0000-0000-00002C000000}"/>
    <cellStyle name="Normal_BEST-DUCNHAN 7.09(July 25,2007)_TK 178-8004824-6000374 " xfId="178" xr:uid="{00000000-0005-0000-0000-00002D000000}"/>
    <cellStyle name="강조색1 2" xfId="37" xr:uid="{00000000-0005-0000-0000-00002E000000}"/>
    <cellStyle name="강조색1 3" xfId="38" xr:uid="{00000000-0005-0000-0000-00002F000000}"/>
    <cellStyle name="강조색2 2" xfId="39" xr:uid="{00000000-0005-0000-0000-000030000000}"/>
    <cellStyle name="강조색2 3" xfId="40" xr:uid="{00000000-0005-0000-0000-000031000000}"/>
    <cellStyle name="강조색3 2" xfId="41" xr:uid="{00000000-0005-0000-0000-000032000000}"/>
    <cellStyle name="강조색3 3" xfId="42" xr:uid="{00000000-0005-0000-0000-000033000000}"/>
    <cellStyle name="강조색4 2" xfId="43" xr:uid="{00000000-0005-0000-0000-000034000000}"/>
    <cellStyle name="강조색4 3" xfId="44" xr:uid="{00000000-0005-0000-0000-000035000000}"/>
    <cellStyle name="강조색5 2" xfId="45" xr:uid="{00000000-0005-0000-0000-000036000000}"/>
    <cellStyle name="강조색5 3" xfId="46" xr:uid="{00000000-0005-0000-0000-000037000000}"/>
    <cellStyle name="강조색6 2" xfId="47" xr:uid="{00000000-0005-0000-0000-000038000000}"/>
    <cellStyle name="강조색6 3" xfId="48" xr:uid="{00000000-0005-0000-0000-000039000000}"/>
    <cellStyle name="경고문 2" xfId="49" xr:uid="{00000000-0005-0000-0000-00003A000000}"/>
    <cellStyle name="경고문 3" xfId="50" xr:uid="{00000000-0005-0000-0000-00003B000000}"/>
    <cellStyle name="계산 2" xfId="51" xr:uid="{00000000-0005-0000-0000-00003C000000}"/>
    <cellStyle name="계산 3" xfId="52" xr:uid="{00000000-0005-0000-0000-00003D000000}"/>
    <cellStyle name="나쁨 2" xfId="53" xr:uid="{00000000-0005-0000-0000-00003E000000}"/>
    <cellStyle name="나쁨 3" xfId="54" xr:uid="{00000000-0005-0000-0000-00003F000000}"/>
    <cellStyle name="메모 2" xfId="55" xr:uid="{00000000-0005-0000-0000-000040000000}"/>
    <cellStyle name="메모 3" xfId="56" xr:uid="{00000000-0005-0000-0000-000041000000}"/>
    <cellStyle name="보통 2" xfId="57" xr:uid="{00000000-0005-0000-0000-000042000000}"/>
    <cellStyle name="보통 3" xfId="58" xr:uid="{00000000-0005-0000-0000-000043000000}"/>
    <cellStyle name="설명 텍스트 2" xfId="60" xr:uid="{00000000-0005-0000-0000-000045000000}"/>
    <cellStyle name="설명 텍스트 3" xfId="61" xr:uid="{00000000-0005-0000-0000-000046000000}"/>
    <cellStyle name="셀 확인 2" xfId="62" xr:uid="{00000000-0005-0000-0000-000047000000}"/>
    <cellStyle name="셀 확인 3" xfId="63" xr:uid="{00000000-0005-0000-0000-000048000000}"/>
    <cellStyle name="쉼표 [0] 2" xfId="65" xr:uid="{00000000-0005-0000-0000-00004B000000}"/>
    <cellStyle name="쉼표 [0] 2 2" xfId="66" xr:uid="{00000000-0005-0000-0000-00004C000000}"/>
    <cellStyle name="쉼표 [0] 2 2 2" xfId="67" xr:uid="{00000000-0005-0000-0000-00004D000000}"/>
    <cellStyle name="쉼표 [0] 3" xfId="68" xr:uid="{00000000-0005-0000-0000-00004E000000}"/>
    <cellStyle name="쉼표 [0] 4" xfId="69" xr:uid="{00000000-0005-0000-0000-00004F000000}"/>
    <cellStyle name="쉼표 [0] 4 2" xfId="70" xr:uid="{00000000-0005-0000-0000-000050000000}"/>
    <cellStyle name="쉼표 [0] 5" xfId="71" xr:uid="{00000000-0005-0000-0000-000051000000}"/>
    <cellStyle name="쉼표 2" xfId="72" xr:uid="{00000000-0005-0000-0000-000052000000}"/>
    <cellStyle name="쉼표 3" xfId="73" xr:uid="{00000000-0005-0000-0000-000053000000}"/>
    <cellStyle name="연결된 셀 2" xfId="74" xr:uid="{00000000-0005-0000-0000-000054000000}"/>
    <cellStyle name="연결된 셀 3" xfId="75" xr:uid="{00000000-0005-0000-0000-000055000000}"/>
    <cellStyle name="요약 2" xfId="76" xr:uid="{00000000-0005-0000-0000-000056000000}"/>
    <cellStyle name="요약 3" xfId="77" xr:uid="{00000000-0005-0000-0000-000057000000}"/>
    <cellStyle name="입력 2" xfId="78" xr:uid="{00000000-0005-0000-0000-000058000000}"/>
    <cellStyle name="입력 3" xfId="79" xr:uid="{00000000-0005-0000-0000-000059000000}"/>
    <cellStyle name="제목 1 2" xfId="80" xr:uid="{00000000-0005-0000-0000-00005A000000}"/>
    <cellStyle name="제목 1 3" xfId="81" xr:uid="{00000000-0005-0000-0000-00005B000000}"/>
    <cellStyle name="제목 2 2" xfId="82" xr:uid="{00000000-0005-0000-0000-00005C000000}"/>
    <cellStyle name="제목 2 3" xfId="83" xr:uid="{00000000-0005-0000-0000-00005D000000}"/>
    <cellStyle name="제목 3 2" xfId="84" xr:uid="{00000000-0005-0000-0000-00005E000000}"/>
    <cellStyle name="제목 3 3" xfId="85" xr:uid="{00000000-0005-0000-0000-00005F000000}"/>
    <cellStyle name="제목 4 2" xfId="86" xr:uid="{00000000-0005-0000-0000-000060000000}"/>
    <cellStyle name="제목 4 3" xfId="87" xr:uid="{00000000-0005-0000-0000-000061000000}"/>
    <cellStyle name="제목 5" xfId="88" xr:uid="{00000000-0005-0000-0000-000062000000}"/>
    <cellStyle name="제목 6" xfId="89" xr:uid="{00000000-0005-0000-0000-000063000000}"/>
    <cellStyle name="좋음 2" xfId="90" xr:uid="{00000000-0005-0000-0000-000064000000}"/>
    <cellStyle name="좋음 3" xfId="91" xr:uid="{00000000-0005-0000-0000-000065000000}"/>
    <cellStyle name="출력 2" xfId="92" xr:uid="{00000000-0005-0000-0000-000066000000}"/>
    <cellStyle name="출력 3" xfId="93" xr:uid="{00000000-0005-0000-0000-000067000000}"/>
    <cellStyle name="콤마 [0]_laroux" xfId="94" xr:uid="{00000000-0005-0000-0000-000068000000}"/>
    <cellStyle name="콤마_laroux" xfId="95" xr:uid="{00000000-0005-0000-0000-000069000000}"/>
    <cellStyle name="표준 10" xfId="96" xr:uid="{00000000-0005-0000-0000-00006B000000}"/>
    <cellStyle name="표준 11" xfId="97" xr:uid="{00000000-0005-0000-0000-00006C000000}"/>
    <cellStyle name="표준 12" xfId="98" xr:uid="{00000000-0005-0000-0000-00006D000000}"/>
    <cellStyle name="표준 12 2" xfId="99" xr:uid="{00000000-0005-0000-0000-00006E000000}"/>
    <cellStyle name="표준 12 2 2" xfId="100" xr:uid="{00000000-0005-0000-0000-00006F000000}"/>
    <cellStyle name="표준 13" xfId="101" xr:uid="{00000000-0005-0000-0000-000070000000}"/>
    <cellStyle name="표준 13 2" xfId="102" xr:uid="{00000000-0005-0000-0000-000071000000}"/>
    <cellStyle name="표준 13 2 2" xfId="103" xr:uid="{00000000-0005-0000-0000-000072000000}"/>
    <cellStyle name="표준 13 2 2 2" xfId="104" xr:uid="{00000000-0005-0000-0000-000073000000}"/>
    <cellStyle name="표준 13 2 2 3" xfId="105" xr:uid="{00000000-0005-0000-0000-000074000000}"/>
    <cellStyle name="표준 13 2 3" xfId="106" xr:uid="{00000000-0005-0000-0000-000075000000}"/>
    <cellStyle name="표준 13 2 4" xfId="107" xr:uid="{00000000-0005-0000-0000-000076000000}"/>
    <cellStyle name="표준 13 3" xfId="108" xr:uid="{00000000-0005-0000-0000-000077000000}"/>
    <cellStyle name="표준 13 4" xfId="109" xr:uid="{00000000-0005-0000-0000-000078000000}"/>
    <cellStyle name="표준 14" xfId="110" xr:uid="{00000000-0005-0000-0000-000079000000}"/>
    <cellStyle name="표준 14 2" xfId="111" xr:uid="{00000000-0005-0000-0000-00007A000000}"/>
    <cellStyle name="표준 15" xfId="112" xr:uid="{00000000-0005-0000-0000-00007B000000}"/>
    <cellStyle name="표준 16" xfId="113" xr:uid="{00000000-0005-0000-0000-00007C000000}"/>
    <cellStyle name="표준 17" xfId="114" xr:uid="{00000000-0005-0000-0000-00007D000000}"/>
    <cellStyle name="표준 18" xfId="115" xr:uid="{00000000-0005-0000-0000-00007E000000}"/>
    <cellStyle name="표준 19" xfId="116" xr:uid="{00000000-0005-0000-0000-00007F000000}"/>
    <cellStyle name="표준 2" xfId="117" xr:uid="{00000000-0005-0000-0000-000080000000}"/>
    <cellStyle name="표준 2 2" xfId="118" xr:uid="{00000000-0005-0000-0000-000081000000}"/>
    <cellStyle name="표준 20" xfId="119" xr:uid="{00000000-0005-0000-0000-000082000000}"/>
    <cellStyle name="표준 21" xfId="120" xr:uid="{00000000-0005-0000-0000-000083000000}"/>
    <cellStyle name="표준 21 2" xfId="121" xr:uid="{00000000-0005-0000-0000-000084000000}"/>
    <cellStyle name="표준 22" xfId="122" xr:uid="{00000000-0005-0000-0000-000085000000}"/>
    <cellStyle name="표준 23" xfId="123" xr:uid="{00000000-0005-0000-0000-000086000000}"/>
    <cellStyle name="표준 24" xfId="124" xr:uid="{00000000-0005-0000-0000-000087000000}"/>
    <cellStyle name="표준 25" xfId="125" xr:uid="{00000000-0005-0000-0000-000088000000}"/>
    <cellStyle name="표준 26" xfId="126" xr:uid="{00000000-0005-0000-0000-000089000000}"/>
    <cellStyle name="표준 27" xfId="127" xr:uid="{00000000-0005-0000-0000-00008A000000}"/>
    <cellStyle name="표준 28" xfId="128" xr:uid="{00000000-0005-0000-0000-00008B000000}"/>
    <cellStyle name="표준 29" xfId="129" xr:uid="{00000000-0005-0000-0000-00008C000000}"/>
    <cellStyle name="표준 3" xfId="130" xr:uid="{00000000-0005-0000-0000-00008D000000}"/>
    <cellStyle name="표준 3 2" xfId="131" xr:uid="{00000000-0005-0000-0000-00008E000000}"/>
    <cellStyle name="표준 30" xfId="132" xr:uid="{00000000-0005-0000-0000-00008F000000}"/>
    <cellStyle name="표준 31" xfId="133" xr:uid="{00000000-0005-0000-0000-000090000000}"/>
    <cellStyle name="표준 32" xfId="134" xr:uid="{00000000-0005-0000-0000-000091000000}"/>
    <cellStyle name="표준 32 2" xfId="135" xr:uid="{00000000-0005-0000-0000-000092000000}"/>
    <cellStyle name="표준 33" xfId="136" xr:uid="{00000000-0005-0000-0000-000093000000}"/>
    <cellStyle name="표준 34" xfId="137" xr:uid="{00000000-0005-0000-0000-000094000000}"/>
    <cellStyle name="표준 35" xfId="138" xr:uid="{00000000-0005-0000-0000-000095000000}"/>
    <cellStyle name="표준 36" xfId="139" xr:uid="{00000000-0005-0000-0000-000096000000}"/>
    <cellStyle name="표준 36 2" xfId="140" xr:uid="{00000000-0005-0000-0000-000097000000}"/>
    <cellStyle name="표준 37" xfId="141" xr:uid="{00000000-0005-0000-0000-000098000000}"/>
    <cellStyle name="표준 38" xfId="142" xr:uid="{00000000-0005-0000-0000-000099000000}"/>
    <cellStyle name="표준 39" xfId="143" xr:uid="{00000000-0005-0000-0000-00009A000000}"/>
    <cellStyle name="표준 4" xfId="144" xr:uid="{00000000-0005-0000-0000-00009B000000}"/>
    <cellStyle name="표준 40" xfId="145" xr:uid="{00000000-0005-0000-0000-00009C000000}"/>
    <cellStyle name="표준 41" xfId="146" xr:uid="{00000000-0005-0000-0000-00009D000000}"/>
    <cellStyle name="표준 42" xfId="147" xr:uid="{00000000-0005-0000-0000-00009E000000}"/>
    <cellStyle name="표준 43" xfId="148" xr:uid="{00000000-0005-0000-0000-00009F000000}"/>
    <cellStyle name="표준 44" xfId="149" xr:uid="{00000000-0005-0000-0000-0000A0000000}"/>
    <cellStyle name="표준 45" xfId="150" xr:uid="{00000000-0005-0000-0000-0000A1000000}"/>
    <cellStyle name="표준 46" xfId="151" xr:uid="{00000000-0005-0000-0000-0000A2000000}"/>
    <cellStyle name="표준 47" xfId="152" xr:uid="{00000000-0005-0000-0000-0000A3000000}"/>
    <cellStyle name="표준 48" xfId="153" xr:uid="{00000000-0005-0000-0000-0000A4000000}"/>
    <cellStyle name="표준 49" xfId="154" xr:uid="{00000000-0005-0000-0000-0000A5000000}"/>
    <cellStyle name="표준 5" xfId="155" xr:uid="{00000000-0005-0000-0000-0000A6000000}"/>
    <cellStyle name="표준 50" xfId="156" xr:uid="{00000000-0005-0000-0000-0000A7000000}"/>
    <cellStyle name="표준 50 2" xfId="157" xr:uid="{00000000-0005-0000-0000-0000A8000000}"/>
    <cellStyle name="표준 51" xfId="158" xr:uid="{00000000-0005-0000-0000-0000A9000000}"/>
    <cellStyle name="표준 52" xfId="159" xr:uid="{00000000-0005-0000-0000-0000AA000000}"/>
    <cellStyle name="표준 53" xfId="160" xr:uid="{00000000-0005-0000-0000-0000AB000000}"/>
    <cellStyle name="표준 54" xfId="161" xr:uid="{00000000-0005-0000-0000-0000AC000000}"/>
    <cellStyle name="표준 55" xfId="162" xr:uid="{00000000-0005-0000-0000-0000AD000000}"/>
    <cellStyle name="표준 58" xfId="163" xr:uid="{00000000-0005-0000-0000-0000AE000000}"/>
    <cellStyle name="표준 6" xfId="164" xr:uid="{00000000-0005-0000-0000-0000AF000000}"/>
    <cellStyle name="표준 61" xfId="172" xr:uid="{00000000-0005-0000-0000-0000B0000000}"/>
    <cellStyle name="표준 63" xfId="165" xr:uid="{00000000-0005-0000-0000-0000B1000000}"/>
    <cellStyle name="표준 64" xfId="166" xr:uid="{00000000-0005-0000-0000-0000B2000000}"/>
    <cellStyle name="표준 7" xfId="167" xr:uid="{00000000-0005-0000-0000-0000B3000000}"/>
    <cellStyle name="표준 8" xfId="168" xr:uid="{00000000-0005-0000-0000-0000B4000000}"/>
    <cellStyle name="표준 9" xfId="169" xr:uid="{00000000-0005-0000-0000-0000B5000000}"/>
    <cellStyle name="표준 99" xfId="182" xr:uid="{00000000-0005-0000-0000-0000B6000000}"/>
    <cellStyle name="표준_CS002" xfId="170" xr:uid="{00000000-0005-0000-0000-0000B7000000}"/>
    <cellStyle name="하이퍼링크 2" xfId="171" xr:uid="{00000000-0005-0000-0000-0000B8000000}"/>
    <cellStyle name="常规_LTB10832 SUMMARY BREAKDOWN" xfId="59" xr:uid="{00000000-0005-0000-0000-000044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externalLink" Target="externalLinks/externalLink10.xml"/><Relationship Id="rId39" Type="http://schemas.openxmlformats.org/officeDocument/2006/relationships/externalLink" Target="externalLinks/externalLink23.xml"/><Relationship Id="rId21" Type="http://schemas.openxmlformats.org/officeDocument/2006/relationships/externalLink" Target="externalLinks/externalLink5.xml"/><Relationship Id="rId34" Type="http://schemas.openxmlformats.org/officeDocument/2006/relationships/externalLink" Target="externalLinks/externalLink18.xml"/><Relationship Id="rId42" Type="http://schemas.openxmlformats.org/officeDocument/2006/relationships/externalLink" Target="externalLinks/externalLink2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8.xml"/><Relationship Id="rId32" Type="http://schemas.openxmlformats.org/officeDocument/2006/relationships/externalLink" Target="externalLinks/externalLink16.xml"/><Relationship Id="rId37" Type="http://schemas.openxmlformats.org/officeDocument/2006/relationships/externalLink" Target="externalLinks/externalLink21.xml"/><Relationship Id="rId40" Type="http://schemas.openxmlformats.org/officeDocument/2006/relationships/externalLink" Target="externalLinks/externalLink24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7.xml"/><Relationship Id="rId28" Type="http://schemas.openxmlformats.org/officeDocument/2006/relationships/externalLink" Target="externalLinks/externalLink12.xml"/><Relationship Id="rId36" Type="http://schemas.openxmlformats.org/officeDocument/2006/relationships/externalLink" Target="externalLinks/externalLink2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31" Type="http://schemas.openxmlformats.org/officeDocument/2006/relationships/externalLink" Target="externalLinks/externalLink15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6.xml"/><Relationship Id="rId27" Type="http://schemas.openxmlformats.org/officeDocument/2006/relationships/externalLink" Target="externalLinks/externalLink11.xml"/><Relationship Id="rId30" Type="http://schemas.openxmlformats.org/officeDocument/2006/relationships/externalLink" Target="externalLinks/externalLink14.xml"/><Relationship Id="rId35" Type="http://schemas.openxmlformats.org/officeDocument/2006/relationships/externalLink" Target="externalLinks/externalLink19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externalLink" Target="externalLinks/externalLink9.xml"/><Relationship Id="rId33" Type="http://schemas.openxmlformats.org/officeDocument/2006/relationships/externalLink" Target="externalLinks/externalLink17.xml"/><Relationship Id="rId38" Type="http://schemas.openxmlformats.org/officeDocument/2006/relationships/externalLink" Target="externalLinks/externalLink22.xml"/><Relationship Id="rId46" Type="http://schemas.openxmlformats.org/officeDocument/2006/relationships/calcChain" Target="calcChain.xml"/><Relationship Id="rId20" Type="http://schemas.openxmlformats.org/officeDocument/2006/relationships/externalLink" Target="externalLinks/externalLink4.xml"/><Relationship Id="rId41" Type="http://schemas.openxmlformats.org/officeDocument/2006/relationships/externalLink" Target="externalLinks/externalLink2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233570</xdr:colOff>
      <xdr:row>0</xdr:row>
      <xdr:rowOff>65432</xdr:rowOff>
    </xdr:from>
    <xdr:to>
      <xdr:col>6</xdr:col>
      <xdr:colOff>519320</xdr:colOff>
      <xdr:row>2</xdr:row>
      <xdr:rowOff>122582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/>
        </xdr:cNvGrpSpPr>
      </xdr:nvGrpSpPr>
      <xdr:grpSpPr bwMode="auto">
        <a:xfrm>
          <a:off x="233570" y="65432"/>
          <a:ext cx="6785162" cy="482974"/>
          <a:chOff x="47625" y="47626"/>
          <a:chExt cx="4486275" cy="469899"/>
        </a:xfrm>
      </xdr:grpSpPr>
      <xdr:pic>
        <xdr:nvPicPr>
          <xdr:cNvPr id="3" name="그림 2" descr="컴비네이션 마크.png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7625" y="66675"/>
            <a:ext cx="1323975" cy="4508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TextBox 8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/>
        </xdr:nvSpPr>
        <xdr:spPr>
          <a:xfrm>
            <a:off x="1374335" y="47626"/>
            <a:ext cx="3159565" cy="451103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700" b="1">
                <a:latin typeface="Ebrima" pitchFamily="2" charset="0"/>
                <a:ea typeface="Ebrima" pitchFamily="2" charset="0"/>
                <a:cs typeface="Ebrima" pitchFamily="2" charset="0"/>
              </a:rPr>
              <a:t>Sewang Textile Co., Ltd.</a:t>
            </a:r>
          </a:p>
          <a:p>
            <a:r>
              <a:rPr lang="en-US" altLang="ko-KR" sz="600">
                <a:latin typeface="Ebrima" pitchFamily="2" charset="0"/>
                <a:ea typeface="Ebrima" pitchFamily="2" charset="0"/>
                <a:cs typeface="Ebrima" pitchFamily="2" charset="0"/>
              </a:rPr>
              <a:t>No.302 Daehwa Bldg., 10 Yeongdong-daero 112-gil</a:t>
            </a:r>
          </a:p>
          <a:p>
            <a:r>
              <a:rPr lang="en-US" altLang="ko-KR" sz="600">
                <a:latin typeface="Ebrima" pitchFamily="2" charset="0"/>
                <a:ea typeface="Ebrima" pitchFamily="2" charset="0"/>
                <a:cs typeface="Ebrima" pitchFamily="2" charset="0"/>
              </a:rPr>
              <a:t>Gangnam, Seoul, South Korea 06083</a:t>
            </a:r>
          </a:p>
          <a:p>
            <a:r>
              <a:rPr lang="en-US" altLang="ko-KR" sz="600">
                <a:latin typeface="Ebrima" pitchFamily="2" charset="0"/>
                <a:ea typeface="Ebrima" pitchFamily="2" charset="0"/>
                <a:cs typeface="Ebrima" pitchFamily="2" charset="0"/>
              </a:rPr>
              <a:t>Tel. +82 2 546 0066 Fax. +82 2 546 1134</a:t>
            </a:r>
            <a:endParaRPr lang="ko-KR" altLang="en-US" sz="600">
              <a:latin typeface="Ebrima" pitchFamily="2" charset="0"/>
              <a:cs typeface="Ebrima" pitchFamily="2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85725</xdr:rowOff>
    </xdr:from>
    <xdr:to>
      <xdr:col>5</xdr:col>
      <xdr:colOff>285750</xdr:colOff>
      <xdr:row>2</xdr:row>
      <xdr:rowOff>133350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>
          <a:grpSpLocks/>
        </xdr:cNvGrpSpPr>
      </xdr:nvGrpSpPr>
      <xdr:grpSpPr bwMode="auto">
        <a:xfrm>
          <a:off x="352425" y="85725"/>
          <a:ext cx="6848475" cy="542925"/>
          <a:chOff x="47625" y="47626"/>
          <a:chExt cx="4486275" cy="469899"/>
        </a:xfrm>
      </xdr:grpSpPr>
      <xdr:pic>
        <xdr:nvPicPr>
          <xdr:cNvPr id="3" name="그림 2" descr="컴비네이션 마크.png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7625" y="66675"/>
            <a:ext cx="1323975" cy="4508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TextBox 8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 txBox="1"/>
        </xdr:nvSpPr>
        <xdr:spPr>
          <a:xfrm>
            <a:off x="1398913" y="47626"/>
            <a:ext cx="3134987" cy="453411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700" b="1">
                <a:latin typeface="Ebrima" pitchFamily="2" charset="0"/>
                <a:ea typeface="Ebrima" pitchFamily="2" charset="0"/>
                <a:cs typeface="Ebrima" pitchFamily="2" charset="0"/>
              </a:rPr>
              <a:t>Sewang Textile Co., Ltd.</a:t>
            </a:r>
          </a:p>
          <a:p>
            <a:r>
              <a:rPr lang="en-US" altLang="ko-KR" sz="600">
                <a:latin typeface="Ebrima" pitchFamily="2" charset="0"/>
                <a:ea typeface="Ebrima" pitchFamily="2" charset="0"/>
                <a:cs typeface="Ebrima" pitchFamily="2" charset="0"/>
              </a:rPr>
              <a:t>No.302 Daehwa Bldg., 10 Yeongdong-daero 112-gil</a:t>
            </a:r>
          </a:p>
          <a:p>
            <a:r>
              <a:rPr lang="en-US" altLang="ko-KR" sz="600">
                <a:latin typeface="Ebrima" pitchFamily="2" charset="0"/>
                <a:ea typeface="Ebrima" pitchFamily="2" charset="0"/>
                <a:cs typeface="Ebrima" pitchFamily="2" charset="0"/>
              </a:rPr>
              <a:t>Gangnam, Seoul, South Korea 06083</a:t>
            </a:r>
          </a:p>
          <a:p>
            <a:r>
              <a:rPr lang="en-US" altLang="ko-KR" sz="600">
                <a:latin typeface="Ebrima" pitchFamily="2" charset="0"/>
                <a:ea typeface="Ebrima" pitchFamily="2" charset="0"/>
                <a:cs typeface="Ebrima" pitchFamily="2" charset="0"/>
              </a:rPr>
              <a:t>Tel. +82 2 546 0066 Fax. +82 2 546 1134</a:t>
            </a:r>
            <a:endParaRPr lang="ko-KR" altLang="en-US" sz="600">
              <a:latin typeface="Ebrima" pitchFamily="2" charset="0"/>
              <a:cs typeface="Ebrima" pitchFamily="2" charset="0"/>
            </a:endParaRPr>
          </a:p>
        </xdr:txBody>
      </xdr:sp>
    </xdr:grpSp>
    <xdr:clientData/>
  </xdr:twoCellAnchor>
  <xdr:twoCellAnchor editAs="oneCell">
    <xdr:from>
      <xdr:col>11</xdr:col>
      <xdr:colOff>171450</xdr:colOff>
      <xdr:row>34</xdr:row>
      <xdr:rowOff>0</xdr:rowOff>
    </xdr:from>
    <xdr:to>
      <xdr:col>14</xdr:col>
      <xdr:colOff>322170</xdr:colOff>
      <xdr:row>43</xdr:row>
      <xdr:rowOff>28015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25150" y="9134475"/>
          <a:ext cx="2198595" cy="1732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409575</xdr:colOff>
      <xdr:row>0</xdr:row>
      <xdr:rowOff>152400</xdr:rowOff>
    </xdr:from>
    <xdr:to>
      <xdr:col>3</xdr:col>
      <xdr:colOff>28575</xdr:colOff>
      <xdr:row>2</xdr:row>
      <xdr:rowOff>114300</xdr:rowOff>
    </xdr:to>
    <xdr:pic>
      <xdr:nvPicPr>
        <xdr:cNvPr id="2" name="그림 2" descr="컴비네이션 마크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52400"/>
          <a:ext cx="21621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619125</xdr:colOff>
      <xdr:row>65</xdr:row>
      <xdr:rowOff>66675</xdr:rowOff>
    </xdr:from>
    <xdr:to>
      <xdr:col>21</xdr:col>
      <xdr:colOff>333375</xdr:colOff>
      <xdr:row>72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30625" y="11601450"/>
          <a:ext cx="2495550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495300</xdr:colOff>
      <xdr:row>57</xdr:row>
      <xdr:rowOff>161925</xdr:rowOff>
    </xdr:from>
    <xdr:to>
      <xdr:col>22</xdr:col>
      <xdr:colOff>95250</xdr:colOff>
      <xdr:row>64</xdr:row>
      <xdr:rowOff>85725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06800" y="9867900"/>
          <a:ext cx="3076575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38100</xdr:rowOff>
    </xdr:from>
    <xdr:to>
      <xdr:col>4</xdr:col>
      <xdr:colOff>571500</xdr:colOff>
      <xdr:row>2</xdr:row>
      <xdr:rowOff>171450</xdr:rowOff>
    </xdr:to>
    <xdr:grpSp>
      <xdr:nvGrpSpPr>
        <xdr:cNvPr id="1229" name="그룹 1">
          <a:extLst>
            <a:ext uri="{FF2B5EF4-FFF2-40B4-BE49-F238E27FC236}">
              <a16:creationId xmlns:a16="http://schemas.microsoft.com/office/drawing/2014/main" id="{00000000-0008-0000-0300-0000CD040000}"/>
            </a:ext>
          </a:extLst>
        </xdr:cNvPr>
        <xdr:cNvGrpSpPr>
          <a:grpSpLocks/>
        </xdr:cNvGrpSpPr>
      </xdr:nvGrpSpPr>
      <xdr:grpSpPr bwMode="auto">
        <a:xfrm>
          <a:off x="114300" y="38100"/>
          <a:ext cx="3790950" cy="552450"/>
          <a:chOff x="47626" y="47626"/>
          <a:chExt cx="3235112" cy="489857"/>
        </a:xfrm>
      </xdr:grpSpPr>
      <xdr:pic>
        <xdr:nvPicPr>
          <xdr:cNvPr id="1233" name="그림 2" descr="컴비네이션 마크.png">
            <a:extLst>
              <a:ext uri="{FF2B5EF4-FFF2-40B4-BE49-F238E27FC236}">
                <a16:creationId xmlns:a16="http://schemas.microsoft.com/office/drawing/2014/main" id="{00000000-0008-0000-0300-0000D1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47626" y="66675"/>
            <a:ext cx="1200552" cy="47080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4" name="TextBox 8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 txBox="1"/>
        </xdr:nvSpPr>
        <xdr:spPr>
          <a:xfrm>
            <a:off x="1386333" y="47626"/>
            <a:ext cx="1896405" cy="456074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700" b="1">
                <a:latin typeface="Ebrima" pitchFamily="2" charset="0"/>
                <a:ea typeface="Ebrima" pitchFamily="2" charset="0"/>
                <a:cs typeface="Ebrima" pitchFamily="2" charset="0"/>
              </a:rPr>
              <a:t>SEWANG</a:t>
            </a:r>
            <a:r>
              <a:rPr lang="en-US" altLang="ko-KR" sz="700" b="1" baseline="0">
                <a:latin typeface="Ebrima" pitchFamily="2" charset="0"/>
                <a:ea typeface="Ebrima" pitchFamily="2" charset="0"/>
                <a:cs typeface="Ebrima" pitchFamily="2" charset="0"/>
              </a:rPr>
              <a:t> VINA CO.,LTD</a:t>
            </a:r>
            <a:endParaRPr lang="en-US" altLang="ko-KR" sz="700" b="1">
              <a:latin typeface="Ebrima" pitchFamily="2" charset="0"/>
              <a:ea typeface="Ebrima" pitchFamily="2" charset="0"/>
              <a:cs typeface="Ebrima" pitchFamily="2" charset="0"/>
            </a:endParaRPr>
          </a:p>
          <a:p>
            <a:pPr latinLnBrk="0"/>
            <a:r>
              <a:rPr lang="en-US" altLang="ko-KR" sz="800" kern="12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Lot B_3A_CN, lot B_2B_CN, Bau Bang Industrial Park, Lai Uyen Ward, Bau Bang District, Binh Duong Province, Vietnam</a:t>
            </a:r>
            <a:endParaRPr lang="ko-KR" altLang="ko-KR" sz="8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endParaRPr>
          </a:p>
          <a:p>
            <a:endParaRPr lang="ko-KR" altLang="en-US" sz="600">
              <a:latin typeface="Ebrima" pitchFamily="2" charset="0"/>
              <a:cs typeface="Ebrima" pitchFamily="2" charset="0"/>
            </a:endParaRP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205740</xdr:colOff>
      <xdr:row>0</xdr:row>
      <xdr:rowOff>38100</xdr:rowOff>
    </xdr:from>
    <xdr:to>
      <xdr:col>5</xdr:col>
      <xdr:colOff>144780</xdr:colOff>
      <xdr:row>2</xdr:row>
      <xdr:rowOff>171450</xdr:rowOff>
    </xdr:to>
    <xdr:grpSp>
      <xdr:nvGrpSpPr>
        <xdr:cNvPr id="6" name="그룹 1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pSpPr>
          <a:grpSpLocks/>
        </xdr:cNvGrpSpPr>
      </xdr:nvGrpSpPr>
      <xdr:grpSpPr bwMode="auto">
        <a:xfrm>
          <a:off x="205740" y="38100"/>
          <a:ext cx="4215765" cy="552450"/>
          <a:chOff x="47626" y="47626"/>
          <a:chExt cx="3235112" cy="489857"/>
        </a:xfrm>
      </xdr:grpSpPr>
      <xdr:pic>
        <xdr:nvPicPr>
          <xdr:cNvPr id="7" name="그림 2" descr="컴비네이션 마크.png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47626" y="66675"/>
            <a:ext cx="1200552" cy="47080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8" name="TextBox 8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SpPr txBox="1"/>
        </xdr:nvSpPr>
        <xdr:spPr>
          <a:xfrm>
            <a:off x="1386333" y="47626"/>
            <a:ext cx="1896405" cy="456074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700" b="1">
                <a:latin typeface="Ebrima" pitchFamily="2" charset="0"/>
                <a:ea typeface="Ebrima" pitchFamily="2" charset="0"/>
                <a:cs typeface="Ebrima" pitchFamily="2" charset="0"/>
              </a:rPr>
              <a:t>SEWANG</a:t>
            </a:r>
            <a:r>
              <a:rPr lang="en-US" altLang="ko-KR" sz="700" b="1" baseline="0">
                <a:latin typeface="Ebrima" pitchFamily="2" charset="0"/>
                <a:ea typeface="Ebrima" pitchFamily="2" charset="0"/>
                <a:cs typeface="Ebrima" pitchFamily="2" charset="0"/>
              </a:rPr>
              <a:t> VINA CO.,LTD</a:t>
            </a:r>
            <a:endParaRPr lang="en-US" altLang="ko-KR" sz="700" b="1">
              <a:latin typeface="Ebrima" pitchFamily="2" charset="0"/>
              <a:ea typeface="Ebrima" pitchFamily="2" charset="0"/>
              <a:cs typeface="Ebrima" pitchFamily="2" charset="0"/>
            </a:endParaRPr>
          </a:p>
          <a:p>
            <a:pPr latinLnBrk="0"/>
            <a:r>
              <a:rPr lang="en-US" altLang="ko-KR" sz="800" kern="12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Lot B_3A_CN, lot B_2B_CN, Bau Bang Industrial Park, Lai Uyen Ward, Bau Bang District, Binh Duong Province, Vietnam</a:t>
            </a:r>
            <a:endParaRPr lang="ko-KR" altLang="ko-KR" sz="8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endParaRPr>
          </a:p>
          <a:p>
            <a:endParaRPr lang="ko-KR" altLang="en-US" sz="600">
              <a:latin typeface="Ebrima" pitchFamily="2" charset="0"/>
              <a:cs typeface="Ebrima" pitchFamily="2" charset="0"/>
            </a:endParaRP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381000</xdr:colOff>
      <xdr:row>2</xdr:row>
      <xdr:rowOff>133350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>
          <a:grpSpLocks/>
        </xdr:cNvGrpSpPr>
      </xdr:nvGrpSpPr>
      <xdr:grpSpPr bwMode="auto">
        <a:xfrm>
          <a:off x="0" y="0"/>
          <a:ext cx="3524250" cy="552450"/>
          <a:chOff x="47626" y="47626"/>
          <a:chExt cx="3159348" cy="489857"/>
        </a:xfrm>
      </xdr:grpSpPr>
      <xdr:pic>
        <xdr:nvPicPr>
          <xdr:cNvPr id="3" name="그림 2" descr="컴비네이션 마크.png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47626" y="66675"/>
            <a:ext cx="1200552" cy="47080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4" name="TextBox 8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 txBox="1"/>
        </xdr:nvSpPr>
        <xdr:spPr>
          <a:xfrm>
            <a:off x="1386333" y="47626"/>
            <a:ext cx="1820641" cy="456074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700" b="1">
                <a:latin typeface="Ebrima" pitchFamily="2" charset="0"/>
                <a:ea typeface="Ebrima" pitchFamily="2" charset="0"/>
                <a:cs typeface="Ebrima" pitchFamily="2" charset="0"/>
              </a:rPr>
              <a:t>Sewang Textile Co., Ltd.</a:t>
            </a:r>
          </a:p>
          <a:p>
            <a:r>
              <a:rPr lang="en-US" altLang="ko-KR" sz="600">
                <a:latin typeface="Ebrima" pitchFamily="2" charset="0"/>
                <a:ea typeface="Ebrima" pitchFamily="2" charset="0"/>
                <a:cs typeface="Ebrima" pitchFamily="2" charset="0"/>
              </a:rPr>
              <a:t>No.302 Daehwa Bldg., 10 Yeongdong-daero 112-gil</a:t>
            </a:r>
          </a:p>
          <a:p>
            <a:r>
              <a:rPr lang="en-US" altLang="ko-KR" sz="600">
                <a:latin typeface="Ebrima" pitchFamily="2" charset="0"/>
                <a:ea typeface="Ebrima" pitchFamily="2" charset="0"/>
                <a:cs typeface="Ebrima" pitchFamily="2" charset="0"/>
              </a:rPr>
              <a:t>Gangnam, Seoul, South Korea 06083</a:t>
            </a:r>
          </a:p>
          <a:p>
            <a:r>
              <a:rPr lang="en-US" altLang="ko-KR" sz="600">
                <a:latin typeface="Ebrima" pitchFamily="2" charset="0"/>
                <a:ea typeface="Ebrima" pitchFamily="2" charset="0"/>
                <a:cs typeface="Ebrima" pitchFamily="2" charset="0"/>
              </a:rPr>
              <a:t>Tel. +82 2 546 0066 Fax. +82 2 546 1134</a:t>
            </a:r>
            <a:endParaRPr lang="ko-KR" altLang="en-US" sz="600">
              <a:latin typeface="Ebrima" pitchFamily="2" charset="0"/>
              <a:cs typeface="Ebrima" pitchFamily="2" charset="0"/>
            </a:endParaRPr>
          </a:p>
        </xdr:txBody>
      </xdr:sp>
    </xdr:grp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381000</xdr:colOff>
      <xdr:row>2</xdr:row>
      <xdr:rowOff>133350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pSpPr>
          <a:grpSpLocks/>
        </xdr:cNvGrpSpPr>
      </xdr:nvGrpSpPr>
      <xdr:grpSpPr bwMode="auto">
        <a:xfrm>
          <a:off x="0" y="0"/>
          <a:ext cx="3524250" cy="552450"/>
          <a:chOff x="47626" y="47626"/>
          <a:chExt cx="3159348" cy="489857"/>
        </a:xfrm>
      </xdr:grpSpPr>
      <xdr:pic>
        <xdr:nvPicPr>
          <xdr:cNvPr id="6" name="그림 5" descr="컴비네이션 마크.png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47626" y="66675"/>
            <a:ext cx="1200552" cy="47080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7" name="TextBox 8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 txBox="1"/>
        </xdr:nvSpPr>
        <xdr:spPr>
          <a:xfrm>
            <a:off x="1386333" y="47626"/>
            <a:ext cx="1820641" cy="456074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700" b="1">
                <a:latin typeface="Ebrima" pitchFamily="2" charset="0"/>
                <a:ea typeface="Ebrima" pitchFamily="2" charset="0"/>
                <a:cs typeface="Ebrima" pitchFamily="2" charset="0"/>
              </a:rPr>
              <a:t>Sewang Textile Co., Ltd.</a:t>
            </a:r>
          </a:p>
          <a:p>
            <a:r>
              <a:rPr lang="en-US" altLang="ko-KR" sz="600">
                <a:latin typeface="Ebrima" pitchFamily="2" charset="0"/>
                <a:ea typeface="Ebrima" pitchFamily="2" charset="0"/>
                <a:cs typeface="Ebrima" pitchFamily="2" charset="0"/>
              </a:rPr>
              <a:t>No.302 Daehwa Bldg., 10 Yeongdong-daero 112-gil</a:t>
            </a:r>
          </a:p>
          <a:p>
            <a:r>
              <a:rPr lang="en-US" altLang="ko-KR" sz="600">
                <a:latin typeface="Ebrima" pitchFamily="2" charset="0"/>
                <a:ea typeface="Ebrima" pitchFamily="2" charset="0"/>
                <a:cs typeface="Ebrima" pitchFamily="2" charset="0"/>
              </a:rPr>
              <a:t>Gangnam, Seoul, South Korea 06083</a:t>
            </a:r>
          </a:p>
          <a:p>
            <a:r>
              <a:rPr lang="en-US" altLang="ko-KR" sz="600">
                <a:latin typeface="Ebrima" pitchFamily="2" charset="0"/>
                <a:ea typeface="Ebrima" pitchFamily="2" charset="0"/>
                <a:cs typeface="Ebrima" pitchFamily="2" charset="0"/>
              </a:rPr>
              <a:t>Tel. +82 2 546 0066 Fax. +82 2 546 1134</a:t>
            </a:r>
            <a:endParaRPr lang="ko-KR" altLang="en-US" sz="600">
              <a:latin typeface="Ebrima" pitchFamily="2" charset="0"/>
              <a:cs typeface="Ebrima" pitchFamily="2" charset="0"/>
            </a:endParaRP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5</xdr:col>
      <xdr:colOff>0</xdr:colOff>
      <xdr:row>2</xdr:row>
      <xdr:rowOff>133350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>
          <a:grpSpLocks/>
        </xdr:cNvGrpSpPr>
      </xdr:nvGrpSpPr>
      <xdr:grpSpPr bwMode="auto">
        <a:xfrm>
          <a:off x="0" y="19050"/>
          <a:ext cx="3733800" cy="533400"/>
          <a:chOff x="47626" y="64518"/>
          <a:chExt cx="3029736" cy="472965"/>
        </a:xfrm>
      </xdr:grpSpPr>
      <xdr:pic>
        <xdr:nvPicPr>
          <xdr:cNvPr id="3" name="그림 2" descr="컴비네이션 마크.png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47626" y="66675"/>
            <a:ext cx="1200552" cy="47080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4" name="TextBox 8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SpPr txBox="1"/>
        </xdr:nvSpPr>
        <xdr:spPr>
          <a:xfrm>
            <a:off x="1255494" y="64518"/>
            <a:ext cx="1821868" cy="456074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700" b="1">
                <a:latin typeface="Ebrima" pitchFamily="2" charset="0"/>
                <a:ea typeface="Ebrima" pitchFamily="2" charset="0"/>
                <a:cs typeface="Ebrima" pitchFamily="2" charset="0"/>
              </a:rPr>
              <a:t>Sewang Textile Co., Ltd.</a:t>
            </a:r>
          </a:p>
          <a:p>
            <a:r>
              <a:rPr lang="en-US" altLang="ko-KR" sz="600">
                <a:latin typeface="Ebrima" pitchFamily="2" charset="0"/>
                <a:ea typeface="Ebrima" pitchFamily="2" charset="0"/>
                <a:cs typeface="Ebrima" pitchFamily="2" charset="0"/>
              </a:rPr>
              <a:t>No.302 Daehwa Bldg., 10 Yeongdong-daero 112-gil</a:t>
            </a:r>
          </a:p>
          <a:p>
            <a:r>
              <a:rPr lang="en-US" altLang="ko-KR" sz="600">
                <a:latin typeface="Ebrima" pitchFamily="2" charset="0"/>
                <a:ea typeface="Ebrima" pitchFamily="2" charset="0"/>
                <a:cs typeface="Ebrima" pitchFamily="2" charset="0"/>
              </a:rPr>
              <a:t>Gangnam, Seoul, South Korea 06083</a:t>
            </a:r>
          </a:p>
          <a:p>
            <a:r>
              <a:rPr lang="en-US" altLang="ko-KR" sz="600">
                <a:latin typeface="Ebrima" pitchFamily="2" charset="0"/>
                <a:ea typeface="Ebrima" pitchFamily="2" charset="0"/>
                <a:cs typeface="Ebrima" pitchFamily="2" charset="0"/>
              </a:rPr>
              <a:t>Tel. +82 2 546 0066 Fax. +82 2 546 1134</a:t>
            </a:r>
            <a:endParaRPr lang="ko-KR" altLang="en-US" sz="600">
              <a:latin typeface="Ebrima" pitchFamily="2" charset="0"/>
              <a:cs typeface="Ebrima" pitchFamily="2" charset="0"/>
            </a:endParaRPr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381000</xdr:colOff>
      <xdr:row>2</xdr:row>
      <xdr:rowOff>133350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>
          <a:grpSpLocks/>
        </xdr:cNvGrpSpPr>
      </xdr:nvGrpSpPr>
      <xdr:grpSpPr bwMode="auto">
        <a:xfrm>
          <a:off x="0" y="0"/>
          <a:ext cx="3524250" cy="552450"/>
          <a:chOff x="47626" y="47626"/>
          <a:chExt cx="3159348" cy="489857"/>
        </a:xfrm>
      </xdr:grpSpPr>
      <xdr:pic>
        <xdr:nvPicPr>
          <xdr:cNvPr id="3" name="그림 2" descr="컴비네이션 마크.png">
            <a:extLst>
              <a:ext uri="{FF2B5EF4-FFF2-40B4-BE49-F238E27FC236}">
                <a16:creationId xmlns:a16="http://schemas.microsoft.com/office/drawing/2014/main" id="{00000000-0008-0000-07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47626" y="66675"/>
            <a:ext cx="1200552" cy="47080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4" name="TextBox 8"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SpPr txBox="1"/>
        </xdr:nvSpPr>
        <xdr:spPr>
          <a:xfrm>
            <a:off x="1386333" y="47626"/>
            <a:ext cx="1820641" cy="456074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700" b="1">
                <a:latin typeface="Ebrima" pitchFamily="2" charset="0"/>
                <a:ea typeface="Ebrima" pitchFamily="2" charset="0"/>
                <a:cs typeface="Ebrima" pitchFamily="2" charset="0"/>
              </a:rPr>
              <a:t>Sewang Textile Co., Ltd.</a:t>
            </a:r>
          </a:p>
          <a:p>
            <a:r>
              <a:rPr lang="en-US" altLang="ko-KR" sz="600">
                <a:latin typeface="Ebrima" pitchFamily="2" charset="0"/>
                <a:ea typeface="Ebrima" pitchFamily="2" charset="0"/>
                <a:cs typeface="Ebrima" pitchFamily="2" charset="0"/>
              </a:rPr>
              <a:t>No.302 Daehwa Bldg., 10 Yeongdong-daero 112-gil</a:t>
            </a:r>
          </a:p>
          <a:p>
            <a:r>
              <a:rPr lang="en-US" altLang="ko-KR" sz="600">
                <a:latin typeface="Ebrima" pitchFamily="2" charset="0"/>
                <a:ea typeface="Ebrima" pitchFamily="2" charset="0"/>
                <a:cs typeface="Ebrima" pitchFamily="2" charset="0"/>
              </a:rPr>
              <a:t>Gangnam, Seoul, South Korea 06083</a:t>
            </a:r>
          </a:p>
          <a:p>
            <a:r>
              <a:rPr lang="en-US" altLang="ko-KR" sz="600">
                <a:latin typeface="Ebrima" pitchFamily="2" charset="0"/>
                <a:ea typeface="Ebrima" pitchFamily="2" charset="0"/>
                <a:cs typeface="Ebrima" pitchFamily="2" charset="0"/>
              </a:rPr>
              <a:t>Tel. +82 2 546 0066 Fax. +82 2 546 1134</a:t>
            </a:r>
            <a:endParaRPr lang="ko-KR" altLang="en-US" sz="600">
              <a:latin typeface="Ebrima" pitchFamily="2" charset="0"/>
              <a:cs typeface="Ebrima" pitchFamily="2" charset="0"/>
            </a:endParaRPr>
          </a:p>
        </xdr:txBody>
      </xdr:sp>
    </xdr:grp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381000</xdr:colOff>
      <xdr:row>2</xdr:row>
      <xdr:rowOff>133350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pSpPr>
          <a:grpSpLocks/>
        </xdr:cNvGrpSpPr>
      </xdr:nvGrpSpPr>
      <xdr:grpSpPr bwMode="auto">
        <a:xfrm>
          <a:off x="0" y="0"/>
          <a:ext cx="3524250" cy="552450"/>
          <a:chOff x="47626" y="47626"/>
          <a:chExt cx="3159348" cy="489857"/>
        </a:xfrm>
      </xdr:grpSpPr>
      <xdr:pic>
        <xdr:nvPicPr>
          <xdr:cNvPr id="6" name="그림 5" descr="컴비네이션 마크.png">
            <a:extLst>
              <a:ext uri="{FF2B5EF4-FFF2-40B4-BE49-F238E27FC236}">
                <a16:creationId xmlns:a16="http://schemas.microsoft.com/office/drawing/2014/main" id="{00000000-0008-0000-07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47626" y="66675"/>
            <a:ext cx="1200552" cy="47080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7" name="TextBox 8">
            <a:extLst>
              <a:ext uri="{FF2B5EF4-FFF2-40B4-BE49-F238E27FC236}">
                <a16:creationId xmlns:a16="http://schemas.microsoft.com/office/drawing/2014/main" id="{00000000-0008-0000-0700-000007000000}"/>
              </a:ext>
            </a:extLst>
          </xdr:cNvPr>
          <xdr:cNvSpPr txBox="1"/>
        </xdr:nvSpPr>
        <xdr:spPr>
          <a:xfrm>
            <a:off x="1386333" y="47626"/>
            <a:ext cx="1820641" cy="456074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700" b="1">
                <a:latin typeface="Ebrima" pitchFamily="2" charset="0"/>
                <a:ea typeface="Ebrima" pitchFamily="2" charset="0"/>
                <a:cs typeface="Ebrima" pitchFamily="2" charset="0"/>
              </a:rPr>
              <a:t>Sewang Textile Co., Ltd.</a:t>
            </a:r>
          </a:p>
          <a:p>
            <a:r>
              <a:rPr lang="en-US" altLang="ko-KR" sz="600">
                <a:latin typeface="Ebrima" pitchFamily="2" charset="0"/>
                <a:ea typeface="Ebrima" pitchFamily="2" charset="0"/>
                <a:cs typeface="Ebrima" pitchFamily="2" charset="0"/>
              </a:rPr>
              <a:t>No.302 Daehwa Bldg., 10 Yeongdong-daero 112-gil</a:t>
            </a:r>
          </a:p>
          <a:p>
            <a:r>
              <a:rPr lang="en-US" altLang="ko-KR" sz="600">
                <a:latin typeface="Ebrima" pitchFamily="2" charset="0"/>
                <a:ea typeface="Ebrima" pitchFamily="2" charset="0"/>
                <a:cs typeface="Ebrima" pitchFamily="2" charset="0"/>
              </a:rPr>
              <a:t>Gangnam, Seoul, South Korea 06083</a:t>
            </a:r>
          </a:p>
          <a:p>
            <a:r>
              <a:rPr lang="en-US" altLang="ko-KR" sz="600">
                <a:latin typeface="Ebrima" pitchFamily="2" charset="0"/>
                <a:ea typeface="Ebrima" pitchFamily="2" charset="0"/>
                <a:cs typeface="Ebrima" pitchFamily="2" charset="0"/>
              </a:rPr>
              <a:t>Tel. +82 2 546 0066 Fax. +82 2 546 1134</a:t>
            </a:r>
            <a:endParaRPr lang="ko-KR" altLang="en-US" sz="600">
              <a:latin typeface="Ebrima" pitchFamily="2" charset="0"/>
              <a:cs typeface="Ebrima" pitchFamily="2" charset="0"/>
            </a:endParaRPr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5</xdr:col>
      <xdr:colOff>0</xdr:colOff>
      <xdr:row>2</xdr:row>
      <xdr:rowOff>133350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>
          <a:grpSpLocks/>
        </xdr:cNvGrpSpPr>
      </xdr:nvGrpSpPr>
      <xdr:grpSpPr bwMode="auto">
        <a:xfrm>
          <a:off x="0" y="19050"/>
          <a:ext cx="3733800" cy="533400"/>
          <a:chOff x="47626" y="64518"/>
          <a:chExt cx="3029736" cy="472965"/>
        </a:xfrm>
      </xdr:grpSpPr>
      <xdr:pic>
        <xdr:nvPicPr>
          <xdr:cNvPr id="3" name="그림 2" descr="컴비네이션 마크.png">
            <a:extLst>
              <a:ext uri="{FF2B5EF4-FFF2-40B4-BE49-F238E27FC236}">
                <a16:creationId xmlns:a16="http://schemas.microsoft.com/office/drawing/2014/main" id="{00000000-0008-0000-08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47626" y="66675"/>
            <a:ext cx="1200552" cy="47080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4" name="TextBox 8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SpPr txBox="1"/>
        </xdr:nvSpPr>
        <xdr:spPr>
          <a:xfrm>
            <a:off x="1255494" y="64518"/>
            <a:ext cx="1821868" cy="456074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700" b="1">
                <a:latin typeface="Ebrima" pitchFamily="2" charset="0"/>
                <a:ea typeface="Ebrima" pitchFamily="2" charset="0"/>
                <a:cs typeface="Ebrima" pitchFamily="2" charset="0"/>
              </a:rPr>
              <a:t>Sewang Textile Co., Ltd.</a:t>
            </a:r>
          </a:p>
          <a:p>
            <a:r>
              <a:rPr lang="en-US" altLang="ko-KR" sz="600">
                <a:latin typeface="Ebrima" pitchFamily="2" charset="0"/>
                <a:ea typeface="Ebrima" pitchFamily="2" charset="0"/>
                <a:cs typeface="Ebrima" pitchFamily="2" charset="0"/>
              </a:rPr>
              <a:t>No.302 Daehwa Bldg., 10 Yeongdong-daero 112-gil</a:t>
            </a:r>
          </a:p>
          <a:p>
            <a:r>
              <a:rPr lang="en-US" altLang="ko-KR" sz="600">
                <a:latin typeface="Ebrima" pitchFamily="2" charset="0"/>
                <a:ea typeface="Ebrima" pitchFamily="2" charset="0"/>
                <a:cs typeface="Ebrima" pitchFamily="2" charset="0"/>
              </a:rPr>
              <a:t>Gangnam, Seoul, South Korea 06083</a:t>
            </a:r>
          </a:p>
          <a:p>
            <a:r>
              <a:rPr lang="en-US" altLang="ko-KR" sz="600">
                <a:latin typeface="Ebrima" pitchFamily="2" charset="0"/>
                <a:ea typeface="Ebrima" pitchFamily="2" charset="0"/>
                <a:cs typeface="Ebrima" pitchFamily="2" charset="0"/>
              </a:rPr>
              <a:t>Tel. +82 2 546 0066 Fax. +82 2 546 1134</a:t>
            </a:r>
            <a:endParaRPr lang="ko-KR" altLang="en-US" sz="600">
              <a:latin typeface="Ebrima" pitchFamily="2" charset="0"/>
              <a:cs typeface="Ebrima" pitchFamily="2" charset="0"/>
            </a:endParaRPr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144780</xdr:colOff>
      <xdr:row>0</xdr:row>
      <xdr:rowOff>30480</xdr:rowOff>
    </xdr:from>
    <xdr:to>
      <xdr:col>4</xdr:col>
      <xdr:colOff>601980</xdr:colOff>
      <xdr:row>2</xdr:row>
      <xdr:rowOff>163830</xdr:rowOff>
    </xdr:to>
    <xdr:grpSp>
      <xdr:nvGrpSpPr>
        <xdr:cNvPr id="9" name="그룹 1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GrpSpPr>
          <a:grpSpLocks/>
        </xdr:cNvGrpSpPr>
      </xdr:nvGrpSpPr>
      <xdr:grpSpPr bwMode="auto">
        <a:xfrm>
          <a:off x="144780" y="30480"/>
          <a:ext cx="3600450" cy="552450"/>
          <a:chOff x="47626" y="47626"/>
          <a:chExt cx="3235112" cy="489857"/>
        </a:xfrm>
      </xdr:grpSpPr>
      <xdr:pic>
        <xdr:nvPicPr>
          <xdr:cNvPr id="10" name="그림 2" descr="컴비네이션 마크.png">
            <a:extLst>
              <a:ext uri="{FF2B5EF4-FFF2-40B4-BE49-F238E27FC236}">
                <a16:creationId xmlns:a16="http://schemas.microsoft.com/office/drawing/2014/main" id="{00000000-0008-0000-09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47626" y="66675"/>
            <a:ext cx="1200552" cy="47080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11" name="TextBox 8">
            <a:extLst>
              <a:ext uri="{FF2B5EF4-FFF2-40B4-BE49-F238E27FC236}">
                <a16:creationId xmlns:a16="http://schemas.microsoft.com/office/drawing/2014/main" id="{00000000-0008-0000-0900-00000B000000}"/>
              </a:ext>
            </a:extLst>
          </xdr:cNvPr>
          <xdr:cNvSpPr txBox="1"/>
        </xdr:nvSpPr>
        <xdr:spPr>
          <a:xfrm>
            <a:off x="1386333" y="47626"/>
            <a:ext cx="1896405" cy="456074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700" b="1">
                <a:latin typeface="Ebrima" pitchFamily="2" charset="0"/>
                <a:ea typeface="Ebrima" pitchFamily="2" charset="0"/>
                <a:cs typeface="Ebrima" pitchFamily="2" charset="0"/>
              </a:rPr>
              <a:t>SEWANG</a:t>
            </a:r>
            <a:r>
              <a:rPr lang="en-US" altLang="ko-KR" sz="700" b="1" baseline="0">
                <a:latin typeface="Ebrima" pitchFamily="2" charset="0"/>
                <a:ea typeface="Ebrima" pitchFamily="2" charset="0"/>
                <a:cs typeface="Ebrima" pitchFamily="2" charset="0"/>
              </a:rPr>
              <a:t> VINA CO.,LTD</a:t>
            </a:r>
            <a:endParaRPr lang="en-US" altLang="ko-KR" sz="700" b="1">
              <a:latin typeface="Ebrima" pitchFamily="2" charset="0"/>
              <a:ea typeface="Ebrima" pitchFamily="2" charset="0"/>
              <a:cs typeface="Ebrima" pitchFamily="2" charset="0"/>
            </a:endParaRPr>
          </a:p>
          <a:p>
            <a:pPr latinLnBrk="0"/>
            <a:r>
              <a:rPr lang="en-US" altLang="ko-KR" sz="800" kern="12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Lot B_3A_CN, lot B_2B_CN, Bau Bang Industrial Park, Lai Uyen Ward, Bau Bang District, Binh Duong Province, Vietnam</a:t>
            </a:r>
            <a:endParaRPr lang="ko-KR" altLang="ko-KR" sz="8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endParaRPr>
          </a:p>
          <a:p>
            <a:endParaRPr lang="ko-KR" altLang="en-US" sz="600">
              <a:latin typeface="Ebrima" pitchFamily="2" charset="0"/>
              <a:cs typeface="Ebrima" pitchFamily="2" charset="0"/>
            </a:endParaRPr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45720</xdr:rowOff>
    </xdr:from>
    <xdr:to>
      <xdr:col>5</xdr:col>
      <xdr:colOff>91440</xdr:colOff>
      <xdr:row>2</xdr:row>
      <xdr:rowOff>179070</xdr:rowOff>
    </xdr:to>
    <xdr:grpSp>
      <xdr:nvGrpSpPr>
        <xdr:cNvPr id="6" name="그룹 1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GrpSpPr>
          <a:grpSpLocks/>
        </xdr:cNvGrpSpPr>
      </xdr:nvGrpSpPr>
      <xdr:grpSpPr bwMode="auto">
        <a:xfrm>
          <a:off x="152400" y="45720"/>
          <a:ext cx="3672840" cy="552450"/>
          <a:chOff x="47626" y="47626"/>
          <a:chExt cx="3235112" cy="489857"/>
        </a:xfrm>
      </xdr:grpSpPr>
      <xdr:pic>
        <xdr:nvPicPr>
          <xdr:cNvPr id="7" name="그림 2" descr="컴비네이션 마크.png">
            <a:extLst>
              <a:ext uri="{FF2B5EF4-FFF2-40B4-BE49-F238E27FC236}">
                <a16:creationId xmlns:a16="http://schemas.microsoft.com/office/drawing/2014/main" id="{00000000-0008-0000-0A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47626" y="66675"/>
            <a:ext cx="1200552" cy="47080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8" name="TextBox 8">
            <a:extLst>
              <a:ext uri="{FF2B5EF4-FFF2-40B4-BE49-F238E27FC236}">
                <a16:creationId xmlns:a16="http://schemas.microsoft.com/office/drawing/2014/main" id="{00000000-0008-0000-0A00-000008000000}"/>
              </a:ext>
            </a:extLst>
          </xdr:cNvPr>
          <xdr:cNvSpPr txBox="1"/>
        </xdr:nvSpPr>
        <xdr:spPr>
          <a:xfrm>
            <a:off x="1386333" y="47626"/>
            <a:ext cx="1896405" cy="456074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700" b="1">
                <a:latin typeface="Ebrima" pitchFamily="2" charset="0"/>
                <a:ea typeface="Ebrima" pitchFamily="2" charset="0"/>
                <a:cs typeface="Ebrima" pitchFamily="2" charset="0"/>
              </a:rPr>
              <a:t>SEWANG</a:t>
            </a:r>
            <a:r>
              <a:rPr lang="en-US" altLang="ko-KR" sz="700" b="1" baseline="0">
                <a:latin typeface="Ebrima" pitchFamily="2" charset="0"/>
                <a:ea typeface="Ebrima" pitchFamily="2" charset="0"/>
                <a:cs typeface="Ebrima" pitchFamily="2" charset="0"/>
              </a:rPr>
              <a:t> VINA CO.,LTD</a:t>
            </a:r>
            <a:endParaRPr lang="en-US" altLang="ko-KR" sz="700" b="1">
              <a:latin typeface="Ebrima" pitchFamily="2" charset="0"/>
              <a:ea typeface="Ebrima" pitchFamily="2" charset="0"/>
              <a:cs typeface="Ebrima" pitchFamily="2" charset="0"/>
            </a:endParaRPr>
          </a:p>
          <a:p>
            <a:pPr latinLnBrk="0"/>
            <a:r>
              <a:rPr lang="en-US" altLang="ko-KR" sz="800" kern="12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Lot B_3A_CN, lot B_2B_CN, Bau Bang Industrial Park, Lai Uyen Ward, Bau Bang District, Binh Duong Province, Vietnam</a:t>
            </a:r>
            <a:endParaRPr lang="ko-KR" altLang="ko-KR" sz="8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endParaRPr>
          </a:p>
          <a:p>
            <a:endParaRPr lang="ko-KR" altLang="en-US" sz="600">
              <a:latin typeface="Ebrima" pitchFamily="2" charset="0"/>
              <a:cs typeface="Ebrima" pitchFamily="2" charset="0"/>
            </a:endParaRPr>
          </a:p>
        </xdr:txBody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381000</xdr:colOff>
      <xdr:row>2</xdr:row>
      <xdr:rowOff>133350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>
          <a:grpSpLocks/>
        </xdr:cNvGrpSpPr>
      </xdr:nvGrpSpPr>
      <xdr:grpSpPr bwMode="auto">
        <a:xfrm>
          <a:off x="0" y="0"/>
          <a:ext cx="3524250" cy="552450"/>
          <a:chOff x="47626" y="47626"/>
          <a:chExt cx="3159348" cy="489857"/>
        </a:xfrm>
      </xdr:grpSpPr>
      <xdr:pic>
        <xdr:nvPicPr>
          <xdr:cNvPr id="3" name="그림 2" descr="컴비네이션 마크.png">
            <a:extLst>
              <a:ext uri="{FF2B5EF4-FFF2-40B4-BE49-F238E27FC236}">
                <a16:creationId xmlns:a16="http://schemas.microsoft.com/office/drawing/2014/main" id="{00000000-0008-0000-0B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47626" y="66675"/>
            <a:ext cx="1200552" cy="47080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4" name="TextBox 8">
            <a:extLst>
              <a:ext uri="{FF2B5EF4-FFF2-40B4-BE49-F238E27FC236}">
                <a16:creationId xmlns:a16="http://schemas.microsoft.com/office/drawing/2014/main" id="{00000000-0008-0000-0B00-000004000000}"/>
              </a:ext>
            </a:extLst>
          </xdr:cNvPr>
          <xdr:cNvSpPr txBox="1"/>
        </xdr:nvSpPr>
        <xdr:spPr>
          <a:xfrm>
            <a:off x="1386333" y="47626"/>
            <a:ext cx="1820641" cy="456074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700" b="1">
                <a:latin typeface="Ebrima" pitchFamily="2" charset="0"/>
                <a:ea typeface="Ebrima" pitchFamily="2" charset="0"/>
                <a:cs typeface="Ebrima" pitchFamily="2" charset="0"/>
              </a:rPr>
              <a:t>Sewang Textile Co., Ltd.</a:t>
            </a:r>
          </a:p>
          <a:p>
            <a:r>
              <a:rPr lang="en-US" altLang="ko-KR" sz="600">
                <a:latin typeface="Ebrima" pitchFamily="2" charset="0"/>
                <a:ea typeface="Ebrima" pitchFamily="2" charset="0"/>
                <a:cs typeface="Ebrima" pitchFamily="2" charset="0"/>
              </a:rPr>
              <a:t>No.302 Daehwa Bldg., 10 Yeongdong-daero 112-gil</a:t>
            </a:r>
          </a:p>
          <a:p>
            <a:r>
              <a:rPr lang="en-US" altLang="ko-KR" sz="600">
                <a:latin typeface="Ebrima" pitchFamily="2" charset="0"/>
                <a:ea typeface="Ebrima" pitchFamily="2" charset="0"/>
                <a:cs typeface="Ebrima" pitchFamily="2" charset="0"/>
              </a:rPr>
              <a:t>Gangnam, Seoul, South Korea 06083</a:t>
            </a:r>
          </a:p>
          <a:p>
            <a:r>
              <a:rPr lang="en-US" altLang="ko-KR" sz="600">
                <a:latin typeface="Ebrima" pitchFamily="2" charset="0"/>
                <a:ea typeface="Ebrima" pitchFamily="2" charset="0"/>
                <a:cs typeface="Ebrima" pitchFamily="2" charset="0"/>
              </a:rPr>
              <a:t>Tel. +82 2 546 0066 Fax. +82 2 546 1134</a:t>
            </a:r>
            <a:endParaRPr lang="ko-KR" altLang="en-US" sz="600">
              <a:latin typeface="Ebrima" pitchFamily="2" charset="0"/>
              <a:cs typeface="Ebrima" pitchFamily="2" charset="0"/>
            </a:endParaRPr>
          </a:p>
        </xdr:txBody>
      </xdr:sp>
    </xdr:grp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381000</xdr:colOff>
      <xdr:row>2</xdr:row>
      <xdr:rowOff>133350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pSpPr>
          <a:grpSpLocks/>
        </xdr:cNvGrpSpPr>
      </xdr:nvGrpSpPr>
      <xdr:grpSpPr bwMode="auto">
        <a:xfrm>
          <a:off x="0" y="0"/>
          <a:ext cx="3524250" cy="552450"/>
          <a:chOff x="47626" y="47626"/>
          <a:chExt cx="3159348" cy="489857"/>
        </a:xfrm>
      </xdr:grpSpPr>
      <xdr:pic>
        <xdr:nvPicPr>
          <xdr:cNvPr id="6" name="그림 5" descr="컴비네이션 마크.png">
            <a:extLst>
              <a:ext uri="{FF2B5EF4-FFF2-40B4-BE49-F238E27FC236}">
                <a16:creationId xmlns:a16="http://schemas.microsoft.com/office/drawing/2014/main" id="{00000000-0008-0000-0B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47626" y="66675"/>
            <a:ext cx="1200552" cy="47080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7" name="TextBox 8">
            <a:extLst>
              <a:ext uri="{FF2B5EF4-FFF2-40B4-BE49-F238E27FC236}">
                <a16:creationId xmlns:a16="http://schemas.microsoft.com/office/drawing/2014/main" id="{00000000-0008-0000-0B00-000007000000}"/>
              </a:ext>
            </a:extLst>
          </xdr:cNvPr>
          <xdr:cNvSpPr txBox="1"/>
        </xdr:nvSpPr>
        <xdr:spPr>
          <a:xfrm>
            <a:off x="1386333" y="47626"/>
            <a:ext cx="1820641" cy="456074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700" b="1">
                <a:latin typeface="Ebrima" pitchFamily="2" charset="0"/>
                <a:ea typeface="Ebrima" pitchFamily="2" charset="0"/>
                <a:cs typeface="Ebrima" pitchFamily="2" charset="0"/>
              </a:rPr>
              <a:t>Sewang Textile Co., Ltd.</a:t>
            </a:r>
          </a:p>
          <a:p>
            <a:r>
              <a:rPr lang="en-US" altLang="ko-KR" sz="600">
                <a:latin typeface="Ebrima" pitchFamily="2" charset="0"/>
                <a:ea typeface="Ebrima" pitchFamily="2" charset="0"/>
                <a:cs typeface="Ebrima" pitchFamily="2" charset="0"/>
              </a:rPr>
              <a:t>No.302 Daehwa Bldg., 10 Yeongdong-daero 112-gil</a:t>
            </a:r>
          </a:p>
          <a:p>
            <a:r>
              <a:rPr lang="en-US" altLang="ko-KR" sz="600">
                <a:latin typeface="Ebrima" pitchFamily="2" charset="0"/>
                <a:ea typeface="Ebrima" pitchFamily="2" charset="0"/>
                <a:cs typeface="Ebrima" pitchFamily="2" charset="0"/>
              </a:rPr>
              <a:t>Gangnam, Seoul, South Korea 06083</a:t>
            </a:r>
          </a:p>
          <a:p>
            <a:r>
              <a:rPr lang="en-US" altLang="ko-KR" sz="600">
                <a:latin typeface="Ebrima" pitchFamily="2" charset="0"/>
                <a:ea typeface="Ebrima" pitchFamily="2" charset="0"/>
                <a:cs typeface="Ebrima" pitchFamily="2" charset="0"/>
              </a:rPr>
              <a:t>Tel. +82 2 546 0066 Fax. +82 2 546 1134</a:t>
            </a:r>
            <a:endParaRPr lang="ko-KR" altLang="en-US" sz="600">
              <a:latin typeface="Ebrima" pitchFamily="2" charset="0"/>
              <a:cs typeface="Ebrima" pitchFamily="2" charset="0"/>
            </a:endParaRPr>
          </a:p>
        </xdr:txBody>
      </xdr: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5</xdr:col>
      <xdr:colOff>0</xdr:colOff>
      <xdr:row>2</xdr:row>
      <xdr:rowOff>133350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pSpPr>
          <a:grpSpLocks/>
        </xdr:cNvGrpSpPr>
      </xdr:nvGrpSpPr>
      <xdr:grpSpPr bwMode="auto">
        <a:xfrm>
          <a:off x="0" y="19050"/>
          <a:ext cx="3733800" cy="533400"/>
          <a:chOff x="47626" y="64518"/>
          <a:chExt cx="3029736" cy="472965"/>
        </a:xfrm>
      </xdr:grpSpPr>
      <xdr:pic>
        <xdr:nvPicPr>
          <xdr:cNvPr id="3" name="그림 2" descr="컴비네이션 마크.png">
            <a:extLst>
              <a:ext uri="{FF2B5EF4-FFF2-40B4-BE49-F238E27FC236}">
                <a16:creationId xmlns:a16="http://schemas.microsoft.com/office/drawing/2014/main" id="{00000000-0008-0000-0C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47626" y="66675"/>
            <a:ext cx="1200552" cy="47080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4" name="TextBox 8">
            <a:extLst>
              <a:ext uri="{FF2B5EF4-FFF2-40B4-BE49-F238E27FC236}">
                <a16:creationId xmlns:a16="http://schemas.microsoft.com/office/drawing/2014/main" id="{00000000-0008-0000-0C00-000004000000}"/>
              </a:ext>
            </a:extLst>
          </xdr:cNvPr>
          <xdr:cNvSpPr txBox="1"/>
        </xdr:nvSpPr>
        <xdr:spPr>
          <a:xfrm>
            <a:off x="1255494" y="64518"/>
            <a:ext cx="1821868" cy="456074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700" b="1">
                <a:latin typeface="Ebrima" pitchFamily="2" charset="0"/>
                <a:ea typeface="Ebrima" pitchFamily="2" charset="0"/>
                <a:cs typeface="Ebrima" pitchFamily="2" charset="0"/>
              </a:rPr>
              <a:t>Sewang Textile Co., Ltd.</a:t>
            </a:r>
          </a:p>
          <a:p>
            <a:r>
              <a:rPr lang="en-US" altLang="ko-KR" sz="600">
                <a:latin typeface="Ebrima" pitchFamily="2" charset="0"/>
                <a:ea typeface="Ebrima" pitchFamily="2" charset="0"/>
                <a:cs typeface="Ebrima" pitchFamily="2" charset="0"/>
              </a:rPr>
              <a:t>No.302 Daehwa Bldg., 10 Yeongdong-daero 112-gil</a:t>
            </a:r>
          </a:p>
          <a:p>
            <a:r>
              <a:rPr lang="en-US" altLang="ko-KR" sz="600">
                <a:latin typeface="Ebrima" pitchFamily="2" charset="0"/>
                <a:ea typeface="Ebrima" pitchFamily="2" charset="0"/>
                <a:cs typeface="Ebrima" pitchFamily="2" charset="0"/>
              </a:rPr>
              <a:t>Gangnam, Seoul, South Korea 06083</a:t>
            </a:r>
          </a:p>
          <a:p>
            <a:r>
              <a:rPr lang="en-US" altLang="ko-KR" sz="600">
                <a:latin typeface="Ebrima" pitchFamily="2" charset="0"/>
                <a:ea typeface="Ebrima" pitchFamily="2" charset="0"/>
                <a:cs typeface="Ebrima" pitchFamily="2" charset="0"/>
              </a:rPr>
              <a:t>Tel. +82 2 546 0066 Fax. +82 2 546 1134</a:t>
            </a:r>
            <a:endParaRPr lang="ko-KR" altLang="en-US" sz="600">
              <a:latin typeface="Ebrima" pitchFamily="2" charset="0"/>
              <a:cs typeface="Ebrima" pitchFamily="2" charset="0"/>
            </a:endParaRPr>
          </a:p>
        </xdr:txBody>
      </xdr:sp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53340</xdr:rowOff>
    </xdr:from>
    <xdr:to>
      <xdr:col>4</xdr:col>
      <xdr:colOff>449579</xdr:colOff>
      <xdr:row>2</xdr:row>
      <xdr:rowOff>171450</xdr:rowOff>
    </xdr:to>
    <xdr:grpSp>
      <xdr:nvGrpSpPr>
        <xdr:cNvPr id="12" name="그룹 1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GrpSpPr>
          <a:grpSpLocks/>
        </xdr:cNvGrpSpPr>
      </xdr:nvGrpSpPr>
      <xdr:grpSpPr bwMode="auto">
        <a:xfrm>
          <a:off x="114300" y="53340"/>
          <a:ext cx="3478529" cy="537210"/>
          <a:chOff x="161272" y="973"/>
          <a:chExt cx="3113889" cy="476528"/>
        </a:xfrm>
      </xdr:grpSpPr>
      <xdr:pic>
        <xdr:nvPicPr>
          <xdr:cNvPr id="13" name="그림 2" descr="컴비네이션 마크.png">
            <a:extLst>
              <a:ext uri="{FF2B5EF4-FFF2-40B4-BE49-F238E27FC236}">
                <a16:creationId xmlns:a16="http://schemas.microsoft.com/office/drawing/2014/main" id="{00000000-0008-0000-0D00-00000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61272" y="6693"/>
            <a:ext cx="1200552" cy="47080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14" name="TextBox 8">
            <a:extLst>
              <a:ext uri="{FF2B5EF4-FFF2-40B4-BE49-F238E27FC236}">
                <a16:creationId xmlns:a16="http://schemas.microsoft.com/office/drawing/2014/main" id="{00000000-0008-0000-0D00-00000E000000}"/>
              </a:ext>
            </a:extLst>
          </xdr:cNvPr>
          <xdr:cNvSpPr txBox="1"/>
        </xdr:nvSpPr>
        <xdr:spPr>
          <a:xfrm>
            <a:off x="1378756" y="973"/>
            <a:ext cx="1896405" cy="456074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700" b="1">
                <a:latin typeface="Ebrima" pitchFamily="2" charset="0"/>
                <a:ea typeface="Ebrima" pitchFamily="2" charset="0"/>
                <a:cs typeface="Ebrima" pitchFamily="2" charset="0"/>
              </a:rPr>
              <a:t>SEWANG</a:t>
            </a:r>
            <a:r>
              <a:rPr lang="en-US" altLang="ko-KR" sz="700" b="1" baseline="0">
                <a:latin typeface="Ebrima" pitchFamily="2" charset="0"/>
                <a:ea typeface="Ebrima" pitchFamily="2" charset="0"/>
                <a:cs typeface="Ebrima" pitchFamily="2" charset="0"/>
              </a:rPr>
              <a:t> VINA CO.,LTD</a:t>
            </a:r>
            <a:endParaRPr lang="en-US" altLang="ko-KR" sz="700" b="1">
              <a:latin typeface="Ebrima" pitchFamily="2" charset="0"/>
              <a:ea typeface="Ebrima" pitchFamily="2" charset="0"/>
              <a:cs typeface="Ebrima" pitchFamily="2" charset="0"/>
            </a:endParaRPr>
          </a:p>
          <a:p>
            <a:pPr latinLnBrk="0"/>
            <a:r>
              <a:rPr lang="en-US" altLang="ko-KR" sz="800" kern="12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Lot B_3A_CN, lot B_2B_CN, Bau Bang Industrial Park, Lai Uyen Ward, Bau Bang District, Binh Duong Province, Vietnam</a:t>
            </a:r>
            <a:endParaRPr lang="ko-KR" altLang="ko-KR" sz="8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endParaRPr>
          </a:p>
          <a:p>
            <a:endParaRPr lang="ko-KR" altLang="en-US" sz="600">
              <a:latin typeface="Ebrima" pitchFamily="2" charset="0"/>
              <a:cs typeface="Ebrima" pitchFamily="2" charset="0"/>
            </a:endParaRPr>
          </a:p>
        </xdr:txBody>
      </xdr:sp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251461</xdr:colOff>
      <xdr:row>0</xdr:row>
      <xdr:rowOff>38099</xdr:rowOff>
    </xdr:from>
    <xdr:to>
      <xdr:col>5</xdr:col>
      <xdr:colOff>76200</xdr:colOff>
      <xdr:row>2</xdr:row>
      <xdr:rowOff>163830</xdr:rowOff>
    </xdr:to>
    <xdr:grpSp>
      <xdr:nvGrpSpPr>
        <xdr:cNvPr id="6" name="그룹 1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GrpSpPr>
          <a:grpSpLocks/>
        </xdr:cNvGrpSpPr>
      </xdr:nvGrpSpPr>
      <xdr:grpSpPr bwMode="auto">
        <a:xfrm>
          <a:off x="251461" y="38099"/>
          <a:ext cx="3558539" cy="544831"/>
          <a:chOff x="-8293963" y="-852112"/>
          <a:chExt cx="3121466" cy="483193"/>
        </a:xfrm>
      </xdr:grpSpPr>
      <xdr:pic>
        <xdr:nvPicPr>
          <xdr:cNvPr id="7" name="그림 2" descr="컴비네이션 마크.png">
            <a:extLst>
              <a:ext uri="{FF2B5EF4-FFF2-40B4-BE49-F238E27FC236}">
                <a16:creationId xmlns:a16="http://schemas.microsoft.com/office/drawing/2014/main" id="{00000000-0008-0000-0E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-8293963" y="-839727"/>
            <a:ext cx="1200552" cy="47080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8" name="TextBox 8">
            <a:extLst>
              <a:ext uri="{FF2B5EF4-FFF2-40B4-BE49-F238E27FC236}">
                <a16:creationId xmlns:a16="http://schemas.microsoft.com/office/drawing/2014/main" id="{00000000-0008-0000-0E00-000008000000}"/>
              </a:ext>
            </a:extLst>
          </xdr:cNvPr>
          <xdr:cNvSpPr txBox="1"/>
        </xdr:nvSpPr>
        <xdr:spPr>
          <a:xfrm>
            <a:off x="-7068902" y="-852112"/>
            <a:ext cx="1896405" cy="456074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700" b="1">
                <a:latin typeface="Ebrima" pitchFamily="2" charset="0"/>
                <a:ea typeface="Ebrima" pitchFamily="2" charset="0"/>
                <a:cs typeface="Ebrima" pitchFamily="2" charset="0"/>
              </a:rPr>
              <a:t>SEWANG</a:t>
            </a:r>
            <a:r>
              <a:rPr lang="en-US" altLang="ko-KR" sz="700" b="1" baseline="0">
                <a:latin typeface="Ebrima" pitchFamily="2" charset="0"/>
                <a:ea typeface="Ebrima" pitchFamily="2" charset="0"/>
                <a:cs typeface="Ebrima" pitchFamily="2" charset="0"/>
              </a:rPr>
              <a:t> VINA CO.,LTD</a:t>
            </a:r>
            <a:endParaRPr lang="en-US" altLang="ko-KR" sz="700" b="1">
              <a:latin typeface="Ebrima" pitchFamily="2" charset="0"/>
              <a:ea typeface="Ebrima" pitchFamily="2" charset="0"/>
              <a:cs typeface="Ebrima" pitchFamily="2" charset="0"/>
            </a:endParaRPr>
          </a:p>
          <a:p>
            <a:pPr latinLnBrk="0"/>
            <a:r>
              <a:rPr lang="en-US" altLang="ko-KR" sz="800" kern="12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Lot B_3A_CN, lot B_2B_CN, Bau Bang Industrial Park, Lai Uyen Ward, Bau Bang District, Binh Duong Province, Vietnam</a:t>
            </a:r>
            <a:endParaRPr lang="ko-KR" altLang="ko-KR" sz="8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endParaRPr>
          </a:p>
          <a:p>
            <a:endParaRPr lang="ko-KR" altLang="en-US" sz="600">
              <a:latin typeface="Ebrima" pitchFamily="2" charset="0"/>
              <a:cs typeface="Ebrima" pitchFamily="2" charset="0"/>
            </a:endParaRPr>
          </a:p>
        </xdr:txBody>
      </xdr:sp>
    </xdr:grp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114300</xdr:colOff>
      <xdr:row>2</xdr:row>
      <xdr:rowOff>133350</xdr:rowOff>
    </xdr:to>
    <xdr:grpSp>
      <xdr:nvGrpSpPr>
        <xdr:cNvPr id="3175" name="그룹 1">
          <a:extLst>
            <a:ext uri="{FF2B5EF4-FFF2-40B4-BE49-F238E27FC236}">
              <a16:creationId xmlns:a16="http://schemas.microsoft.com/office/drawing/2014/main" id="{00000000-0008-0000-0F00-0000670C0000}"/>
            </a:ext>
          </a:extLst>
        </xdr:cNvPr>
        <xdr:cNvGrpSpPr>
          <a:grpSpLocks/>
        </xdr:cNvGrpSpPr>
      </xdr:nvGrpSpPr>
      <xdr:grpSpPr bwMode="auto">
        <a:xfrm>
          <a:off x="0" y="0"/>
          <a:ext cx="4429125" cy="552450"/>
          <a:chOff x="47626" y="47626"/>
          <a:chExt cx="3159348" cy="489857"/>
        </a:xfrm>
      </xdr:grpSpPr>
      <xdr:pic>
        <xdr:nvPicPr>
          <xdr:cNvPr id="3176" name="그림 2" descr="컴비네이션 마크.png">
            <a:extLst>
              <a:ext uri="{FF2B5EF4-FFF2-40B4-BE49-F238E27FC236}">
                <a16:creationId xmlns:a16="http://schemas.microsoft.com/office/drawing/2014/main" id="{00000000-0008-0000-0F00-0000680C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47626" y="66675"/>
            <a:ext cx="1200552" cy="47080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4" name="TextBox 8">
            <a:extLst>
              <a:ext uri="{FF2B5EF4-FFF2-40B4-BE49-F238E27FC236}">
                <a16:creationId xmlns:a16="http://schemas.microsoft.com/office/drawing/2014/main" id="{00000000-0008-0000-0F00-000004000000}"/>
              </a:ext>
            </a:extLst>
          </xdr:cNvPr>
          <xdr:cNvSpPr txBox="1"/>
        </xdr:nvSpPr>
        <xdr:spPr>
          <a:xfrm>
            <a:off x="1396396" y="47626"/>
            <a:ext cx="1810578" cy="456074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700" b="1">
                <a:latin typeface="Ebrima" pitchFamily="2" charset="0"/>
                <a:ea typeface="Ebrima" pitchFamily="2" charset="0"/>
                <a:cs typeface="Ebrima" pitchFamily="2" charset="0"/>
              </a:rPr>
              <a:t>Sewang Textile Co., Ltd.</a:t>
            </a:r>
          </a:p>
          <a:p>
            <a:r>
              <a:rPr lang="en-US" altLang="ko-KR" sz="600">
                <a:latin typeface="Ebrima" pitchFamily="2" charset="0"/>
                <a:ea typeface="Ebrima" pitchFamily="2" charset="0"/>
                <a:cs typeface="Ebrima" pitchFamily="2" charset="0"/>
              </a:rPr>
              <a:t>No.302 Daehwa Bldg., 10 Yeongdong-daero 112-gil</a:t>
            </a:r>
          </a:p>
          <a:p>
            <a:r>
              <a:rPr lang="en-US" altLang="ko-KR" sz="600">
                <a:latin typeface="Ebrima" pitchFamily="2" charset="0"/>
                <a:ea typeface="Ebrima" pitchFamily="2" charset="0"/>
                <a:cs typeface="Ebrima" pitchFamily="2" charset="0"/>
              </a:rPr>
              <a:t>Gangnam, Seoul, South Korea 06083</a:t>
            </a:r>
          </a:p>
          <a:p>
            <a:r>
              <a:rPr lang="en-US" altLang="ko-KR" sz="600">
                <a:latin typeface="Ebrima" pitchFamily="2" charset="0"/>
                <a:ea typeface="Ebrima" pitchFamily="2" charset="0"/>
                <a:cs typeface="Ebrima" pitchFamily="2" charset="0"/>
              </a:rPr>
              <a:t>Tel. +82 2 546 0066 Fax. +82 2 546 1134</a:t>
            </a:r>
            <a:endParaRPr lang="ko-KR" altLang="en-US" sz="600">
              <a:latin typeface="Ebrima" pitchFamily="2" charset="0"/>
              <a:cs typeface="Ebrima" pitchFamily="2" charset="0"/>
            </a:endParaRP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hthang\c\WINDOWS\Desktop\HIEN\Dung%20Quat\Nhom%20GC\New%20Folder\My%20Documents\3533\99Q\99Q3657\99Q3299(REV.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167;T%20LI&#170;n%20chi&#211;u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uyetnga\bb%20ban%20giao\LVTD\MSOffice\EXCEL\LUC\DT%20DZ%2022+TBA%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uyetnga\bb%20ban%20giao\Phong%20Kinh%20Te\LUC\EXCEL\Th&#199;u\Du%20thau%20Y&#170;n%20Minh%20-%20H&#181;%20Giang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uonglien\e\Minh\Minh%20Phu\Nam%202003\Thang%2001-2003\MP_KTVN%2001-200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uyetnga\bb%20ban%20giao\LVTD\MSOffice\EXCEL\LUC\HY3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PROJECT\PROP\DA0630\INQ'Y\STEEL\DA0463BQ.XLW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B_Phu%20Thai%20HP\FY%2001-02\Fundamental%20Track\MSOffice\Excel\XL97\FA\FA30060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D\My%20Documents\binh%20kt\CTCI-CPP\quota\Piping-MTO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AnhDuc\Duc\Bao%20cao%20DTQte%20Ve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167;&#215;nhV&#242;%20HP\&#167;&#215;nh%20v&#242;%204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hthang\c\WINDOWS\Desktop\HIEN\Dung%20Quat\Nhom%20GC\New%20Folder\My%20Documents\3533\99Q\99Q3657\99Q3299(REV.0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T-ANH\PARKER\My%20Documents\HS00\BAOGIA\Mien%20nam\Namconson_SK\09-str~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0.119\baocao\Xuan%20Thu\hieunghia_my%20darling\Thang_T\tuan1_T\Kho_DD_tuan1_T\DD_KHO_tuan1_T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MGT-DRT\MGT-IMPR\MGT-SC@\BA0397\INSULT'N\INS\ASK\PIPE-03E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T-ANH\PARKER\My%20Documents\HS00\DTTK\parker\Dieuchinh\Quote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hthang\c\WINDOWS\Desktop\HIEN\Dung%20Quat\Nhom%20GC\New%20Folder\My%20Documents\3533\96Q\96q2588\PANEL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hanh%20ly\Dinh%20muc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SOMAUT9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ORARY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D\WINDOWS\TEMP\IBASE2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D\CS3408\Standard\RPT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D\My%20Documents\99v0233\Eq_sum_new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uyetnga\bb%20ban%20giao\Thang%20KT%202001\Ho%20so%20thau\Du%20thau%20Huu%20Lung%20-%20Lang%20Son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u\binh\parker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ngan\EXPORT2019$\2020\OVERSEA\INDONESIA\PT%20SUNGWON\SW-PTSW20010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O REV.1(ARMOR)"/>
      <sheetName val="SUM-BQ-REV.1"/>
      <sheetName val="VENDOR-QUOTES"/>
      <sheetName val="HV SWGR &amp; MCC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PBD"/>
      <sheetName val="MTO REV.0(NON-ARMOR)"/>
      <sheetName val="MTO REV.0(ARMOR ON SHORE)"/>
      <sheetName val="CABLE"/>
      <sheetName val="MTO REV.2(ARMOR)"/>
      <sheetName val="SUM-BQ-REV.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a Dz22"/>
      <sheetName val="TH 22"/>
      <sheetName val="DT DZ 22 Kv"/>
      <sheetName val="DTchi tiet DZ 22 Kv"/>
      <sheetName val="Chiet tinh dz22"/>
      <sheetName val="Thi nghiem 22"/>
      <sheetName val="VC22"/>
      <sheetName val="DTtram "/>
      <sheetName val="DTTC tram "/>
      <sheetName val="Chiet tinh TB, VT"/>
      <sheetName val=" thi nghiemTBA"/>
      <sheetName val="VCVT"/>
      <sheetName val="bia"/>
      <sheetName val="trang bia"/>
      <sheetName val="TH tram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BT"/>
      <sheetName val="D.lg Thang Mo"/>
      <sheetName val="CT Thang Mo"/>
      <sheetName val="D.lg Phu Lung"/>
      <sheetName val="CT  PL"/>
      <sheetName val="D.lg Lao &amp; chai"/>
      <sheetName val="CT  Lao &amp; chai"/>
      <sheetName val="Gia thau TM"/>
      <sheetName val="TH chao thau (2)"/>
      <sheetName val="KHTC "/>
      <sheetName val="Tien do"/>
      <sheetName val="Nguon goc VT"/>
      <sheetName val="TH chao thau"/>
      <sheetName val="Ten da dat"/>
      <sheetName val=""/>
      <sheetName val="Ten da dat_x0000__x0003_材本柀果栰栌梠桼検楠"/>
      <sheetName val="Ten da dat?_x0003_材本柀果栰栌梠桼検楠"/>
      <sheetName val="Ten da dat__x0003_材本柀果栰栌梠桼検楠"/>
    </sheetNames>
    <sheetDataSet>
      <sheetData sheetId="0" refreshError="1"/>
      <sheetData sheetId="1" refreshError="1"/>
      <sheetData sheetId="2" refreshError="1">
        <row r="34">
          <cell r="B34" t="str">
            <v>CT</v>
          </cell>
          <cell r="C34" t="str">
            <v>VËn chuyÓn  bª t«ng M50</v>
          </cell>
          <cell r="D34" t="str">
            <v>m3</v>
          </cell>
          <cell r="E34">
            <v>0.216</v>
          </cell>
          <cell r="H34">
            <v>92717.262667499992</v>
          </cell>
        </row>
        <row r="35">
          <cell r="B35" t="str">
            <v>CT</v>
          </cell>
          <cell r="C35" t="str">
            <v>VËn chuyÓn  bª t«ng M150</v>
          </cell>
          <cell r="D35" t="str">
            <v>m3</v>
          </cell>
          <cell r="E35">
            <v>1.1000000000000001</v>
          </cell>
          <cell r="H35">
            <v>89605.428454999987</v>
          </cell>
        </row>
        <row r="36">
          <cell r="B36" t="str">
            <v>CT</v>
          </cell>
          <cell r="C36" t="str">
            <v>VËn chuyÓn  bª t«ng M200</v>
          </cell>
          <cell r="D36" t="str">
            <v>m3</v>
          </cell>
          <cell r="E36">
            <v>0.08</v>
          </cell>
          <cell r="H36">
            <v>67242.986511249997</v>
          </cell>
        </row>
        <row r="39">
          <cell r="B39" t="str">
            <v>03.2203</v>
          </cell>
          <cell r="C39" t="str">
            <v>LÊp + ®¾p ®Êt mãng</v>
          </cell>
          <cell r="D39" t="str">
            <v>m3</v>
          </cell>
          <cell r="E39">
            <v>6.6133333333333351</v>
          </cell>
          <cell r="H39">
            <v>10890</v>
          </cell>
        </row>
        <row r="93">
          <cell r="B93" t="str">
            <v>TT</v>
          </cell>
          <cell r="C93" t="str">
            <v>§Òn bï ®Êt m­în thi c«ng</v>
          </cell>
          <cell r="D93" t="str">
            <v>m2</v>
          </cell>
          <cell r="E93">
            <v>3.84</v>
          </cell>
          <cell r="F93">
            <v>1100</v>
          </cell>
        </row>
        <row r="161">
          <cell r="B161" t="str">
            <v>03.3103</v>
          </cell>
          <cell r="C161" t="str">
            <v>§µo ®Êt cÊp 3 r·nh tiÕp ®Þa</v>
          </cell>
          <cell r="D161" t="str">
            <v>m3</v>
          </cell>
          <cell r="E161">
            <v>4</v>
          </cell>
          <cell r="H161">
            <v>21926</v>
          </cell>
        </row>
        <row r="162">
          <cell r="B162" t="str">
            <v>03.3203</v>
          </cell>
          <cell r="C162" t="str">
            <v>LÊp ®Êt r·nh tiÕp ®Þa</v>
          </cell>
          <cell r="D162" t="str">
            <v>m3</v>
          </cell>
          <cell r="E162">
            <v>4</v>
          </cell>
          <cell r="H162">
            <v>10007</v>
          </cell>
        </row>
        <row r="182">
          <cell r="B182" t="str">
            <v>02.1443</v>
          </cell>
          <cell r="C182" t="str">
            <v>VËn chuyÓn d©y dÉn</v>
          </cell>
          <cell r="D182" t="str">
            <v>TÊn</v>
          </cell>
          <cell r="E182">
            <v>0.34369919999999998</v>
          </cell>
          <cell r="H182">
            <v>48749.399999999994</v>
          </cell>
        </row>
        <row r="189">
          <cell r="B189" t="str">
            <v>03.1113</v>
          </cell>
          <cell r="C189" t="str">
            <v>§µo ®Êt cÊp 3 ®é s©u &gt;1m; S &lt; 5m2</v>
          </cell>
          <cell r="D189" t="str">
            <v>m3</v>
          </cell>
          <cell r="E189">
            <v>3.3599999999999994</v>
          </cell>
          <cell r="H189">
            <v>24428</v>
          </cell>
        </row>
        <row r="220">
          <cell r="B220" t="str">
            <v>§g VC 36</v>
          </cell>
          <cell r="C220" t="str">
            <v>V/c Cét BT tõ NM BT chÌm lªn Ctr×nh</v>
          </cell>
          <cell r="D220" t="str">
            <v>TÊn</v>
          </cell>
          <cell r="E220">
            <v>0.22500000000000001</v>
          </cell>
          <cell r="H220">
            <v>7358</v>
          </cell>
          <cell r="I220">
            <v>239962.80000000002</v>
          </cell>
        </row>
        <row r="309">
          <cell r="B309" t="str">
            <v>02.2401</v>
          </cell>
          <cell r="C309" t="str">
            <v>Trung chuyÓn d©y, thÐp, PK...: 700 m</v>
          </cell>
          <cell r="D309" t="str">
            <v>TÊn</v>
          </cell>
          <cell r="E309">
            <v>3.2467334399999999</v>
          </cell>
          <cell r="H309">
            <v>15289.96</v>
          </cell>
          <cell r="I309">
            <v>84338.099999999991</v>
          </cell>
          <cell r="J309">
            <v>0</v>
          </cell>
          <cell r="K309">
            <v>0</v>
          </cell>
          <cell r="L309">
            <v>49642.424428262399</v>
          </cell>
          <cell r="M309">
            <v>273823.32953606395</v>
          </cell>
        </row>
        <row r="323">
          <cell r="B323" t="str">
            <v>03.3103</v>
          </cell>
          <cell r="C323" t="str">
            <v>§µo ®Êt cÊp 3 r·nh tiÕp ®Þa</v>
          </cell>
          <cell r="D323" t="str">
            <v>m3</v>
          </cell>
          <cell r="E323">
            <v>1.2000000000000002</v>
          </cell>
          <cell r="H323">
            <v>21296</v>
          </cell>
        </row>
        <row r="324">
          <cell r="B324" t="str">
            <v>03.3203</v>
          </cell>
          <cell r="C324" t="str">
            <v>LÊp ®Êt r·nh tiÕp ®Þa</v>
          </cell>
          <cell r="D324" t="str">
            <v>m3</v>
          </cell>
          <cell r="E324">
            <v>1.2000000000000002</v>
          </cell>
          <cell r="H324">
            <v>10007</v>
          </cell>
        </row>
        <row r="350">
          <cell r="B350" t="str">
            <v>04.9102</v>
          </cell>
          <cell r="C350" t="str">
            <v>L¾p ®Æt xµ trªn cét BTLT</v>
          </cell>
          <cell r="D350" t="str">
            <v>Kg</v>
          </cell>
          <cell r="E350">
            <v>68.53</v>
          </cell>
          <cell r="F350">
            <v>8500</v>
          </cell>
          <cell r="H350">
            <v>181.47</v>
          </cell>
        </row>
        <row r="370">
          <cell r="B370" t="str">
            <v>04.8102</v>
          </cell>
          <cell r="C370" t="str">
            <v>L¾p ®Æt gi¸ trªn cét BTLT</v>
          </cell>
          <cell r="D370" t="str">
            <v>Kg</v>
          </cell>
          <cell r="E370">
            <v>11.68</v>
          </cell>
          <cell r="F370">
            <v>8500</v>
          </cell>
          <cell r="H370">
            <v>155.58600000000001</v>
          </cell>
        </row>
        <row r="390">
          <cell r="B390" t="str">
            <v>04.8101</v>
          </cell>
          <cell r="C390" t="str">
            <v>L¾p ®Æt thang trªn cét BTLT</v>
          </cell>
          <cell r="D390" t="str">
            <v>Kg</v>
          </cell>
          <cell r="E390">
            <v>59.59</v>
          </cell>
          <cell r="F390">
            <v>8500</v>
          </cell>
          <cell r="H390">
            <v>171.14500000000001</v>
          </cell>
        </row>
        <row r="406">
          <cell r="B406" t="str">
            <v>§g VC 36</v>
          </cell>
          <cell r="C406" t="str">
            <v>V/c vËt t­ B mua tõ HN lªn Hµ Giang</v>
          </cell>
          <cell r="D406" t="str">
            <v>TÊn</v>
          </cell>
          <cell r="E406">
            <v>0.15108000000000002</v>
          </cell>
          <cell r="H406">
            <v>6033</v>
          </cell>
          <cell r="I406">
            <v>239962.80000000002</v>
          </cell>
        </row>
        <row r="431">
          <cell r="B431" t="str">
            <v>02.2601</v>
          </cell>
          <cell r="C431" t="str">
            <v>Trung chuyÓn ThiÕt bÞ: 1,5 Km</v>
          </cell>
          <cell r="D431" t="str">
            <v>TÊn</v>
          </cell>
          <cell r="E431">
            <v>4.0000000000000001E-3</v>
          </cell>
          <cell r="H431">
            <v>12546.659999999998</v>
          </cell>
          <cell r="I431">
            <v>84338.099999999991</v>
          </cell>
        </row>
        <row r="432">
          <cell r="B432" t="str">
            <v>§g VC 36</v>
          </cell>
          <cell r="C432" t="str">
            <v>VËn chuyÓn tõ kho ®Õn CTr×nh</v>
          </cell>
          <cell r="D432" t="str">
            <v>TÊn</v>
          </cell>
          <cell r="E432">
            <v>4.0000000000000001E-3</v>
          </cell>
          <cell r="H432">
            <v>11037</v>
          </cell>
          <cell r="I432">
            <v>40268.799999999996</v>
          </cell>
        </row>
      </sheetData>
      <sheetData sheetId="3" refreshError="1"/>
      <sheetData sheetId="4" refreshError="1">
        <row r="8">
          <cell r="B8" t="str">
            <v>02.1464</v>
          </cell>
          <cell r="C8" t="str">
            <v>V/c cét bª t«ng li t©m 12b</v>
          </cell>
          <cell r="D8" t="str">
            <v>TÊn</v>
          </cell>
          <cell r="E8">
            <v>1</v>
          </cell>
          <cell r="H8">
            <v>90972.200000000012</v>
          </cell>
        </row>
        <row r="25">
          <cell r="B25" t="str">
            <v>CT</v>
          </cell>
          <cell r="C25" t="str">
            <v>VËn chuyÓn  bª t«ng M50</v>
          </cell>
          <cell r="D25" t="str">
            <v>m3</v>
          </cell>
          <cell r="E25">
            <v>0.216</v>
          </cell>
          <cell r="H25">
            <v>92717.262667499992</v>
          </cell>
        </row>
        <row r="125">
          <cell r="B125" t="str">
            <v>CT</v>
          </cell>
          <cell r="C125" t="str">
            <v>VËn chuyÓn Bª t«ng M 100</v>
          </cell>
          <cell r="D125" t="str">
            <v>m3</v>
          </cell>
          <cell r="E125">
            <v>0.48</v>
          </cell>
          <cell r="H125">
            <v>92817.147648749989</v>
          </cell>
        </row>
        <row r="288">
          <cell r="B288" t="str">
            <v>02.1353</v>
          </cell>
          <cell r="C288" t="str">
            <v>VËn chuyÓn thÐp rêi 350 m; HS: 1,5</v>
          </cell>
          <cell r="D288" t="str">
            <v>TÊn</v>
          </cell>
          <cell r="E288">
            <v>6.8530000000000008E-2</v>
          </cell>
          <cell r="H288">
            <v>54311.774999999994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uyet minh BCTC"/>
      <sheetName val="Thue GTGT duoc hoan lai"/>
      <sheetName val="Thue GTGT duoc mien giam"/>
      <sheetName val="Ket qua kinh doanh - 3"/>
      <sheetName val="Ket qua kinh doanh - 2"/>
      <sheetName val="Ket qua kinh doanh - 1"/>
      <sheetName val="Luu chuyen tien te"/>
      <sheetName val="Can doi ke toan"/>
      <sheetName val="Can doi chi tiet"/>
      <sheetName val="Nhat ky chung"/>
      <sheetName val="Can doi tai khoan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T DZ35"/>
      <sheetName val="DT DZ 35 Kv"/>
      <sheetName val="Chiet tinh dz35"/>
      <sheetName val="TN"/>
      <sheetName val="VC"/>
      <sheetName val="Sheet1"/>
      <sheetName val="Sheet2"/>
      <sheetName val="Sheet3"/>
      <sheetName val="DAUTU"/>
      <sheetName val="BLNN"/>
      <sheetName val="2003"/>
      <sheetName val="00000000"/>
      <sheetName val="THANG 1"/>
      <sheetName val="THANG2"/>
      <sheetName val="THANG3"/>
      <sheetName val="THANG 4"/>
      <sheetName val="THANG 5"/>
      <sheetName val="THANG 6"/>
      <sheetName val="THANG 7"/>
      <sheetName val="THANG 8"/>
      <sheetName val="THANG 9"/>
      <sheetName val="THANG 10"/>
      <sheetName val="THANG 11"/>
      <sheetName val="THANG 12"/>
      <sheetName val="LUONG THANG THU 13"/>
      <sheetName val="CONG DOAN"/>
      <sheetName val="XL4Poppy"/>
    </sheetNames>
    <sheetDataSet>
      <sheetData sheetId="0"/>
      <sheetData sheetId="1"/>
      <sheetData sheetId="2" refreshError="1">
        <row r="3">
          <cell r="H3">
            <v>17.099999999999998</v>
          </cell>
        </row>
        <row r="4">
          <cell r="H4">
            <v>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Q FORM FOR INQUIRY"/>
      <sheetName val="FORM OF PROPOSAL RFP-003"/>
      <sheetName val="??-BLDG"/>
      <sheetName val="???????-BLDG"/>
      <sheetName val="Apr1"/>
      <sheetName val="Apr2"/>
      <sheetName val="Apr3"/>
      <sheetName val="Apr4"/>
      <sheetName val="Apr5"/>
      <sheetName val="Apr7"/>
      <sheetName val="Apr8"/>
      <sheetName val="Apr9"/>
      <sheetName val="Sheet1"/>
      <sheetName val="XL4Poppy"/>
      <sheetName val="Dec31"/>
      <sheetName val="Jan2"/>
      <sheetName val="Jan3"/>
      <sheetName val="Jan4"/>
      <sheetName val="Jan6"/>
      <sheetName val="Jan7"/>
      <sheetName val="Jan8"/>
      <sheetName val="Jan9"/>
      <sheetName val="Jan10"/>
      <sheetName val="Outlets"/>
      <sheetName val="PGs"/>
      <sheetName val="Jan11"/>
      <sheetName val="Jan13"/>
      <sheetName val="Jan14"/>
      <sheetName val="Jan15"/>
      <sheetName val="Jan16"/>
      <sheetName val="Jan17"/>
      <sheetName val="Jan18"/>
      <sheetName val="Jan20"/>
      <sheetName val="Jan21"/>
      <sheetName val="2001"/>
      <sheetName val="2002"/>
      <sheetName val="Tong hop"/>
      <sheetName val="________BLDG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00000000"/>
      <sheetName val="Tdoi t.truong"/>
      <sheetName val="BC DBKH T5"/>
      <sheetName val="BC DBKH T6"/>
      <sheetName val="BC DBKH T7"/>
      <sheetName val="Sheet4"/>
      <sheetName val="XL4Test5"/>
      <sheetName val="THANG1"/>
      <sheetName val="THANG2"/>
      <sheetName val="THANG3"/>
      <sheetName val="THANG4"/>
      <sheetName val="THANG5"/>
      <sheetName val="THANG6"/>
      <sheetName val="THANG7"/>
      <sheetName val="THANG 8"/>
      <sheetName val="Sheet9"/>
      <sheetName val="Sheet8"/>
      <sheetName val="Sheet7"/>
      <sheetName val="Sheet6"/>
      <sheetName val="Sheet5"/>
      <sheetName val="Sheet3"/>
      <sheetName val="Sheet2"/>
      <sheetName val="Bia "/>
      <sheetName val="Muc luc"/>
      <sheetName val="Thuyet minh PA1"/>
      <sheetName val="kl xaychan khay"/>
      <sheetName val="Q1-02"/>
      <sheetName val="Q2-02"/>
      <sheetName val="Q3-02"/>
      <sheetName val="Phan tich VT"/>
      <sheetName val="TKe VT"/>
      <sheetName val="Du tru Vat tu"/>
      <sheetName val="Du toan"/>
      <sheetName val="Phan tich vat tu"/>
      <sheetName val="Tong hop vat tu"/>
      <sheetName val="Gia tri vat tu"/>
      <sheetName val="Chenh lech vat tu"/>
      <sheetName val="Chi phi van chuyen"/>
      <sheetName val="Don gia chi tiet"/>
      <sheetName val="Du thau"/>
      <sheetName val="Tong hop kinh phi"/>
      <sheetName val="Tu van Thiet ke"/>
      <sheetName val="Tien do thi cong"/>
      <sheetName val="Bia du toan"/>
      <sheetName val="Tro giup"/>
      <sheetName val="Config"/>
      <sheetName val="BCDPS"/>
      <sheetName val="NKC "/>
      <sheetName val="TM1"/>
      <sheetName val="SC 111"/>
      <sheetName val="NH"/>
      <sheetName val="SC 131"/>
      <sheetName val="SC 133"/>
      <sheetName val="SC 141"/>
      <sheetName val="SC 152"/>
      <sheetName val="SC154"/>
      <sheetName val="SC 331"/>
      <sheetName val="SC333"/>
      <sheetName val="Sc 334"/>
      <sheetName val="SC 411"/>
      <sheetName val="SC 511"/>
      <sheetName val="SC 642 loan"/>
      <sheetName val="SCT642"/>
      <sheetName val="211A"/>
      <sheetName val="211B"/>
      <sheetName val="SCT511"/>
      <sheetName val="SCT627"/>
      <sheetName val="SCT154"/>
      <sheetName val="Hoi phu nu"/>
      <sheetName val="4p1"/>
      <sheetName val="4P"/>
      <sheetName val="Schneider"/>
      <sheetName val="?¬’P‰¿ì¬?-BLDG"/>
      <sheetName val="?¬P¿ì¬?-BLDG"/>
      <sheetName val="?쒕?-BLDG"/>
      <sheetName val="HUNG"/>
      <sheetName val="THO"/>
      <sheetName val="HOA"/>
      <sheetName val="TINH"/>
      <sheetName val="THONG"/>
      <sheetName val="XXXXXXXX"/>
      <sheetName val="XXXXXXX0"/>
      <sheetName val="XXXXXXX1"/>
      <sheetName val="LUONG CHO HUU"/>
      <sheetName val="thu BHXH,YT"/>
      <sheetName val="Phan bo"/>
      <sheetName val="Luong T5-04"/>
      <sheetName val="THLK2"/>
      <sheetName val="????-BLDG"/>
      <sheetName val="?+Invoice!$DF$57?-BLDG"/>
      <sheetName val="BOQ FORM FOR INQÕIRY"/>
      <sheetName val="T.hopCPXD04"/>
      <sheetName val="T.hopCPXD04 (2)"/>
      <sheetName val="T.hopCPXDhoanthanh"/>
      <sheetName val="T.hopCPXDhoanthanh (2)"/>
      <sheetName val="HTcpXDQ1"/>
      <sheetName val="T.hop CPXDQ2"/>
      <sheetName val="CpQI"/>
      <sheetName val="CpT4"/>
      <sheetName val="CpT5"/>
      <sheetName val="CpT6"/>
      <sheetName val="CpT7"/>
      <sheetName val="CpT8"/>
      <sheetName val="Cpdc8t (2)"/>
      <sheetName val="Cpdc8t"/>
      <sheetName val="Cpdc8t (3)"/>
      <sheetName val="CpT9"/>
      <sheetName val="CpT10"/>
      <sheetName val="CpT11"/>
      <sheetName val="LK cp xdcb"/>
      <sheetName val="XDCB hoanthanh"/>
      <sheetName val="Sheet2 (3)"/>
      <sheetName val="Sheet3 (3)"/>
      <sheetName val="Sheet2 (4)"/>
      <sheetName val="Sheet3 (4)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10000000"/>
      <sheetName val="QUY TM 2004 (3)"/>
      <sheetName val="QUY TM 2004 (2)"/>
      <sheetName val="SO CAI 2004 TK 111 (2)"/>
      <sheetName val="CTGS N111 (2)"/>
      <sheetName val="Can doi TK (2)"/>
      <sheetName val="CTGS Co 111"/>
      <sheetName val="Bang "/>
      <sheetName val="So TGNH  (2)"/>
      <sheetName val="N 111"/>
      <sheetName val="Sheet1 (3)"/>
      <sheetName val="C 111"/>
      <sheetName val="Sheet10"/>
      <sheetName val="KD Theo YTo"/>
      <sheetName val="Tang giam TSCD"/>
      <sheetName val="TK Ngoai bang"/>
      <sheetName val="TMinh BC TC"/>
      <sheetName val="Can doi TK"/>
      <sheetName val="BCD KToan"/>
      <sheetName val="So TGNH "/>
      <sheetName val="SO CAI TK 112"/>
      <sheetName val="SO CAI 2004 TK 111"/>
      <sheetName val="Tien Vay 311"/>
      <sheetName val="DTCTiet"/>
      <sheetName val="DT BH"/>
      <sheetName val="So QTM 2005"/>
      <sheetName val="QUY TM 2004"/>
      <sheetName val="GVL"/>
      <sheetName val="tam"/>
      <sheetName val="PTDG"/>
      <sheetName val="DTCT"/>
      <sheetName val="DGBQ"/>
      <sheetName val="DGDT"/>
      <sheetName val="Gia trung thau"/>
      <sheetName val="Thanh toan dot 1"/>
      <sheetName val="DTXL"/>
      <sheetName val="THXL"/>
      <sheetName val="dieuphoida"/>
      <sheetName val="dieuphoidat"/>
      <sheetName val="De nghi thue TNDN2004"/>
      <sheetName val="to trinh dieu chinh thue"/>
      <sheetName val="Bang ke xin thanh toan nam 2005"/>
      <sheetName val="Bang ke xin thanh toan "/>
      <sheetName val="MAu so 11 nam 2003"/>
      <sheetName val="dang ky tam tru can bo di CT"/>
      <sheetName val="Phieu xuat Vtu "/>
      <sheetName val="Phieu nhap Vtu "/>
      <sheetName val="Vat tu lan trai "/>
      <sheetName val="Vat T u can lam phieu T11+ 12"/>
      <sheetName val="Vat tu hung long "/>
      <sheetName val="Vat Tu Can Dung 2004"/>
      <sheetName val="xd. D.M tieu haoNL"/>
      <sheetName val="Du kien nop NS 2004 CV463"/>
      <sheetName val="mau 02ATNDN"/>
      <sheetName val="Nop tien vao NS"/>
      <sheetName val="QTSDhoa don M01"/>
      <sheetName val="BCSD Hdon Mau 26"/>
      <sheetName val="MAU SO 05"/>
      <sheetName val="MAU SO 04"/>
      <sheetName val="TH Mau 03"/>
      <sheetName val="MAU SO 03"/>
      <sheetName val="MAU SO 02"/>
      <sheetName val="Mau So 01"/>
      <sheetName val="Chi tiet SD may CT 2004"/>
      <sheetName val="Bang ke hoa don xin vay NH"/>
      <sheetName val="TK821"/>
      <sheetName val="TK 721"/>
      <sheetName val=" TK 711"/>
      <sheetName val="  TK 642"/>
      <sheetName val=" TK 627"/>
      <sheetName val="Su dung may "/>
      <sheetName val="TK 623"/>
      <sheetName val="Chi tiet ca may "/>
      <sheetName val="Chi tiet NC tung CT 04"/>
      <sheetName val=" TK 622"/>
      <sheetName val="TK 621"/>
      <sheetName val="TK 154 D,Dang sang 2005"/>
      <sheetName val="DT da bao cao thue "/>
      <sheetName val="Doanh thu 2004"/>
      <sheetName val="Chi tiet DT dieu chinh thue "/>
      <sheetName val="bang ke chi tiet CT"/>
      <sheetName val="Chi phi do dang"/>
      <sheetName val="Can doi chi phi CT"/>
      <sheetName val="Chi tiet 511"/>
      <sheetName val=" TK 511"/>
      <sheetName val="TK 411"/>
      <sheetName val="TK 421"/>
      <sheetName val="TK 342"/>
      <sheetName val="TK 338"/>
      <sheetName val=" TK 334"/>
      <sheetName val="TK 333"/>
      <sheetName val="Chi tiet 331"/>
      <sheetName val="TK 331"/>
      <sheetName val=" TK 311"/>
      <sheetName val=" TK 241"/>
      <sheetName val=" TK 214"/>
      <sheetName val="Thue Tai Chinh may suc "/>
      <sheetName val=" TK 211"/>
      <sheetName val="TK 212( May suc )"/>
      <sheetName val="TK 632"/>
      <sheetName val="TK 155"/>
      <sheetName val="TK 154"/>
      <sheetName val=" TK 911"/>
      <sheetName val=" TK 153"/>
      <sheetName val="Chi tiet 152 "/>
      <sheetName val="  TK 152"/>
      <sheetName val="TK 142"/>
      <sheetName val=" TK 141"/>
      <sheetName val=" TK 133"/>
      <sheetName val="Chi tiet 131"/>
      <sheetName val=" TK 131"/>
      <sheetName val="chung tu ghi so "/>
      <sheetName val=" TK 112"/>
      <sheetName val="Can doi TK 2"/>
      <sheetName val="phieu chi 2"/>
      <sheetName val="Phieu chi"/>
      <sheetName val="Phieu thu"/>
      <sheetName val="TK 111"/>
      <sheetName val="dang ky khau hao 2004"/>
      <sheetName val="d ky chi tiet khau hao "/>
      <sheetName val="Phan bo khau hao TSCD"/>
      <sheetName val="Dang ky quy luong "/>
      <sheetName val="bang thanh toan luong 2004"/>
      <sheetName val="Phan bo tien luong BHXH"/>
      <sheetName val="phan bo NVL, CCu "/>
      <sheetName val="DA0463BQ"/>
      <sheetName val="Chart1"/>
      <sheetName val="TIEUHAO"/>
      <sheetName val="Mau 1"/>
      <sheetName val="Mau so 2"/>
      <sheetName val="Mau so 3"/>
      <sheetName val="Mau so 7"/>
      <sheetName val="Mau so 8"/>
      <sheetName val="Mau so 9 da tru 45;54"/>
      <sheetName val="Mau so 9 45;54"/>
      <sheetName val="Mau 9 "/>
      <sheetName val="Mau 9 goc"/>
      <sheetName val="Mau 10"/>
      <sheetName val="Mau so 11"/>
      <sheetName val=""/>
      <sheetName val="10_x0000__x0000__x0000__x0000__x0000__x0000_"/>
      <sheetName val="??????-BLDG"/>
      <sheetName val="Chi tiet don gia khgi phuc"/>
      <sheetName val="thietbi"/>
      <sheetName val="Ga"/>
      <sheetName val="Ca"/>
      <sheetName val="rau"/>
      <sheetName val="Thit"/>
      <sheetName val="Gia vi"/>
      <sheetName val="Gao"/>
      <sheetName val="Quyet toan1"/>
      <sheetName val="Quyet Toan2"/>
      <sheetName val="TH"/>
      <sheetName val="Bang ngang"/>
      <sheetName val="Bang doc"/>
      <sheetName val="B cham cong"/>
      <sheetName val="Btt luong"/>
      <sheetName val="Disch"/>
      <sheetName val="Pack"/>
      <sheetName val="Delivery"/>
      <sheetName val="M50"/>
      <sheetName val="M48"/>
      <sheetName val="M45"/>
      <sheetName val="M38"/>
      <sheetName val="D.Order"/>
      <sheetName val="Report"/>
      <sheetName val="Report.Delivery"/>
      <sheetName val="Monthly"/>
      <sheetName val="CQ"/>
      <sheetName val="YV"/>
      <sheetName val="Tong 2 Dvi"/>
      <sheetName val="Hnoi"/>
      <sheetName val="Gbat"/>
      <sheetName val="HP"/>
      <sheetName val="Lcai"/>
      <sheetName val="BSon"/>
      <sheetName val="NDan"/>
      <sheetName val="NHa"/>
      <sheetName val="Lson"/>
      <sheetName val="SGon"/>
      <sheetName val="VPhu"/>
      <sheetName val="Thop 1"/>
      <sheetName val="Thop 2"/>
      <sheetName val="Bao cao"/>
      <sheetName val="DI-ESTI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SC 231"/>
      <sheetName val="SC 410"/>
      <sheetName val="=??????-BLDG"/>
      <sheetName val="Sheat4"/>
      <sheetName val="Overhead &amp; Profit B-1"/>
      <sheetName val="?öm÷²??öm?-BLDG"/>
      <sheetName val="MTL$-INTER"/>
      <sheetName val="PTDGDT"/>
      <sheetName val="bang tien luong"/>
      <sheetName val="N@"/>
      <sheetName val="Don gaa chi tiet"/>
      <sheetName val="XL4Poppq"/>
      <sheetName val="FH"/>
      <sheetName val="_x0000_ý_x000a__x000d__x0002_E_x0010__x0000_ý_x000a__x000d__x0003_C_x0005__x0000_ɾ_x000a__x000d__x0004_F"/>
      <sheetName val="䌀Ԁ_x0000_縀ਂഀЀ䘀_x0000_풂ـḀഀԀ䈀_x0000__x0000__x0000_Ⰰ@ఀԀࣿ娀"/>
      <sheetName val="_x0005_B_x0000__x0000__x0000_䀬_x0000__x000c_％_x0008_ꁚഀ"/>
      <sheetName val="븒ᨀഀ؀䘀䘀䘀䘀䘀䘀䘀䘀"/>
      <sheetName val="FFFFFF"/>
      <sheetName val="䘀䘀ༀ؀ᬀഀ"/>
      <sheetName val="_x001b__x000d__x0010_C_x0000__x0000_"/>
      <sheetName val="_x000e_０_x0005_؁က縀"/>
      <sheetName val="_x0010_ɾ_x000a__x000e__x0000_C"/>
      <sheetName val="䌀_x0000_᐀ŀ؂฀"/>
      <sheetName val="_x0006__x000e__x0001_Dý_x000a__x000e_"/>
      <sheetName val="_x000a__x000e__x0002_E_x0011__x0000_"/>
      <sheetName val="_x0000_ﴀ਀฀̀䌀"/>
      <sheetName val="_x0003_C_x0005__x0000_ɾ_x000a_"/>
      <sheetName val="ਂ฀Ѐ䘀_x0000_휾"/>
      <sheetName val="㸀䃗_x0006__x001e__x000e__x0005_"/>
      <sheetName val="耀䁉_x0000__x000d_％_x0008_"/>
      <sheetName val="ࣿ娀 _x000e_쀐븒"/>
      <sheetName val="ዀ¾_x001a__x000e__x0006_F"/>
      <sheetName val="FFFF"/>
      <sheetName val="_x001b__x000e__x0010_C"/>
      <sheetName val="䁉_x0008__x000f_％"/>
      <sheetName val="׿Ā_x0006__x0010_"/>
      <sheetName val="縀ਂༀ_x0000_"/>
      <sheetName val="_x0000_C_x0000_䀤"/>
      <sheetName val="﵀਀ༀĀ䐀"/>
      <sheetName val="ý_x000a__x000f__x0002_"/>
      <sheetName val="ý_x000a__x000f__x0003_"/>
      <sheetName val="䌀᐀_x0000_縀"/>
      <sheetName val="ɾ_x000a__x000f__x0004_"/>
      <sheetName val="䘀_x0000_튎ـ"/>
      <sheetName val="_x0006__x001e__x000f__x0005_B"/>
      <sheetName val="B_x0000__x0000__x0000__x0000_"/>
      <sheetName val="_x0000_ _x000f_０_x0008_"/>
      <sheetName val="_x0008_ꑚༀကዀ"/>
      <sheetName val="ዀ¾_x001a__x000f__x0006_"/>
      <sheetName val="_x0006_FFFF"/>
      <sheetName val="FFFFF"/>
      <sheetName val="FFF_x000f__x0006_"/>
      <sheetName val="_x0006__x001b__x000f__x0010_C"/>
      <sheetName val="C_x0000__x0000__x0000__x0000_"/>
      <sheetName val="_x0000_(_x0010_０_x0005_؁က"/>
      <sheetName val="؁က縀"/>
      <sheetName val="ਂက_x0000_䌀"/>
      <sheetName val="C_x0000_䀦ý"/>
      <sheetName val="_x0000_ý_x000a__x0010__x0002_E_x0016__x0000_ý_x000a__x0010__x0003_"/>
      <sheetName val="_x0016_x_x0000__x0000__x0000__x0000__x0000__x0007_６_x0011_ࡄጀ䓀_x0008_쀄䐅_x0008_쀔縃ਂ"/>
      <sheetName val="쀓ࡄЀ׀ࡄ᐀πɾ_x000a__x0009__x0000_í_x0000_䀘ȁ_x0006__x0009__x0001_ȉɾ_x000a__x0009__x0002_î"/>
      <sheetName val="ŀ؂ऀĀऀ縂ਂऀȀ帀㹓"/>
      <sheetName val="_x000a__x0009__x0003_÷Ĉ_x0000_½_x0012__x0009__x0004_ð_x0000_"/>
      <sheetName val="ऀЀ_x0000_㠀"/>
      <sheetName val="䀸ñ鰀䂸_x0005_¾"/>
      <sheetName val="븀⠀ऀ؀"/>
      <sheetName val="òòòóôð"/>
      <sheetName val=""/>
      <sheetName val="ððððòò"/>
      <sheetName val="ꀀ砀ᘀ縀ਂ"/>
      <sheetName val="ɾ_x000a__x000a__x0000_í_x0000_䀜"/>
      <sheetName val="_x0000_䀜ȁ_x0006__x000a__x0001_"/>
      <sheetName val="Āऀ縂ਂ਀Ȁ"/>
      <sheetName val="_x000a__x0002_î䃸ý"/>
      <sheetName val="﵀਀਀̀ሀ"/>
      <sheetName val="÷Ē_x0000_½_x0012__x000a_"/>
      <sheetName val="䀸ñꠀ䂶_x0005_¾"/>
      <sheetName val="븀☀਀؀"/>
      <sheetName val=""/>
      <sheetName val="ðððò"/>
      <sheetName val="ꀀᔀ؀"/>
      <sheetName val="_x0006__x001b__x000a__x0016_"/>
      <sheetName val="砀_x0000__x0000__x0000_"/>
      <sheetName val="_x0000__x0000__x0008__x0008_"/>
      <sheetName val="ᘀ׿Ā_x000a_"/>
      <sheetName val="ᘀ밀ᬄ਀"/>
      <sheetName val="_x000a__x001b_ᘖᄀ"/>
      <sheetName val="ᄑ䰀_x0000_샽L"/>
      <sheetName val="L׀L"/>
      <sheetName val="_x0000_샾縃ਂ"/>
      <sheetName val="_x000a__x000b__x0000_í"/>
      <sheetName val="_x0000_ ŀ؂"/>
      <sheetName val="_x0006__x000b__x0001_ȉ"/>
      <sheetName val="縂ਂ଀Ȁ"/>
      <sheetName val="_x0002_î卖&gt;"/>
      <sheetName val="ጀ_x0001_봀ሀ"/>
      <sheetName val="ሀ଀Ѐ_x0000_"/>
      <sheetName val="_x0000_㠀_x0000_넰"/>
      <sheetName val="넰Հ븀☀଀"/>
      <sheetName val="଀؀"/>
      <sheetName val=""/>
      <sheetName val=""/>
      <sheetName val=""/>
      <sheetName val="_x0005_ਁᘀ縀"/>
      <sheetName val="ɾ_x000a__x000c__x0000_í_x0000_䀢ȁ"/>
      <sheetName val="∀ŀ؂ఀĀऀ縂ਂఀȀ저"/>
      <sheetName val="Ԁ䈀_x0000__x0000__x0000_䦀"/>
      <sheetName val="䘀䘀䘀䘀䘀䘀䘀䘀"/>
      <sheetName val="䘀ༀ؀ᬀ"/>
      <sheetName val="_x0000__x0000__x0000_䦀"/>
      <sheetName val="䐀ሀ_x0000_ﴀ"/>
      <sheetName val="䔀ጀ_x0000_ﴀ"/>
      <sheetName val="PNT-QUOT-#3"/>
      <sheetName val="COAT&amp;WRAP-QIOT-#3"/>
      <sheetName val="TSCD"/>
      <sheetName val="Chi tiet dmn gia khoi phuc"/>
      <sheetName val="Coc40x40c-"/>
      <sheetName val="FORM OF PROPNSAL RFP-003"/>
      <sheetName val="Han13"/>
      <sheetName val="??+Invoice!$DF$57?????-BLDG"/>
      <sheetName val="THONG_x0000_̔_x0000__x0000__x0000__x0000__x0000__x0000__x0000__x0000__x0000__x0000_蚰̔_x0000__x0004__x0000__x0000__x0000__x0000__x0000__x0000_㤬̔_x0000__x0000_"/>
      <sheetName val="Tro gaup"/>
      <sheetName val="?+Anvoice!$DF$57?-BLDG"/>
      <sheetName val="?¬P¿ì¬?"/>
      <sheetName val="Dec#1"/>
      <sheetName val="?þÎ£O??þÎ?-BLDG"/>
      <sheetName val="???¡¯P¡ë??¨¬???-BLDG"/>
      <sheetName val="?þÎ£O????-BLDG"/>
      <sheetName val="?þÎ+Invoice!$DF$57£O??þÎ?-BLDG"/>
      <sheetName val="???¡¦P???i???-BLDG"/>
      <sheetName val="?¬P¿ì??-BLDG"/>
      <sheetName val="?¬P??¬?-BLDG"/>
      <sheetName val="¬+Invoice!$DF$57P¿ì¬?-BLDG"/>
      <sheetName val="Sc #34"/>
      <sheetName val="Hoi phe nu"/>
      <sheetName val="THANG#"/>
      <sheetName val="Sheet("/>
      <sheetName val="Sheed7"/>
      <sheetName val="A`r3"/>
      <sheetName val="Apb4"/>
      <sheetName val="NhapHD"/>
      <sheetName val="INHOADON"/>
      <sheetName val="DataSource"/>
      <sheetName val="Danhsach KH"/>
      <sheetName val="GIA VON"/>
      <sheetName val="DS 11"/>
      <sheetName val="Module2"/>
      <sheetName val="BC"/>
      <sheetName val="KhanhThuong"/>
      <sheetName val="PlotDat4"/>
      <sheetName val="T.@_x000c__x0000__x0001__x0000__x0000__x0000__x0003_Ú_x0000__x0000_&lt;_x001f__x0000__x0000__x0000_"/>
      <sheetName val="_x0001_pr2"/>
      <sheetName val="Overhead &amp; "/>
      <sheetName val="Overhead &amp; Ԁ_x0000__x0000__x0000_"/>
      <sheetName val="Overhead &amp; Ԁ_x0000__x0000__x0000_Ȁ"/>
      <sheetName val="quy 1"/>
      <sheetName val="quy 2"/>
      <sheetName val="6 thang"/>
      <sheetName val="quy 3"/>
      <sheetName val="9 TH"/>
      <sheetName val="quy4"/>
      <sheetName val="nam"/>
      <sheetName val="Sheet11"/>
      <sheetName val="Sheet12"/>
      <sheetName val="Overhead &amp; ?_x0000__x0000__x0000_?"/>
      <sheetName val="XL4Wÿÿÿÿ"/>
      <sheetName val="ऀЀ_x0000_㠀"/>
      <sheetName val="_x0000_"/>
      <sheetName val=""/>
      <sheetName val="Chiet tinh dz22"/>
      <sheetName val="V_x000c_(No V-c)"/>
      <sheetName val="DG "/>
      <sheetName val="쀓ࡄЀ׀ࡄ᐀πɾ_x000a_ _x0000_í_x0000_䀘ȁ_x0006_ _x0001_ȉɾ_x000a_ _x0002_î"/>
      <sheetName val="_x000a_ _x0003_÷Ĉ_x0000_½_x0012_ _x0004_ð_x0000_"/>
      <sheetName val="T.hopCPXDho_x0000_n_x0000_hanh (2)"/>
      <sheetName val="LK cp _x0000_dcb"/>
      <sheetName val="GDTH_x0000_5"/>
      <sheetName val="Ph_x0000_n_x0000__x0000_ich _x0000_a_x0000_ tu"/>
      <sheetName val="BCDP_x0005_"/>
      <sheetName val="NKC _x0003__x0000__x0000_TM1_x0006__x0000__x0000_SC 111_x0002__x0000__x0000_NH_x0006__x0000__x0000_SC 1"/>
      <sheetName val="BOQ_FORM_FOR_INQUIRY"/>
      <sheetName val="FORM_OF_PROPOSAL_RFP-003"/>
      <sheetName val="THANG_8"/>
      <sheetName val="Bang_VL"/>
      <sheetName val="VL(No_V-c)"/>
      <sheetName val="He_so"/>
      <sheetName val="PL_Vua"/>
      <sheetName val="Chitieu-dam_cac_loai"/>
      <sheetName val="DG_Dam"/>
      <sheetName val="Mau 3o 2"/>
      <sheetName val="PHANG5"/>
      <sheetName val="FORM OF PROPOSAL RFP-00Ê"/>
      <sheetName val="10??????"/>
      <sheetName val="10?"/>
      <sheetName val="?ý_x000a__x000d__x0002_E_x0010_?ý_x000a__x000d__x0003_C_x0005_?ɾ_x000a__x000d__x0004_F"/>
      <sheetName val="䌀Ԁ?縀ਂഀЀ䘀?풂ـḀഀԀ䈀???Ⰰ@ఀԀࣿ娀"/>
      <sheetName val="_x0005_B???䀬?_x000c_％_x0008_ꁚഀ"/>
      <sheetName val="_x001b__x000d__x0010_C??"/>
      <sheetName val="??Ⰰࡀ฀က"/>
      <sheetName val="_x0010_ɾ_x000a__x000e_?C"/>
      <sheetName val="_x0000__x0000_Ⰰࡀ฀က"/>
      <sheetName val="਀ကĀ䐀ᔀ_x0000_ﴀ਀"/>
      <sheetName val="_x0000_ý_x000a__x000a__x0002_E_x0010__x0000_ý_x000a__x000a__x0003_C_x0005__x0000_ɾ_x000a__x000a__x0004_F"/>
      <sheetName val="_x001b__x000a__x0010_C_x0000__x0000_"/>
      <sheetName val="耀䁉_x0000__x000a_％_x0008_"/>
      <sheetName val="Overhead &amp; Ԁ_x0000__x0000__x0000_ﰀ"/>
      <sheetName val="DG_chung"/>
      <sheetName val="XDCB hoanth`nh"/>
      <sheetName val="Rheet2 (4)"/>
      <sheetName val="T.@_x000c_?_x0001_???_x0003_Ú??&lt;_x001f_???"/>
      <sheetName val="T.@_x000c_?_x0001_?_x0003_Ú&lt;_x001f_?"/>
      <sheetName val="T.@_x000c_?_x0001_?_x0003_Ú?&lt;_x001f_?"/>
      <sheetName val="Overhead &amp; Ԁ???ﰀ"/>
      <sheetName val="Overhead &amp; Ԁ???"/>
      <sheetName val="Overhead &amp; Ԁ???Ȁ"/>
      <sheetName val="Overhead &amp; ?????"/>
      <sheetName val="NKC _x0003_??TM1_x0006_??SC 111_x0002_??NH_x0006_??SC 1"/>
      <sheetName val="A6"/>
      <sheetName val="2_x0006__x0000__x0000_Sheet3_x0004__x0000__x0000_211A_x0004__x0000__x0000_211B_x0006__x0000__x0000_SCT5"/>
      <sheetName val="CT 1md &amp; dau conM"/>
      <sheetName val="SC_x0000_111"/>
      <sheetName val="ꀀᔀ؀ᬀ"/>
      <sheetName val="í_x000a__x000f__x0002_"/>
      <sheetName val="__-BLDG"/>
      <sheetName val="Phan bo tieက_x0000_쌁갅/_x0000_怀Ô_x0000__x0000_"/>
      <sheetName val="Sheet17"/>
      <sheetName val="VL-dac_chung"/>
      <sheetName val="CT_1md_&amp;_dau_cong"/>
      <sheetName val="Tong_hop"/>
      <sheetName val="CT_cong"/>
      <sheetName val="dg_cong"/>
      <sheetName val="Du_toan"/>
      <sheetName val="Phan_tich_vat_tu"/>
      <sheetName val="Tong_hop_vat_tu"/>
      <sheetName val="Gia_tri_vat_tu"/>
      <sheetName val="Chenh_lech_vat_tu"/>
      <sheetName val="Chi_phi_van_chuyen"/>
      <sheetName val="Don_gia_chi_tiet"/>
      <sheetName val="Du_thau"/>
      <sheetName val="Tong_hop_kinh_phi"/>
      <sheetName val="Tu_van_Thiet_ke"/>
      <sheetName val="Tien_do_thi_cong"/>
      <sheetName val="Bia_du_toan"/>
      <sheetName val="Tro_giup"/>
      <sheetName val="NKC_"/>
      <sheetName val="SC_111"/>
      <sheetName val="SC_131"/>
      <sheetName val="SC_133"/>
      <sheetName val="SC_141"/>
      <sheetName val="SC_152"/>
      <sheetName val="SC_331"/>
      <sheetName val="Sc_334"/>
      <sheetName val="SC_411"/>
      <sheetName val="SC_511"/>
      <sheetName val="SC_642_loan"/>
      <sheetName val="Hoi_phu_nu"/>
      <sheetName val="Phan_tich_VT"/>
      <sheetName val="TKe_VT"/>
      <sheetName val="Du_tru_Vat_tu"/>
      <sheetName val="Tong_hopQ48-1"/>
      <sheetName val="Tong_hop_QL48_-_2"/>
      <sheetName val="Tong_hop_QL47"/>
      <sheetName val="Tong_hop_QL48_-_3"/>
      <sheetName val="Chi_tiet_don_gia_khoi_phuc"/>
      <sheetName val="Du_toan_chi_tiet_coc_nuoc"/>
      <sheetName val="Du_toan_chi_tiet_coc"/>
      <sheetName val="Phan_tich_don_gia_chi_tiet"/>
      <sheetName val="Nhap_don_gia_VL_dia_phuong"/>
      <sheetName val="Luong_mot_ngay_cong_xay_lap"/>
      <sheetName val="Luong_mot_ngay_cong_khao_sat"/>
      <sheetName val="LUONG_CHO_HUU"/>
      <sheetName val="thu_BHXH,YT"/>
      <sheetName val="Phan_bo"/>
      <sheetName val="Luong_T5-04"/>
      <sheetName val="Tdoi_t_truong"/>
      <sheetName val="BC_DBKH_T5"/>
      <sheetName val="BC_DBKH_T6"/>
      <sheetName val="BC_DBKH_T7"/>
      <sheetName val="Bia_"/>
      <sheetName val="Muc_luc"/>
      <sheetName val="Thuyet_minh_PA1"/>
      <sheetName val="kl_xaychan_khay"/>
      <sheetName val="QUY_TM_2004_(3)"/>
      <sheetName val="QUY_TM_2004_(2)"/>
      <sheetName val="SO_CAI_2004_TK_111_(2)"/>
      <sheetName val="CTGS_N111_(2)"/>
      <sheetName val="Can_doi_TK_(2)"/>
      <sheetName val="CTGS_Co_111"/>
      <sheetName val="Bang_"/>
      <sheetName val="So_TGNH__(2)"/>
      <sheetName val="N_111"/>
      <sheetName val="Sheet1_(3)"/>
      <sheetName val="C_111"/>
      <sheetName val="KD_Theo_YTo"/>
      <sheetName val="Tang_giam_TSCD"/>
      <sheetName val="TK_Ngoai_bang"/>
      <sheetName val="TMinh_BC_TC"/>
      <sheetName val="Can_doi_TK"/>
      <sheetName val="BCD_KToan"/>
      <sheetName val="So_TGNH_"/>
      <sheetName val="SO_CAI_TK_112"/>
      <sheetName val="SO_CAI_2004_TK_111"/>
      <sheetName val="Tien_Vay_311"/>
      <sheetName val="DT_BH"/>
      <sheetName val="So_QTM_2005"/>
      <sheetName val="QUY_TM_2004"/>
      <sheetName val="Gia_trung_thau"/>
      <sheetName val="Thanh_toan_dot_1"/>
      <sheetName val="SC_231"/>
      <sheetName val="SC_410"/>
      <sheetName val="Mau_1"/>
      <sheetName val="Mau_so_2"/>
      <sheetName val="Mau_so_3"/>
      <sheetName val="Mau_so_7"/>
      <sheetName val="Mau_so_8"/>
      <sheetName val="Mau_so_9_da_tru_45;54"/>
      <sheetName val="Mau_so_9_45;54"/>
      <sheetName val="Mau_9_"/>
      <sheetName val="Mau_9_goc"/>
      <sheetName val="Mau_10"/>
      <sheetName val="Mau_so_11"/>
      <sheetName val="Gia_vi"/>
      <sheetName val="Quyet_toan1"/>
      <sheetName val="Quyet_Toan2"/>
      <sheetName val="T_hopCPXD04"/>
      <sheetName val="T_hopCPXD04_(2)"/>
      <sheetName val="T_hopCPXDhoanthanh"/>
      <sheetName val="T_hopCPXDhoanthanh_(2)"/>
      <sheetName val="T_hop_CPXDQ2"/>
      <sheetName val="Cpdc8t_(2)"/>
      <sheetName val="Cpdc8t_(3)"/>
      <sheetName val="LK_cp_xdcb"/>
      <sheetName val="XDCB_hoanthanh"/>
      <sheetName val="Sheet2_(3)"/>
      <sheetName val="Sheet3_(3)"/>
      <sheetName val="Sheet2_(4)"/>
      <sheetName val="Sheet3_(4)"/>
      <sheetName val="Overhead_&amp;_Profit_B-1"/>
      <sheetName val="GDMN_1"/>
      <sheetName val="GDMN_2"/>
      <sheetName val="GDMN_3"/>
      <sheetName val="GDMN_4"/>
      <sheetName val="GDMN_5"/>
      <sheetName val="GDTH_1"/>
      <sheetName val="GDTH_2"/>
      <sheetName val="GDTH_3"/>
      <sheetName val="GDTH_4"/>
      <sheetName val="GDTH_5"/>
      <sheetName val="THCS_1"/>
      <sheetName val="THCS_2"/>
      <sheetName val="THCS_3"/>
      <sheetName val="THCS_4"/>
      <sheetName val="THCS_5"/>
      <sheetName val="THCS_6"/>
      <sheetName val="THPT_1"/>
      <sheetName val="THPT_2"/>
      <sheetName val="THPT_3"/>
      <sheetName val="THPT_4"/>
      <sheetName val="THPT_5"/>
      <sheetName val="THPT_6"/>
      <sheetName val="DH,CD,THCN_1"/>
      <sheetName val="DH,CD,THCN_2"/>
      <sheetName val="DH,CD,THCN_3"/>
      <sheetName val="GDKCQ_1"/>
      <sheetName val="GDKCQ_2"/>
      <sheetName val="Bang_ngang"/>
      <sheetName val="Bang_doc"/>
      <sheetName val="B_cham_cong"/>
      <sheetName val="Btt_luong"/>
      <sheetName val="BOQ_FORM_FOR_INQÕIRY"/>
      <sheetName val="Tong_2_Dvi"/>
      <sheetName val="Thop_1"/>
      <sheetName val="Thop_2"/>
      <sheetName val="Bao_cao"/>
      <sheetName val="De_nghi_thue_TNDN2004"/>
      <sheetName val="to_trinh_dieu_chinh_thue"/>
      <sheetName val="Bang_ke_xin_thanh_toan_nam_2005"/>
      <sheetName val="Bang_ke_xin_thanh_toan_"/>
      <sheetName val="MAu_so_11_nam_2003"/>
      <sheetName val="dang_ky_tam_tru_can_bo_di_CT"/>
      <sheetName val="Phieu_xuat_Vtu_"/>
      <sheetName val="Phieu_nhap_Vtu_"/>
      <sheetName val="Vat_tu_lan_trai_"/>
      <sheetName val="Vat_T_u_can_lam_phieu_T11+_12"/>
      <sheetName val="Vat_tu_hung_long_"/>
      <sheetName val="Vat_Tu_Can_Dung_2004"/>
      <sheetName val="xd__D_M_tieu_haoNL"/>
      <sheetName val="Du_kien_nop_NS_2004_CV463"/>
      <sheetName val="mau_02ATNDN"/>
      <sheetName val="Nop_tien_vao_NS"/>
      <sheetName val="QTSDhoa_don_M01"/>
      <sheetName val="BCSD_Hdon_Mau_26"/>
      <sheetName val="MAU_SO_05"/>
      <sheetName val="MAU_SO_04"/>
      <sheetName val="TH_Mau_03"/>
      <sheetName val="MAU_SO_03"/>
      <sheetName val="MAU_SO_02"/>
      <sheetName val="Mau_So_01"/>
      <sheetName val="Chi_tiet_SD_may_CT_2004"/>
      <sheetName val="Bang_ke_hoa_don_xin_vay_NH"/>
      <sheetName val="TK_721"/>
      <sheetName val="_TK_711"/>
      <sheetName val="__TK_642"/>
      <sheetName val="_TK_627"/>
      <sheetName val="Su_dung_may_"/>
      <sheetName val="TK_623"/>
      <sheetName val="Chi_tiet_ca_may_"/>
      <sheetName val="Chi_tiet_NC_tung_CT_04"/>
      <sheetName val="_TK_622"/>
      <sheetName val="TK_621"/>
      <sheetName val="TK_154_D,Dang_sang_2005"/>
      <sheetName val="DT_da_bao_cao_thue_"/>
      <sheetName val="Doanh_thu_2004"/>
      <sheetName val="Chi_tiet_DT_dieu_chinh_thue_"/>
      <sheetName val="bang_ke_chi_tiet_CT"/>
      <sheetName val="Chi_phi_do_dang"/>
      <sheetName val="Can_doi_chi_phi_CT"/>
      <sheetName val="Chi_tiet_511"/>
      <sheetName val="_TK_511"/>
      <sheetName val="TK_411"/>
      <sheetName val="TK_4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 refreshError="1"/>
      <sheetData sheetId="305" refreshError="1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 refreshError="1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 refreshError="1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 refreshError="1"/>
      <sheetData sheetId="392" refreshError="1"/>
      <sheetData sheetId="393"/>
      <sheetData sheetId="394" refreshError="1"/>
      <sheetData sheetId="395" refreshError="1"/>
      <sheetData sheetId="396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 refreshError="1"/>
      <sheetData sheetId="509"/>
      <sheetData sheetId="510" refreshError="1"/>
      <sheetData sheetId="511" refreshError="1"/>
      <sheetData sheetId="512"/>
      <sheetData sheetId="513" refreshError="1"/>
      <sheetData sheetId="514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 refreshError="1"/>
      <sheetData sheetId="538"/>
      <sheetData sheetId="539" refreshError="1"/>
      <sheetData sheetId="540"/>
      <sheetData sheetId="541" refreshError="1"/>
      <sheetData sheetId="542"/>
      <sheetData sheetId="543" refreshError="1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 refreshError="1"/>
      <sheetData sheetId="556" refreshError="1"/>
      <sheetData sheetId="557" refreshError="1"/>
      <sheetData sheetId="558"/>
      <sheetData sheetId="559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 refreshError="1"/>
      <sheetData sheetId="582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/>
      <sheetData sheetId="594"/>
      <sheetData sheetId="595"/>
      <sheetData sheetId="596" refreshError="1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 refreshError="1"/>
      <sheetData sheetId="609" refreshError="1"/>
      <sheetData sheetId="610" refreshError="1"/>
      <sheetData sheetId="611" refreshError="1"/>
      <sheetData sheetId="612"/>
      <sheetData sheetId="613" refreshError="1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  <sheetName val="L&amp;B"/>
      <sheetName val="P&amp;M"/>
      <sheetName val="MV"/>
      <sheetName val="COMPUTER"/>
      <sheetName val="OE"/>
      <sheetName val="Fur"/>
      <sheetName val="F&amp;F"/>
      <sheetName val="FA"/>
      <sheetName val="KL"/>
      <sheetName val="DISPOSAL"/>
      <sheetName val="Revaluation"/>
      <sheetName val="XL4Poppy"/>
      <sheetName val="xuan"/>
      <sheetName val="T2"/>
      <sheetName val="T3"/>
      <sheetName val="T4"/>
      <sheetName val="T5"/>
      <sheetName val="T6"/>
      <sheetName val="T7"/>
      <sheetName val="tuan"/>
      <sheetName val="Sum"/>
      <sheetName val="HBuom"/>
      <sheetName val="HBT-1"/>
      <sheetName val="THo"/>
      <sheetName val="BDinh"/>
      <sheetName val="Super"/>
      <sheetName val="HBT-2"/>
      <sheetName val="SC"/>
      <sheetName val="HDong"/>
      <sheetName val="CGiay"/>
      <sheetName val="GLam"/>
      <sheetName val="TXuan-1"/>
      <sheetName val="DDa"/>
      <sheetName val="HKiem"/>
      <sheetName val="Vacant"/>
      <sheetName val="TXuan-2"/>
      <sheetName val="00000000"/>
      <sheetName val="Luong Co b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L(AG)"/>
      <sheetName val="results"/>
      <sheetName val="Sheet1"/>
      <sheetName val="COST"/>
      <sheetName val="U_P BASE"/>
      <sheetName val="MTL(UG)"/>
      <sheetName val="MTL(AG-FF)"/>
      <sheetName val="MTL(FF)"/>
      <sheetName val="1A"/>
      <sheetName val="1B"/>
      <sheetName val="1C"/>
      <sheetName val="2A "/>
      <sheetName val="2B"/>
      <sheetName val="3A"/>
      <sheetName val="3B"/>
      <sheetName val="sum-1A"/>
      <sheetName val="sum-1B"/>
      <sheetName val="sum-1C"/>
      <sheetName val="sum-2A"/>
      <sheetName val="sum-2B"/>
      <sheetName val="sum-3A"/>
      <sheetName val="sum-3B"/>
      <sheetName val="sum-trench"/>
      <sheetName val="Sheet2"/>
      <sheetName val="Sheet3"/>
      <sheetName val="XL4Poppy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T-new3"/>
      <sheetName val="Tong DT Qte ve"/>
      <sheetName val="Tong Hop DT Qte Ve"/>
      <sheetName val="DTKT"/>
      <sheetName val="Dacom"/>
      <sheetName val="CITIC"/>
      <sheetName val="ITXC"/>
      <sheetName val="DT-ITXC"/>
      <sheetName val="DT-new (2)"/>
      <sheetName val="DT-new"/>
      <sheetName val="DT"/>
      <sheetName val="KT"/>
      <sheetName val="LL"/>
      <sheetName val="Theo thang"/>
      <sheetName val="Sheet3"/>
      <sheetName val="00000000"/>
      <sheetName val="10000000"/>
      <sheetName val="20000000"/>
      <sheetName val="30000000"/>
      <sheetName val="40000000"/>
      <sheetName val="50000000"/>
      <sheetName val="60000000"/>
      <sheetName val="70000000"/>
      <sheetName val="80000000"/>
      <sheetName val="90000000"/>
      <sheetName val="XL4Poppy"/>
      <sheetName val="Sheet1"/>
      <sheetName val="TOPT TREN 500000"/>
      <sheetName val="Top500"/>
      <sheetName val="GHEP TONG CUOC - KV THEO MAKH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>
        <row r="4">
          <cell r="C4" t="e">
            <v>#N/A</v>
          </cell>
        </row>
      </sheetData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¸VËtT­"/>
    </sheetNames>
    <sheetDataSet>
      <sheetData sheetId="0" refreshError="1">
        <row r="2">
          <cell r="A2" t="str">
            <v>TT</v>
          </cell>
          <cell r="B2" t="str">
            <v>Tªn vËt t­</v>
          </cell>
          <cell r="C2" t="str">
            <v xml:space="preserve">§¬n vÞ </v>
          </cell>
          <cell r="D2" t="str">
            <v>®¬n gi¸</v>
          </cell>
        </row>
        <row r="3">
          <cell r="A3" t="str">
            <v>001</v>
          </cell>
          <cell r="B3" t="str">
            <v>ThÐp tÊm</v>
          </cell>
          <cell r="C3" t="str">
            <v>TÊn</v>
          </cell>
          <cell r="D3">
            <v>5008500</v>
          </cell>
        </row>
        <row r="4">
          <cell r="A4" t="str">
            <v>002</v>
          </cell>
          <cell r="B4" t="str">
            <v>ThÐp U</v>
          </cell>
          <cell r="C4" t="str">
            <v>TÊn</v>
          </cell>
          <cell r="D4">
            <v>5231100</v>
          </cell>
        </row>
        <row r="5">
          <cell r="A5" t="str">
            <v>003</v>
          </cell>
          <cell r="B5" t="str">
            <v>M¸y hµn 23 KW</v>
          </cell>
          <cell r="C5" t="str">
            <v>Ca</v>
          </cell>
          <cell r="D5">
            <v>77338</v>
          </cell>
        </row>
        <row r="6">
          <cell r="A6" t="str">
            <v>004</v>
          </cell>
          <cell r="B6" t="str">
            <v>Que hµn N46</v>
          </cell>
          <cell r="C6" t="str">
            <v>Kg</v>
          </cell>
          <cell r="D6">
            <v>8000</v>
          </cell>
        </row>
        <row r="7">
          <cell r="A7" t="str">
            <v>0051</v>
          </cell>
          <cell r="B7" t="str">
            <v>ThÐp L&lt;100</v>
          </cell>
          <cell r="C7" t="str">
            <v>TÊn</v>
          </cell>
          <cell r="D7">
            <v>5008500</v>
          </cell>
        </row>
        <row r="8">
          <cell r="A8" t="str">
            <v>0052</v>
          </cell>
          <cell r="B8" t="str">
            <v>ThÐp L=100</v>
          </cell>
          <cell r="C8" t="str">
            <v>TÊn</v>
          </cell>
          <cell r="D8">
            <v>6121500</v>
          </cell>
        </row>
        <row r="9">
          <cell r="A9" t="str">
            <v>005</v>
          </cell>
          <cell r="B9" t="str">
            <v>ThÐp L&gt;100</v>
          </cell>
          <cell r="C9" t="str">
            <v>TÊn</v>
          </cell>
          <cell r="D9">
            <v>6900600</v>
          </cell>
        </row>
        <row r="10">
          <cell r="A10" t="str">
            <v>006</v>
          </cell>
          <cell r="B10" t="str">
            <v>ThÐp I</v>
          </cell>
          <cell r="C10" t="str">
            <v>TÊn</v>
          </cell>
          <cell r="D10">
            <v>5342400</v>
          </cell>
        </row>
        <row r="11">
          <cell r="A11" t="str">
            <v>007</v>
          </cell>
          <cell r="B11" t="str">
            <v>Que hµn E7015</v>
          </cell>
          <cell r="C11" t="str">
            <v>Kg</v>
          </cell>
          <cell r="D11">
            <v>21000</v>
          </cell>
        </row>
        <row r="12">
          <cell r="A12" t="str">
            <v>008</v>
          </cell>
          <cell r="B12" t="str">
            <v>¤ xy</v>
          </cell>
          <cell r="C12" t="str">
            <v>Chai</v>
          </cell>
          <cell r="D12">
            <v>30000</v>
          </cell>
        </row>
        <row r="13">
          <cell r="A13" t="str">
            <v>009</v>
          </cell>
          <cell r="B13" t="str">
            <v>§Êt ®Ìn</v>
          </cell>
          <cell r="C13" t="str">
            <v>kg</v>
          </cell>
          <cell r="D13">
            <v>7500</v>
          </cell>
        </row>
        <row r="14">
          <cell r="A14" t="str">
            <v>010</v>
          </cell>
          <cell r="B14" t="str">
            <v>Bi tum</v>
          </cell>
          <cell r="C14" t="str">
            <v>kg</v>
          </cell>
          <cell r="D14">
            <v>3500</v>
          </cell>
        </row>
        <row r="15">
          <cell r="A15" t="str">
            <v>011</v>
          </cell>
          <cell r="B15" t="str">
            <v>X¨ng</v>
          </cell>
          <cell r="C15" t="str">
            <v>kg</v>
          </cell>
          <cell r="D15">
            <v>6200</v>
          </cell>
        </row>
        <row r="16">
          <cell r="A16" t="str">
            <v>012</v>
          </cell>
          <cell r="B16" t="str">
            <v>Gç nhãm 4</v>
          </cell>
          <cell r="C16" t="str">
            <v>m3</v>
          </cell>
          <cell r="D16">
            <v>2700000</v>
          </cell>
        </row>
        <row r="17">
          <cell r="A17" t="str">
            <v>013</v>
          </cell>
          <cell r="B17" t="str">
            <v>ThÐp tÊm, thÐp h×nh</v>
          </cell>
          <cell r="C17" t="str">
            <v>Kg</v>
          </cell>
          <cell r="D17">
            <v>3900</v>
          </cell>
        </row>
        <row r="18">
          <cell r="A18" t="str">
            <v>014</v>
          </cell>
          <cell r="B18" t="str">
            <v>S¬n chèng gØ</v>
          </cell>
          <cell r="C18" t="str">
            <v>Kg</v>
          </cell>
          <cell r="D18">
            <v>22000</v>
          </cell>
        </row>
        <row r="19">
          <cell r="A19" t="str">
            <v>015</v>
          </cell>
          <cell r="B19" t="str">
            <v>S¬n Ep«xi</v>
          </cell>
          <cell r="C19" t="str">
            <v>Kg</v>
          </cell>
          <cell r="D19">
            <v>80000</v>
          </cell>
        </row>
        <row r="20">
          <cell r="A20" t="str">
            <v>016</v>
          </cell>
          <cell r="B20" t="str">
            <v>DÇu pha s¬n</v>
          </cell>
          <cell r="C20" t="str">
            <v>Kg</v>
          </cell>
          <cell r="D20">
            <v>16000</v>
          </cell>
        </row>
        <row r="21">
          <cell r="A21" t="str">
            <v>017</v>
          </cell>
          <cell r="B21" t="str">
            <v>ThÐp èng Fi 323.6x12,7</v>
          </cell>
          <cell r="C21" t="str">
            <v>TÊn</v>
          </cell>
          <cell r="D21">
            <v>8904000</v>
          </cell>
        </row>
        <row r="22">
          <cell r="A22" t="str">
            <v>018</v>
          </cell>
          <cell r="B22" t="str">
            <v>Bu l«ng M22x80</v>
          </cell>
          <cell r="C22" t="str">
            <v>Bé</v>
          </cell>
          <cell r="D22">
            <v>7800</v>
          </cell>
        </row>
        <row r="23">
          <cell r="A23" t="str">
            <v>019</v>
          </cell>
          <cell r="B23" t="str">
            <v>D©y thÐp</v>
          </cell>
          <cell r="C23" t="str">
            <v>Kg</v>
          </cell>
          <cell r="D23">
            <v>7000</v>
          </cell>
        </row>
        <row r="24">
          <cell r="A24" t="str">
            <v>020</v>
          </cell>
          <cell r="B24" t="str">
            <v>Bu l«ng M20x80</v>
          </cell>
          <cell r="C24" t="str">
            <v>Bé</v>
          </cell>
          <cell r="D24">
            <v>3500</v>
          </cell>
        </row>
        <row r="25">
          <cell r="A25" t="str">
            <v>021</v>
          </cell>
          <cell r="B25" t="str">
            <v>GiÎ lau</v>
          </cell>
          <cell r="C25" t="str">
            <v>Kg</v>
          </cell>
          <cell r="D25">
            <v>5000</v>
          </cell>
        </row>
        <row r="26">
          <cell r="A26" t="str">
            <v>022</v>
          </cell>
          <cell r="B26" t="str">
            <v>S¬n ph¶n nhiÖt Polyrethan</v>
          </cell>
          <cell r="C26" t="str">
            <v>Kg</v>
          </cell>
          <cell r="D26">
            <v>70000</v>
          </cell>
        </row>
        <row r="27">
          <cell r="A27" t="str">
            <v>023</v>
          </cell>
          <cell r="B27" t="str">
            <v>S¾t trßn</v>
          </cell>
          <cell r="C27" t="str">
            <v>Kg</v>
          </cell>
          <cell r="D27">
            <v>4000</v>
          </cell>
        </row>
        <row r="28">
          <cell r="A28" t="str">
            <v>024</v>
          </cell>
          <cell r="B28" t="str">
            <v>Gç chÌn</v>
          </cell>
          <cell r="C28" t="str">
            <v>M3</v>
          </cell>
          <cell r="D28">
            <v>2700000</v>
          </cell>
        </row>
        <row r="29">
          <cell r="A29" t="str">
            <v>025</v>
          </cell>
          <cell r="B29" t="str">
            <v xml:space="preserve">Bét ®¸ </v>
          </cell>
          <cell r="C29" t="str">
            <v>Kg</v>
          </cell>
          <cell r="D29">
            <v>182</v>
          </cell>
        </row>
        <row r="30">
          <cell r="A30" t="str">
            <v>026</v>
          </cell>
          <cell r="B30" t="str">
            <v>Cñi ®un</v>
          </cell>
          <cell r="C30" t="str">
            <v>Kg</v>
          </cell>
          <cell r="D30">
            <v>2000</v>
          </cell>
        </row>
        <row r="31">
          <cell r="A31" t="str">
            <v>027</v>
          </cell>
          <cell r="B31" t="str">
            <v>VËt liÖu kh¸c</v>
          </cell>
          <cell r="C31" t="str">
            <v>%</v>
          </cell>
        </row>
        <row r="32">
          <cell r="A32" t="str">
            <v>028</v>
          </cell>
          <cell r="B32" t="str">
            <v>C¸t chuÈn</v>
          </cell>
          <cell r="C32" t="str">
            <v>m3</v>
          </cell>
          <cell r="D32">
            <v>65000</v>
          </cell>
        </row>
        <row r="33">
          <cell r="A33" t="str">
            <v>029</v>
          </cell>
          <cell r="B33" t="str">
            <v>N­íc s¹ch</v>
          </cell>
          <cell r="C33" t="str">
            <v>m3</v>
          </cell>
          <cell r="D33">
            <v>2000</v>
          </cell>
        </row>
        <row r="34">
          <cell r="A34" t="str">
            <v>n01</v>
          </cell>
          <cell r="B34" t="str">
            <v>Thî 3,5/7</v>
          </cell>
          <cell r="C34" t="str">
            <v>C«ng</v>
          </cell>
          <cell r="D34">
            <v>13808</v>
          </cell>
        </row>
        <row r="35">
          <cell r="A35" t="str">
            <v>n02</v>
          </cell>
          <cell r="B35" t="str">
            <v>Thî 4/7</v>
          </cell>
          <cell r="C35" t="str">
            <v>C«ng</v>
          </cell>
          <cell r="D35">
            <v>13529</v>
          </cell>
        </row>
        <row r="36">
          <cell r="A36" t="str">
            <v>n03</v>
          </cell>
          <cell r="B36" t="str">
            <v>Thî 3,5/7</v>
          </cell>
          <cell r="C36" t="str">
            <v>C«ng</v>
          </cell>
          <cell r="D36">
            <v>12971</v>
          </cell>
        </row>
        <row r="37">
          <cell r="A37" t="str">
            <v>n04</v>
          </cell>
          <cell r="B37" t="str">
            <v>Thî 4,5/7</v>
          </cell>
          <cell r="C37" t="str">
            <v>C«ng</v>
          </cell>
          <cell r="D37">
            <v>14925</v>
          </cell>
        </row>
        <row r="38">
          <cell r="A38" t="str">
            <v>m01</v>
          </cell>
          <cell r="B38" t="str">
            <v>CÈu b¸nh h¬i 10T</v>
          </cell>
          <cell r="C38" t="str">
            <v>Ca</v>
          </cell>
          <cell r="D38">
            <v>615511</v>
          </cell>
        </row>
        <row r="39">
          <cell r="A39" t="str">
            <v>m02</v>
          </cell>
          <cell r="B39" t="str">
            <v>CÈu b¸nh h¬i 16T</v>
          </cell>
          <cell r="C39" t="str">
            <v>Ca</v>
          </cell>
          <cell r="D39">
            <v>823425</v>
          </cell>
        </row>
        <row r="40">
          <cell r="A40" t="str">
            <v>m03</v>
          </cell>
          <cell r="B40" t="str">
            <v>M¸y hµn 15W</v>
          </cell>
          <cell r="C40" t="str">
            <v>Ca</v>
          </cell>
          <cell r="D40">
            <v>77338</v>
          </cell>
        </row>
        <row r="41">
          <cell r="A41" t="str">
            <v>m04</v>
          </cell>
          <cell r="B41" t="str">
            <v>M¸y hót ch©n kh«ng thö ®­êng hµn</v>
          </cell>
          <cell r="C41" t="str">
            <v>Ca</v>
          </cell>
          <cell r="D41">
            <v>620000</v>
          </cell>
        </row>
        <row r="42">
          <cell r="A42" t="str">
            <v>m05</v>
          </cell>
          <cell r="B42" t="str">
            <v>M¸y siªu ©m</v>
          </cell>
          <cell r="C42" t="str">
            <v>Ca</v>
          </cell>
          <cell r="D42">
            <v>620000</v>
          </cell>
        </row>
        <row r="43">
          <cell r="A43" t="str">
            <v>m06</v>
          </cell>
          <cell r="B43" t="str">
            <v>M¸y uèn t«n 15KW</v>
          </cell>
          <cell r="C43" t="str">
            <v>Ca</v>
          </cell>
          <cell r="D43">
            <v>164332</v>
          </cell>
        </row>
        <row r="44">
          <cell r="A44" t="str">
            <v>m07</v>
          </cell>
          <cell r="B44" t="str">
            <v>M¸y khoan 4,5KW</v>
          </cell>
          <cell r="C44" t="str">
            <v>Ca</v>
          </cell>
          <cell r="D44">
            <v>72334</v>
          </cell>
        </row>
        <row r="45">
          <cell r="A45" t="str">
            <v>m08</v>
          </cell>
          <cell r="B45" t="str">
            <v>CÇn cÈu 10 TÊn</v>
          </cell>
          <cell r="C45" t="str">
            <v>Ca</v>
          </cell>
          <cell r="D45">
            <v>615511</v>
          </cell>
        </row>
        <row r="46">
          <cell r="A46" t="str">
            <v>m09</v>
          </cell>
          <cell r="B46" t="str">
            <v>M¸y kh¸c</v>
          </cell>
          <cell r="C46" t="str">
            <v>%</v>
          </cell>
        </row>
        <row r="47">
          <cell r="A47" t="str">
            <v>m10</v>
          </cell>
          <cell r="B47" t="str">
            <v>M¸y mµi</v>
          </cell>
          <cell r="C47" t="str">
            <v>Ca</v>
          </cell>
          <cell r="D47">
            <v>500000</v>
          </cell>
        </row>
        <row r="48">
          <cell r="A48" t="str">
            <v>m11</v>
          </cell>
          <cell r="B48" t="str">
            <v>M¸y nÐn khÝ 56 m3/h</v>
          </cell>
          <cell r="C48" t="str">
            <v>Ca</v>
          </cell>
          <cell r="D48">
            <v>74457</v>
          </cell>
        </row>
        <row r="49">
          <cell r="A49" t="str">
            <v>m12</v>
          </cell>
          <cell r="B49" t="str">
            <v>M¸y phun s¬n</v>
          </cell>
          <cell r="C49" t="str">
            <v>Ca</v>
          </cell>
          <cell r="D49">
            <v>28832</v>
          </cell>
        </row>
        <row r="50">
          <cell r="A50" t="str">
            <v>m13</v>
          </cell>
          <cell r="B50" t="str">
            <v>CÈu 16 tÊn</v>
          </cell>
          <cell r="C50" t="str">
            <v>Ca</v>
          </cell>
          <cell r="D50">
            <v>823425</v>
          </cell>
        </row>
        <row r="51">
          <cell r="A51" t="str">
            <v>m14</v>
          </cell>
          <cell r="B51" t="str">
            <v>M¸y nÐn khÝ 10m3/ph</v>
          </cell>
          <cell r="C51" t="str">
            <v>Ca</v>
          </cell>
          <cell r="D51">
            <v>387267</v>
          </cell>
        </row>
        <row r="52">
          <cell r="A52" t="str">
            <v>m15</v>
          </cell>
          <cell r="B52" t="str">
            <v>ThiÕt bÞ phun c¸t</v>
          </cell>
          <cell r="C52" t="str">
            <v>Ca</v>
          </cell>
          <cell r="D52">
            <v>31000</v>
          </cell>
        </row>
        <row r="53">
          <cell r="A53" t="str">
            <v>m16</v>
          </cell>
          <cell r="B53" t="str">
            <v>M¸y b¬m n­íc 40KW</v>
          </cell>
          <cell r="C53" t="str">
            <v>Ca</v>
          </cell>
          <cell r="D53">
            <v>195704</v>
          </cell>
        </row>
        <row r="54">
          <cell r="A54" t="str">
            <v>I</v>
          </cell>
          <cell r="B54" t="str">
            <v>Chi phÝ trùc tiÕp</v>
          </cell>
        </row>
        <row r="55">
          <cell r="A55" t="str">
            <v>1</v>
          </cell>
          <cell r="B55" t="str">
            <v>VËt liÖu</v>
          </cell>
        </row>
        <row r="56">
          <cell r="A56" t="str">
            <v>030</v>
          </cell>
          <cell r="B56" t="str">
            <v>ThÐp èng Fi 219x8</v>
          </cell>
          <cell r="C56" t="str">
            <v>TÊn</v>
          </cell>
          <cell r="D56">
            <v>8904000</v>
          </cell>
        </row>
        <row r="57">
          <cell r="A57" t="str">
            <v>A1</v>
          </cell>
          <cell r="B57" t="str">
            <v>VËt liÖu chÝnh sö dông</v>
          </cell>
        </row>
        <row r="58">
          <cell r="A58" t="str">
            <v>m17</v>
          </cell>
          <cell r="B58" t="str">
            <v>M¸y nÐn khÝ 6m3/ph</v>
          </cell>
          <cell r="C58" t="str">
            <v>Ca</v>
          </cell>
          <cell r="D58">
            <v>315177</v>
          </cell>
        </row>
        <row r="59">
          <cell r="A59" t="str">
            <v>B1</v>
          </cell>
          <cell r="B59" t="str">
            <v>VËt liÖu phô sö dông</v>
          </cell>
        </row>
        <row r="60">
          <cell r="A60" t="str">
            <v>h1</v>
          </cell>
          <cell r="B60" t="str">
            <v>HÖ sè sö dông</v>
          </cell>
        </row>
        <row r="61">
          <cell r="A61" t="str">
            <v>2</v>
          </cell>
          <cell r="B61" t="str">
            <v>Nh©n c«ng</v>
          </cell>
        </row>
        <row r="62">
          <cell r="A62" t="str">
            <v>3</v>
          </cell>
          <cell r="B62" t="str">
            <v>M¸y thi c«ng</v>
          </cell>
          <cell r="D62">
            <v>11</v>
          </cell>
        </row>
        <row r="63">
          <cell r="A63" t="str">
            <v>II</v>
          </cell>
          <cell r="B63" t="str">
            <v xml:space="preserve">Chi phÝ chung </v>
          </cell>
        </row>
        <row r="64">
          <cell r="A64" t="str">
            <v>III</v>
          </cell>
          <cell r="B64" t="str">
            <v>Thu nhËp chÞu thuÕ tÝnh tr­íc</v>
          </cell>
        </row>
        <row r="65">
          <cell r="A65" t="str">
            <v>g1</v>
          </cell>
          <cell r="B65" t="str">
            <v>Gi¸ trÞ x©y l¾p tr­íc thuÕ</v>
          </cell>
        </row>
        <row r="66">
          <cell r="A66" t="str">
            <v>IV</v>
          </cell>
          <cell r="B66" t="str">
            <v>ThuÕ gi¸ trÞ gia t¨ng ®Çu ra</v>
          </cell>
        </row>
        <row r="67">
          <cell r="A67" t="str">
            <v>g2</v>
          </cell>
          <cell r="B67" t="str">
            <v>Gi¸ trÞ dù to¸n x©y l¾p sau thuÕ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BLE"/>
      <sheetName val="MTO REV.0"/>
      <sheetName val="VENDOR-QUOTES"/>
      <sheetName val="SUM REV.0"/>
      <sheetName val="SUM-BQ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</sheetNames>
    <sheetDataSet>
      <sheetData sheetId="0" refreshError="1"/>
      <sheetData sheetId="1">
        <row r="1">
          <cell r="A1" t="str">
            <v>PRICE BREAKDOWN FOR ELECTRICAL INSTALLATION WORK</v>
          </cell>
          <cell r="G1" t="str">
            <v xml:space="preserve"> </v>
          </cell>
          <cell r="K1" t="str">
            <v xml:space="preserve"> </v>
          </cell>
        </row>
        <row r="2">
          <cell r="B2" t="str">
            <v>東鼎  LNG TERMINAL</v>
          </cell>
          <cell r="G2" t="str">
            <v xml:space="preserve"> </v>
          </cell>
          <cell r="I2" t="str">
            <v>CTCI Q. NO. : 99Q3299</v>
          </cell>
          <cell r="P2" t="str">
            <v>CTCI Q. NO. : 99Q3299</v>
          </cell>
        </row>
        <row r="3">
          <cell r="B3" t="str">
            <v>LOCATION: 桃園 觀塘工業區</v>
          </cell>
        </row>
        <row r="5">
          <cell r="E5" t="str">
            <v xml:space="preserve">                  TO SITE</v>
          </cell>
          <cell r="G5" t="str">
            <v xml:space="preserve">                  TO SITE</v>
          </cell>
          <cell r="K5" t="str">
            <v xml:space="preserve">                  TO SITE</v>
          </cell>
          <cell r="M5" t="str">
            <v xml:space="preserve">                  TO SITE</v>
          </cell>
        </row>
        <row r="6">
          <cell r="E6" t="str">
            <v xml:space="preserve"> ON SHORE MAT'L (NET) NT$</v>
          </cell>
          <cell r="G6" t="str">
            <v xml:space="preserve"> OFF SHORE MAT'L (NET) US$</v>
          </cell>
          <cell r="I6" t="str">
            <v xml:space="preserve">          LABOR MH (NET) </v>
          </cell>
          <cell r="K6" t="str">
            <v xml:space="preserve">     ON SHORE MAT'L NT$</v>
          </cell>
          <cell r="M6" t="str">
            <v xml:space="preserve">   OFF SHORE MAT'L US$</v>
          </cell>
          <cell r="O6" t="str">
            <v xml:space="preserve">        LABOR PRICE NT$</v>
          </cell>
          <cell r="Q6" t="str">
            <v>REMARK</v>
          </cell>
        </row>
        <row r="7">
          <cell r="A7" t="str">
            <v>NO.</v>
          </cell>
          <cell r="B7" t="str">
            <v>DESCRIPTION</v>
          </cell>
          <cell r="C7" t="str">
            <v>Q'TY</v>
          </cell>
          <cell r="D7" t="str">
            <v>UNIT</v>
          </cell>
          <cell r="E7" t="str">
            <v>U/P</v>
          </cell>
          <cell r="F7" t="str">
            <v>TOTAL</v>
          </cell>
          <cell r="G7" t="str">
            <v>U/P</v>
          </cell>
          <cell r="H7" t="str">
            <v>TOTAL</v>
          </cell>
          <cell r="I7" t="str">
            <v>U/P</v>
          </cell>
          <cell r="J7" t="str">
            <v>TOTAL</v>
          </cell>
          <cell r="K7" t="str">
            <v>U/P</v>
          </cell>
          <cell r="L7" t="str">
            <v>TOTAL</v>
          </cell>
          <cell r="M7" t="str">
            <v>U/P</v>
          </cell>
          <cell r="N7" t="str">
            <v>TOTAL</v>
          </cell>
          <cell r="O7" t="str">
            <v>U/P</v>
          </cell>
          <cell r="P7" t="str">
            <v>TOTAL</v>
          </cell>
        </row>
        <row r="9">
          <cell r="A9" t="str">
            <v>ALT-1</v>
          </cell>
          <cell r="B9" t="str">
            <v xml:space="preserve">         PRICE SUMMARY</v>
          </cell>
        </row>
        <row r="11">
          <cell r="A11" t="str">
            <v xml:space="preserve">  A.</v>
          </cell>
          <cell r="B11" t="str">
            <v xml:space="preserve"> POWER EQUIPMENT </v>
          </cell>
          <cell r="C11">
            <v>1</v>
          </cell>
          <cell r="D11" t="str">
            <v>LOT</v>
          </cell>
          <cell r="E11">
            <v>138612100</v>
          </cell>
          <cell r="F11">
            <v>138612100</v>
          </cell>
          <cell r="H11">
            <v>0</v>
          </cell>
          <cell r="I11">
            <v>13764</v>
          </cell>
          <cell r="J11">
            <v>13764</v>
          </cell>
          <cell r="K11">
            <v>138612100</v>
          </cell>
          <cell r="L11">
            <v>138612100</v>
          </cell>
          <cell r="M11">
            <v>0</v>
          </cell>
          <cell r="N11">
            <v>0</v>
          </cell>
          <cell r="O11">
            <v>6155030</v>
          </cell>
          <cell r="P11">
            <v>6155030</v>
          </cell>
        </row>
        <row r="12">
          <cell r="F12">
            <v>0</v>
          </cell>
          <cell r="J12">
            <v>0</v>
          </cell>
          <cell r="L12">
            <v>0</v>
          </cell>
          <cell r="P12">
            <v>0</v>
          </cell>
        </row>
        <row r="13">
          <cell r="A13" t="str">
            <v xml:space="preserve">  B.</v>
          </cell>
          <cell r="B13" t="str">
            <v xml:space="preserve"> POWER DISTRIBUTION SYSTEM</v>
          </cell>
          <cell r="C13">
            <v>130730</v>
          </cell>
          <cell r="D13" t="str">
            <v>M</v>
          </cell>
          <cell r="E13">
            <v>178.00177465004208</v>
          </cell>
          <cell r="F13">
            <v>23270172</v>
          </cell>
          <cell r="H13">
            <v>0</v>
          </cell>
          <cell r="I13">
            <v>0.25310181289681022</v>
          </cell>
          <cell r="J13">
            <v>33088</v>
          </cell>
          <cell r="K13">
            <v>178.00177465004208</v>
          </cell>
          <cell r="L13">
            <v>23270172</v>
          </cell>
          <cell r="M13">
            <v>0</v>
          </cell>
          <cell r="N13">
            <v>0</v>
          </cell>
          <cell r="O13">
            <v>70.851243019964812</v>
          </cell>
          <cell r="P13">
            <v>9262383</v>
          </cell>
        </row>
        <row r="14">
          <cell r="F14">
            <v>0</v>
          </cell>
          <cell r="H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 xml:space="preserve">  C.</v>
          </cell>
          <cell r="B15" t="str">
            <v xml:space="preserve"> LIGHTING SYSTEM</v>
          </cell>
          <cell r="C15">
            <v>508</v>
          </cell>
          <cell r="D15" t="str">
            <v>SET</v>
          </cell>
          <cell r="E15">
            <v>18871.641732283464</v>
          </cell>
          <cell r="F15">
            <v>9586794</v>
          </cell>
          <cell r="H15">
            <v>0</v>
          </cell>
          <cell r="I15">
            <v>28.084645669291337</v>
          </cell>
          <cell r="J15">
            <v>14267</v>
          </cell>
          <cell r="K15">
            <v>18871.641732283464</v>
          </cell>
          <cell r="L15">
            <v>9586794</v>
          </cell>
          <cell r="M15">
            <v>0</v>
          </cell>
          <cell r="N15">
            <v>0</v>
          </cell>
          <cell r="O15">
            <v>8470.6830708661419</v>
          </cell>
          <cell r="P15">
            <v>4303107</v>
          </cell>
        </row>
        <row r="16">
          <cell r="F16">
            <v>0</v>
          </cell>
          <cell r="H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 xml:space="preserve">  D.</v>
          </cell>
          <cell r="B17" t="str">
            <v xml:space="preserve"> GROUNDING &amp; LIGHTNING PROTECTION SYSTEM</v>
          </cell>
          <cell r="C17">
            <v>8620</v>
          </cell>
          <cell r="D17" t="str">
            <v>M</v>
          </cell>
          <cell r="E17">
            <v>104.6885150812065</v>
          </cell>
          <cell r="F17">
            <v>902415</v>
          </cell>
          <cell r="H17">
            <v>0</v>
          </cell>
          <cell r="I17">
            <v>0.40336426914153134</v>
          </cell>
          <cell r="J17">
            <v>3477</v>
          </cell>
          <cell r="K17">
            <v>104.6885150812065</v>
          </cell>
          <cell r="L17">
            <v>902415</v>
          </cell>
          <cell r="M17">
            <v>0</v>
          </cell>
          <cell r="N17">
            <v>0</v>
          </cell>
          <cell r="O17">
            <v>146.95568445475638</v>
          </cell>
          <cell r="P17">
            <v>1266758</v>
          </cell>
        </row>
        <row r="18">
          <cell r="F18">
            <v>0</v>
          </cell>
          <cell r="H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 xml:space="preserve">  E.</v>
          </cell>
          <cell r="B19" t="str">
            <v xml:space="preserve"> TELEPHONE SYSTEM</v>
          </cell>
          <cell r="C19">
            <v>2250</v>
          </cell>
          <cell r="D19" t="str">
            <v>M</v>
          </cell>
          <cell r="E19">
            <v>219.19555555555556</v>
          </cell>
          <cell r="F19">
            <v>493190</v>
          </cell>
          <cell r="H19">
            <v>0</v>
          </cell>
          <cell r="I19">
            <v>0.20088888888888889</v>
          </cell>
          <cell r="J19">
            <v>452</v>
          </cell>
          <cell r="K19">
            <v>219.19555555555556</v>
          </cell>
          <cell r="L19">
            <v>493190</v>
          </cell>
          <cell r="M19">
            <v>0</v>
          </cell>
          <cell r="N19">
            <v>0</v>
          </cell>
          <cell r="O19">
            <v>56.222222222222221</v>
          </cell>
          <cell r="P19">
            <v>126500</v>
          </cell>
        </row>
        <row r="20">
          <cell r="F20">
            <v>0</v>
          </cell>
          <cell r="H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A21" t="str">
            <v xml:space="preserve">  F.</v>
          </cell>
          <cell r="B21" t="str">
            <v xml:space="preserve"> PAGE/INTERCOMMUNICATION SYSTEM</v>
          </cell>
          <cell r="C21">
            <v>15</v>
          </cell>
          <cell r="D21" t="str">
            <v>SET</v>
          </cell>
          <cell r="E21">
            <v>67271.8</v>
          </cell>
          <cell r="F21">
            <v>1009077</v>
          </cell>
          <cell r="H21">
            <v>0</v>
          </cell>
          <cell r="I21">
            <v>87.266666666666666</v>
          </cell>
          <cell r="J21">
            <v>1309</v>
          </cell>
          <cell r="K21">
            <v>67271.8</v>
          </cell>
          <cell r="L21">
            <v>1009077</v>
          </cell>
          <cell r="M21">
            <v>0</v>
          </cell>
          <cell r="N21">
            <v>0</v>
          </cell>
          <cell r="O21">
            <v>24435.333333333332</v>
          </cell>
          <cell r="P21">
            <v>366530</v>
          </cell>
        </row>
        <row r="22">
          <cell r="F22">
            <v>0</v>
          </cell>
          <cell r="H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A23" t="str">
            <v xml:space="preserve">  G.</v>
          </cell>
          <cell r="B23" t="str">
            <v xml:space="preserve"> CCTV SYSTEM</v>
          </cell>
          <cell r="C23">
            <v>6</v>
          </cell>
          <cell r="D23" t="str">
            <v>SET</v>
          </cell>
          <cell r="E23">
            <v>291143.16666666669</v>
          </cell>
          <cell r="F23">
            <v>1746859</v>
          </cell>
          <cell r="H23">
            <v>0</v>
          </cell>
          <cell r="I23">
            <v>221</v>
          </cell>
          <cell r="J23">
            <v>1326</v>
          </cell>
          <cell r="K23">
            <v>291143.16666666669</v>
          </cell>
          <cell r="L23">
            <v>1746859</v>
          </cell>
          <cell r="M23">
            <v>0</v>
          </cell>
          <cell r="N23">
            <v>0</v>
          </cell>
          <cell r="O23">
            <v>61933.5</v>
          </cell>
          <cell r="P23">
            <v>371601</v>
          </cell>
        </row>
        <row r="24">
          <cell r="F24">
            <v>0</v>
          </cell>
          <cell r="H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A25" t="str">
            <v xml:space="preserve">  H.</v>
          </cell>
          <cell r="B25" t="str">
            <v xml:space="preserve"> CATHODIC PROTECTION SYSTEM</v>
          </cell>
          <cell r="C25">
            <v>60</v>
          </cell>
          <cell r="D25" t="str">
            <v>PC</v>
          </cell>
          <cell r="E25">
            <v>12445.316666666668</v>
          </cell>
          <cell r="F25">
            <v>746719</v>
          </cell>
          <cell r="H25">
            <v>0</v>
          </cell>
          <cell r="I25">
            <v>17.083333333333332</v>
          </cell>
          <cell r="J25">
            <v>1025</v>
          </cell>
          <cell r="K25">
            <v>12445.316666666668</v>
          </cell>
          <cell r="L25">
            <v>746719</v>
          </cell>
          <cell r="M25">
            <v>0</v>
          </cell>
          <cell r="N25">
            <v>0</v>
          </cell>
          <cell r="O25">
            <v>6387.1</v>
          </cell>
          <cell r="P25">
            <v>383226</v>
          </cell>
        </row>
        <row r="27">
          <cell r="A27" t="str">
            <v xml:space="preserve">  I.</v>
          </cell>
          <cell r="B27" t="str">
            <v>APS SYSTEM</v>
          </cell>
          <cell r="C27">
            <v>60</v>
          </cell>
          <cell r="D27" t="str">
            <v>SET</v>
          </cell>
          <cell r="E27">
            <v>260365.88333333333</v>
          </cell>
          <cell r="F27">
            <v>15621953</v>
          </cell>
          <cell r="H27">
            <v>0</v>
          </cell>
          <cell r="I27">
            <v>227.13333333333333</v>
          </cell>
          <cell r="J27">
            <v>13628</v>
          </cell>
          <cell r="K27">
            <v>260365.88333333333</v>
          </cell>
          <cell r="L27">
            <v>15621953</v>
          </cell>
          <cell r="M27">
            <v>0</v>
          </cell>
          <cell r="N27">
            <v>0</v>
          </cell>
          <cell r="O27">
            <v>63605.433333333334</v>
          </cell>
          <cell r="P27">
            <v>3816326</v>
          </cell>
        </row>
        <row r="29">
          <cell r="A29" t="str">
            <v xml:space="preserve">  J.</v>
          </cell>
          <cell r="B29" t="str">
            <v>U/G CONDUIT BANK</v>
          </cell>
          <cell r="C29">
            <v>2850</v>
          </cell>
          <cell r="D29" t="str">
            <v>M3</v>
          </cell>
          <cell r="E29">
            <v>2070.4561403508774</v>
          </cell>
          <cell r="F29">
            <v>5900800</v>
          </cell>
          <cell r="H29">
            <v>0</v>
          </cell>
          <cell r="I29">
            <v>9.5898245614035087</v>
          </cell>
          <cell r="J29">
            <v>27331</v>
          </cell>
          <cell r="K29">
            <v>2070.4561403508774</v>
          </cell>
          <cell r="L29">
            <v>5900800</v>
          </cell>
          <cell r="M29">
            <v>0</v>
          </cell>
          <cell r="N29">
            <v>0</v>
          </cell>
          <cell r="O29">
            <v>7703.0175438596489</v>
          </cell>
          <cell r="P29">
            <v>21953600</v>
          </cell>
        </row>
        <row r="32">
          <cell r="B32" t="str">
            <v>TOTAL (ALT-1)</v>
          </cell>
          <cell r="F32">
            <v>197890079</v>
          </cell>
          <cell r="H32">
            <v>0</v>
          </cell>
          <cell r="J32">
            <v>109667</v>
          </cell>
          <cell r="L32">
            <v>197890079</v>
          </cell>
          <cell r="N32">
            <v>0</v>
          </cell>
          <cell r="P32">
            <v>48005061</v>
          </cell>
          <cell r="Q32">
            <v>109667</v>
          </cell>
        </row>
        <row r="33">
          <cell r="Q33">
            <v>0</v>
          </cell>
        </row>
        <row r="34">
          <cell r="A34" t="str">
            <v>OTHER</v>
          </cell>
          <cell r="B34" t="str">
            <v xml:space="preserve"> CATHODIC PROTECTION SYSTEM  FOR TRUNK LINE</v>
          </cell>
          <cell r="C34">
            <v>1</v>
          </cell>
          <cell r="D34" t="str">
            <v>LOT</v>
          </cell>
          <cell r="F34">
            <v>4357694</v>
          </cell>
          <cell r="J34">
            <v>6089</v>
          </cell>
          <cell r="L34">
            <v>4357694</v>
          </cell>
          <cell r="P34">
            <v>2372268</v>
          </cell>
          <cell r="Q34">
            <v>6089</v>
          </cell>
        </row>
        <row r="36">
          <cell r="B36" t="str">
            <v xml:space="preserve">MATERIAL PRICE 造價分析 </v>
          </cell>
        </row>
        <row r="37">
          <cell r="B37" t="str">
            <v xml:space="preserve">CAPACITOR </v>
          </cell>
          <cell r="D37" t="str">
            <v>KVA</v>
          </cell>
        </row>
        <row r="38">
          <cell r="B38" t="str">
            <v>CABLE &amp; WIRE FOR POWER SYSTEM</v>
          </cell>
          <cell r="C38">
            <v>130730</v>
          </cell>
          <cell r="D38" t="str">
            <v>M</v>
          </cell>
        </row>
        <row r="39">
          <cell r="B39" t="str">
            <v>LIGHTING FIXTURE</v>
          </cell>
          <cell r="C39">
            <v>508</v>
          </cell>
          <cell r="D39" t="str">
            <v>SET</v>
          </cell>
        </row>
        <row r="41">
          <cell r="B41" t="str">
            <v>LABOR PRICE 造價分析</v>
          </cell>
        </row>
        <row r="42">
          <cell r="B42" t="str">
            <v xml:space="preserve">CAPACITOR </v>
          </cell>
          <cell r="C42">
            <v>0</v>
          </cell>
          <cell r="D42" t="str">
            <v>KVA</v>
          </cell>
        </row>
        <row r="43">
          <cell r="B43" t="str">
            <v>CABLE &amp; WIRE FOR POWER SYSTEM</v>
          </cell>
          <cell r="C43">
            <v>130730</v>
          </cell>
          <cell r="D43" t="str">
            <v>M</v>
          </cell>
          <cell r="I43">
            <v>0.73359596114128356</v>
          </cell>
          <cell r="J43">
            <v>95903</v>
          </cell>
        </row>
        <row r="44">
          <cell r="B44" t="str">
            <v>LIGHTING FIXTURE</v>
          </cell>
          <cell r="C44">
            <v>508</v>
          </cell>
          <cell r="D44" t="str">
            <v>SET</v>
          </cell>
        </row>
        <row r="46">
          <cell r="A46" t="str">
            <v>ALT-2</v>
          </cell>
          <cell r="C46" t="str">
            <v xml:space="preserve"> </v>
          </cell>
          <cell r="D46" t="str">
            <v xml:space="preserve"> </v>
          </cell>
          <cell r="F46">
            <v>0</v>
          </cell>
          <cell r="H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</row>
        <row r="47">
          <cell r="A47">
            <v>1</v>
          </cell>
          <cell r="B47" t="str">
            <v xml:space="preserve">  6.9KV GCS ,  NEMA CLASS E2 , MCC PANEL</v>
          </cell>
          <cell r="C47">
            <v>-1</v>
          </cell>
          <cell r="D47" t="str">
            <v>PNL</v>
          </cell>
          <cell r="E47">
            <v>500000</v>
          </cell>
          <cell r="F47">
            <v>-500000</v>
          </cell>
          <cell r="H47">
            <v>0</v>
          </cell>
          <cell r="I47">
            <v>20</v>
          </cell>
          <cell r="J47">
            <v>-20</v>
          </cell>
          <cell r="K47">
            <v>500000</v>
          </cell>
          <cell r="L47">
            <v>-500000</v>
          </cell>
          <cell r="M47">
            <v>0</v>
          </cell>
          <cell r="N47">
            <v>0</v>
          </cell>
          <cell r="O47">
            <v>5600</v>
          </cell>
          <cell r="P47">
            <v>-5600</v>
          </cell>
          <cell r="Q47">
            <v>0</v>
          </cell>
        </row>
        <row r="48">
          <cell r="A48">
            <v>2</v>
          </cell>
          <cell r="B48" t="str">
            <v xml:space="preserve">  600V POWER CABLE 3/C 5.5 sq.mm  XLPE/PVC</v>
          </cell>
          <cell r="C48">
            <v>-195</v>
          </cell>
          <cell r="D48" t="str">
            <v>M</v>
          </cell>
          <cell r="E48">
            <v>20</v>
          </cell>
          <cell r="F48">
            <v>-3900</v>
          </cell>
          <cell r="H48">
            <v>0</v>
          </cell>
          <cell r="I48">
            <v>0.1</v>
          </cell>
          <cell r="J48">
            <v>-20</v>
          </cell>
          <cell r="K48">
            <v>20</v>
          </cell>
          <cell r="L48">
            <v>-3900</v>
          </cell>
          <cell r="M48">
            <v>0</v>
          </cell>
          <cell r="N48">
            <v>0</v>
          </cell>
          <cell r="O48">
            <v>28</v>
          </cell>
          <cell r="P48">
            <v>-5460</v>
          </cell>
          <cell r="Q48">
            <v>0</v>
          </cell>
        </row>
        <row r="49">
          <cell r="A49">
            <v>3</v>
          </cell>
          <cell r="B49" t="str">
            <v xml:space="preserve">  600V CONTROL CABLE 12/C 2.0 sq.mm  PVC/PVC</v>
          </cell>
          <cell r="C49">
            <v>-195</v>
          </cell>
          <cell r="D49" t="str">
            <v>M</v>
          </cell>
          <cell r="E49">
            <v>38</v>
          </cell>
          <cell r="F49">
            <v>-7410</v>
          </cell>
          <cell r="H49">
            <v>0</v>
          </cell>
          <cell r="I49">
            <v>0.13800000000000001</v>
          </cell>
          <cell r="J49">
            <v>-27</v>
          </cell>
          <cell r="K49">
            <v>38</v>
          </cell>
          <cell r="L49">
            <v>-7410</v>
          </cell>
          <cell r="M49">
            <v>0</v>
          </cell>
          <cell r="N49">
            <v>0</v>
          </cell>
          <cell r="O49">
            <v>39</v>
          </cell>
          <cell r="P49">
            <v>-7605</v>
          </cell>
          <cell r="Q49">
            <v>0</v>
          </cell>
        </row>
        <row r="50">
          <cell r="A50">
            <v>4</v>
          </cell>
          <cell r="B50" t="str">
            <v xml:space="preserve">  8KV POWER CABLE 3/C  38 sq.mm  XLPE/PVC</v>
          </cell>
          <cell r="C50">
            <v>-580</v>
          </cell>
          <cell r="D50" t="str">
            <v>M</v>
          </cell>
          <cell r="E50">
            <v>268</v>
          </cell>
          <cell r="F50">
            <v>-155440</v>
          </cell>
          <cell r="H50">
            <v>0</v>
          </cell>
          <cell r="I50">
            <v>0.32100000000000001</v>
          </cell>
          <cell r="J50">
            <v>-186</v>
          </cell>
          <cell r="K50">
            <v>268</v>
          </cell>
          <cell r="L50">
            <v>-155440</v>
          </cell>
          <cell r="M50">
            <v>0</v>
          </cell>
          <cell r="N50">
            <v>0</v>
          </cell>
          <cell r="O50">
            <v>90</v>
          </cell>
          <cell r="P50">
            <v>-52200</v>
          </cell>
          <cell r="Q50">
            <v>0</v>
          </cell>
        </row>
        <row r="51">
          <cell r="A51">
            <v>5</v>
          </cell>
          <cell r="B51" t="str">
            <v xml:space="preserve">  8KV POWER CABLE 3/C  60 sq.mm  XLPE/PVC</v>
          </cell>
          <cell r="C51">
            <v>390</v>
          </cell>
          <cell r="D51" t="str">
            <v>M</v>
          </cell>
          <cell r="E51">
            <v>367</v>
          </cell>
          <cell r="F51">
            <v>143130</v>
          </cell>
          <cell r="H51">
            <v>0</v>
          </cell>
          <cell r="I51">
            <v>0.38800000000000001</v>
          </cell>
          <cell r="J51">
            <v>151</v>
          </cell>
          <cell r="K51">
            <v>367</v>
          </cell>
          <cell r="L51">
            <v>143130</v>
          </cell>
          <cell r="M51">
            <v>0</v>
          </cell>
          <cell r="N51">
            <v>0</v>
          </cell>
          <cell r="O51">
            <v>109</v>
          </cell>
          <cell r="P51">
            <v>42510</v>
          </cell>
          <cell r="Q51">
            <v>0</v>
          </cell>
        </row>
        <row r="52">
          <cell r="A52">
            <v>6</v>
          </cell>
          <cell r="B52" t="str">
            <v xml:space="preserve"> PVC CONDUIT, THICK WALL, CNS1302 SCH. B , 2"</v>
          </cell>
          <cell r="C52">
            <v>-390</v>
          </cell>
          <cell r="D52" t="str">
            <v>M</v>
          </cell>
          <cell r="E52">
            <v>38</v>
          </cell>
          <cell r="F52">
            <v>-14820</v>
          </cell>
          <cell r="H52">
            <v>0</v>
          </cell>
          <cell r="I52">
            <v>0.3</v>
          </cell>
          <cell r="J52">
            <v>-117</v>
          </cell>
          <cell r="K52">
            <v>38</v>
          </cell>
          <cell r="L52">
            <v>-14820</v>
          </cell>
          <cell r="M52">
            <v>0</v>
          </cell>
          <cell r="N52">
            <v>0</v>
          </cell>
          <cell r="O52">
            <v>84</v>
          </cell>
          <cell r="P52">
            <v>-32760</v>
          </cell>
          <cell r="Q52">
            <v>0</v>
          </cell>
        </row>
        <row r="53">
          <cell r="A53">
            <v>7</v>
          </cell>
          <cell r="B53" t="str">
            <v xml:space="preserve"> MISCELLANEOUS </v>
          </cell>
          <cell r="C53">
            <v>1</v>
          </cell>
          <cell r="D53" t="str">
            <v>LOT</v>
          </cell>
          <cell r="E53">
            <v>-708.6</v>
          </cell>
          <cell r="F53">
            <v>-709</v>
          </cell>
          <cell r="I53">
            <v>-2.46</v>
          </cell>
          <cell r="J53">
            <v>-2</v>
          </cell>
          <cell r="K53">
            <v>-709</v>
          </cell>
          <cell r="L53">
            <v>-709</v>
          </cell>
          <cell r="M53">
            <v>0</v>
          </cell>
          <cell r="N53">
            <v>0</v>
          </cell>
          <cell r="O53">
            <v>-689</v>
          </cell>
          <cell r="P53">
            <v>-689</v>
          </cell>
        </row>
        <row r="54">
          <cell r="B54" t="str">
            <v>SUB-TOTAL : (ALT-1)</v>
          </cell>
          <cell r="F54">
            <v>-539149</v>
          </cell>
          <cell r="H54">
            <v>0</v>
          </cell>
          <cell r="J54">
            <v>-221</v>
          </cell>
          <cell r="K54">
            <v>0</v>
          </cell>
          <cell r="L54">
            <v>-539149</v>
          </cell>
          <cell r="M54">
            <v>0</v>
          </cell>
          <cell r="N54">
            <v>0</v>
          </cell>
          <cell r="O54">
            <v>0</v>
          </cell>
          <cell r="P54">
            <v>-61804</v>
          </cell>
          <cell r="Q54">
            <v>-221</v>
          </cell>
        </row>
        <row r="56">
          <cell r="A56" t="str">
            <v>ALT-3</v>
          </cell>
        </row>
        <row r="57">
          <cell r="A57">
            <v>1</v>
          </cell>
          <cell r="B57" t="str">
            <v xml:space="preserve"> AUTO-TRANSFORMER FOR 6.9KV 8500KW MOTOR STARTER , </v>
          </cell>
          <cell r="C57">
            <v>1</v>
          </cell>
          <cell r="D57" t="str">
            <v>SET</v>
          </cell>
          <cell r="E57">
            <v>484000</v>
          </cell>
          <cell r="F57">
            <v>484000</v>
          </cell>
          <cell r="H57">
            <v>0</v>
          </cell>
          <cell r="I57">
            <v>20</v>
          </cell>
          <cell r="J57">
            <v>20</v>
          </cell>
          <cell r="K57">
            <v>484000</v>
          </cell>
          <cell r="L57">
            <v>484000</v>
          </cell>
          <cell r="M57">
            <v>0</v>
          </cell>
          <cell r="N57">
            <v>0</v>
          </cell>
          <cell r="O57">
            <v>5600</v>
          </cell>
          <cell r="P57">
            <v>5600</v>
          </cell>
        </row>
        <row r="58">
          <cell r="B58" t="str">
            <v xml:space="preserve"> TAP 80% , STARTING TIME 60 Sec. (MOTOR PF=0.7 , EFF=0.9)</v>
          </cell>
          <cell r="F58">
            <v>0</v>
          </cell>
          <cell r="H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</row>
        <row r="59">
          <cell r="A59">
            <v>2</v>
          </cell>
          <cell r="B59" t="str">
            <v xml:space="preserve">  6.9KV VCB 1250A 40KA</v>
          </cell>
          <cell r="C59">
            <v>3</v>
          </cell>
          <cell r="D59" t="str">
            <v>PNL</v>
          </cell>
          <cell r="E59">
            <v>800000</v>
          </cell>
          <cell r="F59">
            <v>2400000</v>
          </cell>
          <cell r="H59">
            <v>0</v>
          </cell>
          <cell r="I59">
            <v>20</v>
          </cell>
          <cell r="J59">
            <v>60</v>
          </cell>
          <cell r="K59">
            <v>800000</v>
          </cell>
          <cell r="L59">
            <v>2400000</v>
          </cell>
          <cell r="M59">
            <v>0</v>
          </cell>
          <cell r="N59">
            <v>0</v>
          </cell>
          <cell r="O59">
            <v>5600</v>
          </cell>
          <cell r="P59">
            <v>16800</v>
          </cell>
          <cell r="Q59">
            <v>0</v>
          </cell>
        </row>
        <row r="60">
          <cell r="A60">
            <v>3</v>
          </cell>
          <cell r="B60" t="str">
            <v xml:space="preserve">  6.9KV 2000KVA , W/GCS , CAPACIATOR PANEL</v>
          </cell>
          <cell r="C60">
            <v>2</v>
          </cell>
          <cell r="D60" t="str">
            <v>PNL</v>
          </cell>
          <cell r="E60">
            <v>1500000</v>
          </cell>
          <cell r="F60">
            <v>3000000</v>
          </cell>
          <cell r="H60">
            <v>0</v>
          </cell>
          <cell r="I60">
            <v>30</v>
          </cell>
          <cell r="J60">
            <v>60</v>
          </cell>
          <cell r="K60">
            <v>1500000</v>
          </cell>
          <cell r="L60">
            <v>3000000</v>
          </cell>
          <cell r="M60">
            <v>0</v>
          </cell>
          <cell r="N60">
            <v>0</v>
          </cell>
          <cell r="O60">
            <v>8400</v>
          </cell>
          <cell r="P60">
            <v>16800</v>
          </cell>
        </row>
        <row r="61">
          <cell r="A61">
            <v>4</v>
          </cell>
          <cell r="B61" t="str">
            <v xml:space="preserve">  600V POWER CABLE 3/C 5.5 sq.mm  XLPE/PVC</v>
          </cell>
          <cell r="C61">
            <v>200</v>
          </cell>
          <cell r="D61" t="str">
            <v>M</v>
          </cell>
          <cell r="E61">
            <v>20</v>
          </cell>
          <cell r="F61">
            <v>4000</v>
          </cell>
          <cell r="H61">
            <v>0</v>
          </cell>
          <cell r="I61">
            <v>0.1</v>
          </cell>
          <cell r="J61">
            <v>20</v>
          </cell>
          <cell r="K61">
            <v>20</v>
          </cell>
          <cell r="L61">
            <v>4000</v>
          </cell>
          <cell r="M61">
            <v>0</v>
          </cell>
          <cell r="N61">
            <v>0</v>
          </cell>
          <cell r="O61">
            <v>28</v>
          </cell>
          <cell r="P61">
            <v>5600</v>
          </cell>
          <cell r="Q61">
            <v>0</v>
          </cell>
        </row>
        <row r="62">
          <cell r="A62">
            <v>5</v>
          </cell>
          <cell r="B62" t="str">
            <v xml:space="preserve">  600V POWER CABLE 3/C 22sq.mm  XLPE/PVC</v>
          </cell>
          <cell r="C62">
            <v>600</v>
          </cell>
          <cell r="D62" t="str">
            <v>M</v>
          </cell>
          <cell r="E62">
            <v>70</v>
          </cell>
          <cell r="F62">
            <v>42000</v>
          </cell>
          <cell r="H62">
            <v>0</v>
          </cell>
          <cell r="I62">
            <v>0.18099999999999999</v>
          </cell>
          <cell r="J62">
            <v>109</v>
          </cell>
          <cell r="K62">
            <v>70</v>
          </cell>
          <cell r="L62">
            <v>42000</v>
          </cell>
          <cell r="M62">
            <v>0</v>
          </cell>
          <cell r="N62">
            <v>0</v>
          </cell>
          <cell r="O62">
            <v>51</v>
          </cell>
          <cell r="P62">
            <v>30600</v>
          </cell>
          <cell r="Q62">
            <v>0</v>
          </cell>
        </row>
        <row r="63">
          <cell r="A63">
            <v>6</v>
          </cell>
          <cell r="B63" t="str">
            <v xml:space="preserve">  600V CONTROL CABLE 7/C 2.1 sq.mm  PVC/PVC</v>
          </cell>
          <cell r="C63">
            <v>600</v>
          </cell>
          <cell r="D63" t="str">
            <v>M</v>
          </cell>
          <cell r="E63">
            <v>24</v>
          </cell>
          <cell r="F63">
            <v>14400</v>
          </cell>
          <cell r="H63">
            <v>0</v>
          </cell>
          <cell r="I63">
            <v>0.105</v>
          </cell>
          <cell r="J63">
            <v>63</v>
          </cell>
          <cell r="K63">
            <v>24</v>
          </cell>
          <cell r="L63">
            <v>14400</v>
          </cell>
          <cell r="M63">
            <v>0</v>
          </cell>
          <cell r="N63">
            <v>0</v>
          </cell>
          <cell r="O63">
            <v>29</v>
          </cell>
          <cell r="P63">
            <v>17400</v>
          </cell>
          <cell r="Q63">
            <v>0</v>
          </cell>
        </row>
        <row r="64">
          <cell r="A64">
            <v>7</v>
          </cell>
          <cell r="B64" t="str">
            <v xml:space="preserve">  600V CONTROL CABLE 12/C 2.0 sq.mm  PVC/PVC</v>
          </cell>
          <cell r="C64">
            <v>200</v>
          </cell>
          <cell r="D64" t="str">
            <v>M</v>
          </cell>
          <cell r="E64">
            <v>38</v>
          </cell>
          <cell r="F64">
            <v>7600</v>
          </cell>
          <cell r="H64">
            <v>0</v>
          </cell>
          <cell r="I64">
            <v>0.13800000000000001</v>
          </cell>
          <cell r="J64">
            <v>28</v>
          </cell>
          <cell r="K64">
            <v>38</v>
          </cell>
          <cell r="L64">
            <v>7600</v>
          </cell>
          <cell r="M64">
            <v>0</v>
          </cell>
          <cell r="N64">
            <v>0</v>
          </cell>
          <cell r="O64">
            <v>39</v>
          </cell>
          <cell r="P64">
            <v>7800</v>
          </cell>
          <cell r="Q64">
            <v>0</v>
          </cell>
        </row>
        <row r="65">
          <cell r="A65">
            <v>8</v>
          </cell>
          <cell r="B65" t="str">
            <v xml:space="preserve">  8KV POWER CABLE 1/C 325 sq.mm XLPE/PVC</v>
          </cell>
          <cell r="C65">
            <v>2500</v>
          </cell>
          <cell r="D65" t="str">
            <v>M</v>
          </cell>
          <cell r="E65">
            <v>375</v>
          </cell>
          <cell r="F65">
            <v>937500</v>
          </cell>
          <cell r="H65">
            <v>0</v>
          </cell>
          <cell r="I65">
            <v>0.30199999999999999</v>
          </cell>
          <cell r="J65">
            <v>755</v>
          </cell>
          <cell r="K65">
            <v>375</v>
          </cell>
          <cell r="L65">
            <v>937500</v>
          </cell>
          <cell r="M65">
            <v>0</v>
          </cell>
          <cell r="N65">
            <v>0</v>
          </cell>
          <cell r="O65">
            <v>85</v>
          </cell>
          <cell r="P65">
            <v>212500</v>
          </cell>
        </row>
        <row r="66">
          <cell r="A66">
            <v>9</v>
          </cell>
          <cell r="B66" t="str">
            <v xml:space="preserve">  8KV TERMINATION KIT , 1/C 325 sq.mm </v>
          </cell>
          <cell r="C66">
            <v>24</v>
          </cell>
          <cell r="D66" t="str">
            <v>SET</v>
          </cell>
          <cell r="E66">
            <v>2542</v>
          </cell>
          <cell r="F66">
            <v>61008</v>
          </cell>
          <cell r="H66">
            <v>0</v>
          </cell>
          <cell r="I66">
            <v>5</v>
          </cell>
          <cell r="J66">
            <v>120</v>
          </cell>
          <cell r="K66">
            <v>2542</v>
          </cell>
          <cell r="L66">
            <v>61008</v>
          </cell>
          <cell r="M66">
            <v>0</v>
          </cell>
          <cell r="N66">
            <v>0</v>
          </cell>
          <cell r="O66">
            <v>1400</v>
          </cell>
          <cell r="P66">
            <v>33600</v>
          </cell>
        </row>
        <row r="67">
          <cell r="A67">
            <v>10</v>
          </cell>
          <cell r="B67" t="str">
            <v xml:space="preserve"> PVC CONDUIT, THICK WALL, CNS1302 SCH. B , 2"</v>
          </cell>
          <cell r="C67">
            <v>800</v>
          </cell>
          <cell r="D67" t="str">
            <v>M</v>
          </cell>
          <cell r="E67">
            <v>38</v>
          </cell>
          <cell r="F67">
            <v>30400</v>
          </cell>
          <cell r="H67">
            <v>0</v>
          </cell>
          <cell r="I67">
            <v>0.3</v>
          </cell>
          <cell r="J67">
            <v>240</v>
          </cell>
          <cell r="K67">
            <v>38</v>
          </cell>
          <cell r="L67">
            <v>30400</v>
          </cell>
          <cell r="M67">
            <v>0</v>
          </cell>
          <cell r="N67">
            <v>0</v>
          </cell>
          <cell r="O67">
            <v>84</v>
          </cell>
          <cell r="P67">
            <v>67200</v>
          </cell>
          <cell r="Q67">
            <v>0</v>
          </cell>
        </row>
        <row r="68">
          <cell r="A68">
            <v>11</v>
          </cell>
          <cell r="B68" t="str">
            <v xml:space="preserve"> PVC CONDUIT, THICK WALL, CNS1302 SCH. B , 6"</v>
          </cell>
          <cell r="C68">
            <v>800</v>
          </cell>
          <cell r="D68" t="str">
            <v>M</v>
          </cell>
          <cell r="E68">
            <v>242</v>
          </cell>
          <cell r="F68">
            <v>193600</v>
          </cell>
          <cell r="H68">
            <v>0</v>
          </cell>
          <cell r="I68">
            <v>0.68</v>
          </cell>
          <cell r="J68">
            <v>544</v>
          </cell>
          <cell r="K68">
            <v>242</v>
          </cell>
          <cell r="L68">
            <v>193600</v>
          </cell>
          <cell r="M68">
            <v>0</v>
          </cell>
          <cell r="N68">
            <v>0</v>
          </cell>
          <cell r="O68">
            <v>190</v>
          </cell>
          <cell r="P68">
            <v>152000</v>
          </cell>
          <cell r="Q68">
            <v>0</v>
          </cell>
        </row>
        <row r="69">
          <cell r="A69">
            <v>12</v>
          </cell>
          <cell r="B69" t="str">
            <v xml:space="preserve"> EXCAVATION</v>
          </cell>
          <cell r="C69">
            <v>350</v>
          </cell>
          <cell r="D69" t="str">
            <v>M3</v>
          </cell>
          <cell r="E69" t="str">
            <v>M+L</v>
          </cell>
          <cell r="F69" t="str">
            <v>M+L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 t="str">
            <v>M+L</v>
          </cell>
          <cell r="L69" t="str">
            <v>M+L</v>
          </cell>
          <cell r="M69">
            <v>0</v>
          </cell>
          <cell r="N69">
            <v>0</v>
          </cell>
          <cell r="O69">
            <v>60</v>
          </cell>
          <cell r="P69">
            <v>21000</v>
          </cell>
          <cell r="Q69">
            <v>0</v>
          </cell>
        </row>
        <row r="70">
          <cell r="A70">
            <v>13</v>
          </cell>
          <cell r="B70" t="str">
            <v xml:space="preserve"> BACKFILL</v>
          </cell>
          <cell r="C70">
            <v>250</v>
          </cell>
          <cell r="D70" t="str">
            <v>M3</v>
          </cell>
          <cell r="E70" t="str">
            <v>M+L</v>
          </cell>
          <cell r="F70" t="str">
            <v>M+L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 t="str">
            <v>M+L</v>
          </cell>
          <cell r="L70" t="str">
            <v>M+L</v>
          </cell>
          <cell r="M70">
            <v>0</v>
          </cell>
          <cell r="N70">
            <v>0</v>
          </cell>
          <cell r="O70">
            <v>100</v>
          </cell>
          <cell r="P70">
            <v>25000</v>
          </cell>
          <cell r="Q70">
            <v>0</v>
          </cell>
        </row>
        <row r="71">
          <cell r="A71">
            <v>14</v>
          </cell>
          <cell r="B71" t="str">
            <v xml:space="preserve"> CONCRETE FOR DUCT BANK 2000 PSI</v>
          </cell>
          <cell r="C71">
            <v>100</v>
          </cell>
          <cell r="D71" t="str">
            <v>M3</v>
          </cell>
          <cell r="E71" t="str">
            <v>M+L</v>
          </cell>
          <cell r="F71" t="str">
            <v>M+L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 t="str">
            <v>M+L</v>
          </cell>
          <cell r="L71" t="str">
            <v>M+L</v>
          </cell>
          <cell r="M71">
            <v>0</v>
          </cell>
          <cell r="N71">
            <v>0</v>
          </cell>
          <cell r="O71">
            <v>1700</v>
          </cell>
          <cell r="P71">
            <v>170000</v>
          </cell>
          <cell r="Q71">
            <v>0</v>
          </cell>
        </row>
        <row r="72">
          <cell r="A72">
            <v>15</v>
          </cell>
          <cell r="B72" t="str">
            <v xml:space="preserve"> RED COLORED OXIDE</v>
          </cell>
          <cell r="C72">
            <v>900</v>
          </cell>
          <cell r="D72" t="str">
            <v>KG</v>
          </cell>
          <cell r="E72" t="str">
            <v>M+L</v>
          </cell>
          <cell r="F72" t="str">
            <v>M+L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 t="str">
            <v>M+L</v>
          </cell>
          <cell r="L72" t="str">
            <v>M+L</v>
          </cell>
          <cell r="M72">
            <v>0</v>
          </cell>
          <cell r="N72">
            <v>0</v>
          </cell>
          <cell r="O72">
            <v>60</v>
          </cell>
          <cell r="P72">
            <v>54000</v>
          </cell>
          <cell r="Q72">
            <v>0</v>
          </cell>
        </row>
        <row r="73">
          <cell r="A73">
            <v>16</v>
          </cell>
          <cell r="B73" t="str">
            <v xml:space="preserve"> DISPOSAL</v>
          </cell>
          <cell r="C73">
            <v>100</v>
          </cell>
          <cell r="D73" t="str">
            <v>M3</v>
          </cell>
          <cell r="E73" t="str">
            <v>M+L</v>
          </cell>
          <cell r="F73" t="str">
            <v>M+L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 t="str">
            <v>M+L</v>
          </cell>
          <cell r="L73" t="str">
            <v>M+L</v>
          </cell>
          <cell r="M73">
            <v>0</v>
          </cell>
          <cell r="N73">
            <v>0</v>
          </cell>
          <cell r="O73">
            <v>220</v>
          </cell>
          <cell r="P73">
            <v>22000</v>
          </cell>
          <cell r="Q73">
            <v>0</v>
          </cell>
        </row>
        <row r="74">
          <cell r="A74">
            <v>17</v>
          </cell>
          <cell r="B74" t="str">
            <v xml:space="preserve"> FORMWORK</v>
          </cell>
          <cell r="C74">
            <v>300</v>
          </cell>
          <cell r="D74" t="str">
            <v>M2</v>
          </cell>
          <cell r="E74" t="str">
            <v>M+L</v>
          </cell>
          <cell r="F74" t="str">
            <v>M+L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 t="str">
            <v>M+L</v>
          </cell>
          <cell r="L74" t="str">
            <v>M+L</v>
          </cell>
          <cell r="M74">
            <v>0</v>
          </cell>
          <cell r="N74">
            <v>0</v>
          </cell>
          <cell r="O74">
            <v>360</v>
          </cell>
          <cell r="P74">
            <v>108000</v>
          </cell>
          <cell r="Q74">
            <v>0</v>
          </cell>
        </row>
        <row r="75">
          <cell r="A75">
            <v>18</v>
          </cell>
          <cell r="B75" t="str">
            <v xml:space="preserve"> RE-BAR</v>
          </cell>
          <cell r="C75">
            <v>1900</v>
          </cell>
          <cell r="D75" t="str">
            <v>KG</v>
          </cell>
          <cell r="E75" t="str">
            <v>M+L</v>
          </cell>
          <cell r="F75" t="str">
            <v>M+L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 t="str">
            <v>M+L</v>
          </cell>
          <cell r="L75" t="str">
            <v>M+L</v>
          </cell>
          <cell r="M75">
            <v>0</v>
          </cell>
          <cell r="N75">
            <v>0</v>
          </cell>
          <cell r="O75">
            <v>16</v>
          </cell>
          <cell r="P75">
            <v>30400</v>
          </cell>
          <cell r="Q75">
            <v>0</v>
          </cell>
        </row>
        <row r="76">
          <cell r="A76">
            <v>19</v>
          </cell>
          <cell r="B76" t="str">
            <v xml:space="preserve"> COMPOND FOR WATER SEALING(IN MH.)</v>
          </cell>
          <cell r="C76">
            <v>125</v>
          </cell>
          <cell r="D76" t="str">
            <v>KG</v>
          </cell>
          <cell r="E76" t="str">
            <v>M+L</v>
          </cell>
          <cell r="F76" t="str">
            <v>M+L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 t="str">
            <v>M+L</v>
          </cell>
          <cell r="L76" t="str">
            <v>M+L</v>
          </cell>
          <cell r="M76">
            <v>0</v>
          </cell>
          <cell r="N76">
            <v>0</v>
          </cell>
          <cell r="O76">
            <v>200</v>
          </cell>
          <cell r="P76">
            <v>25000</v>
          </cell>
          <cell r="Q76">
            <v>0</v>
          </cell>
        </row>
        <row r="77">
          <cell r="A77">
            <v>20</v>
          </cell>
          <cell r="B77" t="str">
            <v xml:space="preserve"> MISCELLANEOUS </v>
          </cell>
          <cell r="C77">
            <v>1</v>
          </cell>
          <cell r="D77" t="str">
            <v>LOT</v>
          </cell>
          <cell r="E77">
            <v>31995.239999999998</v>
          </cell>
          <cell r="F77">
            <v>31995</v>
          </cell>
          <cell r="I77">
            <v>32.85</v>
          </cell>
          <cell r="J77">
            <v>33</v>
          </cell>
          <cell r="K77">
            <v>31995</v>
          </cell>
          <cell r="L77">
            <v>31995</v>
          </cell>
          <cell r="M77">
            <v>0</v>
          </cell>
          <cell r="N77">
            <v>0</v>
          </cell>
          <cell r="O77">
            <v>9198</v>
          </cell>
          <cell r="P77">
            <v>9198</v>
          </cell>
        </row>
        <row r="78">
          <cell r="B78" t="str">
            <v>SUB-TOTAL : (ALT-2)</v>
          </cell>
          <cell r="F78">
            <v>7206503</v>
          </cell>
          <cell r="H78">
            <v>0</v>
          </cell>
          <cell r="J78">
            <v>2052</v>
          </cell>
          <cell r="K78">
            <v>0</v>
          </cell>
          <cell r="L78">
            <v>7206503</v>
          </cell>
          <cell r="M78">
            <v>0</v>
          </cell>
          <cell r="N78">
            <v>0</v>
          </cell>
          <cell r="O78">
            <v>0</v>
          </cell>
          <cell r="P78">
            <v>1030498</v>
          </cell>
          <cell r="Q78">
            <v>2052</v>
          </cell>
        </row>
        <row r="82">
          <cell r="A82" t="str">
            <v xml:space="preserve">  A.</v>
          </cell>
          <cell r="B82" t="str">
            <v xml:space="preserve"> POWER EQUIPMENT </v>
          </cell>
          <cell r="C82" t="str">
            <v xml:space="preserve"> </v>
          </cell>
          <cell r="D82" t="str">
            <v xml:space="preserve"> </v>
          </cell>
          <cell r="F82">
            <v>0</v>
          </cell>
          <cell r="H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</row>
        <row r="83">
          <cell r="F83">
            <v>0</v>
          </cell>
          <cell r="H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</row>
        <row r="84">
          <cell r="A84" t="str">
            <v>*</v>
          </cell>
          <cell r="B84" t="str">
            <v>DWG. NO. XK11A-0000-01</v>
          </cell>
          <cell r="F84">
            <v>0</v>
          </cell>
          <cell r="H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5">
          <cell r="A85" t="str">
            <v>A.1</v>
          </cell>
          <cell r="B85" t="str">
            <v>161KV SWITCHGEAR AREA</v>
          </cell>
          <cell r="F85">
            <v>0</v>
          </cell>
          <cell r="H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</row>
        <row r="86">
          <cell r="A86" t="str">
            <v>A.1.1</v>
          </cell>
          <cell r="B86" t="str">
            <v xml:space="preserve">  161KV SF6 GIS ,1250A 50KA , 2 BAYS ,W/ GCB, DS, ES, MOF, LA, CT…..</v>
          </cell>
          <cell r="C86">
            <v>1</v>
          </cell>
          <cell r="D86" t="str">
            <v>SET</v>
          </cell>
          <cell r="E86">
            <v>50540000</v>
          </cell>
          <cell r="F86">
            <v>50540000</v>
          </cell>
          <cell r="H86">
            <v>0</v>
          </cell>
          <cell r="I86">
            <v>4038</v>
          </cell>
          <cell r="J86">
            <v>4038</v>
          </cell>
          <cell r="K86">
            <v>50540000</v>
          </cell>
          <cell r="L86">
            <v>50540000</v>
          </cell>
          <cell r="M86">
            <v>0</v>
          </cell>
          <cell r="N86">
            <v>0</v>
          </cell>
          <cell r="O86">
            <v>1620000</v>
          </cell>
          <cell r="P86">
            <v>1620000</v>
          </cell>
        </row>
        <row r="87">
          <cell r="A87" t="str">
            <v>A.1.2</v>
          </cell>
          <cell r="B87" t="str">
            <v xml:space="preserve">  RELAY &amp; CONTROL PANEL, FOR GIS PANEL ,W/CONTROL CABLE &amp; PILOTWIRE RL</v>
          </cell>
          <cell r="C87">
            <v>1</v>
          </cell>
          <cell r="D87" t="str">
            <v>LOT</v>
          </cell>
          <cell r="E87">
            <v>3412700</v>
          </cell>
          <cell r="F87">
            <v>3412700</v>
          </cell>
          <cell r="H87">
            <v>0</v>
          </cell>
          <cell r="I87">
            <v>500</v>
          </cell>
          <cell r="J87">
            <v>500</v>
          </cell>
          <cell r="K87">
            <v>3412700</v>
          </cell>
          <cell r="L87">
            <v>3412700</v>
          </cell>
          <cell r="M87">
            <v>0</v>
          </cell>
          <cell r="N87">
            <v>0</v>
          </cell>
          <cell r="O87">
            <v>200000</v>
          </cell>
          <cell r="P87">
            <v>200000</v>
          </cell>
        </row>
        <row r="88">
          <cell r="A88" t="str">
            <v>A.1.3</v>
          </cell>
          <cell r="B88" t="str">
            <v xml:space="preserve">  161KV POWER CABLE  , 1/C 250 SQ.MM</v>
          </cell>
          <cell r="C88">
            <v>330</v>
          </cell>
          <cell r="D88" t="str">
            <v>M</v>
          </cell>
          <cell r="E88">
            <v>1680</v>
          </cell>
          <cell r="F88">
            <v>554400</v>
          </cell>
          <cell r="H88">
            <v>0</v>
          </cell>
          <cell r="I88">
            <v>1.1519999999999999</v>
          </cell>
          <cell r="J88">
            <v>380</v>
          </cell>
          <cell r="K88">
            <v>1680</v>
          </cell>
          <cell r="L88">
            <v>554400</v>
          </cell>
          <cell r="M88">
            <v>0</v>
          </cell>
          <cell r="N88">
            <v>0</v>
          </cell>
          <cell r="O88">
            <v>323</v>
          </cell>
          <cell r="P88">
            <v>106590</v>
          </cell>
        </row>
        <row r="89">
          <cell r="A89" t="str">
            <v>A.1.4</v>
          </cell>
          <cell r="B89" t="str">
            <v xml:space="preserve">  161KV TERMINATION KIT, HEAT SHRINKABLE TYPE , 1/C 250 SQ.MM</v>
          </cell>
          <cell r="C89">
            <v>12</v>
          </cell>
          <cell r="D89" t="str">
            <v>SET</v>
          </cell>
          <cell r="E89">
            <v>210000</v>
          </cell>
          <cell r="F89">
            <v>2520000</v>
          </cell>
          <cell r="H89">
            <v>0</v>
          </cell>
          <cell r="I89">
            <v>133</v>
          </cell>
          <cell r="J89">
            <v>1596</v>
          </cell>
          <cell r="K89">
            <v>210000</v>
          </cell>
          <cell r="L89">
            <v>2520000</v>
          </cell>
          <cell r="M89">
            <v>0</v>
          </cell>
          <cell r="N89">
            <v>0</v>
          </cell>
          <cell r="O89">
            <v>53200</v>
          </cell>
          <cell r="P89">
            <v>638400</v>
          </cell>
        </row>
        <row r="90">
          <cell r="A90" t="str">
            <v>A.1.5</v>
          </cell>
          <cell r="B90" t="str">
            <v xml:space="preserve">  MAIN POWER TRANSFORMER W/NGR &amp; LA*3, OIL-IMMERSED , 161KV/6.9KV 30/40MVA</v>
          </cell>
          <cell r="C90">
            <v>2</v>
          </cell>
          <cell r="D90" t="str">
            <v>SET</v>
          </cell>
          <cell r="E90">
            <v>10460000</v>
          </cell>
          <cell r="F90">
            <v>20920000</v>
          </cell>
          <cell r="H90">
            <v>0</v>
          </cell>
          <cell r="I90">
            <v>595</v>
          </cell>
          <cell r="J90">
            <v>1190</v>
          </cell>
          <cell r="K90">
            <v>10460000</v>
          </cell>
          <cell r="L90">
            <v>20920000</v>
          </cell>
          <cell r="M90">
            <v>0</v>
          </cell>
          <cell r="N90">
            <v>0</v>
          </cell>
          <cell r="O90">
            <v>238000</v>
          </cell>
          <cell r="P90">
            <v>476000</v>
          </cell>
        </row>
        <row r="91">
          <cell r="A91" t="str">
            <v>A.1.6</v>
          </cell>
          <cell r="B91" t="str">
            <v xml:space="preserve">  6.9KV BUS DUCT , 4000A INDOOR/OUTDOOR , 8M LG , 40KA</v>
          </cell>
          <cell r="C91">
            <v>2</v>
          </cell>
          <cell r="D91" t="str">
            <v>SET</v>
          </cell>
          <cell r="E91">
            <v>840000</v>
          </cell>
          <cell r="F91">
            <v>1680000</v>
          </cell>
          <cell r="H91">
            <v>0</v>
          </cell>
          <cell r="I91">
            <v>80</v>
          </cell>
          <cell r="J91">
            <v>160</v>
          </cell>
          <cell r="K91">
            <v>840000</v>
          </cell>
          <cell r="L91">
            <v>1680000</v>
          </cell>
          <cell r="M91">
            <v>0</v>
          </cell>
          <cell r="N91">
            <v>0</v>
          </cell>
          <cell r="O91">
            <v>22400</v>
          </cell>
          <cell r="P91">
            <v>44800</v>
          </cell>
        </row>
        <row r="92">
          <cell r="B92" t="str">
            <v>SUB-TOTAL (A.1)</v>
          </cell>
          <cell r="F92">
            <v>79627100</v>
          </cell>
          <cell r="J92">
            <v>7864</v>
          </cell>
          <cell r="L92">
            <v>79627100</v>
          </cell>
          <cell r="P92">
            <v>3085790</v>
          </cell>
        </row>
        <row r="93">
          <cell r="F93">
            <v>0</v>
          </cell>
          <cell r="H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</row>
        <row r="94">
          <cell r="A94" t="str">
            <v>*</v>
          </cell>
          <cell r="B94" t="str">
            <v>DWG. NO. XK11A-0000-02, 03 , 04</v>
          </cell>
          <cell r="F94">
            <v>0</v>
          </cell>
          <cell r="H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</row>
        <row r="95">
          <cell r="A95" t="str">
            <v xml:space="preserve">   A.2</v>
          </cell>
          <cell r="B95" t="str">
            <v>MAIN SUBSTATION (公共設施)</v>
          </cell>
          <cell r="H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</row>
        <row r="96">
          <cell r="A96" t="str">
            <v>A.2.1</v>
          </cell>
          <cell r="B96" t="str">
            <v xml:space="preserve">  6.9KV VCB 4000A 40KA , SWITCHGEAR INCOMING &amp; TIE PANEL </v>
          </cell>
          <cell r="C96">
            <v>3</v>
          </cell>
          <cell r="D96" t="str">
            <v>PNL</v>
          </cell>
          <cell r="E96">
            <v>1300000</v>
          </cell>
          <cell r="F96">
            <v>3900000</v>
          </cell>
          <cell r="H96">
            <v>0</v>
          </cell>
          <cell r="I96">
            <v>30</v>
          </cell>
          <cell r="J96">
            <v>90</v>
          </cell>
          <cell r="K96">
            <v>1300000</v>
          </cell>
          <cell r="L96">
            <v>3900000</v>
          </cell>
          <cell r="M96">
            <v>0</v>
          </cell>
          <cell r="N96">
            <v>0</v>
          </cell>
          <cell r="O96">
            <v>8400</v>
          </cell>
          <cell r="P96">
            <v>25200</v>
          </cell>
        </row>
        <row r="97">
          <cell r="A97" t="str">
            <v>A.2.2</v>
          </cell>
          <cell r="B97" t="str">
            <v xml:space="preserve">  6.9KV VCB 1250A 40KA , SWITCHGEAR FEEDER PANEL </v>
          </cell>
          <cell r="C97">
            <v>6</v>
          </cell>
          <cell r="D97" t="str">
            <v>PNL</v>
          </cell>
          <cell r="E97">
            <v>750000</v>
          </cell>
          <cell r="F97">
            <v>4500000</v>
          </cell>
          <cell r="H97">
            <v>0</v>
          </cell>
          <cell r="I97">
            <v>20</v>
          </cell>
          <cell r="J97">
            <v>120</v>
          </cell>
          <cell r="K97">
            <v>750000</v>
          </cell>
          <cell r="L97">
            <v>4500000</v>
          </cell>
          <cell r="M97">
            <v>0</v>
          </cell>
          <cell r="N97">
            <v>0</v>
          </cell>
          <cell r="O97">
            <v>5600</v>
          </cell>
          <cell r="P97">
            <v>33600</v>
          </cell>
        </row>
        <row r="98">
          <cell r="A98" t="str">
            <v>A.2.3</v>
          </cell>
          <cell r="B98" t="str">
            <v xml:space="preserve">  6.9KV 500KVA , W/GCS , CAPACIATOR PANEL</v>
          </cell>
          <cell r="C98">
            <v>2</v>
          </cell>
          <cell r="D98" t="str">
            <v>PNL</v>
          </cell>
          <cell r="E98">
            <v>600000</v>
          </cell>
          <cell r="F98">
            <v>1200000</v>
          </cell>
          <cell r="H98">
            <v>0</v>
          </cell>
          <cell r="I98">
            <v>20</v>
          </cell>
          <cell r="J98">
            <v>40</v>
          </cell>
          <cell r="K98">
            <v>600000</v>
          </cell>
          <cell r="L98">
            <v>1200000</v>
          </cell>
          <cell r="M98">
            <v>0</v>
          </cell>
          <cell r="N98">
            <v>0</v>
          </cell>
          <cell r="O98">
            <v>5600</v>
          </cell>
          <cell r="P98">
            <v>11200</v>
          </cell>
        </row>
        <row r="99">
          <cell r="A99" t="str">
            <v>A.2.4</v>
          </cell>
          <cell r="B99" t="str">
            <v xml:space="preserve">  CAST RESIN DRY TYPE TR. , IP20 ENCLOSURE , 3 PHASE 6.9KV/480V ,1000KVA </v>
          </cell>
          <cell r="C99">
            <v>2</v>
          </cell>
          <cell r="D99" t="str">
            <v>SET</v>
          </cell>
          <cell r="E99">
            <v>410000</v>
          </cell>
          <cell r="F99">
            <v>820000</v>
          </cell>
          <cell r="H99">
            <v>0</v>
          </cell>
          <cell r="I99">
            <v>108</v>
          </cell>
          <cell r="J99">
            <v>216</v>
          </cell>
          <cell r="K99">
            <v>410000</v>
          </cell>
          <cell r="L99">
            <v>820000</v>
          </cell>
          <cell r="M99">
            <v>0</v>
          </cell>
          <cell r="N99">
            <v>0</v>
          </cell>
          <cell r="O99">
            <v>30240</v>
          </cell>
          <cell r="P99">
            <v>60480</v>
          </cell>
        </row>
        <row r="100">
          <cell r="A100" t="str">
            <v>A.2.5</v>
          </cell>
          <cell r="B100" t="str">
            <v xml:space="preserve">  480V BUS DUCT, 3PH 3W, 1600A INDOOR, 30KA , 6M LG</v>
          </cell>
          <cell r="C100">
            <v>2</v>
          </cell>
          <cell r="D100" t="str">
            <v>SET</v>
          </cell>
          <cell r="E100">
            <v>210000</v>
          </cell>
          <cell r="F100">
            <v>420000</v>
          </cell>
          <cell r="H100">
            <v>0</v>
          </cell>
          <cell r="I100">
            <v>36</v>
          </cell>
          <cell r="J100">
            <v>72</v>
          </cell>
          <cell r="K100">
            <v>210000</v>
          </cell>
          <cell r="L100">
            <v>420000</v>
          </cell>
          <cell r="M100">
            <v>0</v>
          </cell>
          <cell r="N100">
            <v>0</v>
          </cell>
          <cell r="O100">
            <v>10080</v>
          </cell>
          <cell r="P100">
            <v>20160</v>
          </cell>
        </row>
        <row r="101">
          <cell r="A101" t="str">
            <v>A.2.6</v>
          </cell>
          <cell r="B101" t="str">
            <v xml:space="preserve">  480V SWGR , 30KA, INCOMING ACB1600Ax2PNL &amp; TIE ACB1600A </v>
          </cell>
          <cell r="C101">
            <v>1</v>
          </cell>
          <cell r="D101" t="str">
            <v>LOT</v>
          </cell>
          <cell r="E101">
            <v>1100000</v>
          </cell>
          <cell r="F101">
            <v>1100000</v>
          </cell>
          <cell r="H101">
            <v>0</v>
          </cell>
          <cell r="I101">
            <v>60</v>
          </cell>
          <cell r="J101">
            <v>60</v>
          </cell>
          <cell r="K101">
            <v>1100000</v>
          </cell>
          <cell r="L101">
            <v>1100000</v>
          </cell>
          <cell r="M101">
            <v>0</v>
          </cell>
          <cell r="N101">
            <v>0</v>
          </cell>
          <cell r="O101">
            <v>16800</v>
          </cell>
          <cell r="P101">
            <v>16800</v>
          </cell>
        </row>
        <row r="102">
          <cell r="A102" t="str">
            <v>A.2.7</v>
          </cell>
          <cell r="B102" t="str">
            <v xml:space="preserve">  480V MCC SINGLE FACE , 30KA</v>
          </cell>
          <cell r="C102">
            <v>7</v>
          </cell>
          <cell r="D102" t="str">
            <v>PNL</v>
          </cell>
          <cell r="E102">
            <v>120000</v>
          </cell>
          <cell r="F102">
            <v>840000</v>
          </cell>
          <cell r="H102">
            <v>0</v>
          </cell>
          <cell r="I102">
            <v>15</v>
          </cell>
          <cell r="J102">
            <v>105</v>
          </cell>
          <cell r="K102">
            <v>120000</v>
          </cell>
          <cell r="L102">
            <v>840000</v>
          </cell>
          <cell r="M102">
            <v>0</v>
          </cell>
          <cell r="N102">
            <v>0</v>
          </cell>
          <cell r="O102">
            <v>4200</v>
          </cell>
          <cell r="P102">
            <v>29400</v>
          </cell>
        </row>
        <row r="103">
          <cell r="B103" t="str">
            <v>SUB-TOTAL (A.2)</v>
          </cell>
          <cell r="F103">
            <v>12780000</v>
          </cell>
          <cell r="J103">
            <v>703</v>
          </cell>
          <cell r="L103">
            <v>12780000</v>
          </cell>
          <cell r="P103">
            <v>196840</v>
          </cell>
        </row>
        <row r="105">
          <cell r="A105" t="str">
            <v>*</v>
          </cell>
          <cell r="B105" t="str">
            <v>DWG. NO. XK11A-0000-05,06,07,08</v>
          </cell>
          <cell r="F105">
            <v>0</v>
          </cell>
          <cell r="H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</row>
        <row r="106">
          <cell r="A106" t="str">
            <v xml:space="preserve">   A.3</v>
          </cell>
          <cell r="B106" t="str">
            <v>NO.1 SUBSTATION (場區)</v>
          </cell>
          <cell r="F106">
            <v>0</v>
          </cell>
          <cell r="H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</row>
        <row r="107">
          <cell r="A107" t="str">
            <v>A.3.1</v>
          </cell>
          <cell r="B107" t="str">
            <v xml:space="preserve">  6.9KV VCB 1250A 40KA , SWITCHGEAR INCOMING &amp; TIE PANEL &amp; FEEDER PANEL</v>
          </cell>
          <cell r="C107">
            <v>5</v>
          </cell>
          <cell r="D107" t="str">
            <v>PNL</v>
          </cell>
          <cell r="E107">
            <v>800000</v>
          </cell>
          <cell r="F107">
            <v>4000000</v>
          </cell>
          <cell r="H107">
            <v>0</v>
          </cell>
          <cell r="I107">
            <v>20</v>
          </cell>
          <cell r="J107">
            <v>100</v>
          </cell>
          <cell r="K107">
            <v>800000</v>
          </cell>
          <cell r="L107">
            <v>4000000</v>
          </cell>
          <cell r="M107">
            <v>0</v>
          </cell>
          <cell r="N107">
            <v>0</v>
          </cell>
          <cell r="O107">
            <v>5600</v>
          </cell>
          <cell r="P107">
            <v>28000</v>
          </cell>
        </row>
        <row r="108">
          <cell r="A108" t="str">
            <v>A.3.2</v>
          </cell>
          <cell r="B108" t="str">
            <v xml:space="preserve">  6.9KV GCS ,  NEMA CLASS E2 , MCC PANEL</v>
          </cell>
          <cell r="C108">
            <v>10</v>
          </cell>
          <cell r="D108" t="str">
            <v>PNL</v>
          </cell>
          <cell r="E108">
            <v>500000</v>
          </cell>
          <cell r="F108">
            <v>5000000</v>
          </cell>
          <cell r="H108">
            <v>0</v>
          </cell>
          <cell r="I108">
            <v>20</v>
          </cell>
          <cell r="J108">
            <v>200</v>
          </cell>
          <cell r="K108">
            <v>500000</v>
          </cell>
          <cell r="L108">
            <v>5000000</v>
          </cell>
          <cell r="M108">
            <v>0</v>
          </cell>
          <cell r="N108">
            <v>0</v>
          </cell>
          <cell r="O108">
            <v>5600</v>
          </cell>
          <cell r="P108">
            <v>56000</v>
          </cell>
        </row>
        <row r="109">
          <cell r="A109" t="str">
            <v>A.3.3</v>
          </cell>
          <cell r="B109" t="str">
            <v xml:space="preserve">  6.9KV 500KVA , W/GCS , CAPACIATOR PANEL</v>
          </cell>
          <cell r="C109">
            <v>8</v>
          </cell>
          <cell r="D109" t="str">
            <v>PNL</v>
          </cell>
          <cell r="E109">
            <v>600000</v>
          </cell>
          <cell r="F109">
            <v>4800000</v>
          </cell>
          <cell r="H109">
            <v>0</v>
          </cell>
          <cell r="I109">
            <v>20</v>
          </cell>
          <cell r="J109">
            <v>160</v>
          </cell>
          <cell r="K109">
            <v>600000</v>
          </cell>
          <cell r="L109">
            <v>4800000</v>
          </cell>
          <cell r="M109">
            <v>0</v>
          </cell>
          <cell r="N109">
            <v>0</v>
          </cell>
          <cell r="O109">
            <v>5600</v>
          </cell>
          <cell r="P109">
            <v>44800</v>
          </cell>
        </row>
        <row r="110">
          <cell r="A110" t="str">
            <v>A.3.4</v>
          </cell>
          <cell r="B110" t="str">
            <v xml:space="preserve">  CAST RESIN DRY TYPE TR. , IP20 ENCLOSURE , 3 PHASE 6.9KV/480V ,2000/2500KVA </v>
          </cell>
          <cell r="C110">
            <v>2</v>
          </cell>
          <cell r="D110" t="str">
            <v>SET</v>
          </cell>
          <cell r="E110">
            <v>652000</v>
          </cell>
          <cell r="F110">
            <v>1304000</v>
          </cell>
          <cell r="H110">
            <v>0</v>
          </cell>
          <cell r="I110">
            <v>170</v>
          </cell>
          <cell r="J110">
            <v>340</v>
          </cell>
          <cell r="K110">
            <v>652000</v>
          </cell>
          <cell r="L110">
            <v>1304000</v>
          </cell>
          <cell r="M110">
            <v>0</v>
          </cell>
          <cell r="N110">
            <v>0</v>
          </cell>
          <cell r="O110">
            <v>47600</v>
          </cell>
          <cell r="P110">
            <v>95200</v>
          </cell>
        </row>
        <row r="111">
          <cell r="A111" t="str">
            <v>A.3.5</v>
          </cell>
          <cell r="B111" t="str">
            <v xml:space="preserve">  480V BUS DUCT, 3PH 3W, 4000A INDOOR, 65KA , 6M LG</v>
          </cell>
          <cell r="C111">
            <v>2</v>
          </cell>
          <cell r="D111" t="str">
            <v>SET</v>
          </cell>
          <cell r="E111">
            <v>350000</v>
          </cell>
          <cell r="F111">
            <v>700000</v>
          </cell>
          <cell r="H111">
            <v>0</v>
          </cell>
          <cell r="I111">
            <v>36</v>
          </cell>
          <cell r="J111">
            <v>72</v>
          </cell>
          <cell r="K111">
            <v>350000</v>
          </cell>
          <cell r="L111">
            <v>700000</v>
          </cell>
          <cell r="M111">
            <v>0</v>
          </cell>
          <cell r="N111">
            <v>0</v>
          </cell>
          <cell r="O111">
            <v>10080</v>
          </cell>
          <cell r="P111">
            <v>20160</v>
          </cell>
        </row>
        <row r="112">
          <cell r="A112" t="str">
            <v>A.3.6</v>
          </cell>
          <cell r="B112" t="str">
            <v xml:space="preserve">  480V SWGR , 65KA, INCOMING ACB4000Ax2PNL &amp; TIE ACB4000A</v>
          </cell>
          <cell r="C112">
            <v>1</v>
          </cell>
          <cell r="D112" t="str">
            <v>LOT</v>
          </cell>
          <cell r="E112">
            <v>1830000</v>
          </cell>
          <cell r="F112">
            <v>1830000</v>
          </cell>
          <cell r="H112">
            <v>0</v>
          </cell>
          <cell r="I112">
            <v>60</v>
          </cell>
          <cell r="J112">
            <v>60</v>
          </cell>
          <cell r="K112">
            <v>1830000</v>
          </cell>
          <cell r="L112">
            <v>1830000</v>
          </cell>
          <cell r="M112">
            <v>0</v>
          </cell>
          <cell r="N112">
            <v>0</v>
          </cell>
          <cell r="O112">
            <v>16800</v>
          </cell>
          <cell r="P112">
            <v>16800</v>
          </cell>
        </row>
        <row r="113">
          <cell r="A113" t="str">
            <v>A.3.7</v>
          </cell>
          <cell r="B113" t="str">
            <v xml:space="preserve">  480V MCC SINGLE FACE , 65KA</v>
          </cell>
          <cell r="C113">
            <v>19</v>
          </cell>
          <cell r="D113" t="str">
            <v>PNL</v>
          </cell>
          <cell r="E113">
            <v>160000</v>
          </cell>
          <cell r="F113">
            <v>3040000</v>
          </cell>
          <cell r="H113">
            <v>0</v>
          </cell>
          <cell r="I113">
            <v>15</v>
          </cell>
          <cell r="J113">
            <v>285</v>
          </cell>
          <cell r="K113">
            <v>160000</v>
          </cell>
          <cell r="L113">
            <v>3040000</v>
          </cell>
          <cell r="M113">
            <v>0</v>
          </cell>
          <cell r="N113">
            <v>0</v>
          </cell>
          <cell r="O113">
            <v>4200</v>
          </cell>
          <cell r="P113">
            <v>79800</v>
          </cell>
        </row>
        <row r="114">
          <cell r="A114" t="str">
            <v>A.3.8</v>
          </cell>
          <cell r="B114" t="str">
            <v xml:space="preserve">  480V EMERGENCY SWGR , 65KA, 4000A ACB</v>
          </cell>
          <cell r="C114">
            <v>2</v>
          </cell>
          <cell r="D114" t="str">
            <v>PNL</v>
          </cell>
          <cell r="E114">
            <v>610000</v>
          </cell>
          <cell r="F114">
            <v>1220000</v>
          </cell>
          <cell r="H114">
            <v>0</v>
          </cell>
          <cell r="I114">
            <v>20</v>
          </cell>
          <cell r="J114">
            <v>40</v>
          </cell>
          <cell r="K114">
            <v>610000</v>
          </cell>
          <cell r="L114">
            <v>1220000</v>
          </cell>
          <cell r="M114">
            <v>0</v>
          </cell>
          <cell r="N114">
            <v>0</v>
          </cell>
          <cell r="O114">
            <v>5600</v>
          </cell>
          <cell r="P114">
            <v>11200</v>
          </cell>
        </row>
        <row r="115">
          <cell r="A115" t="str">
            <v>A.3.9</v>
          </cell>
          <cell r="B115" t="str">
            <v xml:space="preserve">  480V EMERGENCY MCC SINGLE FACE , 40KA</v>
          </cell>
          <cell r="C115">
            <v>3</v>
          </cell>
          <cell r="D115" t="str">
            <v>PNL</v>
          </cell>
          <cell r="E115">
            <v>140000</v>
          </cell>
          <cell r="F115">
            <v>420000</v>
          </cell>
          <cell r="H115">
            <v>0</v>
          </cell>
          <cell r="I115">
            <v>15</v>
          </cell>
          <cell r="J115">
            <v>45</v>
          </cell>
          <cell r="K115">
            <v>140000</v>
          </cell>
          <cell r="L115">
            <v>420000</v>
          </cell>
          <cell r="M115">
            <v>0</v>
          </cell>
          <cell r="N115">
            <v>0</v>
          </cell>
          <cell r="O115">
            <v>4200</v>
          </cell>
          <cell r="P115">
            <v>12600</v>
          </cell>
        </row>
        <row r="116">
          <cell r="B116" t="str">
            <v>SUB-TOTAL (A.3)</v>
          </cell>
          <cell r="F116">
            <v>22314000</v>
          </cell>
          <cell r="J116">
            <v>1302</v>
          </cell>
          <cell r="L116">
            <v>22314000</v>
          </cell>
          <cell r="P116">
            <v>364560</v>
          </cell>
        </row>
        <row r="117">
          <cell r="F117">
            <v>0</v>
          </cell>
          <cell r="H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</row>
        <row r="118">
          <cell r="A118" t="str">
            <v>*</v>
          </cell>
          <cell r="B118" t="str">
            <v>DWG. NO. XK11A-0000-09,10</v>
          </cell>
          <cell r="F118">
            <v>0</v>
          </cell>
          <cell r="H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</row>
        <row r="119">
          <cell r="A119" t="str">
            <v xml:space="preserve">   A.4</v>
          </cell>
          <cell r="B119" t="str">
            <v>NO.2 SUBSTATION (碼頭區)</v>
          </cell>
          <cell r="F119">
            <v>0</v>
          </cell>
          <cell r="H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A120" t="str">
            <v>A.4.1</v>
          </cell>
          <cell r="B120" t="str">
            <v xml:space="preserve">  6.9KV VCB 1250A 40KA , SWITCHGEAR INCOMING &amp; TIE PANEL &amp; FEEDER PANEL</v>
          </cell>
          <cell r="C120">
            <v>5</v>
          </cell>
          <cell r="D120" t="str">
            <v>PNL</v>
          </cell>
          <cell r="E120">
            <v>800000</v>
          </cell>
          <cell r="F120">
            <v>4000000</v>
          </cell>
          <cell r="H120">
            <v>0</v>
          </cell>
          <cell r="I120">
            <v>20</v>
          </cell>
          <cell r="J120">
            <v>100</v>
          </cell>
          <cell r="K120">
            <v>800000</v>
          </cell>
          <cell r="L120">
            <v>4000000</v>
          </cell>
          <cell r="M120">
            <v>0</v>
          </cell>
          <cell r="N120">
            <v>0</v>
          </cell>
          <cell r="O120">
            <v>5600</v>
          </cell>
          <cell r="P120">
            <v>28000</v>
          </cell>
        </row>
        <row r="121">
          <cell r="A121" t="str">
            <v>A.4.2</v>
          </cell>
          <cell r="B121" t="str">
            <v xml:space="preserve">  6.9KV VCB 1250A , MCC PANEL</v>
          </cell>
          <cell r="C121">
            <v>3</v>
          </cell>
          <cell r="D121" t="str">
            <v>PNL</v>
          </cell>
          <cell r="E121">
            <v>700000</v>
          </cell>
          <cell r="F121">
            <v>2100000</v>
          </cell>
          <cell r="H121">
            <v>0</v>
          </cell>
          <cell r="I121">
            <v>20</v>
          </cell>
          <cell r="J121">
            <v>60</v>
          </cell>
          <cell r="K121">
            <v>700000</v>
          </cell>
          <cell r="L121">
            <v>2100000</v>
          </cell>
          <cell r="M121">
            <v>0</v>
          </cell>
          <cell r="N121">
            <v>0</v>
          </cell>
          <cell r="O121">
            <v>5600</v>
          </cell>
          <cell r="P121">
            <v>16800</v>
          </cell>
        </row>
        <row r="122">
          <cell r="A122" t="str">
            <v>A.4.3</v>
          </cell>
          <cell r="B122" t="str">
            <v xml:space="preserve">  6.9KV 500KVA , W/GCS , CAPACIATOR PANEL</v>
          </cell>
          <cell r="C122">
            <v>2</v>
          </cell>
          <cell r="D122" t="str">
            <v>PNL</v>
          </cell>
          <cell r="E122">
            <v>600000</v>
          </cell>
          <cell r="F122">
            <v>1200000</v>
          </cell>
          <cell r="H122">
            <v>0</v>
          </cell>
          <cell r="I122">
            <v>20</v>
          </cell>
          <cell r="J122">
            <v>40</v>
          </cell>
          <cell r="K122">
            <v>600000</v>
          </cell>
          <cell r="L122">
            <v>1200000</v>
          </cell>
          <cell r="M122">
            <v>0</v>
          </cell>
          <cell r="N122">
            <v>0</v>
          </cell>
          <cell r="O122">
            <v>5600</v>
          </cell>
          <cell r="P122">
            <v>11200</v>
          </cell>
        </row>
        <row r="123">
          <cell r="A123" t="str">
            <v>A.4.4</v>
          </cell>
          <cell r="B123" t="str">
            <v xml:space="preserve">  6.9KV 1000KVA , W/GCS , CAPACIATOR PANEL</v>
          </cell>
          <cell r="C123">
            <v>2</v>
          </cell>
          <cell r="D123" t="str">
            <v>PNL</v>
          </cell>
          <cell r="E123">
            <v>900000</v>
          </cell>
          <cell r="F123">
            <v>1800000</v>
          </cell>
          <cell r="H123">
            <v>0</v>
          </cell>
          <cell r="I123">
            <v>20</v>
          </cell>
          <cell r="J123">
            <v>40</v>
          </cell>
          <cell r="K123">
            <v>900000</v>
          </cell>
          <cell r="L123">
            <v>1800000</v>
          </cell>
          <cell r="M123">
            <v>0</v>
          </cell>
          <cell r="N123">
            <v>0</v>
          </cell>
          <cell r="O123">
            <v>5600</v>
          </cell>
          <cell r="P123">
            <v>11200</v>
          </cell>
        </row>
        <row r="124">
          <cell r="A124" t="str">
            <v>A.4.5</v>
          </cell>
          <cell r="B124" t="str">
            <v xml:space="preserve">  CAST RESIN DRY TYPE TR. , IP20 ENCLOSURE , 3 PHASE 6.9KV/480V ,1000KVA </v>
          </cell>
          <cell r="C124">
            <v>2</v>
          </cell>
          <cell r="D124" t="str">
            <v>SET</v>
          </cell>
          <cell r="E124">
            <v>410000</v>
          </cell>
          <cell r="F124">
            <v>820000</v>
          </cell>
          <cell r="H124">
            <v>0</v>
          </cell>
          <cell r="I124">
            <v>108</v>
          </cell>
          <cell r="J124">
            <v>216</v>
          </cell>
          <cell r="K124">
            <v>410000</v>
          </cell>
          <cell r="L124">
            <v>820000</v>
          </cell>
          <cell r="M124">
            <v>0</v>
          </cell>
          <cell r="N124">
            <v>0</v>
          </cell>
          <cell r="O124">
            <v>30240</v>
          </cell>
          <cell r="P124">
            <v>60480</v>
          </cell>
        </row>
        <row r="125">
          <cell r="A125" t="str">
            <v>A.4.6</v>
          </cell>
          <cell r="B125" t="str">
            <v xml:space="preserve">  480V BUS DUCT, 3PH 3W, 1600A INDOOR, 30KA , 6M LG</v>
          </cell>
          <cell r="C125">
            <v>2</v>
          </cell>
          <cell r="D125" t="str">
            <v>SET</v>
          </cell>
          <cell r="E125">
            <v>210000</v>
          </cell>
          <cell r="F125">
            <v>420000</v>
          </cell>
          <cell r="H125">
            <v>0</v>
          </cell>
          <cell r="I125">
            <v>36</v>
          </cell>
          <cell r="J125">
            <v>72</v>
          </cell>
          <cell r="K125">
            <v>210000</v>
          </cell>
          <cell r="L125">
            <v>420000</v>
          </cell>
          <cell r="M125">
            <v>0</v>
          </cell>
          <cell r="N125">
            <v>0</v>
          </cell>
          <cell r="O125">
            <v>10080</v>
          </cell>
          <cell r="P125">
            <v>20160</v>
          </cell>
        </row>
        <row r="126">
          <cell r="A126" t="str">
            <v>A.4.7</v>
          </cell>
          <cell r="B126" t="str">
            <v xml:space="preserve">  480V SWGR , 30KA, INCOMING ACB1600Ax2PNL &amp; TIE ACB1600A </v>
          </cell>
          <cell r="C126">
            <v>1</v>
          </cell>
          <cell r="D126" t="str">
            <v>LOT</v>
          </cell>
          <cell r="E126">
            <v>1100000</v>
          </cell>
          <cell r="F126">
            <v>1100000</v>
          </cell>
          <cell r="H126">
            <v>0</v>
          </cell>
          <cell r="I126">
            <v>60</v>
          </cell>
          <cell r="J126">
            <v>60</v>
          </cell>
          <cell r="K126">
            <v>1100000</v>
          </cell>
          <cell r="L126">
            <v>1100000</v>
          </cell>
          <cell r="M126">
            <v>0</v>
          </cell>
          <cell r="N126">
            <v>0</v>
          </cell>
          <cell r="O126">
            <v>16800</v>
          </cell>
          <cell r="P126">
            <v>16800</v>
          </cell>
        </row>
        <row r="127">
          <cell r="A127" t="str">
            <v>A.4.8</v>
          </cell>
          <cell r="B127" t="str">
            <v xml:space="preserve">  480V MCC SINGLE FACE , 30KA</v>
          </cell>
          <cell r="C127">
            <v>7</v>
          </cell>
          <cell r="D127" t="str">
            <v>PNL</v>
          </cell>
          <cell r="E127">
            <v>120000</v>
          </cell>
          <cell r="F127">
            <v>840000</v>
          </cell>
          <cell r="H127">
            <v>0</v>
          </cell>
          <cell r="I127">
            <v>15</v>
          </cell>
          <cell r="J127">
            <v>105</v>
          </cell>
          <cell r="K127">
            <v>120000</v>
          </cell>
          <cell r="L127">
            <v>840000</v>
          </cell>
          <cell r="M127">
            <v>0</v>
          </cell>
          <cell r="N127">
            <v>0</v>
          </cell>
          <cell r="O127">
            <v>4200</v>
          </cell>
          <cell r="P127">
            <v>29400</v>
          </cell>
        </row>
        <row r="128">
          <cell r="B128" t="str">
            <v>SUB-TOTAL (A.4)</v>
          </cell>
          <cell r="F128">
            <v>12280000</v>
          </cell>
          <cell r="J128">
            <v>693</v>
          </cell>
          <cell r="L128">
            <v>12280000</v>
          </cell>
          <cell r="P128">
            <v>194040</v>
          </cell>
        </row>
        <row r="129">
          <cell r="F129">
            <v>0</v>
          </cell>
          <cell r="H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A130" t="str">
            <v>A.5</v>
          </cell>
          <cell r="B130" t="str">
            <v xml:space="preserve"> DISEL STAND-BY GENERATOR 1250KW OUTPUT,</v>
          </cell>
          <cell r="C130">
            <v>1</v>
          </cell>
          <cell r="D130" t="str">
            <v>SET</v>
          </cell>
          <cell r="E130">
            <v>6250000</v>
          </cell>
          <cell r="F130">
            <v>6250000</v>
          </cell>
          <cell r="H130">
            <v>0</v>
          </cell>
          <cell r="I130">
            <v>560</v>
          </cell>
          <cell r="J130">
            <v>560</v>
          </cell>
          <cell r="K130">
            <v>6250000</v>
          </cell>
          <cell r="L130">
            <v>6250000</v>
          </cell>
          <cell r="M130">
            <v>0</v>
          </cell>
          <cell r="N130">
            <v>0</v>
          </cell>
          <cell r="O130">
            <v>224000</v>
          </cell>
          <cell r="P130">
            <v>224000</v>
          </cell>
        </row>
        <row r="131">
          <cell r="B131" t="str">
            <v xml:space="preserve"> 3PH 3W 480V, W/ CONTROL PANEL , DALY TANK</v>
          </cell>
          <cell r="F131">
            <v>0</v>
          </cell>
          <cell r="H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</row>
        <row r="132">
          <cell r="F132">
            <v>0</v>
          </cell>
          <cell r="H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</row>
        <row r="133">
          <cell r="A133" t="str">
            <v>A.6</v>
          </cell>
          <cell r="B133" t="str">
            <v>3 PHASE 480V-120V UPS</v>
          </cell>
          <cell r="F133">
            <v>0</v>
          </cell>
          <cell r="H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</row>
        <row r="134">
          <cell r="A134" t="str">
            <v>A.6.1</v>
          </cell>
          <cell r="B134" t="str">
            <v xml:space="preserve"> 100 KVA ,  W/ BATTERY LEAD-CALCIUM TYPE 30 MIN.</v>
          </cell>
          <cell r="C134">
            <v>1</v>
          </cell>
          <cell r="D134" t="str">
            <v>SET</v>
          </cell>
          <cell r="E134">
            <v>1250000</v>
          </cell>
          <cell r="F134">
            <v>1250000</v>
          </cell>
          <cell r="H134">
            <v>0</v>
          </cell>
          <cell r="I134">
            <v>188</v>
          </cell>
          <cell r="J134">
            <v>188</v>
          </cell>
          <cell r="K134">
            <v>1250000</v>
          </cell>
          <cell r="L134">
            <v>1250000</v>
          </cell>
          <cell r="M134">
            <v>0</v>
          </cell>
          <cell r="N134">
            <v>0</v>
          </cell>
          <cell r="O134">
            <v>52640</v>
          </cell>
          <cell r="P134">
            <v>52640</v>
          </cell>
        </row>
        <row r="135">
          <cell r="A135" t="str">
            <v>A.6.2</v>
          </cell>
          <cell r="B135" t="str">
            <v xml:space="preserve"> 15 KVA ,  W/ BATTERY LEAD-CALCIUM TYPE 30 MIN.</v>
          </cell>
          <cell r="C135">
            <v>1</v>
          </cell>
          <cell r="D135" t="str">
            <v>SET</v>
          </cell>
          <cell r="E135">
            <v>300000</v>
          </cell>
          <cell r="F135">
            <v>300000</v>
          </cell>
          <cell r="H135">
            <v>0</v>
          </cell>
          <cell r="I135">
            <v>50</v>
          </cell>
          <cell r="J135">
            <v>50</v>
          </cell>
          <cell r="K135">
            <v>300000</v>
          </cell>
          <cell r="L135">
            <v>300000</v>
          </cell>
          <cell r="M135">
            <v>0</v>
          </cell>
          <cell r="N135">
            <v>0</v>
          </cell>
          <cell r="O135">
            <v>14000</v>
          </cell>
          <cell r="P135">
            <v>14000</v>
          </cell>
        </row>
        <row r="136">
          <cell r="B136" t="str">
            <v>SUB-TOTAL (A.6)</v>
          </cell>
          <cell r="F136">
            <v>1550000</v>
          </cell>
          <cell r="J136">
            <v>238</v>
          </cell>
          <cell r="L136">
            <v>1550000</v>
          </cell>
          <cell r="P136">
            <v>66640</v>
          </cell>
        </row>
        <row r="138">
          <cell r="A138" t="str">
            <v>A.7</v>
          </cell>
          <cell r="B138" t="str">
            <v xml:space="preserve">  DC POWER SUPPLY       </v>
          </cell>
        </row>
        <row r="139">
          <cell r="A139" t="str">
            <v>A.7.1</v>
          </cell>
          <cell r="B139" t="str">
            <v xml:space="preserve"> 125VDC CHAGER, 50A,  W/ 60AH LEAD-CALCIUM BATTERY &amp; RACK</v>
          </cell>
          <cell r="C139">
            <v>1</v>
          </cell>
          <cell r="D139" t="str">
            <v>SET</v>
          </cell>
          <cell r="E139">
            <v>325000</v>
          </cell>
          <cell r="F139">
            <v>325000</v>
          </cell>
          <cell r="H139">
            <v>0</v>
          </cell>
          <cell r="I139">
            <v>50</v>
          </cell>
          <cell r="J139">
            <v>50</v>
          </cell>
          <cell r="K139">
            <v>325000</v>
          </cell>
          <cell r="L139">
            <v>325000</v>
          </cell>
          <cell r="M139">
            <v>0</v>
          </cell>
          <cell r="N139">
            <v>0</v>
          </cell>
          <cell r="O139">
            <v>14000</v>
          </cell>
          <cell r="P139">
            <v>14000</v>
          </cell>
        </row>
        <row r="140">
          <cell r="A140" t="str">
            <v>A.7.2</v>
          </cell>
          <cell r="B140" t="str">
            <v xml:space="preserve"> 125VDC CHAGER, 25A,  W/ 30AH LEAD-CALCIUM BATTERY &amp; RACK</v>
          </cell>
          <cell r="C140">
            <v>2</v>
          </cell>
          <cell r="D140" t="str">
            <v>SET</v>
          </cell>
          <cell r="E140">
            <v>245000</v>
          </cell>
          <cell r="F140">
            <v>490000</v>
          </cell>
          <cell r="H140">
            <v>0</v>
          </cell>
          <cell r="I140">
            <v>35</v>
          </cell>
          <cell r="J140">
            <v>70</v>
          </cell>
          <cell r="K140">
            <v>245000</v>
          </cell>
          <cell r="L140">
            <v>490000</v>
          </cell>
          <cell r="M140">
            <v>0</v>
          </cell>
          <cell r="N140">
            <v>0</v>
          </cell>
          <cell r="O140">
            <v>9800</v>
          </cell>
          <cell r="P140">
            <v>19600</v>
          </cell>
        </row>
        <row r="141">
          <cell r="B141" t="str">
            <v>SUB-TOTAL (A7)</v>
          </cell>
          <cell r="F141">
            <v>815000</v>
          </cell>
          <cell r="J141">
            <v>120</v>
          </cell>
          <cell r="L141">
            <v>815000</v>
          </cell>
          <cell r="P141">
            <v>33600</v>
          </cell>
        </row>
        <row r="143">
          <cell r="A143" t="str">
            <v>A.8</v>
          </cell>
          <cell r="B143" t="str">
            <v>OTHER</v>
          </cell>
        </row>
        <row r="144">
          <cell r="A144" t="str">
            <v>A.8.1</v>
          </cell>
          <cell r="B144" t="str">
            <v>SELF-STANDING POWER PANEL, 480V, 65KA</v>
          </cell>
          <cell r="C144">
            <v>1</v>
          </cell>
          <cell r="D144" t="str">
            <v>SET</v>
          </cell>
          <cell r="E144">
            <v>120000</v>
          </cell>
          <cell r="F144">
            <v>120000</v>
          </cell>
          <cell r="H144">
            <v>0</v>
          </cell>
          <cell r="I144">
            <v>20</v>
          </cell>
          <cell r="J144">
            <v>20</v>
          </cell>
          <cell r="K144">
            <v>120000</v>
          </cell>
          <cell r="L144">
            <v>120000</v>
          </cell>
          <cell r="M144">
            <v>0</v>
          </cell>
          <cell r="N144">
            <v>0</v>
          </cell>
          <cell r="O144">
            <v>5600</v>
          </cell>
          <cell r="P144">
            <v>5600</v>
          </cell>
        </row>
        <row r="145">
          <cell r="B145" t="str">
            <v>PNL. NO. CCR2-D-MC1 (DWG. NO. XK11A-0000-12)</v>
          </cell>
          <cell r="F145">
            <v>0</v>
          </cell>
          <cell r="H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</row>
        <row r="146">
          <cell r="A146" t="str">
            <v>A.8.2</v>
          </cell>
          <cell r="B146" t="str">
            <v>SELF-STANDING POWER PANEL, 480V, 30KA (DWG. NO. XK11A-0000-12)</v>
          </cell>
          <cell r="C146">
            <v>6</v>
          </cell>
          <cell r="D146" t="str">
            <v>SET</v>
          </cell>
          <cell r="E146">
            <v>140000</v>
          </cell>
          <cell r="F146">
            <v>840000</v>
          </cell>
          <cell r="H146">
            <v>0</v>
          </cell>
          <cell r="I146">
            <v>20</v>
          </cell>
          <cell r="J146">
            <v>120</v>
          </cell>
          <cell r="K146">
            <v>140000</v>
          </cell>
          <cell r="L146">
            <v>840000</v>
          </cell>
          <cell r="M146">
            <v>0</v>
          </cell>
          <cell r="N146">
            <v>0</v>
          </cell>
          <cell r="O146">
            <v>5600</v>
          </cell>
          <cell r="P146">
            <v>33600</v>
          </cell>
        </row>
        <row r="147">
          <cell r="B147" t="str">
            <v>PNL. NO. POWER PANEL.</v>
          </cell>
          <cell r="F147">
            <v>0</v>
          </cell>
          <cell r="H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</row>
        <row r="148">
          <cell r="A148" t="str">
            <v>A.8.3</v>
          </cell>
          <cell r="B148" t="str">
            <v>DRY RTANSFORMER, WEATHER PROOF ENCLOSURE</v>
          </cell>
          <cell r="F148">
            <v>0</v>
          </cell>
          <cell r="H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</row>
        <row r="149">
          <cell r="B149" t="str">
            <v>480/240V, 30KVA</v>
          </cell>
          <cell r="C149">
            <v>9</v>
          </cell>
          <cell r="D149" t="str">
            <v>SET</v>
          </cell>
          <cell r="E149">
            <v>40000</v>
          </cell>
          <cell r="F149">
            <v>360000</v>
          </cell>
          <cell r="H149">
            <v>0</v>
          </cell>
          <cell r="I149">
            <v>18</v>
          </cell>
          <cell r="J149">
            <v>162</v>
          </cell>
          <cell r="K149">
            <v>40000</v>
          </cell>
          <cell r="L149">
            <v>360000</v>
          </cell>
          <cell r="M149">
            <v>0</v>
          </cell>
          <cell r="N149">
            <v>0</v>
          </cell>
          <cell r="O149">
            <v>5040</v>
          </cell>
          <cell r="P149">
            <v>45360</v>
          </cell>
        </row>
        <row r="150">
          <cell r="B150" t="str">
            <v>480/240V, 20KVA</v>
          </cell>
          <cell r="C150">
            <v>6</v>
          </cell>
          <cell r="D150" t="str">
            <v>SET</v>
          </cell>
          <cell r="E150">
            <v>30000</v>
          </cell>
          <cell r="F150">
            <v>180000</v>
          </cell>
          <cell r="H150">
            <v>0</v>
          </cell>
          <cell r="I150">
            <v>14</v>
          </cell>
          <cell r="J150">
            <v>84</v>
          </cell>
          <cell r="K150">
            <v>30000</v>
          </cell>
          <cell r="L150">
            <v>180000</v>
          </cell>
          <cell r="M150">
            <v>0</v>
          </cell>
          <cell r="N150">
            <v>0</v>
          </cell>
          <cell r="O150">
            <v>3920</v>
          </cell>
          <cell r="P150">
            <v>23520</v>
          </cell>
        </row>
        <row r="151">
          <cell r="B151" t="str">
            <v>480/240V, 10KVA</v>
          </cell>
          <cell r="C151">
            <v>9</v>
          </cell>
          <cell r="D151" t="str">
            <v>SET</v>
          </cell>
          <cell r="E151">
            <v>22000</v>
          </cell>
          <cell r="F151">
            <v>198000</v>
          </cell>
          <cell r="H151">
            <v>0</v>
          </cell>
          <cell r="I151">
            <v>9</v>
          </cell>
          <cell r="J151">
            <v>81</v>
          </cell>
          <cell r="K151">
            <v>22000</v>
          </cell>
          <cell r="L151">
            <v>198000</v>
          </cell>
          <cell r="M151">
            <v>0</v>
          </cell>
          <cell r="N151">
            <v>0</v>
          </cell>
          <cell r="O151">
            <v>2520</v>
          </cell>
          <cell r="P151">
            <v>22680</v>
          </cell>
        </row>
        <row r="152">
          <cell r="A152" t="str">
            <v>A.8.4</v>
          </cell>
          <cell r="B152" t="str">
            <v xml:space="preserve"> MCC FOR TRASH , 480V MCC SINGLE FACE , 30KA</v>
          </cell>
          <cell r="C152">
            <v>5</v>
          </cell>
          <cell r="D152" t="str">
            <v>SET</v>
          </cell>
          <cell r="E152">
            <v>120000</v>
          </cell>
          <cell r="F152">
            <v>600000</v>
          </cell>
          <cell r="H152">
            <v>0</v>
          </cell>
          <cell r="I152">
            <v>15</v>
          </cell>
          <cell r="J152">
            <v>75</v>
          </cell>
          <cell r="K152">
            <v>120000</v>
          </cell>
          <cell r="L152">
            <v>600000</v>
          </cell>
          <cell r="M152">
            <v>0</v>
          </cell>
          <cell r="N152">
            <v>0</v>
          </cell>
          <cell r="O152">
            <v>4200</v>
          </cell>
          <cell r="P152">
            <v>21000</v>
          </cell>
        </row>
        <row r="153">
          <cell r="A153" t="str">
            <v>A.8.5</v>
          </cell>
          <cell r="B153" t="str">
            <v>600VAC, 100A ATS PANEL, WALL MOUNT, INDOOR</v>
          </cell>
          <cell r="C153">
            <v>3</v>
          </cell>
          <cell r="D153" t="str">
            <v>SET</v>
          </cell>
          <cell r="E153">
            <v>100000</v>
          </cell>
          <cell r="F153">
            <v>300000</v>
          </cell>
          <cell r="H153">
            <v>0</v>
          </cell>
          <cell r="I153">
            <v>15</v>
          </cell>
          <cell r="J153">
            <v>45</v>
          </cell>
          <cell r="K153">
            <v>100000</v>
          </cell>
          <cell r="L153">
            <v>300000</v>
          </cell>
          <cell r="M153">
            <v>0</v>
          </cell>
          <cell r="N153">
            <v>0</v>
          </cell>
          <cell r="O153">
            <v>4200</v>
          </cell>
          <cell r="P153">
            <v>12600</v>
          </cell>
        </row>
        <row r="154">
          <cell r="A154" t="str">
            <v>A.8.6</v>
          </cell>
          <cell r="B154" t="str">
            <v>100A NFB PANEL, WALL MOUNT., INDOOR</v>
          </cell>
          <cell r="C154">
            <v>6</v>
          </cell>
          <cell r="D154" t="str">
            <v>SET</v>
          </cell>
          <cell r="E154">
            <v>4000</v>
          </cell>
          <cell r="F154">
            <v>24000</v>
          </cell>
          <cell r="H154">
            <v>0</v>
          </cell>
          <cell r="I154">
            <v>4</v>
          </cell>
          <cell r="J154">
            <v>24</v>
          </cell>
          <cell r="K154">
            <v>4000</v>
          </cell>
          <cell r="L154">
            <v>24000</v>
          </cell>
          <cell r="M154">
            <v>0</v>
          </cell>
          <cell r="N154">
            <v>0</v>
          </cell>
          <cell r="O154">
            <v>1120</v>
          </cell>
          <cell r="P154">
            <v>6720</v>
          </cell>
        </row>
        <row r="155">
          <cell r="A155" t="str">
            <v>A.8.7</v>
          </cell>
          <cell r="B155" t="str">
            <v>600V PDP PANEL, WALL MOUNT, INDOOR</v>
          </cell>
          <cell r="C155">
            <v>6</v>
          </cell>
          <cell r="D155" t="str">
            <v>SET</v>
          </cell>
          <cell r="E155">
            <v>9000</v>
          </cell>
          <cell r="F155">
            <v>54000</v>
          </cell>
          <cell r="H155">
            <v>0</v>
          </cell>
          <cell r="I155">
            <v>6</v>
          </cell>
          <cell r="J155">
            <v>36</v>
          </cell>
          <cell r="K155">
            <v>9000</v>
          </cell>
          <cell r="L155">
            <v>54000</v>
          </cell>
          <cell r="M155">
            <v>0</v>
          </cell>
          <cell r="N155">
            <v>0</v>
          </cell>
          <cell r="O155">
            <v>1680</v>
          </cell>
          <cell r="P155">
            <v>10080</v>
          </cell>
        </row>
        <row r="156">
          <cell r="B156" t="str">
            <v>W/NFB 100A x 1, 20A x6, 10KA</v>
          </cell>
        </row>
        <row r="157">
          <cell r="A157" t="str">
            <v>A.8.8</v>
          </cell>
          <cell r="B157" t="str">
            <v>POWER SYSTEM GRAPHIC PANEL, SELF-STANDING,</v>
          </cell>
          <cell r="C157">
            <v>1</v>
          </cell>
          <cell r="D157" t="str">
            <v>SET</v>
          </cell>
          <cell r="E157">
            <v>320000</v>
          </cell>
          <cell r="F157">
            <v>320000</v>
          </cell>
          <cell r="H157">
            <v>0</v>
          </cell>
          <cell r="I157">
            <v>30</v>
          </cell>
          <cell r="J157">
            <v>30</v>
          </cell>
          <cell r="K157">
            <v>320000</v>
          </cell>
          <cell r="L157">
            <v>320000</v>
          </cell>
          <cell r="M157">
            <v>0</v>
          </cell>
          <cell r="N157">
            <v>0</v>
          </cell>
          <cell r="O157">
            <v>8400</v>
          </cell>
          <cell r="P157">
            <v>8400</v>
          </cell>
        </row>
        <row r="158">
          <cell r="B158" t="str">
            <v xml:space="preserve"> ENCLOSURE SIZE 2200(W)x2300(H)x600(D)MM.</v>
          </cell>
          <cell r="F158">
            <v>0</v>
          </cell>
          <cell r="H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</row>
        <row r="159">
          <cell r="B159" t="str">
            <v>MOSAIC PANEL SIZE 2000(W)x1000(H)MM., W/ LIGHT x60</v>
          </cell>
          <cell r="F159">
            <v>0</v>
          </cell>
          <cell r="H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</row>
        <row r="160">
          <cell r="B160" t="str">
            <v>SUB-TOTAL (A.8)</v>
          </cell>
          <cell r="F160">
            <v>2996000</v>
          </cell>
          <cell r="J160">
            <v>677</v>
          </cell>
          <cell r="L160">
            <v>2996000</v>
          </cell>
          <cell r="O160">
            <v>0</v>
          </cell>
          <cell r="P160">
            <v>189560</v>
          </cell>
        </row>
        <row r="161">
          <cell r="O161">
            <v>0</v>
          </cell>
        </row>
        <row r="162">
          <cell r="A162" t="str">
            <v xml:space="preserve">   A.9</v>
          </cell>
          <cell r="B162" t="str">
            <v xml:space="preserve"> TEST FEE FOR MECH-ELEC CONSULANT CO. &amp; T.P.C.</v>
          </cell>
          <cell r="C162">
            <v>1</v>
          </cell>
          <cell r="D162" t="str">
            <v>LOT</v>
          </cell>
          <cell r="E162" t="str">
            <v>M+L</v>
          </cell>
          <cell r="F162" t="str">
            <v>M+L</v>
          </cell>
          <cell r="H162">
            <v>0</v>
          </cell>
          <cell r="I162">
            <v>1607</v>
          </cell>
          <cell r="J162">
            <v>1607</v>
          </cell>
          <cell r="K162" t="str">
            <v>M+L</v>
          </cell>
          <cell r="L162" t="str">
            <v>M+L</v>
          </cell>
          <cell r="M162">
            <v>0</v>
          </cell>
          <cell r="N162">
            <v>0</v>
          </cell>
          <cell r="O162">
            <v>1800000</v>
          </cell>
          <cell r="P162">
            <v>1800000</v>
          </cell>
        </row>
        <row r="163">
          <cell r="F163">
            <v>0</v>
          </cell>
          <cell r="H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</row>
        <row r="164">
          <cell r="B164" t="str">
            <v>SUB-TOTAL : (A)</v>
          </cell>
          <cell r="F164">
            <v>138612100</v>
          </cell>
          <cell r="H164">
            <v>0</v>
          </cell>
          <cell r="J164">
            <v>13764</v>
          </cell>
          <cell r="K164">
            <v>0</v>
          </cell>
          <cell r="L164">
            <v>138612100</v>
          </cell>
          <cell r="M164">
            <v>0</v>
          </cell>
          <cell r="N164">
            <v>0</v>
          </cell>
          <cell r="O164">
            <v>0</v>
          </cell>
          <cell r="P164">
            <v>6155030</v>
          </cell>
        </row>
        <row r="167">
          <cell r="F167">
            <v>0</v>
          </cell>
          <cell r="H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</row>
        <row r="168">
          <cell r="A168" t="str">
            <v>B</v>
          </cell>
          <cell r="B168" t="str">
            <v xml:space="preserve"> POWER DISTRIBUTION SYSTEM</v>
          </cell>
          <cell r="F168">
            <v>0</v>
          </cell>
          <cell r="H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</row>
        <row r="169">
          <cell r="F169">
            <v>0</v>
          </cell>
          <cell r="H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</row>
        <row r="170">
          <cell r="B170" t="str">
            <v xml:space="preserve"> 600V POWER CABLE, XLPE INSU. PVC JACKET</v>
          </cell>
          <cell r="F170">
            <v>0</v>
          </cell>
          <cell r="H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</row>
        <row r="171">
          <cell r="A171">
            <v>1</v>
          </cell>
          <cell r="B171" t="str">
            <v xml:space="preserve">    3/C 3.5 sq.mm </v>
          </cell>
          <cell r="C171">
            <v>4500</v>
          </cell>
          <cell r="D171" t="str">
            <v>M</v>
          </cell>
          <cell r="E171">
            <v>15</v>
          </cell>
          <cell r="F171">
            <v>67500</v>
          </cell>
          <cell r="H171">
            <v>0</v>
          </cell>
          <cell r="I171">
            <v>7.9000000000000001E-2</v>
          </cell>
          <cell r="J171">
            <v>356</v>
          </cell>
          <cell r="K171">
            <v>15</v>
          </cell>
          <cell r="L171">
            <v>67500</v>
          </cell>
          <cell r="M171">
            <v>0</v>
          </cell>
          <cell r="N171">
            <v>0</v>
          </cell>
          <cell r="O171">
            <v>22</v>
          </cell>
          <cell r="P171">
            <v>99000</v>
          </cell>
        </row>
        <row r="172">
          <cell r="A172">
            <v>2</v>
          </cell>
          <cell r="B172" t="str">
            <v xml:space="preserve">    3/C 5.5 sq.mm </v>
          </cell>
          <cell r="C172">
            <v>4000</v>
          </cell>
          <cell r="D172" t="str">
            <v>M</v>
          </cell>
          <cell r="E172">
            <v>20</v>
          </cell>
          <cell r="F172">
            <v>80000</v>
          </cell>
          <cell r="H172">
            <v>0</v>
          </cell>
          <cell r="I172">
            <v>0.1</v>
          </cell>
          <cell r="J172">
            <v>400</v>
          </cell>
          <cell r="K172">
            <v>20</v>
          </cell>
          <cell r="L172">
            <v>80000</v>
          </cell>
          <cell r="M172">
            <v>0</v>
          </cell>
          <cell r="N172">
            <v>0</v>
          </cell>
          <cell r="O172">
            <v>28</v>
          </cell>
          <cell r="P172">
            <v>112000</v>
          </cell>
        </row>
        <row r="173">
          <cell r="A173">
            <v>3</v>
          </cell>
          <cell r="B173" t="str">
            <v xml:space="preserve">    3/C   8 sq.mm </v>
          </cell>
          <cell r="C173">
            <v>3000</v>
          </cell>
          <cell r="D173" t="str">
            <v>M</v>
          </cell>
          <cell r="E173">
            <v>29</v>
          </cell>
          <cell r="F173">
            <v>87000</v>
          </cell>
          <cell r="H173">
            <v>0</v>
          </cell>
          <cell r="I173">
            <v>0.11799999999999999</v>
          </cell>
          <cell r="J173">
            <v>354</v>
          </cell>
          <cell r="K173">
            <v>29</v>
          </cell>
          <cell r="L173">
            <v>87000</v>
          </cell>
          <cell r="M173">
            <v>0</v>
          </cell>
          <cell r="N173">
            <v>0</v>
          </cell>
          <cell r="O173">
            <v>33</v>
          </cell>
          <cell r="P173">
            <v>99000</v>
          </cell>
        </row>
        <row r="174">
          <cell r="A174">
            <v>4</v>
          </cell>
          <cell r="B174" t="str">
            <v xml:space="preserve">    3/C  14 sq.mm </v>
          </cell>
          <cell r="C174">
            <v>1000</v>
          </cell>
          <cell r="D174" t="str">
            <v>M</v>
          </cell>
          <cell r="E174">
            <v>47</v>
          </cell>
          <cell r="F174">
            <v>47000</v>
          </cell>
          <cell r="H174">
            <v>0</v>
          </cell>
          <cell r="I174">
            <v>0.152</v>
          </cell>
          <cell r="J174">
            <v>152</v>
          </cell>
          <cell r="K174">
            <v>47</v>
          </cell>
          <cell r="L174">
            <v>47000</v>
          </cell>
          <cell r="M174">
            <v>0</v>
          </cell>
          <cell r="N174">
            <v>0</v>
          </cell>
          <cell r="O174">
            <v>43</v>
          </cell>
          <cell r="P174">
            <v>43000</v>
          </cell>
        </row>
        <row r="175">
          <cell r="A175">
            <v>5</v>
          </cell>
          <cell r="B175" t="str">
            <v xml:space="preserve">    3/C  22 sq.mm </v>
          </cell>
          <cell r="C175">
            <v>3000</v>
          </cell>
          <cell r="D175" t="str">
            <v>M</v>
          </cell>
          <cell r="E175">
            <v>70</v>
          </cell>
          <cell r="F175">
            <v>210000</v>
          </cell>
          <cell r="H175">
            <v>0</v>
          </cell>
          <cell r="I175">
            <v>0.18099999999999999</v>
          </cell>
          <cell r="J175">
            <v>543</v>
          </cell>
          <cell r="K175">
            <v>70</v>
          </cell>
          <cell r="L175">
            <v>210000</v>
          </cell>
          <cell r="M175">
            <v>0</v>
          </cell>
          <cell r="N175">
            <v>0</v>
          </cell>
          <cell r="O175">
            <v>51</v>
          </cell>
          <cell r="P175">
            <v>153000</v>
          </cell>
        </row>
        <row r="176">
          <cell r="A176">
            <v>6</v>
          </cell>
          <cell r="B176" t="str">
            <v xml:space="preserve">    3/C  38 sq.mm </v>
          </cell>
          <cell r="C176">
            <v>3000</v>
          </cell>
          <cell r="D176" t="str">
            <v>M</v>
          </cell>
          <cell r="E176">
            <v>111</v>
          </cell>
          <cell r="F176">
            <v>333000</v>
          </cell>
          <cell r="H176">
            <v>0</v>
          </cell>
          <cell r="I176">
            <v>0.23</v>
          </cell>
          <cell r="J176">
            <v>690</v>
          </cell>
          <cell r="K176">
            <v>111</v>
          </cell>
          <cell r="L176">
            <v>333000</v>
          </cell>
          <cell r="M176">
            <v>0</v>
          </cell>
          <cell r="N176">
            <v>0</v>
          </cell>
          <cell r="O176">
            <v>64</v>
          </cell>
          <cell r="P176">
            <v>192000</v>
          </cell>
        </row>
        <row r="177">
          <cell r="A177">
            <v>7</v>
          </cell>
          <cell r="B177" t="str">
            <v xml:space="preserve">    3/C  60 sq.mm </v>
          </cell>
          <cell r="C177">
            <v>7200</v>
          </cell>
          <cell r="D177" t="str">
            <v>M</v>
          </cell>
          <cell r="E177">
            <v>177</v>
          </cell>
          <cell r="F177">
            <v>1274400</v>
          </cell>
          <cell r="H177">
            <v>0</v>
          </cell>
          <cell r="I177">
            <v>0.27700000000000002</v>
          </cell>
          <cell r="J177">
            <v>1994</v>
          </cell>
          <cell r="K177">
            <v>177</v>
          </cell>
          <cell r="L177">
            <v>1274400</v>
          </cell>
          <cell r="M177">
            <v>0</v>
          </cell>
          <cell r="N177">
            <v>0</v>
          </cell>
          <cell r="O177">
            <v>78</v>
          </cell>
          <cell r="P177">
            <v>561600</v>
          </cell>
        </row>
        <row r="178">
          <cell r="A178">
            <v>8</v>
          </cell>
          <cell r="B178" t="str">
            <v xml:space="preserve">    1/C 100 sq.mm </v>
          </cell>
          <cell r="C178">
            <v>2000</v>
          </cell>
          <cell r="D178" t="str">
            <v>M</v>
          </cell>
          <cell r="E178">
            <v>92</v>
          </cell>
          <cell r="F178">
            <v>184000</v>
          </cell>
          <cell r="H178">
            <v>0</v>
          </cell>
          <cell r="I178">
            <v>0.17599999999999999</v>
          </cell>
          <cell r="J178">
            <v>352</v>
          </cell>
          <cell r="K178">
            <v>92</v>
          </cell>
          <cell r="L178">
            <v>184000</v>
          </cell>
          <cell r="M178">
            <v>0</v>
          </cell>
          <cell r="N178">
            <v>0</v>
          </cell>
          <cell r="O178">
            <v>49</v>
          </cell>
          <cell r="P178">
            <v>98000</v>
          </cell>
        </row>
        <row r="179">
          <cell r="A179">
            <v>9</v>
          </cell>
          <cell r="B179" t="str">
            <v xml:space="preserve">    1/C 150 sq.mm </v>
          </cell>
          <cell r="C179">
            <v>16500</v>
          </cell>
          <cell r="D179" t="str">
            <v>M</v>
          </cell>
          <cell r="E179">
            <v>137</v>
          </cell>
          <cell r="F179">
            <v>2260500</v>
          </cell>
          <cell r="H179">
            <v>0</v>
          </cell>
          <cell r="I179">
            <v>0.20499999999999999</v>
          </cell>
          <cell r="J179">
            <v>3383</v>
          </cell>
          <cell r="K179">
            <v>137</v>
          </cell>
          <cell r="L179">
            <v>2260500</v>
          </cell>
          <cell r="M179">
            <v>0</v>
          </cell>
          <cell r="N179">
            <v>0</v>
          </cell>
          <cell r="O179">
            <v>57</v>
          </cell>
          <cell r="P179">
            <v>940500</v>
          </cell>
        </row>
        <row r="180">
          <cell r="A180">
            <v>10</v>
          </cell>
          <cell r="B180" t="str">
            <v xml:space="preserve">    1/C 250 sq.mm </v>
          </cell>
          <cell r="C180">
            <v>15000</v>
          </cell>
          <cell r="D180" t="str">
            <v>M</v>
          </cell>
          <cell r="E180">
            <v>223</v>
          </cell>
          <cell r="F180">
            <v>3345000</v>
          </cell>
          <cell r="H180">
            <v>0</v>
          </cell>
          <cell r="I180">
            <v>0.247</v>
          </cell>
          <cell r="J180">
            <v>3705</v>
          </cell>
          <cell r="K180">
            <v>223</v>
          </cell>
          <cell r="L180">
            <v>3345000</v>
          </cell>
          <cell r="M180">
            <v>0</v>
          </cell>
          <cell r="N180">
            <v>0</v>
          </cell>
          <cell r="O180">
            <v>69</v>
          </cell>
          <cell r="P180">
            <v>1035000</v>
          </cell>
        </row>
        <row r="181">
          <cell r="A181">
            <v>11</v>
          </cell>
          <cell r="B181" t="str">
            <v xml:space="preserve">    1/C 325 sq.mm </v>
          </cell>
          <cell r="C181">
            <v>16500</v>
          </cell>
          <cell r="D181" t="str">
            <v>M</v>
          </cell>
          <cell r="E181">
            <v>279</v>
          </cell>
          <cell r="F181">
            <v>4603500</v>
          </cell>
          <cell r="H181">
            <v>0</v>
          </cell>
          <cell r="I181">
            <v>0.27</v>
          </cell>
          <cell r="J181">
            <v>4455</v>
          </cell>
          <cell r="K181">
            <v>279</v>
          </cell>
          <cell r="L181">
            <v>4603500</v>
          </cell>
          <cell r="M181">
            <v>0</v>
          </cell>
          <cell r="N181">
            <v>0</v>
          </cell>
          <cell r="O181">
            <v>76</v>
          </cell>
          <cell r="P181">
            <v>1254000</v>
          </cell>
        </row>
        <row r="182">
          <cell r="A182">
            <v>12</v>
          </cell>
          <cell r="B182" t="str">
            <v xml:space="preserve">    4/C 5.5 sq.mm </v>
          </cell>
          <cell r="C182">
            <v>300</v>
          </cell>
          <cell r="D182" t="str">
            <v>M</v>
          </cell>
          <cell r="E182">
            <v>28</v>
          </cell>
          <cell r="F182">
            <v>8400</v>
          </cell>
          <cell r="H182">
            <v>0</v>
          </cell>
          <cell r="I182">
            <v>0.11700000000000001</v>
          </cell>
          <cell r="J182">
            <v>35</v>
          </cell>
          <cell r="K182">
            <v>28</v>
          </cell>
          <cell r="L182">
            <v>8400</v>
          </cell>
          <cell r="M182">
            <v>0</v>
          </cell>
          <cell r="N182">
            <v>0</v>
          </cell>
          <cell r="O182">
            <v>33</v>
          </cell>
          <cell r="P182">
            <v>9900</v>
          </cell>
        </row>
        <row r="183">
          <cell r="A183">
            <v>13</v>
          </cell>
          <cell r="B183" t="str">
            <v xml:space="preserve">    4/C 60 sq.mm </v>
          </cell>
          <cell r="C183">
            <v>300</v>
          </cell>
          <cell r="D183" t="str">
            <v>M</v>
          </cell>
          <cell r="E183">
            <v>232</v>
          </cell>
          <cell r="F183">
            <v>69600</v>
          </cell>
          <cell r="H183">
            <v>0</v>
          </cell>
          <cell r="I183">
            <v>0.32500000000000001</v>
          </cell>
          <cell r="J183">
            <v>98</v>
          </cell>
          <cell r="K183">
            <v>232</v>
          </cell>
          <cell r="L183">
            <v>69600</v>
          </cell>
          <cell r="M183">
            <v>0</v>
          </cell>
          <cell r="N183">
            <v>0</v>
          </cell>
          <cell r="O183">
            <v>91</v>
          </cell>
          <cell r="P183">
            <v>27300</v>
          </cell>
        </row>
        <row r="184">
          <cell r="E184">
            <v>0</v>
          </cell>
          <cell r="F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</row>
        <row r="185">
          <cell r="B185" t="str">
            <v xml:space="preserve"> 600V CONTROL CABLE, PVC INSU. PVC JACKET</v>
          </cell>
          <cell r="E185">
            <v>0</v>
          </cell>
          <cell r="F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</row>
        <row r="186">
          <cell r="A186">
            <v>14</v>
          </cell>
          <cell r="B186" t="str">
            <v xml:space="preserve">    4/C 2.0 sq.mm </v>
          </cell>
          <cell r="C186">
            <v>13000</v>
          </cell>
          <cell r="D186" t="str">
            <v>M</v>
          </cell>
          <cell r="E186">
            <v>11</v>
          </cell>
          <cell r="F186">
            <v>143000</v>
          </cell>
          <cell r="H186">
            <v>0</v>
          </cell>
          <cell r="I186">
            <v>0.08</v>
          </cell>
          <cell r="J186">
            <v>1040</v>
          </cell>
          <cell r="K186">
            <v>11</v>
          </cell>
          <cell r="L186">
            <v>143000</v>
          </cell>
          <cell r="M186">
            <v>0</v>
          </cell>
          <cell r="N186">
            <v>0</v>
          </cell>
          <cell r="O186">
            <v>22</v>
          </cell>
          <cell r="P186">
            <v>286000</v>
          </cell>
        </row>
        <row r="187">
          <cell r="A187">
            <v>15</v>
          </cell>
          <cell r="B187" t="str">
            <v xml:space="preserve">    7/C 2.0 sq.mm </v>
          </cell>
          <cell r="C187">
            <v>6400</v>
          </cell>
          <cell r="D187" t="str">
            <v>M</v>
          </cell>
          <cell r="E187">
            <v>24</v>
          </cell>
          <cell r="F187">
            <v>153600</v>
          </cell>
          <cell r="H187">
            <v>0</v>
          </cell>
          <cell r="I187">
            <v>0.105</v>
          </cell>
          <cell r="J187">
            <v>672</v>
          </cell>
          <cell r="K187">
            <v>24</v>
          </cell>
          <cell r="L187">
            <v>153600</v>
          </cell>
          <cell r="M187">
            <v>0</v>
          </cell>
          <cell r="N187">
            <v>0</v>
          </cell>
          <cell r="O187">
            <v>29</v>
          </cell>
          <cell r="P187">
            <v>185600</v>
          </cell>
        </row>
        <row r="188">
          <cell r="A188">
            <v>16</v>
          </cell>
          <cell r="B188" t="str">
            <v xml:space="preserve">    9/C 2.0 sq.mm </v>
          </cell>
          <cell r="C188">
            <v>4000</v>
          </cell>
          <cell r="D188" t="str">
            <v>M</v>
          </cell>
          <cell r="E188">
            <v>30</v>
          </cell>
          <cell r="F188">
            <v>120000</v>
          </cell>
          <cell r="H188">
            <v>0</v>
          </cell>
          <cell r="I188">
            <v>0.12</v>
          </cell>
          <cell r="J188">
            <v>480</v>
          </cell>
          <cell r="K188">
            <v>30</v>
          </cell>
          <cell r="L188">
            <v>120000</v>
          </cell>
          <cell r="M188">
            <v>0</v>
          </cell>
          <cell r="N188">
            <v>0</v>
          </cell>
          <cell r="O188">
            <v>34</v>
          </cell>
          <cell r="P188">
            <v>136000</v>
          </cell>
        </row>
        <row r="189">
          <cell r="A189">
            <v>17</v>
          </cell>
          <cell r="B189" t="str">
            <v xml:space="preserve">   12/C 2.0 sq.mm </v>
          </cell>
          <cell r="C189">
            <v>2500</v>
          </cell>
          <cell r="D189" t="str">
            <v>M</v>
          </cell>
          <cell r="E189">
            <v>38</v>
          </cell>
          <cell r="F189">
            <v>95000</v>
          </cell>
          <cell r="H189">
            <v>0</v>
          </cell>
          <cell r="I189">
            <v>0.13800000000000001</v>
          </cell>
          <cell r="J189">
            <v>345</v>
          </cell>
          <cell r="K189">
            <v>38</v>
          </cell>
          <cell r="L189">
            <v>95000</v>
          </cell>
          <cell r="M189">
            <v>0</v>
          </cell>
          <cell r="N189">
            <v>0</v>
          </cell>
          <cell r="O189">
            <v>39</v>
          </cell>
          <cell r="P189">
            <v>97500</v>
          </cell>
        </row>
        <row r="190">
          <cell r="A190">
            <v>18</v>
          </cell>
          <cell r="B190" t="str">
            <v xml:space="preserve">   19/C 2.0 sq.mm </v>
          </cell>
          <cell r="C190">
            <v>1950</v>
          </cell>
          <cell r="D190" t="str">
            <v>M</v>
          </cell>
          <cell r="E190">
            <v>57</v>
          </cell>
          <cell r="F190">
            <v>111150</v>
          </cell>
          <cell r="H190">
            <v>0</v>
          </cell>
          <cell r="I190">
            <v>0.17399999999999999</v>
          </cell>
          <cell r="J190">
            <v>339</v>
          </cell>
          <cell r="K190">
            <v>57</v>
          </cell>
          <cell r="L190">
            <v>111150</v>
          </cell>
          <cell r="M190">
            <v>0</v>
          </cell>
          <cell r="N190">
            <v>0</v>
          </cell>
          <cell r="O190">
            <v>49</v>
          </cell>
          <cell r="P190">
            <v>95550</v>
          </cell>
        </row>
        <row r="191">
          <cell r="A191">
            <v>19</v>
          </cell>
          <cell r="B191" t="str">
            <v xml:space="preserve">   30/C 2.0 sq.mm </v>
          </cell>
          <cell r="C191">
            <v>1900</v>
          </cell>
          <cell r="D191" t="str">
            <v>M</v>
          </cell>
          <cell r="E191">
            <v>92</v>
          </cell>
          <cell r="F191">
            <v>174800</v>
          </cell>
          <cell r="H191">
            <v>0</v>
          </cell>
          <cell r="I191">
            <v>0.21199999999999999</v>
          </cell>
          <cell r="J191">
            <v>403</v>
          </cell>
          <cell r="K191">
            <v>92</v>
          </cell>
          <cell r="L191">
            <v>174800</v>
          </cell>
          <cell r="M191">
            <v>0</v>
          </cell>
          <cell r="N191">
            <v>0</v>
          </cell>
          <cell r="O191">
            <v>59</v>
          </cell>
          <cell r="P191">
            <v>112100</v>
          </cell>
        </row>
        <row r="192">
          <cell r="A192">
            <v>20</v>
          </cell>
          <cell r="B192" t="str">
            <v>600V SHIELDED CABLE, 8P-#14AWG</v>
          </cell>
          <cell r="C192">
            <v>300</v>
          </cell>
          <cell r="D192" t="str">
            <v>M</v>
          </cell>
          <cell r="E192">
            <v>83</v>
          </cell>
          <cell r="F192">
            <v>24900</v>
          </cell>
          <cell r="H192">
            <v>0</v>
          </cell>
          <cell r="I192">
            <v>0.16</v>
          </cell>
          <cell r="J192">
            <v>48</v>
          </cell>
          <cell r="K192">
            <v>83</v>
          </cell>
          <cell r="L192">
            <v>24900</v>
          </cell>
          <cell r="M192">
            <v>0</v>
          </cell>
          <cell r="N192">
            <v>0</v>
          </cell>
          <cell r="O192">
            <v>45</v>
          </cell>
          <cell r="P192">
            <v>13500</v>
          </cell>
        </row>
        <row r="193">
          <cell r="E193">
            <v>0</v>
          </cell>
          <cell r="F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</row>
        <row r="194">
          <cell r="B194" t="str">
            <v>8KV POWER CABLE, XLPE INSU. PVC JACKET</v>
          </cell>
          <cell r="E194">
            <v>0</v>
          </cell>
          <cell r="F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</row>
        <row r="195">
          <cell r="A195">
            <v>21</v>
          </cell>
          <cell r="B195" t="str">
            <v xml:space="preserve">    3/C  38 sq.mm </v>
          </cell>
          <cell r="C195">
            <v>880</v>
          </cell>
          <cell r="D195" t="str">
            <v>M</v>
          </cell>
          <cell r="E195">
            <v>268</v>
          </cell>
          <cell r="F195">
            <v>235840</v>
          </cell>
          <cell r="H195">
            <v>0</v>
          </cell>
          <cell r="I195">
            <v>0.32100000000000001</v>
          </cell>
          <cell r="J195">
            <v>282</v>
          </cell>
          <cell r="K195">
            <v>268</v>
          </cell>
          <cell r="L195">
            <v>235840</v>
          </cell>
          <cell r="M195">
            <v>0</v>
          </cell>
          <cell r="N195">
            <v>0</v>
          </cell>
          <cell r="O195">
            <v>90</v>
          </cell>
          <cell r="P195">
            <v>79200</v>
          </cell>
        </row>
        <row r="196">
          <cell r="A196">
            <v>22</v>
          </cell>
          <cell r="B196" t="str">
            <v xml:space="preserve">    3/C  60 sq.mm </v>
          </cell>
          <cell r="C196">
            <v>200</v>
          </cell>
          <cell r="D196" t="str">
            <v>M</v>
          </cell>
          <cell r="E196">
            <v>367</v>
          </cell>
          <cell r="F196">
            <v>73400</v>
          </cell>
          <cell r="H196">
            <v>0</v>
          </cell>
          <cell r="I196">
            <v>0.38800000000000001</v>
          </cell>
          <cell r="J196">
            <v>78</v>
          </cell>
          <cell r="K196">
            <v>367</v>
          </cell>
          <cell r="L196">
            <v>73400</v>
          </cell>
          <cell r="M196">
            <v>0</v>
          </cell>
          <cell r="N196">
            <v>0</v>
          </cell>
          <cell r="O196">
            <v>109</v>
          </cell>
          <cell r="P196">
            <v>21800</v>
          </cell>
        </row>
        <row r="197">
          <cell r="A197">
            <v>23</v>
          </cell>
          <cell r="B197" t="str">
            <v xml:space="preserve">    1/C 100 sq.mm </v>
          </cell>
          <cell r="C197">
            <v>4800</v>
          </cell>
          <cell r="D197" t="str">
            <v>M</v>
          </cell>
          <cell r="E197">
            <v>148</v>
          </cell>
          <cell r="F197">
            <v>710400</v>
          </cell>
          <cell r="H197">
            <v>0</v>
          </cell>
          <cell r="I197">
            <v>0.22500000000000001</v>
          </cell>
          <cell r="J197">
            <v>1080</v>
          </cell>
          <cell r="K197">
            <v>148</v>
          </cell>
          <cell r="L197">
            <v>710400</v>
          </cell>
          <cell r="M197">
            <v>0</v>
          </cell>
          <cell r="N197">
            <v>0</v>
          </cell>
          <cell r="O197">
            <v>63</v>
          </cell>
          <cell r="P197">
            <v>302400</v>
          </cell>
        </row>
        <row r="198">
          <cell r="A198">
            <v>24</v>
          </cell>
          <cell r="B198" t="str">
            <v xml:space="preserve">    1/C 200 sq.mm </v>
          </cell>
          <cell r="C198">
            <v>1000</v>
          </cell>
          <cell r="D198" t="str">
            <v>M</v>
          </cell>
          <cell r="E198">
            <v>246</v>
          </cell>
          <cell r="F198">
            <v>246000</v>
          </cell>
          <cell r="H198">
            <v>0</v>
          </cell>
          <cell r="I198">
            <v>0.28699999999999998</v>
          </cell>
          <cell r="J198">
            <v>287</v>
          </cell>
          <cell r="K198">
            <v>246</v>
          </cell>
          <cell r="L198">
            <v>246000</v>
          </cell>
          <cell r="M198">
            <v>0</v>
          </cell>
          <cell r="N198">
            <v>0</v>
          </cell>
          <cell r="O198">
            <v>80</v>
          </cell>
          <cell r="P198">
            <v>80000</v>
          </cell>
        </row>
        <row r="199">
          <cell r="A199">
            <v>25</v>
          </cell>
          <cell r="B199" t="str">
            <v xml:space="preserve">    1/C 250 sq.mm </v>
          </cell>
          <cell r="C199">
            <v>17500</v>
          </cell>
          <cell r="D199" t="str">
            <v>M</v>
          </cell>
          <cell r="E199">
            <v>306</v>
          </cell>
          <cell r="F199">
            <v>5355000</v>
          </cell>
          <cell r="H199">
            <v>0</v>
          </cell>
          <cell r="I199">
            <v>0.27400000000000002</v>
          </cell>
          <cell r="J199">
            <v>4795</v>
          </cell>
          <cell r="K199">
            <v>306</v>
          </cell>
          <cell r="L199">
            <v>5355000</v>
          </cell>
          <cell r="M199">
            <v>0</v>
          </cell>
          <cell r="N199">
            <v>0</v>
          </cell>
          <cell r="O199">
            <v>77</v>
          </cell>
          <cell r="P199">
            <v>1347500</v>
          </cell>
        </row>
        <row r="200">
          <cell r="F200">
            <v>0</v>
          </cell>
          <cell r="H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</row>
        <row r="201">
          <cell r="B201" t="str">
            <v>8KV TERMINATION KIT, HEAT SHRINKABLE TYPE</v>
          </cell>
          <cell r="F201">
            <v>0</v>
          </cell>
          <cell r="H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</row>
        <row r="202">
          <cell r="A202">
            <v>26</v>
          </cell>
          <cell r="B202" t="str">
            <v xml:space="preserve">    3/C  38 sq.mm </v>
          </cell>
          <cell r="C202">
            <v>8</v>
          </cell>
          <cell r="D202" t="str">
            <v>SET</v>
          </cell>
          <cell r="E202">
            <v>4330</v>
          </cell>
          <cell r="F202">
            <v>34640</v>
          </cell>
          <cell r="H202">
            <v>0</v>
          </cell>
          <cell r="I202">
            <v>5</v>
          </cell>
          <cell r="J202">
            <v>40</v>
          </cell>
          <cell r="K202">
            <v>4330</v>
          </cell>
          <cell r="L202">
            <v>34640</v>
          </cell>
          <cell r="M202">
            <v>0</v>
          </cell>
          <cell r="N202">
            <v>0</v>
          </cell>
          <cell r="O202">
            <v>1400</v>
          </cell>
          <cell r="P202">
            <v>11200</v>
          </cell>
        </row>
        <row r="203">
          <cell r="A203">
            <v>27</v>
          </cell>
          <cell r="B203" t="str">
            <v xml:space="preserve">    3/C  60 sq.mm </v>
          </cell>
          <cell r="C203">
            <v>10</v>
          </cell>
          <cell r="D203" t="str">
            <v>SET</v>
          </cell>
          <cell r="E203">
            <v>4330</v>
          </cell>
          <cell r="F203">
            <v>43300</v>
          </cell>
          <cell r="H203">
            <v>0</v>
          </cell>
          <cell r="I203">
            <v>6</v>
          </cell>
          <cell r="J203">
            <v>60</v>
          </cell>
          <cell r="K203">
            <v>4330</v>
          </cell>
          <cell r="L203">
            <v>43300</v>
          </cell>
          <cell r="M203">
            <v>0</v>
          </cell>
          <cell r="N203">
            <v>0</v>
          </cell>
          <cell r="O203">
            <v>1680</v>
          </cell>
          <cell r="P203">
            <v>16800</v>
          </cell>
        </row>
        <row r="204">
          <cell r="A204">
            <v>28</v>
          </cell>
          <cell r="B204" t="str">
            <v xml:space="preserve">   1/C 100 sq.mm </v>
          </cell>
          <cell r="C204">
            <v>30</v>
          </cell>
          <cell r="D204" t="str">
            <v>SET</v>
          </cell>
          <cell r="E204">
            <v>1170</v>
          </cell>
          <cell r="F204">
            <v>35100</v>
          </cell>
          <cell r="H204">
            <v>0</v>
          </cell>
          <cell r="I204">
            <v>3.5</v>
          </cell>
          <cell r="J204">
            <v>105</v>
          </cell>
          <cell r="K204">
            <v>1170</v>
          </cell>
          <cell r="L204">
            <v>35100</v>
          </cell>
          <cell r="M204">
            <v>0</v>
          </cell>
          <cell r="N204">
            <v>0</v>
          </cell>
          <cell r="O204">
            <v>980</v>
          </cell>
          <cell r="P204">
            <v>29400</v>
          </cell>
        </row>
        <row r="205">
          <cell r="A205">
            <v>29</v>
          </cell>
          <cell r="B205" t="str">
            <v xml:space="preserve">    1/C 200 sq.mm </v>
          </cell>
          <cell r="C205">
            <v>9</v>
          </cell>
          <cell r="D205" t="str">
            <v>SET</v>
          </cell>
          <cell r="E205">
            <v>1550</v>
          </cell>
          <cell r="F205">
            <v>13950</v>
          </cell>
          <cell r="H205">
            <v>0</v>
          </cell>
          <cell r="I205">
            <v>4.5</v>
          </cell>
          <cell r="J205">
            <v>41</v>
          </cell>
          <cell r="K205">
            <v>1550</v>
          </cell>
          <cell r="L205">
            <v>13950</v>
          </cell>
          <cell r="M205">
            <v>0</v>
          </cell>
          <cell r="N205">
            <v>0</v>
          </cell>
          <cell r="O205">
            <v>1260</v>
          </cell>
          <cell r="P205">
            <v>11340</v>
          </cell>
        </row>
        <row r="206">
          <cell r="A206">
            <v>30</v>
          </cell>
          <cell r="B206" t="str">
            <v xml:space="preserve">    1/C 250 sq.mm </v>
          </cell>
          <cell r="C206">
            <v>40</v>
          </cell>
          <cell r="D206" t="str">
            <v>SET</v>
          </cell>
          <cell r="E206">
            <v>1585</v>
          </cell>
          <cell r="F206">
            <v>63400</v>
          </cell>
          <cell r="H206">
            <v>0</v>
          </cell>
          <cell r="I206">
            <v>4.5</v>
          </cell>
          <cell r="J206">
            <v>180</v>
          </cell>
          <cell r="K206">
            <v>1585</v>
          </cell>
          <cell r="L206">
            <v>63400</v>
          </cell>
          <cell r="M206">
            <v>0</v>
          </cell>
          <cell r="N206">
            <v>0</v>
          </cell>
          <cell r="O206">
            <v>1260</v>
          </cell>
          <cell r="P206">
            <v>50400</v>
          </cell>
        </row>
        <row r="207">
          <cell r="F207">
            <v>0</v>
          </cell>
          <cell r="H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</row>
        <row r="208">
          <cell r="B208" t="str">
            <v xml:space="preserve"> RSG CONDUIT WITH COUPLING, THICK WALL</v>
          </cell>
          <cell r="F208">
            <v>0</v>
          </cell>
          <cell r="H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</row>
        <row r="209">
          <cell r="B209" t="str">
            <v xml:space="preserve"> (ANSI C80.1 NPT THREADED)</v>
          </cell>
          <cell r="F209">
            <v>0</v>
          </cell>
          <cell r="H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</row>
        <row r="210">
          <cell r="A210">
            <v>31</v>
          </cell>
          <cell r="B210" t="str">
            <v xml:space="preserve">     1"</v>
          </cell>
          <cell r="C210">
            <v>800</v>
          </cell>
          <cell r="D210" t="str">
            <v>M</v>
          </cell>
          <cell r="E210">
            <v>49</v>
          </cell>
          <cell r="F210">
            <v>39200</v>
          </cell>
          <cell r="H210">
            <v>0</v>
          </cell>
          <cell r="I210">
            <v>0.54</v>
          </cell>
          <cell r="J210">
            <v>432</v>
          </cell>
          <cell r="K210">
            <v>49</v>
          </cell>
          <cell r="L210">
            <v>39200</v>
          </cell>
          <cell r="M210">
            <v>0</v>
          </cell>
          <cell r="N210">
            <v>0</v>
          </cell>
          <cell r="O210">
            <v>151</v>
          </cell>
          <cell r="P210">
            <v>120800</v>
          </cell>
        </row>
        <row r="211">
          <cell r="A211">
            <v>32</v>
          </cell>
          <cell r="B211" t="str">
            <v xml:space="preserve">     2"</v>
          </cell>
          <cell r="C211">
            <v>1000</v>
          </cell>
          <cell r="D211" t="str">
            <v>M</v>
          </cell>
          <cell r="E211">
            <v>105</v>
          </cell>
          <cell r="F211">
            <v>105000</v>
          </cell>
          <cell r="H211">
            <v>0</v>
          </cell>
          <cell r="I211">
            <v>0.98</v>
          </cell>
          <cell r="J211">
            <v>980</v>
          </cell>
          <cell r="K211">
            <v>105</v>
          </cell>
          <cell r="L211">
            <v>105000</v>
          </cell>
          <cell r="M211">
            <v>0</v>
          </cell>
          <cell r="N211">
            <v>0</v>
          </cell>
          <cell r="O211">
            <v>274</v>
          </cell>
          <cell r="P211">
            <v>274000</v>
          </cell>
        </row>
        <row r="212">
          <cell r="A212">
            <v>33</v>
          </cell>
          <cell r="B212" t="str">
            <v xml:space="preserve">     4"</v>
          </cell>
          <cell r="C212">
            <v>350</v>
          </cell>
          <cell r="D212" t="str">
            <v>M</v>
          </cell>
          <cell r="E212">
            <v>343</v>
          </cell>
          <cell r="F212">
            <v>120050</v>
          </cell>
          <cell r="H212">
            <v>0</v>
          </cell>
          <cell r="I212">
            <v>1.85</v>
          </cell>
          <cell r="J212">
            <v>648</v>
          </cell>
          <cell r="K212">
            <v>343</v>
          </cell>
          <cell r="L212">
            <v>120050</v>
          </cell>
          <cell r="M212">
            <v>0</v>
          </cell>
          <cell r="N212">
            <v>0</v>
          </cell>
          <cell r="O212">
            <v>518</v>
          </cell>
          <cell r="P212">
            <v>181300</v>
          </cell>
        </row>
        <row r="213">
          <cell r="A213">
            <v>34</v>
          </cell>
          <cell r="B213" t="str">
            <v xml:space="preserve">     6"</v>
          </cell>
          <cell r="C213">
            <v>50</v>
          </cell>
          <cell r="D213" t="str">
            <v>M</v>
          </cell>
          <cell r="E213">
            <v>840</v>
          </cell>
          <cell r="F213">
            <v>42000</v>
          </cell>
          <cell r="H213">
            <v>0</v>
          </cell>
          <cell r="I213">
            <v>2.72</v>
          </cell>
          <cell r="J213">
            <v>136</v>
          </cell>
          <cell r="K213">
            <v>840</v>
          </cell>
          <cell r="L213">
            <v>42000</v>
          </cell>
          <cell r="M213">
            <v>0</v>
          </cell>
          <cell r="N213">
            <v>0</v>
          </cell>
          <cell r="O213">
            <v>762</v>
          </cell>
          <cell r="P213">
            <v>38100</v>
          </cell>
        </row>
        <row r="214">
          <cell r="E214" t="str">
            <v xml:space="preserve"> </v>
          </cell>
          <cell r="F214">
            <v>0</v>
          </cell>
          <cell r="H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</row>
        <row r="215">
          <cell r="B215" t="str">
            <v xml:space="preserve"> FLEXIBLE CONDUIT, LIQUID-TIGHT, UA TYPE</v>
          </cell>
          <cell r="F215">
            <v>0</v>
          </cell>
          <cell r="H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</row>
        <row r="216">
          <cell r="A216">
            <v>35</v>
          </cell>
          <cell r="B216" t="str">
            <v xml:space="preserve">     1", 0.6M LG., W/TWO CONNECTORS</v>
          </cell>
          <cell r="C216">
            <v>20</v>
          </cell>
          <cell r="D216" t="str">
            <v>M</v>
          </cell>
          <cell r="E216">
            <v>191</v>
          </cell>
          <cell r="F216">
            <v>3820</v>
          </cell>
          <cell r="H216">
            <v>0</v>
          </cell>
          <cell r="I216">
            <v>0.64</v>
          </cell>
          <cell r="J216">
            <v>13</v>
          </cell>
          <cell r="K216">
            <v>191</v>
          </cell>
          <cell r="L216">
            <v>3820</v>
          </cell>
          <cell r="M216">
            <v>0</v>
          </cell>
          <cell r="N216">
            <v>0</v>
          </cell>
          <cell r="O216">
            <v>179</v>
          </cell>
          <cell r="P216">
            <v>3580</v>
          </cell>
        </row>
        <row r="217">
          <cell r="A217">
            <v>36</v>
          </cell>
          <cell r="B217" t="str">
            <v xml:space="preserve">    2", 0.6M LG., W/TWO CONNECTORS</v>
          </cell>
          <cell r="C217">
            <v>25</v>
          </cell>
          <cell r="D217" t="str">
            <v>M</v>
          </cell>
          <cell r="E217">
            <v>446</v>
          </cell>
          <cell r="F217">
            <v>11150</v>
          </cell>
          <cell r="H217">
            <v>0</v>
          </cell>
          <cell r="I217">
            <v>1.1599999999999999</v>
          </cell>
          <cell r="J217">
            <v>29</v>
          </cell>
          <cell r="K217">
            <v>446</v>
          </cell>
          <cell r="L217">
            <v>11150</v>
          </cell>
          <cell r="M217">
            <v>0</v>
          </cell>
          <cell r="N217">
            <v>0</v>
          </cell>
          <cell r="O217">
            <v>325</v>
          </cell>
          <cell r="P217">
            <v>8125</v>
          </cell>
        </row>
        <row r="218">
          <cell r="A218">
            <v>37</v>
          </cell>
          <cell r="B218" t="str">
            <v xml:space="preserve">    4", 0.6M LG., W/TWO CONNECTORS</v>
          </cell>
          <cell r="C218">
            <v>20</v>
          </cell>
          <cell r="D218" t="str">
            <v>M</v>
          </cell>
          <cell r="E218">
            <v>1307</v>
          </cell>
          <cell r="F218">
            <v>26140</v>
          </cell>
          <cell r="H218">
            <v>0</v>
          </cell>
          <cell r="I218">
            <v>2.08</v>
          </cell>
          <cell r="J218">
            <v>42</v>
          </cell>
          <cell r="K218">
            <v>1307</v>
          </cell>
          <cell r="L218">
            <v>26140</v>
          </cell>
          <cell r="M218">
            <v>0</v>
          </cell>
          <cell r="N218">
            <v>0</v>
          </cell>
          <cell r="O218">
            <v>582</v>
          </cell>
          <cell r="P218">
            <v>11640</v>
          </cell>
        </row>
        <row r="219">
          <cell r="F219">
            <v>0</v>
          </cell>
          <cell r="H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</row>
        <row r="220">
          <cell r="A220">
            <v>38</v>
          </cell>
          <cell r="B220" t="str">
            <v xml:space="preserve"> HOT DIPPED GALVANIZED CONDUIT FITTING</v>
          </cell>
          <cell r="C220">
            <v>1</v>
          </cell>
          <cell r="D220" t="str">
            <v>LOT</v>
          </cell>
          <cell r="E220">
            <v>612500</v>
          </cell>
          <cell r="F220">
            <v>612500</v>
          </cell>
          <cell r="H220">
            <v>0</v>
          </cell>
          <cell r="I220">
            <v>658.8</v>
          </cell>
          <cell r="J220">
            <v>659</v>
          </cell>
          <cell r="K220">
            <v>612500</v>
          </cell>
          <cell r="L220">
            <v>612500</v>
          </cell>
          <cell r="M220">
            <v>0</v>
          </cell>
          <cell r="N220">
            <v>0</v>
          </cell>
          <cell r="O220">
            <v>184464</v>
          </cell>
          <cell r="P220">
            <v>184464</v>
          </cell>
        </row>
        <row r="221">
          <cell r="B221" t="str">
            <v xml:space="preserve"> SEALING FITTING, UNION, CLAMP….</v>
          </cell>
          <cell r="F221">
            <v>0</v>
          </cell>
          <cell r="H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</row>
        <row r="222">
          <cell r="F222">
            <v>0</v>
          </cell>
          <cell r="H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</row>
        <row r="223">
          <cell r="A223">
            <v>39</v>
          </cell>
          <cell r="B223" t="str">
            <v xml:space="preserve"> HOT DIPPED GALVANIZED STEEL SUPPORT, FOR CONDUIT</v>
          </cell>
          <cell r="C223">
            <v>1100</v>
          </cell>
          <cell r="D223" t="str">
            <v>KG</v>
          </cell>
          <cell r="E223">
            <v>20</v>
          </cell>
          <cell r="F223">
            <v>22000</v>
          </cell>
          <cell r="H223">
            <v>0</v>
          </cell>
          <cell r="I223">
            <v>0.15</v>
          </cell>
          <cell r="J223">
            <v>165</v>
          </cell>
          <cell r="K223">
            <v>20</v>
          </cell>
          <cell r="L223">
            <v>22000</v>
          </cell>
          <cell r="M223">
            <v>0</v>
          </cell>
          <cell r="N223">
            <v>0</v>
          </cell>
          <cell r="O223">
            <v>42</v>
          </cell>
          <cell r="P223">
            <v>46200</v>
          </cell>
        </row>
        <row r="224">
          <cell r="F224">
            <v>0</v>
          </cell>
          <cell r="H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</row>
        <row r="225">
          <cell r="A225">
            <v>40</v>
          </cell>
          <cell r="B225" t="str">
            <v xml:space="preserve"> PUSH BUTTON  STATION, "START-STOP" TYPE,</v>
          </cell>
          <cell r="C225">
            <v>20</v>
          </cell>
          <cell r="D225" t="str">
            <v>SET</v>
          </cell>
          <cell r="E225">
            <v>3600</v>
          </cell>
          <cell r="F225">
            <v>72000</v>
          </cell>
          <cell r="H225">
            <v>0</v>
          </cell>
          <cell r="I225">
            <v>6</v>
          </cell>
          <cell r="J225">
            <v>120</v>
          </cell>
          <cell r="K225">
            <v>3600</v>
          </cell>
          <cell r="L225">
            <v>72000</v>
          </cell>
          <cell r="M225">
            <v>0</v>
          </cell>
          <cell r="N225">
            <v>0</v>
          </cell>
          <cell r="O225">
            <v>1680</v>
          </cell>
          <cell r="P225">
            <v>33600</v>
          </cell>
        </row>
        <row r="226">
          <cell r="B226" t="str">
            <v xml:space="preserve"> FOR CLASS 1, DIV. 2 GROUP D, NEMA-4X</v>
          </cell>
          <cell r="F226">
            <v>0</v>
          </cell>
          <cell r="H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</row>
        <row r="227">
          <cell r="F227">
            <v>0</v>
          </cell>
          <cell r="H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</row>
        <row r="228">
          <cell r="A228">
            <v>41</v>
          </cell>
          <cell r="B228" t="str">
            <v xml:space="preserve"> PUSH BUTTON  STATION, "START-STOP" TYPE, WITH LAMP x 1PC</v>
          </cell>
          <cell r="C228">
            <v>12</v>
          </cell>
          <cell r="D228" t="str">
            <v>SET</v>
          </cell>
          <cell r="E228">
            <v>6800</v>
          </cell>
          <cell r="F228">
            <v>81600</v>
          </cell>
          <cell r="H228">
            <v>0</v>
          </cell>
          <cell r="I228">
            <v>7</v>
          </cell>
          <cell r="J228">
            <v>84</v>
          </cell>
          <cell r="K228">
            <v>6800</v>
          </cell>
          <cell r="L228">
            <v>81600</v>
          </cell>
          <cell r="M228">
            <v>0</v>
          </cell>
          <cell r="N228">
            <v>0</v>
          </cell>
          <cell r="O228">
            <v>1960</v>
          </cell>
          <cell r="P228">
            <v>23520</v>
          </cell>
        </row>
        <row r="229">
          <cell r="B229" t="str">
            <v xml:space="preserve"> FOR CLASS 1, DIV. 2 GROUP D, NEMA-4X</v>
          </cell>
          <cell r="F229">
            <v>0</v>
          </cell>
          <cell r="H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</row>
        <row r="230">
          <cell r="F230">
            <v>0</v>
          </cell>
          <cell r="H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</row>
        <row r="231">
          <cell r="A231">
            <v>42</v>
          </cell>
          <cell r="B231" t="str">
            <v xml:space="preserve"> PUSH BUTTON  STATION, "START-STOP" TYPE,</v>
          </cell>
          <cell r="C231">
            <v>20</v>
          </cell>
          <cell r="D231" t="str">
            <v>SET</v>
          </cell>
          <cell r="E231">
            <v>2800</v>
          </cell>
          <cell r="F231">
            <v>56000</v>
          </cell>
          <cell r="H231">
            <v>0</v>
          </cell>
          <cell r="I231">
            <v>5</v>
          </cell>
          <cell r="J231">
            <v>100</v>
          </cell>
          <cell r="K231">
            <v>2800</v>
          </cell>
          <cell r="L231">
            <v>56000</v>
          </cell>
          <cell r="M231">
            <v>0</v>
          </cell>
          <cell r="N231">
            <v>0</v>
          </cell>
          <cell r="O231">
            <v>1400</v>
          </cell>
          <cell r="P231">
            <v>28000</v>
          </cell>
        </row>
        <row r="232">
          <cell r="B232" t="str">
            <v xml:space="preserve"> WEATHER PROOF, NEMA-4X</v>
          </cell>
          <cell r="F232">
            <v>0</v>
          </cell>
          <cell r="H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</row>
        <row r="233">
          <cell r="F233">
            <v>0</v>
          </cell>
          <cell r="H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</row>
        <row r="234">
          <cell r="A234">
            <v>43</v>
          </cell>
          <cell r="B234" t="str">
            <v xml:space="preserve"> HOT DIPPED GALVANIZED STEEL SUPPORT, </v>
          </cell>
          <cell r="C234">
            <v>780</v>
          </cell>
          <cell r="D234" t="str">
            <v>KG</v>
          </cell>
          <cell r="E234">
            <v>20</v>
          </cell>
          <cell r="F234">
            <v>15600</v>
          </cell>
          <cell r="H234">
            <v>0</v>
          </cell>
          <cell r="I234">
            <v>0.15</v>
          </cell>
          <cell r="J234">
            <v>117</v>
          </cell>
          <cell r="K234">
            <v>20</v>
          </cell>
          <cell r="L234">
            <v>15600</v>
          </cell>
          <cell r="M234">
            <v>0</v>
          </cell>
          <cell r="N234">
            <v>0</v>
          </cell>
          <cell r="O234">
            <v>42</v>
          </cell>
          <cell r="P234">
            <v>32760</v>
          </cell>
        </row>
        <row r="235">
          <cell r="B235" t="str">
            <v xml:space="preserve"> 1.5M(H) X 52SET FOR PUSH BUTTON STATION</v>
          </cell>
          <cell r="F235">
            <v>0</v>
          </cell>
          <cell r="H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</row>
        <row r="236">
          <cell r="F236">
            <v>0</v>
          </cell>
          <cell r="H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</row>
        <row r="237">
          <cell r="A237">
            <v>44</v>
          </cell>
          <cell r="B237" t="str">
            <v>SMALL FOUNDATION FOR PUSH BUTTON STATION</v>
          </cell>
          <cell r="C237">
            <v>52</v>
          </cell>
          <cell r="D237" t="str">
            <v>SET</v>
          </cell>
          <cell r="E237">
            <v>1000</v>
          </cell>
          <cell r="F237">
            <v>52000</v>
          </cell>
          <cell r="H237">
            <v>0</v>
          </cell>
          <cell r="J237">
            <v>0</v>
          </cell>
          <cell r="K237">
            <v>1000</v>
          </cell>
          <cell r="L237">
            <v>52000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</row>
        <row r="238">
          <cell r="F238">
            <v>0</v>
          </cell>
          <cell r="H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</row>
        <row r="239">
          <cell r="B239" t="str">
            <v xml:space="preserve"> CABLE TRAY, LADDER TYPE H.D. GALV. STEEL</v>
          </cell>
          <cell r="F239">
            <v>0</v>
          </cell>
          <cell r="H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</row>
        <row r="240">
          <cell r="B240" t="str">
            <v xml:space="preserve"> W/ ANODIC TREATMENT &amp; EXPOSY COATING(50u)</v>
          </cell>
          <cell r="F240">
            <v>0</v>
          </cell>
          <cell r="H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</row>
        <row r="241">
          <cell r="B241" t="str">
            <v xml:space="preserve"> STRAIGHT SECTION, </v>
          </cell>
          <cell r="F241">
            <v>0</v>
          </cell>
          <cell r="H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</row>
        <row r="242">
          <cell r="A242">
            <v>45</v>
          </cell>
          <cell r="B242" t="str">
            <v xml:space="preserve"> 300 mm  WIDE x 100 mm H</v>
          </cell>
          <cell r="C242">
            <v>230</v>
          </cell>
          <cell r="D242" t="str">
            <v>M</v>
          </cell>
          <cell r="E242">
            <v>328</v>
          </cell>
          <cell r="F242">
            <v>75440</v>
          </cell>
          <cell r="H242">
            <v>0</v>
          </cell>
          <cell r="I242">
            <v>0.74</v>
          </cell>
          <cell r="J242">
            <v>170</v>
          </cell>
          <cell r="K242">
            <v>328</v>
          </cell>
          <cell r="L242">
            <v>75440</v>
          </cell>
          <cell r="M242">
            <v>0</v>
          </cell>
          <cell r="N242">
            <v>0</v>
          </cell>
          <cell r="O242">
            <v>207</v>
          </cell>
          <cell r="P242">
            <v>47610</v>
          </cell>
        </row>
        <row r="243">
          <cell r="A243">
            <v>46</v>
          </cell>
          <cell r="B243" t="str">
            <v xml:space="preserve"> 600 mm WIDE x 100 mm HIGH</v>
          </cell>
          <cell r="C243">
            <v>400</v>
          </cell>
          <cell r="D243" t="str">
            <v>M</v>
          </cell>
          <cell r="E243">
            <v>380</v>
          </cell>
          <cell r="F243">
            <v>152000</v>
          </cell>
          <cell r="H243">
            <v>0</v>
          </cell>
          <cell r="I243">
            <v>0.84</v>
          </cell>
          <cell r="J243">
            <v>336</v>
          </cell>
          <cell r="K243">
            <v>380</v>
          </cell>
          <cell r="L243">
            <v>152000</v>
          </cell>
          <cell r="M243">
            <v>0</v>
          </cell>
          <cell r="N243">
            <v>0</v>
          </cell>
          <cell r="O243">
            <v>235</v>
          </cell>
          <cell r="P243">
            <v>94000</v>
          </cell>
        </row>
        <row r="244">
          <cell r="A244">
            <v>47</v>
          </cell>
          <cell r="B244" t="str">
            <v xml:space="preserve"> 1000 mm WIDE x 100 mm HIGH</v>
          </cell>
          <cell r="C244">
            <v>160</v>
          </cell>
          <cell r="D244" t="str">
            <v>M</v>
          </cell>
          <cell r="E244">
            <v>450</v>
          </cell>
          <cell r="F244">
            <v>72000</v>
          </cell>
          <cell r="H244">
            <v>0</v>
          </cell>
          <cell r="I244">
            <v>1</v>
          </cell>
          <cell r="J244">
            <v>160</v>
          </cell>
          <cell r="K244">
            <v>450</v>
          </cell>
          <cell r="L244">
            <v>72000</v>
          </cell>
          <cell r="M244">
            <v>0</v>
          </cell>
          <cell r="N244">
            <v>0</v>
          </cell>
          <cell r="O244">
            <v>280</v>
          </cell>
          <cell r="P244">
            <v>44800</v>
          </cell>
        </row>
        <row r="245">
          <cell r="F245">
            <v>0</v>
          </cell>
          <cell r="H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</row>
        <row r="246">
          <cell r="A246">
            <v>48</v>
          </cell>
          <cell r="B246" t="str">
            <v xml:space="preserve"> CABLE TRAY COVER, H.D. GALV. STEEL</v>
          </cell>
          <cell r="C246">
            <v>150</v>
          </cell>
          <cell r="D246" t="str">
            <v>M</v>
          </cell>
          <cell r="E246">
            <v>328</v>
          </cell>
          <cell r="F246">
            <v>49200</v>
          </cell>
          <cell r="H246">
            <v>0</v>
          </cell>
          <cell r="I246">
            <v>0.6</v>
          </cell>
          <cell r="J246">
            <v>90</v>
          </cell>
          <cell r="K246">
            <v>328</v>
          </cell>
          <cell r="L246">
            <v>49200</v>
          </cell>
          <cell r="M246">
            <v>0</v>
          </cell>
          <cell r="N246">
            <v>0</v>
          </cell>
          <cell r="O246">
            <v>168</v>
          </cell>
          <cell r="P246">
            <v>25200</v>
          </cell>
        </row>
        <row r="247">
          <cell r="B247" t="str">
            <v xml:space="preserve"> W/ ANODIC TREATMENT &amp; EXPOSY COATING(50u)</v>
          </cell>
          <cell r="F247">
            <v>0</v>
          </cell>
          <cell r="H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</row>
        <row r="248">
          <cell r="B248" t="str">
            <v xml:space="preserve"> STRAIGHT SECTION, 600 mm WIDE</v>
          </cell>
          <cell r="F248">
            <v>0</v>
          </cell>
          <cell r="H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</row>
        <row r="249">
          <cell r="F249">
            <v>0</v>
          </cell>
          <cell r="H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</row>
        <row r="250">
          <cell r="A250">
            <v>49</v>
          </cell>
          <cell r="B250" t="str">
            <v xml:space="preserve"> CABLE TRAY FITTINGS &amp; ACCESSORIES</v>
          </cell>
          <cell r="C250">
            <v>1</v>
          </cell>
          <cell r="D250" t="str">
            <v>LOT</v>
          </cell>
          <cell r="E250">
            <v>174320</v>
          </cell>
          <cell r="F250">
            <v>174320</v>
          </cell>
          <cell r="H250">
            <v>0</v>
          </cell>
          <cell r="I250">
            <v>113.39999999999999</v>
          </cell>
          <cell r="J250">
            <v>113</v>
          </cell>
          <cell r="K250">
            <v>174320</v>
          </cell>
          <cell r="L250">
            <v>174320</v>
          </cell>
          <cell r="M250">
            <v>0</v>
          </cell>
          <cell r="N250">
            <v>0</v>
          </cell>
          <cell r="O250">
            <v>31752</v>
          </cell>
          <cell r="P250">
            <v>31752</v>
          </cell>
        </row>
        <row r="251">
          <cell r="F251">
            <v>0</v>
          </cell>
          <cell r="H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</row>
        <row r="252">
          <cell r="A252">
            <v>50</v>
          </cell>
          <cell r="B252" t="str">
            <v xml:space="preserve"> CABLE TRAY SUPPORT(IN TRENCH), HOT DIPPED GALVAN.</v>
          </cell>
          <cell r="C252">
            <v>3950</v>
          </cell>
          <cell r="D252" t="str">
            <v>KG</v>
          </cell>
          <cell r="E252">
            <v>20</v>
          </cell>
          <cell r="F252">
            <v>79000</v>
          </cell>
          <cell r="H252">
            <v>0</v>
          </cell>
          <cell r="I252">
            <v>0.15</v>
          </cell>
          <cell r="J252">
            <v>593</v>
          </cell>
          <cell r="K252">
            <v>20</v>
          </cell>
          <cell r="L252">
            <v>79000</v>
          </cell>
          <cell r="M252">
            <v>0</v>
          </cell>
          <cell r="N252">
            <v>0</v>
          </cell>
          <cell r="O252">
            <v>42</v>
          </cell>
          <cell r="P252">
            <v>165900</v>
          </cell>
        </row>
        <row r="253">
          <cell r="F253">
            <v>0</v>
          </cell>
          <cell r="H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</row>
        <row r="254">
          <cell r="A254">
            <v>51</v>
          </cell>
          <cell r="B254" t="str">
            <v>POOLING BOX, OUTDOOR TYPE</v>
          </cell>
          <cell r="C254">
            <v>6</v>
          </cell>
          <cell r="D254" t="str">
            <v>SET</v>
          </cell>
          <cell r="E254">
            <v>80000</v>
          </cell>
          <cell r="F254">
            <v>480000</v>
          </cell>
          <cell r="H254">
            <v>0</v>
          </cell>
          <cell r="I254">
            <v>50</v>
          </cell>
          <cell r="J254">
            <v>300</v>
          </cell>
          <cell r="K254">
            <v>80000</v>
          </cell>
          <cell r="L254">
            <v>480000</v>
          </cell>
          <cell r="M254">
            <v>0</v>
          </cell>
          <cell r="N254">
            <v>0</v>
          </cell>
          <cell r="O254">
            <v>14000</v>
          </cell>
          <cell r="P254">
            <v>84000</v>
          </cell>
        </row>
        <row r="255">
          <cell r="B255" t="str">
            <v>HOT DIPPED GALVANIZED STEEL, W/ PAINTING</v>
          </cell>
          <cell r="F255">
            <v>0</v>
          </cell>
          <cell r="H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</row>
        <row r="256">
          <cell r="B256" t="str">
            <v xml:space="preserve"> 3000(L)x1600(D)x2200(H)MM., W/ DOORS</v>
          </cell>
          <cell r="F256">
            <v>0</v>
          </cell>
          <cell r="H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</row>
        <row r="257">
          <cell r="F257">
            <v>0</v>
          </cell>
          <cell r="H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</row>
        <row r="258">
          <cell r="A258">
            <v>52</v>
          </cell>
          <cell r="B258" t="str">
            <v xml:space="preserve">JUNCTION BOX, INDOOR TYPE, </v>
          </cell>
          <cell r="C258">
            <v>3</v>
          </cell>
          <cell r="D258" t="str">
            <v>SET</v>
          </cell>
          <cell r="E258">
            <v>16000</v>
          </cell>
          <cell r="F258">
            <v>48000</v>
          </cell>
          <cell r="H258">
            <v>0</v>
          </cell>
          <cell r="I258">
            <v>15</v>
          </cell>
          <cell r="J258">
            <v>45</v>
          </cell>
          <cell r="K258">
            <v>16000</v>
          </cell>
          <cell r="L258">
            <v>48000</v>
          </cell>
          <cell r="M258">
            <v>0</v>
          </cell>
          <cell r="N258">
            <v>0</v>
          </cell>
          <cell r="O258">
            <v>4200</v>
          </cell>
          <cell r="P258">
            <v>12600</v>
          </cell>
        </row>
        <row r="259">
          <cell r="B259" t="str">
            <v>W/ TB.(FOR 2.0MM. WIRE) X 200P</v>
          </cell>
          <cell r="F259">
            <v>0</v>
          </cell>
          <cell r="H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</row>
        <row r="260">
          <cell r="F260">
            <v>0</v>
          </cell>
          <cell r="H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</row>
        <row r="261">
          <cell r="A261">
            <v>53</v>
          </cell>
          <cell r="B261" t="str">
            <v xml:space="preserve"> MISCELLANEOUS MATERIALS</v>
          </cell>
          <cell r="C261">
            <v>1</v>
          </cell>
          <cell r="D261" t="str">
            <v>LOT</v>
          </cell>
          <cell r="E261">
            <v>677772</v>
          </cell>
          <cell r="F261">
            <v>677772</v>
          </cell>
          <cell r="H261">
            <v>0</v>
          </cell>
          <cell r="I261">
            <v>963.71999999999991</v>
          </cell>
          <cell r="J261">
            <v>964</v>
          </cell>
          <cell r="K261">
            <v>677772</v>
          </cell>
          <cell r="L261">
            <v>677772</v>
          </cell>
          <cell r="M261">
            <v>0</v>
          </cell>
          <cell r="N261">
            <v>0</v>
          </cell>
          <cell r="O261">
            <v>269842</v>
          </cell>
          <cell r="P261">
            <v>269842</v>
          </cell>
        </row>
        <row r="262">
          <cell r="F262">
            <v>0</v>
          </cell>
          <cell r="H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</row>
        <row r="263">
          <cell r="B263" t="str">
            <v>SUB-TOTAL : (B)</v>
          </cell>
          <cell r="F263">
            <v>23270172</v>
          </cell>
          <cell r="H263">
            <v>0</v>
          </cell>
          <cell r="J263">
            <v>33088</v>
          </cell>
          <cell r="K263">
            <v>0</v>
          </cell>
          <cell r="L263">
            <v>23270172</v>
          </cell>
          <cell r="M263">
            <v>0</v>
          </cell>
          <cell r="N263">
            <v>0</v>
          </cell>
          <cell r="O263">
            <v>0</v>
          </cell>
          <cell r="P263">
            <v>9262383</v>
          </cell>
        </row>
        <row r="264">
          <cell r="F264">
            <v>0</v>
          </cell>
          <cell r="H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</row>
        <row r="265">
          <cell r="F265">
            <v>0</v>
          </cell>
          <cell r="H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</row>
        <row r="266">
          <cell r="F266">
            <v>0</v>
          </cell>
          <cell r="H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</row>
        <row r="267">
          <cell r="A267" t="str">
            <v xml:space="preserve">  C.</v>
          </cell>
          <cell r="B267" t="str">
            <v xml:space="preserve"> LIGHTING SYSTEM(所有燈具皆包括燈管或燈泡)</v>
          </cell>
          <cell r="F267">
            <v>0</v>
          </cell>
          <cell r="H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</row>
        <row r="268">
          <cell r="A268">
            <v>1</v>
          </cell>
          <cell r="B268" t="str">
            <v xml:space="preserve"> LIGHTING PANEL FOR CLASS 1 DIV.2  GROUP D</v>
          </cell>
          <cell r="C268">
            <v>1</v>
          </cell>
          <cell r="D268" t="str">
            <v>SET</v>
          </cell>
          <cell r="E268">
            <v>144000</v>
          </cell>
          <cell r="F268">
            <v>144000</v>
          </cell>
          <cell r="H268">
            <v>0</v>
          </cell>
          <cell r="I268">
            <v>10</v>
          </cell>
          <cell r="J268">
            <v>10</v>
          </cell>
          <cell r="K268">
            <v>144000</v>
          </cell>
          <cell r="L268">
            <v>144000</v>
          </cell>
          <cell r="M268">
            <v>0</v>
          </cell>
          <cell r="N268">
            <v>0</v>
          </cell>
          <cell r="O268">
            <v>2800</v>
          </cell>
          <cell r="P268">
            <v>2800</v>
          </cell>
        </row>
        <row r="269">
          <cell r="B269" t="str">
            <v xml:space="preserve"> , 3 PHASE 3 WIRE 240V, MAIN 3P30A,BRANCH 2P 20A 6CKT</v>
          </cell>
          <cell r="F269">
            <v>0</v>
          </cell>
          <cell r="H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</row>
        <row r="270">
          <cell r="A270">
            <v>2</v>
          </cell>
          <cell r="B270" t="str">
            <v xml:space="preserve">LTG. PNL FOR WEATHER-PROOF, 3PHASE 3 WIRE 240V </v>
          </cell>
          <cell r="C270">
            <v>1</v>
          </cell>
          <cell r="D270" t="str">
            <v>SET</v>
          </cell>
          <cell r="E270">
            <v>13000</v>
          </cell>
          <cell r="F270">
            <v>13000</v>
          </cell>
          <cell r="H270">
            <v>0</v>
          </cell>
          <cell r="I270">
            <v>10</v>
          </cell>
          <cell r="J270">
            <v>10</v>
          </cell>
          <cell r="K270">
            <v>13000</v>
          </cell>
          <cell r="L270">
            <v>13000</v>
          </cell>
          <cell r="M270">
            <v>0</v>
          </cell>
          <cell r="N270">
            <v>0</v>
          </cell>
          <cell r="O270">
            <v>2800</v>
          </cell>
          <cell r="P270">
            <v>2800</v>
          </cell>
        </row>
        <row r="271">
          <cell r="B271" t="str">
            <v>MAIN 3P30A,BRANCH 2P 20A 8 CKT</v>
          </cell>
          <cell r="F271">
            <v>0</v>
          </cell>
          <cell r="H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</row>
        <row r="272">
          <cell r="A272">
            <v>3</v>
          </cell>
          <cell r="B272" t="str">
            <v>LTG. PNL. FOR CLASS 1, DIV.2 GROUP D , 3PHASE 3WIRE</v>
          </cell>
          <cell r="C272">
            <v>1</v>
          </cell>
          <cell r="D272" t="str">
            <v>SET</v>
          </cell>
          <cell r="E272">
            <v>157500</v>
          </cell>
          <cell r="F272">
            <v>157500</v>
          </cell>
          <cell r="H272">
            <v>0</v>
          </cell>
          <cell r="I272">
            <v>10</v>
          </cell>
          <cell r="J272">
            <v>10</v>
          </cell>
          <cell r="K272">
            <v>157500</v>
          </cell>
          <cell r="L272">
            <v>157500</v>
          </cell>
          <cell r="M272">
            <v>0</v>
          </cell>
          <cell r="N272">
            <v>0</v>
          </cell>
          <cell r="O272">
            <v>2800</v>
          </cell>
          <cell r="P272">
            <v>2800</v>
          </cell>
        </row>
        <row r="273">
          <cell r="B273" t="str">
            <v>240V, MAIN 3P50A,BRANCH 2P 20A 10CKT</v>
          </cell>
          <cell r="F273">
            <v>0</v>
          </cell>
          <cell r="H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</row>
        <row r="274">
          <cell r="A274">
            <v>4</v>
          </cell>
          <cell r="B274" t="str">
            <v>LTG. PNL. FOR WEATHER-PROOF , 3PHASE 3WIRE</v>
          </cell>
          <cell r="C274">
            <v>1</v>
          </cell>
          <cell r="D274" t="str">
            <v>SET</v>
          </cell>
          <cell r="E274">
            <v>11000</v>
          </cell>
          <cell r="F274">
            <v>11000</v>
          </cell>
          <cell r="H274">
            <v>0</v>
          </cell>
          <cell r="I274">
            <v>8</v>
          </cell>
          <cell r="J274">
            <v>8</v>
          </cell>
          <cell r="K274">
            <v>11000</v>
          </cell>
          <cell r="L274">
            <v>11000</v>
          </cell>
          <cell r="M274">
            <v>0</v>
          </cell>
          <cell r="N274">
            <v>0</v>
          </cell>
          <cell r="O274">
            <v>2240</v>
          </cell>
          <cell r="P274">
            <v>2240</v>
          </cell>
        </row>
        <row r="275">
          <cell r="B275" t="str">
            <v>240V, MAIN 3P30A,BRANCH2P 20A 6CKT</v>
          </cell>
          <cell r="F275">
            <v>0</v>
          </cell>
          <cell r="H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</row>
        <row r="276">
          <cell r="A276">
            <v>5</v>
          </cell>
          <cell r="B276" t="str">
            <v>LTG. PNL. FOR CLASS 1, DIV.2 GROUP D 3 PHASE 3 WIRE</v>
          </cell>
          <cell r="C276">
            <v>1</v>
          </cell>
          <cell r="D276" t="str">
            <v>SET</v>
          </cell>
          <cell r="E276">
            <v>164700</v>
          </cell>
          <cell r="F276">
            <v>164700</v>
          </cell>
          <cell r="H276">
            <v>0</v>
          </cell>
          <cell r="I276">
            <v>8</v>
          </cell>
          <cell r="J276">
            <v>8</v>
          </cell>
          <cell r="K276">
            <v>164700</v>
          </cell>
          <cell r="L276">
            <v>164700</v>
          </cell>
          <cell r="M276">
            <v>0</v>
          </cell>
          <cell r="N276">
            <v>0</v>
          </cell>
          <cell r="O276">
            <v>2240</v>
          </cell>
          <cell r="P276">
            <v>2240</v>
          </cell>
        </row>
        <row r="277">
          <cell r="B277" t="str">
            <v>240V 2P50A 12CKT</v>
          </cell>
          <cell r="F277">
            <v>0</v>
          </cell>
          <cell r="H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</row>
        <row r="278">
          <cell r="A278">
            <v>6</v>
          </cell>
          <cell r="B278" t="str">
            <v>LTG. PNL. FOR GENERAL PURPOSE 3 PHASE 3 WIRE</v>
          </cell>
          <cell r="C278">
            <v>2</v>
          </cell>
          <cell r="D278" t="str">
            <v>SET</v>
          </cell>
          <cell r="E278">
            <v>12500</v>
          </cell>
          <cell r="F278">
            <v>25000</v>
          </cell>
          <cell r="H278">
            <v>0</v>
          </cell>
          <cell r="I278">
            <v>8</v>
          </cell>
          <cell r="J278">
            <v>16</v>
          </cell>
          <cell r="K278">
            <v>12500</v>
          </cell>
          <cell r="L278">
            <v>25000</v>
          </cell>
          <cell r="M278">
            <v>0</v>
          </cell>
          <cell r="N278">
            <v>0</v>
          </cell>
          <cell r="O278">
            <v>2240</v>
          </cell>
          <cell r="P278">
            <v>4480</v>
          </cell>
        </row>
        <row r="279">
          <cell r="B279" t="str">
            <v>240V MAIN 3P50A,BRANCH 3P20A 6CKT</v>
          </cell>
          <cell r="F279">
            <v>0</v>
          </cell>
          <cell r="H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</row>
        <row r="280">
          <cell r="A280">
            <v>7</v>
          </cell>
          <cell r="B280" t="str">
            <v>LTG. PNL. FOR GENERAL PURPOSE 3 PHASE 3 WIRE</v>
          </cell>
          <cell r="C280">
            <v>1</v>
          </cell>
          <cell r="D280" t="str">
            <v>SET</v>
          </cell>
          <cell r="E280">
            <v>14500</v>
          </cell>
          <cell r="F280">
            <v>14500</v>
          </cell>
          <cell r="H280">
            <v>0</v>
          </cell>
          <cell r="I280">
            <v>8</v>
          </cell>
          <cell r="J280">
            <v>8</v>
          </cell>
          <cell r="K280">
            <v>14500</v>
          </cell>
          <cell r="L280">
            <v>14500</v>
          </cell>
          <cell r="M280">
            <v>0</v>
          </cell>
          <cell r="N280">
            <v>0</v>
          </cell>
          <cell r="O280">
            <v>2240</v>
          </cell>
          <cell r="P280">
            <v>2240</v>
          </cell>
        </row>
        <row r="281">
          <cell r="B281" t="str">
            <v>240V MAIN 3P70A,BRANCH 3P20A 8CKT</v>
          </cell>
          <cell r="F281">
            <v>0</v>
          </cell>
          <cell r="H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</row>
        <row r="282">
          <cell r="A282">
            <v>8</v>
          </cell>
          <cell r="B282" t="str">
            <v>CIRCUIT BREAKER AND ENCLOSURE FOR CLASS 1 DIV.2</v>
          </cell>
          <cell r="C282">
            <v>5</v>
          </cell>
          <cell r="D282" t="str">
            <v>SET</v>
          </cell>
          <cell r="E282">
            <v>37800</v>
          </cell>
          <cell r="F282">
            <v>189000</v>
          </cell>
          <cell r="H282">
            <v>0</v>
          </cell>
          <cell r="I282">
            <v>4</v>
          </cell>
          <cell r="J282">
            <v>20</v>
          </cell>
          <cell r="K282">
            <v>37800</v>
          </cell>
          <cell r="L282">
            <v>189000</v>
          </cell>
          <cell r="M282">
            <v>0</v>
          </cell>
          <cell r="N282">
            <v>0</v>
          </cell>
          <cell r="O282">
            <v>1120</v>
          </cell>
          <cell r="P282">
            <v>5600</v>
          </cell>
        </row>
        <row r="283">
          <cell r="B283" t="str">
            <v>GROUP D, 3-POLE 20AMP</v>
          </cell>
          <cell r="F283">
            <v>0</v>
          </cell>
          <cell r="H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</row>
        <row r="284">
          <cell r="A284">
            <v>9</v>
          </cell>
          <cell r="B284" t="str">
            <v xml:space="preserve">CIRCUIT BREAKER AND ENCLOSURE FOR CLASS 1 DIV.2 </v>
          </cell>
          <cell r="C284">
            <v>1</v>
          </cell>
          <cell r="D284" t="str">
            <v>SET</v>
          </cell>
          <cell r="E284">
            <v>37800</v>
          </cell>
          <cell r="F284">
            <v>37800</v>
          </cell>
          <cell r="H284">
            <v>0</v>
          </cell>
          <cell r="I284">
            <v>4</v>
          </cell>
          <cell r="J284">
            <v>4</v>
          </cell>
          <cell r="K284">
            <v>37800</v>
          </cell>
          <cell r="L284">
            <v>37800</v>
          </cell>
          <cell r="M284">
            <v>0</v>
          </cell>
          <cell r="N284">
            <v>0</v>
          </cell>
          <cell r="O284">
            <v>1120</v>
          </cell>
          <cell r="P284">
            <v>1120</v>
          </cell>
        </row>
        <row r="285">
          <cell r="B285" t="str">
            <v>GROUP D 3-POLE 30AMP</v>
          </cell>
          <cell r="F285">
            <v>0</v>
          </cell>
          <cell r="H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</row>
        <row r="286">
          <cell r="A286">
            <v>10</v>
          </cell>
          <cell r="B286" t="str">
            <v xml:space="preserve">DRY TYPE TRANSFORMER WITH ENCLOSURE </v>
          </cell>
          <cell r="C286">
            <v>4</v>
          </cell>
          <cell r="D286" t="str">
            <v>SET</v>
          </cell>
          <cell r="E286">
            <v>25000</v>
          </cell>
          <cell r="F286">
            <v>100000</v>
          </cell>
          <cell r="H286">
            <v>0</v>
          </cell>
          <cell r="I286">
            <v>12</v>
          </cell>
          <cell r="J286">
            <v>48</v>
          </cell>
          <cell r="K286">
            <v>25000</v>
          </cell>
          <cell r="L286">
            <v>100000</v>
          </cell>
          <cell r="M286">
            <v>0</v>
          </cell>
          <cell r="N286">
            <v>0</v>
          </cell>
          <cell r="O286">
            <v>3360</v>
          </cell>
          <cell r="P286">
            <v>13440</v>
          </cell>
        </row>
        <row r="287">
          <cell r="B287" t="str">
            <v>3PH 480/240V 15KVA</v>
          </cell>
          <cell r="F287">
            <v>0</v>
          </cell>
          <cell r="H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</row>
        <row r="288">
          <cell r="A288">
            <v>11</v>
          </cell>
          <cell r="B288" t="str">
            <v xml:space="preserve">DRY TYPE TRANSFORMER WITH ENCLOSURE  </v>
          </cell>
          <cell r="C288">
            <v>1</v>
          </cell>
          <cell r="D288" t="str">
            <v>SET</v>
          </cell>
          <cell r="E288">
            <v>33000</v>
          </cell>
          <cell r="F288">
            <v>33000</v>
          </cell>
          <cell r="H288">
            <v>0</v>
          </cell>
          <cell r="I288">
            <v>16</v>
          </cell>
          <cell r="J288">
            <v>16</v>
          </cell>
          <cell r="K288">
            <v>33000</v>
          </cell>
          <cell r="L288">
            <v>33000</v>
          </cell>
          <cell r="M288">
            <v>0</v>
          </cell>
          <cell r="N288">
            <v>0</v>
          </cell>
          <cell r="O288">
            <v>4480</v>
          </cell>
          <cell r="P288">
            <v>4480</v>
          </cell>
        </row>
        <row r="289">
          <cell r="B289" t="str">
            <v xml:space="preserve"> 3PH 480/240V 25KVA</v>
          </cell>
          <cell r="F289">
            <v>0</v>
          </cell>
          <cell r="H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</row>
        <row r="290">
          <cell r="A290">
            <v>12</v>
          </cell>
          <cell r="B290" t="str">
            <v xml:space="preserve">DRY TYPE TRANSFORMER WITH ENCLOSURE  </v>
          </cell>
          <cell r="C290">
            <v>1</v>
          </cell>
          <cell r="D290" t="str">
            <v>SET</v>
          </cell>
          <cell r="E290">
            <v>18000</v>
          </cell>
          <cell r="F290">
            <v>18000</v>
          </cell>
          <cell r="H290">
            <v>0</v>
          </cell>
          <cell r="I290">
            <v>6</v>
          </cell>
          <cell r="J290">
            <v>6</v>
          </cell>
          <cell r="K290">
            <v>18000</v>
          </cell>
          <cell r="L290">
            <v>18000</v>
          </cell>
          <cell r="M290">
            <v>0</v>
          </cell>
          <cell r="N290">
            <v>0</v>
          </cell>
          <cell r="O290">
            <v>1680</v>
          </cell>
          <cell r="P290">
            <v>1680</v>
          </cell>
        </row>
        <row r="291">
          <cell r="B291" t="str">
            <v xml:space="preserve"> 3PH 480/240-120V 5KVA</v>
          </cell>
          <cell r="F291">
            <v>0</v>
          </cell>
          <cell r="H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</row>
        <row r="292">
          <cell r="A292">
            <v>13</v>
          </cell>
          <cell r="B292" t="str">
            <v xml:space="preserve"> MER. VAP. LTG. FIX. VAPOR-TIGHT PENDANT</v>
          </cell>
          <cell r="C292">
            <v>21</v>
          </cell>
          <cell r="D292" t="str">
            <v>SET</v>
          </cell>
          <cell r="E292">
            <v>9500</v>
          </cell>
          <cell r="F292">
            <v>199500</v>
          </cell>
          <cell r="H292">
            <v>0</v>
          </cell>
          <cell r="I292">
            <v>7</v>
          </cell>
          <cell r="J292">
            <v>147</v>
          </cell>
          <cell r="K292">
            <v>9500</v>
          </cell>
          <cell r="L292">
            <v>199500</v>
          </cell>
          <cell r="M292">
            <v>0</v>
          </cell>
          <cell r="N292">
            <v>0</v>
          </cell>
          <cell r="O292">
            <v>1960</v>
          </cell>
          <cell r="P292">
            <v>41160</v>
          </cell>
        </row>
        <row r="293">
          <cell r="B293" t="str">
            <v xml:space="preserve"> MTG,. INTEGRAL CONST. WATT. BALLAST C/W </v>
          </cell>
          <cell r="F293">
            <v>0</v>
          </cell>
          <cell r="H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</row>
        <row r="294">
          <cell r="B294" t="str">
            <v xml:space="preserve"> GUARD AND DOME REFL. 3/4" HUB 400W 240V</v>
          </cell>
          <cell r="F294">
            <v>0</v>
          </cell>
          <cell r="H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</row>
        <row r="295">
          <cell r="B295" t="str">
            <v>CLASS 1, DIV.2 GROPU D</v>
          </cell>
          <cell r="F295">
            <v>0</v>
          </cell>
          <cell r="H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</row>
        <row r="296">
          <cell r="A296">
            <v>14</v>
          </cell>
          <cell r="B296" t="str">
            <v xml:space="preserve">MER. VAP. LTG. FIX. VAPOR-TIGHT STANCHION MTG. </v>
          </cell>
          <cell r="C296">
            <v>122</v>
          </cell>
          <cell r="D296" t="str">
            <v>SET</v>
          </cell>
          <cell r="E296">
            <v>6000</v>
          </cell>
          <cell r="F296">
            <v>732000</v>
          </cell>
          <cell r="H296">
            <v>0</v>
          </cell>
          <cell r="I296">
            <v>8</v>
          </cell>
          <cell r="J296">
            <v>976</v>
          </cell>
          <cell r="K296">
            <v>6000</v>
          </cell>
          <cell r="L296">
            <v>732000</v>
          </cell>
          <cell r="M296">
            <v>0</v>
          </cell>
          <cell r="N296">
            <v>0</v>
          </cell>
          <cell r="O296">
            <v>2240</v>
          </cell>
          <cell r="P296">
            <v>273280</v>
          </cell>
        </row>
        <row r="297">
          <cell r="B297" t="str">
            <v>INTEGRAL CONST. WATT. BALLAST C/W GLOBE GUARD &amp;</v>
          </cell>
          <cell r="F297">
            <v>0</v>
          </cell>
          <cell r="H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</row>
        <row r="298">
          <cell r="B298" t="str">
            <v xml:space="preserve">DOME REFL. 1-1/2 IN HUB 175W 240V CLASS 1, DIV 2 </v>
          </cell>
          <cell r="F298">
            <v>0</v>
          </cell>
          <cell r="H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</row>
        <row r="299">
          <cell r="B299" t="str">
            <v>GROUP D</v>
          </cell>
          <cell r="F299">
            <v>0</v>
          </cell>
          <cell r="H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</row>
        <row r="300">
          <cell r="A300">
            <v>15</v>
          </cell>
          <cell r="B300" t="str">
            <v>MER. VAP. LTG. FIX. VAPOR-TIGHT PENDANT MTG.</v>
          </cell>
          <cell r="C300">
            <v>52</v>
          </cell>
          <cell r="D300" t="str">
            <v>SET</v>
          </cell>
          <cell r="E300">
            <v>5600</v>
          </cell>
          <cell r="F300">
            <v>291200</v>
          </cell>
          <cell r="H300">
            <v>0</v>
          </cell>
          <cell r="I300">
            <v>7</v>
          </cell>
          <cell r="J300">
            <v>364</v>
          </cell>
          <cell r="K300">
            <v>5600</v>
          </cell>
          <cell r="L300">
            <v>291200</v>
          </cell>
          <cell r="M300">
            <v>0</v>
          </cell>
          <cell r="N300">
            <v>0</v>
          </cell>
          <cell r="O300">
            <v>1960</v>
          </cell>
          <cell r="P300">
            <v>101920</v>
          </cell>
        </row>
        <row r="301">
          <cell r="B301" t="str">
            <v xml:space="preserve">INTEGRAL CONST. WATT. BALLAST C/W GUARD AND </v>
          </cell>
          <cell r="F301">
            <v>0</v>
          </cell>
          <cell r="H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</row>
        <row r="302">
          <cell r="B302" t="str">
            <v>DOME REFL. 3/4" HUB 175W 240V CLASS 1 DIV.2 GROUP D</v>
          </cell>
          <cell r="F302">
            <v>0</v>
          </cell>
          <cell r="H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</row>
        <row r="303">
          <cell r="A303">
            <v>16</v>
          </cell>
          <cell r="B303" t="str">
            <v xml:space="preserve"> FLOOD FLOODING MER. VAP. 250W WEATHER-PROOF</v>
          </cell>
          <cell r="C303">
            <v>45</v>
          </cell>
          <cell r="D303" t="str">
            <v>SET</v>
          </cell>
          <cell r="E303">
            <v>1900</v>
          </cell>
          <cell r="F303">
            <v>85500</v>
          </cell>
          <cell r="H303">
            <v>0</v>
          </cell>
          <cell r="I303">
            <v>7</v>
          </cell>
          <cell r="J303">
            <v>315</v>
          </cell>
          <cell r="K303">
            <v>1900</v>
          </cell>
          <cell r="L303">
            <v>85500</v>
          </cell>
          <cell r="M303">
            <v>0</v>
          </cell>
          <cell r="N303">
            <v>0</v>
          </cell>
          <cell r="O303">
            <v>1960</v>
          </cell>
          <cell r="P303">
            <v>88200</v>
          </cell>
        </row>
        <row r="304">
          <cell r="A304">
            <v>17</v>
          </cell>
          <cell r="B304" t="str">
            <v xml:space="preserve">MER. VAP. STREET LTG FIX. 250W 240V </v>
          </cell>
          <cell r="C304">
            <v>209</v>
          </cell>
          <cell r="D304" t="str">
            <v>SET</v>
          </cell>
          <cell r="E304">
            <v>1650</v>
          </cell>
          <cell r="F304">
            <v>344850</v>
          </cell>
          <cell r="H304">
            <v>0</v>
          </cell>
          <cell r="I304">
            <v>2</v>
          </cell>
          <cell r="J304">
            <v>418</v>
          </cell>
          <cell r="K304">
            <v>1650</v>
          </cell>
          <cell r="L304">
            <v>344850</v>
          </cell>
          <cell r="M304">
            <v>0</v>
          </cell>
          <cell r="N304">
            <v>0</v>
          </cell>
          <cell r="O304">
            <v>560</v>
          </cell>
          <cell r="P304">
            <v>117040</v>
          </cell>
        </row>
        <row r="305">
          <cell r="A305">
            <v>18</v>
          </cell>
          <cell r="B305" t="str">
            <v>STREET LIGHT PLOE 7M SINGLE ARM WITH FOUNDATION</v>
          </cell>
          <cell r="C305">
            <v>95</v>
          </cell>
          <cell r="D305" t="str">
            <v>SET</v>
          </cell>
          <cell r="E305">
            <v>11600</v>
          </cell>
          <cell r="F305">
            <v>1102000</v>
          </cell>
          <cell r="H305">
            <v>0</v>
          </cell>
          <cell r="I305">
            <v>9</v>
          </cell>
          <cell r="J305">
            <v>855</v>
          </cell>
          <cell r="K305">
            <v>11600</v>
          </cell>
          <cell r="L305">
            <v>1102000</v>
          </cell>
          <cell r="M305">
            <v>0</v>
          </cell>
          <cell r="N305">
            <v>0</v>
          </cell>
          <cell r="O305">
            <v>2520</v>
          </cell>
          <cell r="P305">
            <v>239400</v>
          </cell>
        </row>
        <row r="306">
          <cell r="A306">
            <v>19</v>
          </cell>
          <cell r="B306" t="str">
            <v>STREET LIGHT PLOE 7M TWINS ARMS WITH FOUNDATION</v>
          </cell>
          <cell r="C306">
            <v>57</v>
          </cell>
          <cell r="D306" t="str">
            <v>SET</v>
          </cell>
          <cell r="E306">
            <v>13300</v>
          </cell>
          <cell r="F306">
            <v>758100</v>
          </cell>
          <cell r="H306">
            <v>0</v>
          </cell>
          <cell r="I306">
            <v>10</v>
          </cell>
          <cell r="J306">
            <v>570</v>
          </cell>
          <cell r="K306">
            <v>13300</v>
          </cell>
          <cell r="L306">
            <v>758100</v>
          </cell>
          <cell r="M306">
            <v>0</v>
          </cell>
          <cell r="N306">
            <v>0</v>
          </cell>
          <cell r="O306">
            <v>2800</v>
          </cell>
          <cell r="P306">
            <v>159600</v>
          </cell>
        </row>
        <row r="307">
          <cell r="A307">
            <v>20</v>
          </cell>
          <cell r="B307" t="str">
            <v xml:space="preserve"> PHOTOELECTRIC CONTROL UNIT, 240V 15A, </v>
          </cell>
          <cell r="C307">
            <v>1</v>
          </cell>
          <cell r="D307" t="str">
            <v>PCS</v>
          </cell>
          <cell r="E307">
            <v>6000</v>
          </cell>
          <cell r="F307">
            <v>6000</v>
          </cell>
          <cell r="H307">
            <v>0</v>
          </cell>
          <cell r="I307">
            <v>4</v>
          </cell>
          <cell r="J307">
            <v>4</v>
          </cell>
          <cell r="K307">
            <v>6000</v>
          </cell>
          <cell r="L307">
            <v>6000</v>
          </cell>
          <cell r="M307">
            <v>0</v>
          </cell>
          <cell r="N307">
            <v>0</v>
          </cell>
          <cell r="O307">
            <v>1120</v>
          </cell>
          <cell r="P307">
            <v>1120</v>
          </cell>
        </row>
        <row r="308">
          <cell r="A308">
            <v>21</v>
          </cell>
          <cell r="B308" t="str">
            <v>FLUORESCENT LTG. FIX. WITH BATTERY 2x40W 240V</v>
          </cell>
          <cell r="C308">
            <v>46</v>
          </cell>
          <cell r="D308" t="str">
            <v>SET</v>
          </cell>
          <cell r="E308">
            <v>27000</v>
          </cell>
          <cell r="F308">
            <v>1242000</v>
          </cell>
          <cell r="H308">
            <v>0</v>
          </cell>
          <cell r="I308">
            <v>6</v>
          </cell>
          <cell r="J308">
            <v>276</v>
          </cell>
          <cell r="K308">
            <v>27000</v>
          </cell>
          <cell r="L308">
            <v>1242000</v>
          </cell>
          <cell r="M308">
            <v>0</v>
          </cell>
          <cell r="N308">
            <v>0</v>
          </cell>
          <cell r="O308">
            <v>1680</v>
          </cell>
          <cell r="P308">
            <v>77280</v>
          </cell>
        </row>
        <row r="309">
          <cell r="B309" t="str">
            <v>FOR CLASS 1, DIV.2 GROUP D</v>
          </cell>
          <cell r="F309">
            <v>0</v>
          </cell>
          <cell r="H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</row>
        <row r="310">
          <cell r="A310">
            <v>22</v>
          </cell>
          <cell r="B310" t="str">
            <v xml:space="preserve"> OBSTRUCTION RED BEACON 120/240V, 3W FEED,</v>
          </cell>
          <cell r="C310">
            <v>2</v>
          </cell>
          <cell r="D310" t="str">
            <v>SET</v>
          </cell>
          <cell r="E310">
            <v>48600</v>
          </cell>
          <cell r="F310">
            <v>97200</v>
          </cell>
          <cell r="H310">
            <v>0</v>
          </cell>
          <cell r="I310">
            <v>40</v>
          </cell>
          <cell r="J310">
            <v>80</v>
          </cell>
          <cell r="K310">
            <v>48600</v>
          </cell>
          <cell r="L310">
            <v>97200</v>
          </cell>
          <cell r="M310">
            <v>0</v>
          </cell>
          <cell r="N310">
            <v>0</v>
          </cell>
          <cell r="O310">
            <v>11200</v>
          </cell>
          <cell r="P310">
            <v>22400</v>
          </cell>
        </row>
        <row r="311">
          <cell r="B311" t="str">
            <v xml:space="preserve"> 620W x 2 FOR CLASS 1, DIV.2 GROUP D</v>
          </cell>
          <cell r="F311">
            <v>0</v>
          </cell>
          <cell r="H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</row>
        <row r="312">
          <cell r="A312">
            <v>23</v>
          </cell>
          <cell r="B312" t="str">
            <v xml:space="preserve"> OBSTRUCTION MARKER LIGHT, SINGLE FIXTURE</v>
          </cell>
          <cell r="C312">
            <v>3</v>
          </cell>
          <cell r="D312" t="str">
            <v>SET</v>
          </cell>
          <cell r="E312">
            <v>23000</v>
          </cell>
          <cell r="F312">
            <v>69000</v>
          </cell>
          <cell r="H312">
            <v>0</v>
          </cell>
          <cell r="I312">
            <v>15</v>
          </cell>
          <cell r="J312">
            <v>45</v>
          </cell>
          <cell r="K312">
            <v>23000</v>
          </cell>
          <cell r="L312">
            <v>69000</v>
          </cell>
          <cell r="M312">
            <v>0</v>
          </cell>
          <cell r="N312">
            <v>0</v>
          </cell>
          <cell r="O312">
            <v>4200</v>
          </cell>
          <cell r="P312">
            <v>12600</v>
          </cell>
        </row>
        <row r="313">
          <cell r="B313" t="str">
            <v xml:space="preserve"> C/W INSIDE LAMP,120V 116W,FOR CLASS 1, DIV. 2 </v>
          </cell>
          <cell r="F313">
            <v>0</v>
          </cell>
          <cell r="H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</row>
        <row r="314">
          <cell r="B314" t="str">
            <v>GROUP D</v>
          </cell>
          <cell r="F314">
            <v>0</v>
          </cell>
          <cell r="H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</row>
        <row r="315">
          <cell r="A315">
            <v>24</v>
          </cell>
          <cell r="B315" t="str">
            <v xml:space="preserve"> FLASHER UNIT, CAST AL. HOUSING 3 CKT</v>
          </cell>
          <cell r="C315">
            <v>1</v>
          </cell>
          <cell r="D315" t="str">
            <v>SET</v>
          </cell>
          <cell r="E315">
            <v>28800</v>
          </cell>
          <cell r="F315">
            <v>28800</v>
          </cell>
          <cell r="H315">
            <v>0</v>
          </cell>
          <cell r="I315">
            <v>4</v>
          </cell>
          <cell r="J315">
            <v>4</v>
          </cell>
          <cell r="K315">
            <v>28800</v>
          </cell>
          <cell r="L315">
            <v>28800</v>
          </cell>
          <cell r="M315">
            <v>0</v>
          </cell>
          <cell r="N315">
            <v>0</v>
          </cell>
          <cell r="O315">
            <v>1120</v>
          </cell>
          <cell r="P315">
            <v>1120</v>
          </cell>
        </row>
        <row r="316">
          <cell r="B316" t="str">
            <v xml:space="preserve"> SIMULTANEOUS FLASH, 115/240V 3 WIRE, 25A</v>
          </cell>
          <cell r="F316">
            <v>0</v>
          </cell>
          <cell r="H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</row>
        <row r="317">
          <cell r="B317" t="str">
            <v>FOR CLASS 1, DIV.2 GROUP D</v>
          </cell>
          <cell r="F317">
            <v>0</v>
          </cell>
          <cell r="H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</row>
        <row r="318">
          <cell r="A318">
            <v>25</v>
          </cell>
          <cell r="B318" t="str">
            <v xml:space="preserve"> PHOTOELECTRIC CONTROL UNIT, 120V 15A, </v>
          </cell>
          <cell r="C318">
            <v>1</v>
          </cell>
          <cell r="D318" t="str">
            <v>SET</v>
          </cell>
          <cell r="E318">
            <v>28800</v>
          </cell>
          <cell r="F318">
            <v>28800</v>
          </cell>
          <cell r="H318">
            <v>0</v>
          </cell>
          <cell r="I318">
            <v>6</v>
          </cell>
          <cell r="J318">
            <v>6</v>
          </cell>
          <cell r="K318">
            <v>28800</v>
          </cell>
          <cell r="L318">
            <v>28800</v>
          </cell>
          <cell r="M318">
            <v>0</v>
          </cell>
          <cell r="N318">
            <v>0</v>
          </cell>
          <cell r="O318">
            <v>1680</v>
          </cell>
          <cell r="P318">
            <v>1680</v>
          </cell>
        </row>
        <row r="319">
          <cell r="B319" t="str">
            <v>FOR CLASS 1, DIV.2 GROUP D</v>
          </cell>
          <cell r="F319">
            <v>0</v>
          </cell>
          <cell r="H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</row>
        <row r="320">
          <cell r="A320">
            <v>26</v>
          </cell>
          <cell r="B320" t="str">
            <v xml:space="preserve"> AIRCRAFT WARNING LIGHTING POWER PANEL,</v>
          </cell>
          <cell r="C320">
            <v>1</v>
          </cell>
          <cell r="D320" t="str">
            <v>SET</v>
          </cell>
          <cell r="E320">
            <v>60000</v>
          </cell>
          <cell r="F320">
            <v>60000</v>
          </cell>
          <cell r="H320">
            <v>0</v>
          </cell>
          <cell r="I320">
            <v>4</v>
          </cell>
          <cell r="J320">
            <v>4</v>
          </cell>
          <cell r="K320">
            <v>60000</v>
          </cell>
          <cell r="L320">
            <v>60000</v>
          </cell>
          <cell r="M320">
            <v>0</v>
          </cell>
          <cell r="N320">
            <v>0</v>
          </cell>
          <cell r="O320">
            <v>1120</v>
          </cell>
          <cell r="P320">
            <v>1120</v>
          </cell>
        </row>
        <row r="321">
          <cell r="B321" t="str">
            <v xml:space="preserve"> OUTDOOR TYPE, 400L x 200W x 200H, 1PH 3W</v>
          </cell>
          <cell r="F321">
            <v>0</v>
          </cell>
          <cell r="H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</row>
        <row r="322">
          <cell r="B322" t="str">
            <v xml:space="preserve"> 240V 30AT IC 10KA, STAINLESS STEEL</v>
          </cell>
          <cell r="F322">
            <v>0</v>
          </cell>
          <cell r="H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</row>
        <row r="323">
          <cell r="B323" t="str">
            <v>FOR CLASS 1, DIV.2 GROUP D</v>
          </cell>
          <cell r="F323">
            <v>0</v>
          </cell>
          <cell r="H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</row>
        <row r="324">
          <cell r="A324">
            <v>27</v>
          </cell>
          <cell r="B324" t="str">
            <v>RECEPTACLE, EXPLOSION-PROOF 20A-3P-2W</v>
          </cell>
          <cell r="C324">
            <v>8</v>
          </cell>
          <cell r="D324" t="str">
            <v>SET</v>
          </cell>
          <cell r="E324">
            <v>5400</v>
          </cell>
          <cell r="F324">
            <v>43200</v>
          </cell>
          <cell r="H324">
            <v>0</v>
          </cell>
          <cell r="I324">
            <v>4</v>
          </cell>
          <cell r="J324">
            <v>32</v>
          </cell>
          <cell r="K324">
            <v>5400</v>
          </cell>
          <cell r="L324">
            <v>43200</v>
          </cell>
          <cell r="M324">
            <v>0</v>
          </cell>
          <cell r="N324">
            <v>0</v>
          </cell>
          <cell r="O324">
            <v>1120</v>
          </cell>
          <cell r="P324">
            <v>8960</v>
          </cell>
        </row>
        <row r="325">
          <cell r="B325" t="str">
            <v>240V, CLASS 1 DIV.2 GROUP D</v>
          </cell>
          <cell r="F325">
            <v>0</v>
          </cell>
          <cell r="H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</row>
        <row r="326">
          <cell r="A326">
            <v>28</v>
          </cell>
          <cell r="B326" t="str">
            <v>PLUG 20A-3P-2W EXPLOSION-PROOF</v>
          </cell>
          <cell r="C326">
            <v>4</v>
          </cell>
          <cell r="D326" t="str">
            <v>SET</v>
          </cell>
          <cell r="E326">
            <v>1400</v>
          </cell>
          <cell r="F326">
            <v>5600</v>
          </cell>
          <cell r="H326">
            <v>0</v>
          </cell>
          <cell r="J326">
            <v>0</v>
          </cell>
          <cell r="K326">
            <v>1400</v>
          </cell>
          <cell r="L326">
            <v>5600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</row>
        <row r="327">
          <cell r="A327">
            <v>29</v>
          </cell>
          <cell r="B327" t="str">
            <v>FIX. WIRE 1/C STRD. COPPER 600V 200 DEGREE 2.0sq.mm</v>
          </cell>
          <cell r="C327">
            <v>4440</v>
          </cell>
          <cell r="D327" t="str">
            <v>M</v>
          </cell>
          <cell r="E327">
            <v>33</v>
          </cell>
          <cell r="F327">
            <v>146520</v>
          </cell>
          <cell r="H327">
            <v>0</v>
          </cell>
          <cell r="I327">
            <v>0.05</v>
          </cell>
          <cell r="J327">
            <v>222</v>
          </cell>
          <cell r="K327">
            <v>33</v>
          </cell>
          <cell r="L327">
            <v>146520</v>
          </cell>
          <cell r="M327">
            <v>0</v>
          </cell>
          <cell r="N327">
            <v>0</v>
          </cell>
          <cell r="O327">
            <v>14</v>
          </cell>
          <cell r="P327">
            <v>62160</v>
          </cell>
        </row>
        <row r="328">
          <cell r="A328">
            <v>30</v>
          </cell>
          <cell r="B328" t="str">
            <v>R.S.G CONDUIT W/COUPLING,  3/4"</v>
          </cell>
          <cell r="C328">
            <v>2180</v>
          </cell>
          <cell r="D328" t="str">
            <v>M</v>
          </cell>
          <cell r="E328">
            <v>32</v>
          </cell>
          <cell r="F328">
            <v>69760</v>
          </cell>
          <cell r="H328">
            <v>0</v>
          </cell>
          <cell r="I328">
            <v>0.47</v>
          </cell>
          <cell r="J328">
            <v>1025</v>
          </cell>
          <cell r="K328">
            <v>32</v>
          </cell>
          <cell r="L328">
            <v>69760</v>
          </cell>
          <cell r="M328">
            <v>0</v>
          </cell>
          <cell r="N328">
            <v>0</v>
          </cell>
          <cell r="O328">
            <v>132</v>
          </cell>
          <cell r="P328">
            <v>287760</v>
          </cell>
        </row>
        <row r="329">
          <cell r="A329">
            <v>31</v>
          </cell>
          <cell r="B329" t="str">
            <v>R.S.G CONDUIT W/COUPLING 1"</v>
          </cell>
          <cell r="C329">
            <v>100</v>
          </cell>
          <cell r="D329" t="str">
            <v>M</v>
          </cell>
          <cell r="E329">
            <v>49</v>
          </cell>
          <cell r="F329">
            <v>4900</v>
          </cell>
          <cell r="H329">
            <v>0</v>
          </cell>
          <cell r="I329">
            <v>0.54</v>
          </cell>
          <cell r="J329">
            <v>54</v>
          </cell>
          <cell r="K329">
            <v>49</v>
          </cell>
          <cell r="L329">
            <v>4900</v>
          </cell>
          <cell r="M329">
            <v>0</v>
          </cell>
          <cell r="N329">
            <v>0</v>
          </cell>
          <cell r="O329">
            <v>151</v>
          </cell>
          <cell r="P329">
            <v>15100</v>
          </cell>
        </row>
        <row r="330">
          <cell r="A330">
            <v>32</v>
          </cell>
          <cell r="B330" t="str">
            <v>R.S.G CONDUIT W/COUPLING 1-1/2"</v>
          </cell>
          <cell r="C330">
            <v>600</v>
          </cell>
          <cell r="D330" t="str">
            <v>M</v>
          </cell>
          <cell r="E330">
            <v>78</v>
          </cell>
          <cell r="F330">
            <v>46800</v>
          </cell>
          <cell r="H330">
            <v>0</v>
          </cell>
          <cell r="I330">
            <v>0.76</v>
          </cell>
          <cell r="J330">
            <v>456</v>
          </cell>
          <cell r="K330">
            <v>78</v>
          </cell>
          <cell r="L330">
            <v>46800</v>
          </cell>
          <cell r="M330">
            <v>0</v>
          </cell>
          <cell r="N330">
            <v>0</v>
          </cell>
          <cell r="O330">
            <v>213</v>
          </cell>
          <cell r="P330">
            <v>127800</v>
          </cell>
        </row>
        <row r="331">
          <cell r="A331">
            <v>33</v>
          </cell>
          <cell r="B331" t="str">
            <v>PVC CONDUIT 1-1/2"</v>
          </cell>
          <cell r="C331">
            <v>350</v>
          </cell>
          <cell r="D331" t="str">
            <v>M</v>
          </cell>
          <cell r="E331">
            <v>26</v>
          </cell>
          <cell r="F331">
            <v>9100</v>
          </cell>
          <cell r="H331">
            <v>0</v>
          </cell>
          <cell r="I331">
            <v>0.26</v>
          </cell>
          <cell r="J331">
            <v>91</v>
          </cell>
          <cell r="K331">
            <v>26</v>
          </cell>
          <cell r="L331">
            <v>9100</v>
          </cell>
          <cell r="M331">
            <v>0</v>
          </cell>
          <cell r="N331">
            <v>0</v>
          </cell>
          <cell r="O331">
            <v>73</v>
          </cell>
          <cell r="P331">
            <v>25550</v>
          </cell>
        </row>
        <row r="332">
          <cell r="A332">
            <v>34</v>
          </cell>
          <cell r="B332" t="str">
            <v>PVC CONDUIT ,  2"</v>
          </cell>
          <cell r="C332">
            <v>10615</v>
          </cell>
          <cell r="D332" t="str">
            <v>M</v>
          </cell>
          <cell r="E332">
            <v>38</v>
          </cell>
          <cell r="F332">
            <v>403370</v>
          </cell>
          <cell r="H332">
            <v>0</v>
          </cell>
          <cell r="I332">
            <v>0.3</v>
          </cell>
          <cell r="J332">
            <v>3185</v>
          </cell>
          <cell r="K332">
            <v>38</v>
          </cell>
          <cell r="L332">
            <v>403370</v>
          </cell>
          <cell r="M332">
            <v>0</v>
          </cell>
          <cell r="N332">
            <v>0</v>
          </cell>
          <cell r="O332">
            <v>84</v>
          </cell>
          <cell r="P332">
            <v>891660</v>
          </cell>
        </row>
        <row r="333">
          <cell r="A333">
            <v>35</v>
          </cell>
          <cell r="B333" t="str">
            <v>CONDUIT FITTINGS &amp; ACCESSORIES</v>
          </cell>
          <cell r="C333">
            <v>1</v>
          </cell>
          <cell r="D333" t="str">
            <v>LOT</v>
          </cell>
          <cell r="E333">
            <v>242920</v>
          </cell>
          <cell r="F333">
            <v>242920</v>
          </cell>
          <cell r="H333">
            <v>0</v>
          </cell>
          <cell r="I333">
            <v>460.5</v>
          </cell>
          <cell r="J333">
            <v>461</v>
          </cell>
          <cell r="K333">
            <v>242920</v>
          </cell>
          <cell r="L333">
            <v>242920</v>
          </cell>
          <cell r="M333">
            <v>0</v>
          </cell>
          <cell r="N333">
            <v>0</v>
          </cell>
          <cell r="O333">
            <v>128940</v>
          </cell>
          <cell r="P333">
            <v>128940</v>
          </cell>
        </row>
        <row r="334">
          <cell r="A334">
            <v>36</v>
          </cell>
          <cell r="B334" t="str">
            <v>600V PVC WIRE 3.5 sq.mm</v>
          </cell>
          <cell r="C334">
            <v>3500</v>
          </cell>
          <cell r="D334" t="str">
            <v>M</v>
          </cell>
          <cell r="E334">
            <v>3</v>
          </cell>
          <cell r="F334">
            <v>10500</v>
          </cell>
          <cell r="H334">
            <v>0</v>
          </cell>
          <cell r="I334">
            <v>4.1000000000000002E-2</v>
          </cell>
          <cell r="J334">
            <v>144</v>
          </cell>
          <cell r="K334">
            <v>3</v>
          </cell>
          <cell r="L334">
            <v>10500</v>
          </cell>
          <cell r="M334">
            <v>0</v>
          </cell>
          <cell r="N334">
            <v>0</v>
          </cell>
          <cell r="O334">
            <v>11</v>
          </cell>
          <cell r="P334">
            <v>38500</v>
          </cell>
        </row>
        <row r="335">
          <cell r="A335">
            <v>37</v>
          </cell>
          <cell r="B335" t="str">
            <v>600V PVC WIRE 5.5sq.mm</v>
          </cell>
          <cell r="C335">
            <v>3240</v>
          </cell>
          <cell r="D335" t="str">
            <v>M</v>
          </cell>
          <cell r="E335">
            <v>4</v>
          </cell>
          <cell r="F335">
            <v>12960</v>
          </cell>
          <cell r="H335">
            <v>0</v>
          </cell>
          <cell r="I335">
            <v>5.1999999999999998E-2</v>
          </cell>
          <cell r="J335">
            <v>168</v>
          </cell>
          <cell r="K335">
            <v>4</v>
          </cell>
          <cell r="L335">
            <v>12960</v>
          </cell>
          <cell r="M335">
            <v>0</v>
          </cell>
          <cell r="N335">
            <v>0</v>
          </cell>
          <cell r="O335">
            <v>15</v>
          </cell>
          <cell r="P335">
            <v>48600</v>
          </cell>
        </row>
        <row r="336">
          <cell r="A336">
            <v>38</v>
          </cell>
          <cell r="B336" t="str">
            <v>600V XLPE 5/C-38sq.mm</v>
          </cell>
          <cell r="C336">
            <v>10615</v>
          </cell>
          <cell r="D336" t="str">
            <v>M</v>
          </cell>
          <cell r="E336">
            <v>200</v>
          </cell>
          <cell r="F336">
            <v>2123000</v>
          </cell>
          <cell r="H336">
            <v>0</v>
          </cell>
          <cell r="I336">
            <v>0.31</v>
          </cell>
          <cell r="J336">
            <v>3291</v>
          </cell>
          <cell r="K336">
            <v>200</v>
          </cell>
          <cell r="L336">
            <v>2123000</v>
          </cell>
          <cell r="M336">
            <v>0</v>
          </cell>
          <cell r="N336">
            <v>0</v>
          </cell>
          <cell r="O336">
            <v>87</v>
          </cell>
          <cell r="P336">
            <v>923505</v>
          </cell>
        </row>
        <row r="337">
          <cell r="A337">
            <v>39</v>
          </cell>
          <cell r="B337" t="str">
            <v>600V XLPE 4/C 14 sq.mm</v>
          </cell>
          <cell r="C337">
            <v>500</v>
          </cell>
          <cell r="D337" t="str">
            <v>M</v>
          </cell>
          <cell r="E337">
            <v>61</v>
          </cell>
          <cell r="F337">
            <v>30500</v>
          </cell>
          <cell r="H337">
            <v>0</v>
          </cell>
          <cell r="I337">
            <v>0.17799999999999999</v>
          </cell>
          <cell r="J337">
            <v>89</v>
          </cell>
          <cell r="K337">
            <v>61</v>
          </cell>
          <cell r="L337">
            <v>30500</v>
          </cell>
          <cell r="M337">
            <v>0</v>
          </cell>
          <cell r="N337">
            <v>0</v>
          </cell>
          <cell r="O337">
            <v>50</v>
          </cell>
          <cell r="P337">
            <v>25000</v>
          </cell>
        </row>
        <row r="338">
          <cell r="A338">
            <v>40</v>
          </cell>
          <cell r="B338" t="str">
            <v>HOT DIPPED GALVALNIZED STEEL U-CHANNEL 41x41x2.0t</v>
          </cell>
          <cell r="C338">
            <v>350</v>
          </cell>
          <cell r="D338" t="str">
            <v>M</v>
          </cell>
          <cell r="E338">
            <v>82</v>
          </cell>
          <cell r="F338">
            <v>28700</v>
          </cell>
          <cell r="H338">
            <v>0</v>
          </cell>
          <cell r="I338">
            <v>0.40699999999999997</v>
          </cell>
          <cell r="J338">
            <v>142</v>
          </cell>
          <cell r="K338">
            <v>82</v>
          </cell>
          <cell r="L338">
            <v>28700</v>
          </cell>
          <cell r="M338">
            <v>0</v>
          </cell>
          <cell r="N338">
            <v>0</v>
          </cell>
          <cell r="O338">
            <v>114</v>
          </cell>
          <cell r="P338">
            <v>39900</v>
          </cell>
        </row>
        <row r="339">
          <cell r="A339">
            <v>41</v>
          </cell>
          <cell r="B339" t="str">
            <v>EXCAVATION</v>
          </cell>
          <cell r="C339">
            <v>1910</v>
          </cell>
          <cell r="D339" t="str">
            <v>M3</v>
          </cell>
          <cell r="E339" t="str">
            <v>M+L</v>
          </cell>
          <cell r="F339" t="str">
            <v>M+L</v>
          </cell>
          <cell r="H339">
            <v>0</v>
          </cell>
          <cell r="J339">
            <v>0</v>
          </cell>
          <cell r="K339" t="str">
            <v>M+L</v>
          </cell>
          <cell r="L339" t="str">
            <v>M+L</v>
          </cell>
          <cell r="M339">
            <v>0</v>
          </cell>
          <cell r="N339">
            <v>0</v>
          </cell>
          <cell r="O339">
            <v>60</v>
          </cell>
          <cell r="P339">
            <v>114600</v>
          </cell>
        </row>
        <row r="340">
          <cell r="A340">
            <v>42</v>
          </cell>
          <cell r="B340" t="str">
            <v>BACKFILL</v>
          </cell>
          <cell r="C340">
            <v>1910</v>
          </cell>
          <cell r="D340" t="str">
            <v>M3</v>
          </cell>
          <cell r="E340" t="str">
            <v>M+L</v>
          </cell>
          <cell r="F340" t="str">
            <v>M+L</v>
          </cell>
          <cell r="H340">
            <v>0</v>
          </cell>
          <cell r="J340">
            <v>0</v>
          </cell>
          <cell r="K340" t="str">
            <v>M+L</v>
          </cell>
          <cell r="L340" t="str">
            <v>M+L</v>
          </cell>
          <cell r="M340">
            <v>0</v>
          </cell>
          <cell r="N340">
            <v>0</v>
          </cell>
          <cell r="O340">
            <v>100</v>
          </cell>
          <cell r="P340">
            <v>191000</v>
          </cell>
        </row>
        <row r="341">
          <cell r="A341">
            <v>43</v>
          </cell>
          <cell r="B341" t="str">
            <v>MISCELLANEOUS MATERIALS</v>
          </cell>
          <cell r="C341">
            <v>1</v>
          </cell>
          <cell r="D341" t="str">
            <v>LOT</v>
          </cell>
          <cell r="E341">
            <v>456514</v>
          </cell>
          <cell r="F341">
            <v>456514</v>
          </cell>
          <cell r="H341">
            <v>0</v>
          </cell>
          <cell r="I341">
            <v>679.40000000000009</v>
          </cell>
          <cell r="J341">
            <v>679</v>
          </cell>
          <cell r="K341">
            <v>456514</v>
          </cell>
          <cell r="L341">
            <v>456514</v>
          </cell>
          <cell r="M341">
            <v>0</v>
          </cell>
          <cell r="N341">
            <v>0</v>
          </cell>
          <cell r="O341">
            <v>190232</v>
          </cell>
          <cell r="P341">
            <v>190232</v>
          </cell>
        </row>
        <row r="342">
          <cell r="B342" t="str">
            <v>SUB-TOTAL : (C)</v>
          </cell>
          <cell r="F342">
            <v>9586794</v>
          </cell>
          <cell r="H342">
            <v>0</v>
          </cell>
          <cell r="J342">
            <v>14267</v>
          </cell>
          <cell r="K342">
            <v>0</v>
          </cell>
          <cell r="L342">
            <v>9586794</v>
          </cell>
          <cell r="M342">
            <v>0</v>
          </cell>
          <cell r="N342">
            <v>0</v>
          </cell>
          <cell r="O342">
            <v>0</v>
          </cell>
          <cell r="P342">
            <v>4303107</v>
          </cell>
        </row>
        <row r="343">
          <cell r="H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</row>
        <row r="344">
          <cell r="F344">
            <v>0</v>
          </cell>
          <cell r="H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</row>
        <row r="345">
          <cell r="A345" t="str">
            <v xml:space="preserve">  D.</v>
          </cell>
          <cell r="B345" t="str">
            <v>GROUNDING  SYSTEM</v>
          </cell>
          <cell r="F345">
            <v>0</v>
          </cell>
          <cell r="H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</row>
        <row r="346">
          <cell r="A346">
            <v>1</v>
          </cell>
          <cell r="B346" t="str">
            <v xml:space="preserve"> GROUND WIRE, BARE CONDUCTOR 60 sq.mm</v>
          </cell>
          <cell r="C346">
            <v>8000</v>
          </cell>
          <cell r="D346" t="str">
            <v>M</v>
          </cell>
          <cell r="E346">
            <v>47</v>
          </cell>
          <cell r="F346">
            <v>376000</v>
          </cell>
          <cell r="H346">
            <v>0</v>
          </cell>
          <cell r="I346">
            <v>0.14099999999999999</v>
          </cell>
          <cell r="J346">
            <v>1128</v>
          </cell>
          <cell r="K346">
            <v>47</v>
          </cell>
          <cell r="L346">
            <v>376000</v>
          </cell>
          <cell r="M346">
            <v>0</v>
          </cell>
          <cell r="N346">
            <v>0</v>
          </cell>
          <cell r="O346">
            <v>39</v>
          </cell>
          <cell r="P346">
            <v>312000</v>
          </cell>
        </row>
        <row r="347">
          <cell r="A347">
            <v>2</v>
          </cell>
          <cell r="B347" t="str">
            <v xml:space="preserve"> DITTO, BUT38 sq.mm</v>
          </cell>
          <cell r="C347">
            <v>620</v>
          </cell>
          <cell r="D347" t="str">
            <v>M</v>
          </cell>
          <cell r="E347">
            <v>32</v>
          </cell>
          <cell r="F347">
            <v>19840</v>
          </cell>
          <cell r="H347">
            <v>0</v>
          </cell>
          <cell r="I347">
            <v>0.11700000000000001</v>
          </cell>
          <cell r="J347">
            <v>73</v>
          </cell>
          <cell r="K347">
            <v>32</v>
          </cell>
          <cell r="L347">
            <v>19840</v>
          </cell>
          <cell r="M347">
            <v>0</v>
          </cell>
          <cell r="N347">
            <v>0</v>
          </cell>
          <cell r="O347">
            <v>33</v>
          </cell>
          <cell r="P347">
            <v>20460</v>
          </cell>
        </row>
        <row r="348">
          <cell r="A348">
            <v>3</v>
          </cell>
          <cell r="B348" t="str">
            <v xml:space="preserve"> GROUND ROD, 3/4" x 10 FT</v>
          </cell>
          <cell r="C348">
            <v>208</v>
          </cell>
          <cell r="D348" t="str">
            <v>PCS</v>
          </cell>
          <cell r="E348">
            <v>350</v>
          </cell>
          <cell r="F348">
            <v>72800</v>
          </cell>
          <cell r="H348">
            <v>0</v>
          </cell>
          <cell r="I348">
            <v>5</v>
          </cell>
          <cell r="J348">
            <v>1040</v>
          </cell>
          <cell r="K348">
            <v>350</v>
          </cell>
          <cell r="L348">
            <v>72800</v>
          </cell>
          <cell r="M348">
            <v>0</v>
          </cell>
          <cell r="N348">
            <v>0</v>
          </cell>
          <cell r="O348">
            <v>1400</v>
          </cell>
          <cell r="P348">
            <v>291200</v>
          </cell>
        </row>
        <row r="349">
          <cell r="A349">
            <v>4</v>
          </cell>
          <cell r="B349" t="str">
            <v xml:space="preserve"> CADWELD GROUND POWDER CARTRIDGE SIZE 45</v>
          </cell>
          <cell r="C349">
            <v>170</v>
          </cell>
          <cell r="D349" t="str">
            <v>PCS</v>
          </cell>
          <cell r="E349">
            <v>45</v>
          </cell>
          <cell r="F349">
            <v>7650</v>
          </cell>
          <cell r="H349">
            <v>0</v>
          </cell>
          <cell r="I349">
            <v>0.5</v>
          </cell>
          <cell r="J349">
            <v>85</v>
          </cell>
          <cell r="K349">
            <v>45</v>
          </cell>
          <cell r="L349">
            <v>7650</v>
          </cell>
          <cell r="M349">
            <v>0</v>
          </cell>
          <cell r="N349">
            <v>0</v>
          </cell>
          <cell r="O349">
            <v>140</v>
          </cell>
          <cell r="P349">
            <v>23800</v>
          </cell>
        </row>
        <row r="350">
          <cell r="A350">
            <v>5</v>
          </cell>
          <cell r="B350" t="str">
            <v xml:space="preserve"> CADWELD GROUND POWDER CARTRIDGE SIZE 90</v>
          </cell>
          <cell r="C350">
            <v>93</v>
          </cell>
          <cell r="D350" t="str">
            <v>PCS</v>
          </cell>
          <cell r="E350">
            <v>90</v>
          </cell>
          <cell r="F350">
            <v>8370</v>
          </cell>
          <cell r="H350">
            <v>0</v>
          </cell>
          <cell r="I350">
            <v>0.5</v>
          </cell>
          <cell r="J350">
            <v>47</v>
          </cell>
          <cell r="K350">
            <v>90</v>
          </cell>
          <cell r="L350">
            <v>8370</v>
          </cell>
          <cell r="M350">
            <v>0</v>
          </cell>
          <cell r="N350">
            <v>0</v>
          </cell>
          <cell r="O350">
            <v>140</v>
          </cell>
          <cell r="P350">
            <v>13020</v>
          </cell>
        </row>
        <row r="351">
          <cell r="A351">
            <v>6</v>
          </cell>
          <cell r="B351" t="str">
            <v xml:space="preserve"> CADWELD GROUND POWDER CARTRIDGE SIZE 115</v>
          </cell>
          <cell r="C351">
            <v>159</v>
          </cell>
          <cell r="D351" t="str">
            <v>PCS</v>
          </cell>
          <cell r="E351">
            <v>115</v>
          </cell>
          <cell r="F351">
            <v>18285</v>
          </cell>
          <cell r="H351">
            <v>0</v>
          </cell>
          <cell r="I351">
            <v>0.5</v>
          </cell>
          <cell r="J351">
            <v>80</v>
          </cell>
          <cell r="K351">
            <v>115</v>
          </cell>
          <cell r="L351">
            <v>18285</v>
          </cell>
          <cell r="M351">
            <v>0</v>
          </cell>
          <cell r="N351">
            <v>0</v>
          </cell>
          <cell r="O351">
            <v>140</v>
          </cell>
          <cell r="P351">
            <v>22260</v>
          </cell>
        </row>
        <row r="352">
          <cell r="A352">
            <v>7</v>
          </cell>
          <cell r="B352" t="str">
            <v xml:space="preserve"> CADWELD MOLD, FOR CABLE TO GROUND ROD</v>
          </cell>
          <cell r="C352">
            <v>10</v>
          </cell>
          <cell r="D352" t="str">
            <v>PCS</v>
          </cell>
          <cell r="E352">
            <v>1250</v>
          </cell>
          <cell r="F352">
            <v>12500</v>
          </cell>
          <cell r="H352">
            <v>0</v>
          </cell>
          <cell r="J352">
            <v>0</v>
          </cell>
          <cell r="K352">
            <v>1250</v>
          </cell>
          <cell r="L352">
            <v>12500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</row>
        <row r="353">
          <cell r="B353" t="str">
            <v xml:space="preserve"> CADWELD GTC-182G</v>
          </cell>
          <cell r="F353">
            <v>0</v>
          </cell>
          <cell r="H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</row>
        <row r="354">
          <cell r="A354">
            <v>8</v>
          </cell>
          <cell r="B354" t="str">
            <v xml:space="preserve"> CADWELD MOLD, FOR CABLE TO CABLE</v>
          </cell>
          <cell r="C354">
            <v>5</v>
          </cell>
          <cell r="D354" t="str">
            <v>PCS</v>
          </cell>
          <cell r="E354">
            <v>1250</v>
          </cell>
          <cell r="F354">
            <v>6250</v>
          </cell>
          <cell r="H354">
            <v>0</v>
          </cell>
          <cell r="J354">
            <v>0</v>
          </cell>
          <cell r="K354">
            <v>1250</v>
          </cell>
          <cell r="L354">
            <v>6250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</row>
        <row r="355">
          <cell r="B355" t="str">
            <v xml:space="preserve"> CADWELD TAC-2G2G</v>
          </cell>
          <cell r="F355">
            <v>0</v>
          </cell>
          <cell r="H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</row>
        <row r="356">
          <cell r="A356">
            <v>9</v>
          </cell>
          <cell r="B356" t="str">
            <v xml:space="preserve"> DITTO, BUT CADWELD TAC-2G1V</v>
          </cell>
          <cell r="C356">
            <v>10</v>
          </cell>
          <cell r="D356" t="str">
            <v>PCS</v>
          </cell>
          <cell r="E356">
            <v>1250</v>
          </cell>
          <cell r="F356">
            <v>12500</v>
          </cell>
          <cell r="H356">
            <v>0</v>
          </cell>
          <cell r="J356">
            <v>0</v>
          </cell>
          <cell r="K356">
            <v>1250</v>
          </cell>
          <cell r="L356">
            <v>12500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</row>
        <row r="357">
          <cell r="A357">
            <v>10</v>
          </cell>
          <cell r="B357" t="str">
            <v xml:space="preserve"> GROUND CONNECTOR FOR CABLE TO ROD OR PIPE</v>
          </cell>
          <cell r="C357">
            <v>50</v>
          </cell>
          <cell r="D357" t="str">
            <v>PCS</v>
          </cell>
          <cell r="E357">
            <v>650</v>
          </cell>
          <cell r="F357">
            <v>32500</v>
          </cell>
          <cell r="H357">
            <v>0</v>
          </cell>
          <cell r="I357">
            <v>1</v>
          </cell>
          <cell r="J357">
            <v>50</v>
          </cell>
          <cell r="K357">
            <v>650</v>
          </cell>
          <cell r="L357">
            <v>32500</v>
          </cell>
          <cell r="M357">
            <v>0</v>
          </cell>
          <cell r="N357">
            <v>0</v>
          </cell>
          <cell r="O357">
            <v>280</v>
          </cell>
          <cell r="P357">
            <v>14000</v>
          </cell>
        </row>
        <row r="358">
          <cell r="B358" t="str">
            <v xml:space="preserve"> BURNDY GK-6429</v>
          </cell>
          <cell r="F358">
            <v>0</v>
          </cell>
          <cell r="H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</row>
        <row r="359">
          <cell r="A359">
            <v>11</v>
          </cell>
          <cell r="B359" t="str">
            <v xml:space="preserve"> GROUND TERMINAL BOX, 450MMx300MMx150MMx1.6t WITH</v>
          </cell>
          <cell r="C359">
            <v>25</v>
          </cell>
          <cell r="D359" t="str">
            <v>SET</v>
          </cell>
          <cell r="E359">
            <v>3500</v>
          </cell>
          <cell r="F359">
            <v>87500</v>
          </cell>
          <cell r="H359">
            <v>0</v>
          </cell>
          <cell r="I359">
            <v>6</v>
          </cell>
          <cell r="J359">
            <v>150</v>
          </cell>
          <cell r="K359">
            <v>3500</v>
          </cell>
          <cell r="L359">
            <v>87500</v>
          </cell>
          <cell r="M359">
            <v>0</v>
          </cell>
          <cell r="N359">
            <v>0</v>
          </cell>
          <cell r="O359">
            <v>1680</v>
          </cell>
          <cell r="P359">
            <v>42000</v>
          </cell>
        </row>
        <row r="360">
          <cell r="B360" t="str">
            <v>GROUNDING BUS 300Mx50MMx6t</v>
          </cell>
          <cell r="F360">
            <v>0</v>
          </cell>
          <cell r="H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</row>
        <row r="361">
          <cell r="A361">
            <v>12</v>
          </cell>
          <cell r="B361" t="str">
            <v xml:space="preserve"> CABLE LUG, COPPER FOR 60 sq.mm</v>
          </cell>
          <cell r="C361">
            <v>92</v>
          </cell>
          <cell r="D361" t="str">
            <v>PCS</v>
          </cell>
          <cell r="E361">
            <v>60</v>
          </cell>
          <cell r="F361">
            <v>5520</v>
          </cell>
          <cell r="H361">
            <v>0</v>
          </cell>
          <cell r="I361">
            <v>0.5</v>
          </cell>
          <cell r="J361">
            <v>46</v>
          </cell>
          <cell r="K361">
            <v>60</v>
          </cell>
          <cell r="L361">
            <v>5520</v>
          </cell>
          <cell r="M361">
            <v>0</v>
          </cell>
          <cell r="N361">
            <v>0</v>
          </cell>
          <cell r="O361">
            <v>140</v>
          </cell>
          <cell r="P361">
            <v>12880</v>
          </cell>
        </row>
        <row r="362">
          <cell r="A362">
            <v>13</v>
          </cell>
          <cell r="B362" t="str">
            <v xml:space="preserve"> DITTO, BUT FOR 38 sq.mm</v>
          </cell>
          <cell r="C362">
            <v>169</v>
          </cell>
          <cell r="D362" t="str">
            <v>PCS</v>
          </cell>
          <cell r="E362">
            <v>38</v>
          </cell>
          <cell r="F362">
            <v>6422</v>
          </cell>
          <cell r="H362">
            <v>0</v>
          </cell>
          <cell r="I362">
            <v>0.5</v>
          </cell>
          <cell r="J362">
            <v>85</v>
          </cell>
          <cell r="K362">
            <v>38</v>
          </cell>
          <cell r="L362">
            <v>6422</v>
          </cell>
          <cell r="M362">
            <v>0</v>
          </cell>
          <cell r="N362">
            <v>0</v>
          </cell>
          <cell r="O362">
            <v>140</v>
          </cell>
          <cell r="P362">
            <v>23660</v>
          </cell>
        </row>
        <row r="363">
          <cell r="A363">
            <v>14</v>
          </cell>
          <cell r="B363" t="str">
            <v xml:space="preserve"> CONCRETE PIPE WITH COVER 12" DIA. 2 FT LG</v>
          </cell>
          <cell r="C363">
            <v>50</v>
          </cell>
          <cell r="D363" t="str">
            <v>PCS</v>
          </cell>
          <cell r="E363">
            <v>2800</v>
          </cell>
          <cell r="F363">
            <v>140000</v>
          </cell>
          <cell r="H363">
            <v>0</v>
          </cell>
          <cell r="I363">
            <v>3</v>
          </cell>
          <cell r="J363">
            <v>150</v>
          </cell>
          <cell r="K363">
            <v>2800</v>
          </cell>
          <cell r="L363">
            <v>140000</v>
          </cell>
          <cell r="M363">
            <v>0</v>
          </cell>
          <cell r="N363">
            <v>0</v>
          </cell>
          <cell r="O363">
            <v>840</v>
          </cell>
          <cell r="P363">
            <v>42000</v>
          </cell>
        </row>
        <row r="364">
          <cell r="A364">
            <v>15</v>
          </cell>
          <cell r="B364" t="str">
            <v xml:space="preserve"> STEEL PLATE, SS41, 1829x6401x6t</v>
          </cell>
          <cell r="C364">
            <v>1</v>
          </cell>
          <cell r="D364" t="str">
            <v>PCS</v>
          </cell>
          <cell r="E364">
            <v>10000</v>
          </cell>
          <cell r="F364">
            <v>10000</v>
          </cell>
          <cell r="H364">
            <v>0</v>
          </cell>
          <cell r="I364">
            <v>20</v>
          </cell>
          <cell r="J364">
            <v>20</v>
          </cell>
          <cell r="K364">
            <v>10000</v>
          </cell>
          <cell r="L364">
            <v>10000</v>
          </cell>
          <cell r="M364">
            <v>0</v>
          </cell>
          <cell r="N364">
            <v>0</v>
          </cell>
          <cell r="O364">
            <v>5600</v>
          </cell>
          <cell r="P364">
            <v>5600</v>
          </cell>
        </row>
        <row r="365">
          <cell r="A365">
            <v>16</v>
          </cell>
          <cell r="B365" t="str">
            <v xml:space="preserve"> CONDUIT CLAMP, ONE-HOLE 3/4"</v>
          </cell>
          <cell r="C365">
            <v>265</v>
          </cell>
          <cell r="D365" t="str">
            <v>PCS</v>
          </cell>
          <cell r="E365">
            <v>4</v>
          </cell>
          <cell r="F365">
            <v>1060</v>
          </cell>
          <cell r="H365">
            <v>0</v>
          </cell>
          <cell r="I365">
            <v>0.5</v>
          </cell>
          <cell r="J365">
            <v>133</v>
          </cell>
          <cell r="K365">
            <v>4</v>
          </cell>
          <cell r="L365">
            <v>1060</v>
          </cell>
          <cell r="M365">
            <v>0</v>
          </cell>
          <cell r="N365">
            <v>0</v>
          </cell>
          <cell r="O365">
            <v>140</v>
          </cell>
          <cell r="P365">
            <v>37100</v>
          </cell>
        </row>
        <row r="366">
          <cell r="A366">
            <v>17</v>
          </cell>
          <cell r="B366" t="str">
            <v xml:space="preserve"> PVC CONDUIT, SCHEDULE B, CNS1302  3/4"</v>
          </cell>
          <cell r="C366">
            <v>265</v>
          </cell>
          <cell r="D366" t="str">
            <v>M</v>
          </cell>
          <cell r="E366">
            <v>12</v>
          </cell>
          <cell r="F366">
            <v>3180</v>
          </cell>
          <cell r="H366">
            <v>0</v>
          </cell>
          <cell r="I366">
            <v>0.28000000000000003</v>
          </cell>
          <cell r="J366">
            <v>74</v>
          </cell>
          <cell r="K366">
            <v>12</v>
          </cell>
          <cell r="L366">
            <v>3180</v>
          </cell>
          <cell r="M366">
            <v>0</v>
          </cell>
          <cell r="N366">
            <v>0</v>
          </cell>
          <cell r="O366">
            <v>78</v>
          </cell>
          <cell r="P366">
            <v>20670</v>
          </cell>
        </row>
        <row r="367">
          <cell r="A367">
            <v>18</v>
          </cell>
          <cell r="B367" t="str">
            <v xml:space="preserve"> EXCAVATION</v>
          </cell>
          <cell r="C367">
            <v>1550</v>
          </cell>
          <cell r="D367" t="str">
            <v>M3</v>
          </cell>
          <cell r="E367" t="str">
            <v>M+L</v>
          </cell>
          <cell r="F367" t="str">
            <v>M+L</v>
          </cell>
          <cell r="H367">
            <v>0</v>
          </cell>
          <cell r="J367">
            <v>0</v>
          </cell>
          <cell r="K367" t="str">
            <v>M+L</v>
          </cell>
          <cell r="L367" t="str">
            <v>M+L</v>
          </cell>
          <cell r="M367">
            <v>0</v>
          </cell>
          <cell r="N367">
            <v>0</v>
          </cell>
          <cell r="O367">
            <v>72</v>
          </cell>
          <cell r="P367">
            <v>111600</v>
          </cell>
        </row>
        <row r="368">
          <cell r="A368">
            <v>19</v>
          </cell>
          <cell r="B368" t="str">
            <v xml:space="preserve"> BACKFILL</v>
          </cell>
          <cell r="C368">
            <v>1550</v>
          </cell>
          <cell r="D368" t="str">
            <v>M3</v>
          </cell>
          <cell r="E368" t="str">
            <v>M+L</v>
          </cell>
          <cell r="F368" t="str">
            <v>M+L</v>
          </cell>
          <cell r="H368">
            <v>0</v>
          </cell>
          <cell r="J368">
            <v>0</v>
          </cell>
          <cell r="K368" t="str">
            <v>M+L</v>
          </cell>
          <cell r="L368" t="str">
            <v>M+L</v>
          </cell>
          <cell r="M368">
            <v>0</v>
          </cell>
          <cell r="N368">
            <v>0</v>
          </cell>
          <cell r="O368">
            <v>120</v>
          </cell>
          <cell r="P368">
            <v>186000</v>
          </cell>
        </row>
        <row r="369">
          <cell r="A369">
            <v>20</v>
          </cell>
          <cell r="B369" t="str">
            <v xml:space="preserve"> MISCELLANEOUS MATERIALS</v>
          </cell>
          <cell r="C369">
            <v>1</v>
          </cell>
          <cell r="D369" t="str">
            <v>LOT</v>
          </cell>
          <cell r="E369">
            <v>82037.700000000012</v>
          </cell>
          <cell r="F369">
            <v>82038</v>
          </cell>
          <cell r="H369">
            <v>0</v>
          </cell>
          <cell r="I369">
            <v>316.10000000000002</v>
          </cell>
          <cell r="J369">
            <v>316</v>
          </cell>
          <cell r="K369">
            <v>82038</v>
          </cell>
          <cell r="L369">
            <v>82038</v>
          </cell>
          <cell r="M369">
            <v>0</v>
          </cell>
          <cell r="N369">
            <v>0</v>
          </cell>
          <cell r="O369">
            <v>88508</v>
          </cell>
          <cell r="P369">
            <v>88508</v>
          </cell>
        </row>
        <row r="370">
          <cell r="B370" t="str">
            <v>SUB-TOTAL : (D)</v>
          </cell>
          <cell r="F370">
            <v>902415</v>
          </cell>
          <cell r="H370">
            <v>0</v>
          </cell>
          <cell r="J370">
            <v>3477</v>
          </cell>
          <cell r="K370">
            <v>0</v>
          </cell>
          <cell r="L370">
            <v>902415</v>
          </cell>
          <cell r="M370">
            <v>0</v>
          </cell>
          <cell r="N370">
            <v>0</v>
          </cell>
          <cell r="O370">
            <v>0</v>
          </cell>
          <cell r="P370">
            <v>1266758</v>
          </cell>
        </row>
        <row r="371">
          <cell r="F371">
            <v>0</v>
          </cell>
          <cell r="H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</row>
        <row r="372">
          <cell r="F372">
            <v>0</v>
          </cell>
          <cell r="H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</row>
        <row r="373">
          <cell r="D373" t="str">
            <v xml:space="preserve"> </v>
          </cell>
          <cell r="F373">
            <v>0</v>
          </cell>
          <cell r="H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</row>
        <row r="374">
          <cell r="A374" t="str">
            <v>E.</v>
          </cell>
          <cell r="B374" t="str">
            <v>TELEPHONE SYSTEM(全廠區建築物間之管線)</v>
          </cell>
          <cell r="F374">
            <v>0</v>
          </cell>
          <cell r="H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</row>
        <row r="375">
          <cell r="A375">
            <v>1</v>
          </cell>
          <cell r="B375" t="str">
            <v>PABX , W/100 EXTENSION , 10 TRUNK LINE</v>
          </cell>
          <cell r="C375">
            <v>1</v>
          </cell>
          <cell r="D375" t="str">
            <v>SET</v>
          </cell>
          <cell r="E375">
            <v>380000</v>
          </cell>
          <cell r="F375">
            <v>380000</v>
          </cell>
          <cell r="H375">
            <v>0</v>
          </cell>
          <cell r="I375">
            <v>40</v>
          </cell>
          <cell r="J375">
            <v>40</v>
          </cell>
          <cell r="K375">
            <v>380000</v>
          </cell>
          <cell r="L375">
            <v>380000</v>
          </cell>
          <cell r="M375">
            <v>0</v>
          </cell>
          <cell r="N375">
            <v>0</v>
          </cell>
          <cell r="O375">
            <v>11200</v>
          </cell>
          <cell r="P375">
            <v>11200</v>
          </cell>
        </row>
        <row r="376">
          <cell r="A376">
            <v>2</v>
          </cell>
          <cell r="B376" t="str">
            <v xml:space="preserve"> TELEPHONE CABLE, SOLID COPPER PVBC INSU. 5 PAIRS</v>
          </cell>
          <cell r="C376">
            <v>1300</v>
          </cell>
          <cell r="D376" t="str">
            <v>M</v>
          </cell>
          <cell r="E376">
            <v>14</v>
          </cell>
          <cell r="F376">
            <v>18200</v>
          </cell>
          <cell r="H376">
            <v>0</v>
          </cell>
          <cell r="I376">
            <v>8.5999999999999993E-2</v>
          </cell>
          <cell r="J376">
            <v>112</v>
          </cell>
          <cell r="K376">
            <v>14</v>
          </cell>
          <cell r="L376">
            <v>18200</v>
          </cell>
          <cell r="M376">
            <v>0</v>
          </cell>
          <cell r="N376">
            <v>0</v>
          </cell>
          <cell r="O376">
            <v>24</v>
          </cell>
          <cell r="P376">
            <v>31200</v>
          </cell>
        </row>
        <row r="377">
          <cell r="A377">
            <v>3</v>
          </cell>
          <cell r="B377" t="str">
            <v xml:space="preserve"> DITTO, BUT 10 PAIRS</v>
          </cell>
          <cell r="C377">
            <v>250</v>
          </cell>
          <cell r="D377" t="str">
            <v>M</v>
          </cell>
          <cell r="E377">
            <v>30</v>
          </cell>
          <cell r="F377">
            <v>7500</v>
          </cell>
          <cell r="H377">
            <v>0</v>
          </cell>
          <cell r="I377">
            <v>0.122</v>
          </cell>
          <cell r="J377">
            <v>31</v>
          </cell>
          <cell r="K377">
            <v>30</v>
          </cell>
          <cell r="L377">
            <v>7500</v>
          </cell>
          <cell r="M377">
            <v>0</v>
          </cell>
          <cell r="N377">
            <v>0</v>
          </cell>
          <cell r="O377">
            <v>34</v>
          </cell>
          <cell r="P377">
            <v>8500</v>
          </cell>
        </row>
        <row r="378">
          <cell r="A378">
            <v>4</v>
          </cell>
          <cell r="B378" t="str">
            <v xml:space="preserve"> DITTO, BUT 30 PAIRS</v>
          </cell>
          <cell r="C378">
            <v>300</v>
          </cell>
          <cell r="D378" t="str">
            <v>M</v>
          </cell>
          <cell r="E378">
            <v>80</v>
          </cell>
          <cell r="F378">
            <v>24000</v>
          </cell>
          <cell r="H378">
            <v>0</v>
          </cell>
          <cell r="I378">
            <v>0.20599999999999999</v>
          </cell>
          <cell r="J378">
            <v>62</v>
          </cell>
          <cell r="K378">
            <v>80</v>
          </cell>
          <cell r="L378">
            <v>24000</v>
          </cell>
          <cell r="M378">
            <v>0</v>
          </cell>
          <cell r="N378">
            <v>0</v>
          </cell>
          <cell r="O378">
            <v>58</v>
          </cell>
          <cell r="P378">
            <v>17400</v>
          </cell>
        </row>
        <row r="379">
          <cell r="A379">
            <v>4</v>
          </cell>
          <cell r="B379" t="str">
            <v xml:space="preserve"> DITTO, BUT 50 PAIRS</v>
          </cell>
          <cell r="C379">
            <v>400</v>
          </cell>
          <cell r="D379" t="str">
            <v>M</v>
          </cell>
          <cell r="E379">
            <v>133</v>
          </cell>
          <cell r="F379">
            <v>53200</v>
          </cell>
          <cell r="H379">
            <v>0</v>
          </cell>
          <cell r="I379">
            <v>0.25600000000000001</v>
          </cell>
          <cell r="J379">
            <v>102</v>
          </cell>
          <cell r="K379">
            <v>133</v>
          </cell>
          <cell r="L379">
            <v>53200</v>
          </cell>
          <cell r="M379">
            <v>0</v>
          </cell>
          <cell r="N379">
            <v>0</v>
          </cell>
          <cell r="O379">
            <v>72</v>
          </cell>
          <cell r="P379">
            <v>28800</v>
          </cell>
        </row>
        <row r="380">
          <cell r="A380">
            <v>5</v>
          </cell>
          <cell r="B380" t="str">
            <v xml:space="preserve"> MISCELLANEOUS MATERIALS</v>
          </cell>
          <cell r="C380">
            <v>1</v>
          </cell>
          <cell r="D380" t="str">
            <v>LOT</v>
          </cell>
          <cell r="E380">
            <v>10290</v>
          </cell>
          <cell r="F380">
            <v>10290</v>
          </cell>
          <cell r="H380">
            <v>0</v>
          </cell>
          <cell r="I380">
            <v>105</v>
          </cell>
          <cell r="J380">
            <v>105</v>
          </cell>
          <cell r="K380">
            <v>10290</v>
          </cell>
          <cell r="L380">
            <v>10290</v>
          </cell>
          <cell r="M380">
            <v>0</v>
          </cell>
          <cell r="N380">
            <v>0</v>
          </cell>
          <cell r="O380">
            <v>29400</v>
          </cell>
          <cell r="P380">
            <v>29400</v>
          </cell>
        </row>
        <row r="381">
          <cell r="B381" t="str">
            <v>SUB-TOTAL : (E)</v>
          </cell>
          <cell r="F381">
            <v>493190</v>
          </cell>
          <cell r="H381">
            <v>0</v>
          </cell>
          <cell r="J381">
            <v>452</v>
          </cell>
          <cell r="K381">
            <v>0</v>
          </cell>
          <cell r="L381">
            <v>493190</v>
          </cell>
          <cell r="M381">
            <v>0</v>
          </cell>
          <cell r="N381">
            <v>0</v>
          </cell>
          <cell r="O381">
            <v>0</v>
          </cell>
          <cell r="P381">
            <v>126500</v>
          </cell>
        </row>
        <row r="382">
          <cell r="F382">
            <v>0</v>
          </cell>
          <cell r="H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</row>
        <row r="383">
          <cell r="F383">
            <v>0</v>
          </cell>
          <cell r="H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</row>
        <row r="384">
          <cell r="A384" t="str">
            <v>F.</v>
          </cell>
          <cell r="B384" t="str">
            <v>PAGE/INTERCOMMUNICATION SYSTEM</v>
          </cell>
          <cell r="D384" t="str">
            <v xml:space="preserve"> </v>
          </cell>
          <cell r="F384">
            <v>0</v>
          </cell>
          <cell r="H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</row>
        <row r="385">
          <cell r="A385">
            <v>1</v>
          </cell>
          <cell r="B385" t="str">
            <v xml:space="preserve"> PAGE/PARTY STATION, SINGLE PARTY LINE</v>
          </cell>
          <cell r="C385">
            <v>10</v>
          </cell>
          <cell r="D385" t="str">
            <v>SET</v>
          </cell>
          <cell r="E385">
            <v>19700</v>
          </cell>
          <cell r="F385">
            <v>197000</v>
          </cell>
          <cell r="H385">
            <v>0</v>
          </cell>
          <cell r="I385">
            <v>12</v>
          </cell>
          <cell r="J385">
            <v>120</v>
          </cell>
          <cell r="K385">
            <v>19700</v>
          </cell>
          <cell r="L385">
            <v>197000</v>
          </cell>
          <cell r="M385">
            <v>0</v>
          </cell>
          <cell r="N385">
            <v>0</v>
          </cell>
          <cell r="O385">
            <v>3360</v>
          </cell>
          <cell r="P385">
            <v>33600</v>
          </cell>
        </row>
        <row r="386">
          <cell r="B386" t="str">
            <v xml:space="preserve"> CL.1, DIV.2 , G-T #730-104 OR EQUAL</v>
          </cell>
          <cell r="F386">
            <v>0</v>
          </cell>
          <cell r="H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</row>
        <row r="387">
          <cell r="A387">
            <v>2</v>
          </cell>
          <cell r="B387" t="str">
            <v>DITTO, BUT INDOOR TYPE, G-T #700-102</v>
          </cell>
          <cell r="C387">
            <v>4</v>
          </cell>
          <cell r="D387" t="str">
            <v>SET</v>
          </cell>
          <cell r="E387">
            <v>17800</v>
          </cell>
          <cell r="F387">
            <v>71200</v>
          </cell>
          <cell r="H387">
            <v>0</v>
          </cell>
          <cell r="I387">
            <v>10</v>
          </cell>
          <cell r="J387">
            <v>40</v>
          </cell>
          <cell r="K387">
            <v>17800</v>
          </cell>
          <cell r="L387">
            <v>71200</v>
          </cell>
          <cell r="M387">
            <v>0</v>
          </cell>
          <cell r="N387">
            <v>0</v>
          </cell>
          <cell r="O387">
            <v>2800</v>
          </cell>
          <cell r="P387">
            <v>11200</v>
          </cell>
        </row>
        <row r="388">
          <cell r="A388">
            <v>3</v>
          </cell>
          <cell r="B388" t="str">
            <v>DITTO, BUT DESK MOUNT. TYPE, G-T #726-102</v>
          </cell>
          <cell r="C388">
            <v>1</v>
          </cell>
          <cell r="D388" t="str">
            <v>SET</v>
          </cell>
          <cell r="E388">
            <v>23000</v>
          </cell>
          <cell r="F388">
            <v>23000</v>
          </cell>
          <cell r="H388">
            <v>0</v>
          </cell>
          <cell r="I388">
            <v>12</v>
          </cell>
          <cell r="J388">
            <v>12</v>
          </cell>
          <cell r="K388">
            <v>23000</v>
          </cell>
          <cell r="L388">
            <v>23000</v>
          </cell>
          <cell r="M388">
            <v>0</v>
          </cell>
          <cell r="N388">
            <v>0</v>
          </cell>
          <cell r="O388">
            <v>3360</v>
          </cell>
          <cell r="P388">
            <v>3360</v>
          </cell>
        </row>
        <row r="389">
          <cell r="A389">
            <v>4</v>
          </cell>
          <cell r="B389" t="str">
            <v xml:space="preserve"> HOT DIPPED GALVANIZED STEEL SUPPORT, C100</v>
          </cell>
          <cell r="C389">
            <v>10</v>
          </cell>
          <cell r="D389" t="str">
            <v>SET</v>
          </cell>
          <cell r="E389">
            <v>1500</v>
          </cell>
          <cell r="F389">
            <v>15000</v>
          </cell>
          <cell r="H389">
            <v>0</v>
          </cell>
          <cell r="I389">
            <v>4</v>
          </cell>
          <cell r="J389">
            <v>40</v>
          </cell>
          <cell r="K389">
            <v>1500</v>
          </cell>
          <cell r="L389">
            <v>15000</v>
          </cell>
          <cell r="M389">
            <v>0</v>
          </cell>
          <cell r="N389">
            <v>0</v>
          </cell>
          <cell r="O389">
            <v>1120</v>
          </cell>
          <cell r="P389">
            <v>11200</v>
          </cell>
        </row>
        <row r="390">
          <cell r="B390" t="str">
            <v>3M LG., W/ SMALL FOUNDATION</v>
          </cell>
          <cell r="F390">
            <v>0</v>
          </cell>
          <cell r="H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</row>
        <row r="391">
          <cell r="A391">
            <v>5</v>
          </cell>
          <cell r="B391" t="str">
            <v xml:space="preserve"> DRIVER, W/MOLDED LEXAN FOR DIV. 2 G-T </v>
          </cell>
          <cell r="C391">
            <v>16</v>
          </cell>
          <cell r="D391" t="str">
            <v>SET</v>
          </cell>
          <cell r="E391">
            <v>3300</v>
          </cell>
          <cell r="F391">
            <v>52800</v>
          </cell>
          <cell r="H391">
            <v>0</v>
          </cell>
          <cell r="I391">
            <v>3</v>
          </cell>
          <cell r="J391">
            <v>48</v>
          </cell>
          <cell r="K391">
            <v>3300</v>
          </cell>
          <cell r="L391">
            <v>52800</v>
          </cell>
          <cell r="M391">
            <v>0</v>
          </cell>
          <cell r="N391">
            <v>0</v>
          </cell>
          <cell r="O391">
            <v>840</v>
          </cell>
          <cell r="P391">
            <v>13440</v>
          </cell>
        </row>
        <row r="392">
          <cell r="B392" t="str">
            <v xml:space="preserve"> 13314-001</v>
          </cell>
          <cell r="F392">
            <v>0</v>
          </cell>
          <cell r="H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</row>
        <row r="393">
          <cell r="A393">
            <v>6</v>
          </cell>
          <cell r="B393" t="str">
            <v xml:space="preserve"> HORN SPEAKER W/ EPOXY G-T 13304-002</v>
          </cell>
          <cell r="C393">
            <v>16</v>
          </cell>
          <cell r="D393" t="str">
            <v>SET</v>
          </cell>
          <cell r="E393">
            <v>6000</v>
          </cell>
          <cell r="F393">
            <v>96000</v>
          </cell>
          <cell r="H393">
            <v>0</v>
          </cell>
          <cell r="I393">
            <v>5</v>
          </cell>
          <cell r="J393">
            <v>80</v>
          </cell>
          <cell r="K393">
            <v>6000</v>
          </cell>
          <cell r="L393">
            <v>96000</v>
          </cell>
          <cell r="M393">
            <v>0</v>
          </cell>
          <cell r="N393">
            <v>0</v>
          </cell>
          <cell r="O393">
            <v>1400</v>
          </cell>
          <cell r="P393">
            <v>22400</v>
          </cell>
        </row>
        <row r="394">
          <cell r="B394" t="str">
            <v xml:space="preserve"> MOUNTING ASSEMBLY, G-T 411A1SPL</v>
          </cell>
          <cell r="F394">
            <v>0</v>
          </cell>
          <cell r="H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</row>
        <row r="395">
          <cell r="A395">
            <v>7</v>
          </cell>
          <cell r="B395" t="str">
            <v xml:space="preserve"> LINE BALANCE UNIT G-T 305-001 OR EQUAL</v>
          </cell>
          <cell r="C395">
            <v>1</v>
          </cell>
          <cell r="D395" t="str">
            <v>SET</v>
          </cell>
          <cell r="E395">
            <v>2600</v>
          </cell>
          <cell r="F395">
            <v>2600</v>
          </cell>
          <cell r="H395">
            <v>0</v>
          </cell>
          <cell r="I395">
            <v>4</v>
          </cell>
          <cell r="J395">
            <v>4</v>
          </cell>
          <cell r="K395">
            <v>2600</v>
          </cell>
          <cell r="L395">
            <v>2600</v>
          </cell>
          <cell r="M395">
            <v>0</v>
          </cell>
          <cell r="N395">
            <v>0</v>
          </cell>
          <cell r="O395">
            <v>1120</v>
          </cell>
          <cell r="P395">
            <v>1120</v>
          </cell>
        </row>
        <row r="396">
          <cell r="A396">
            <v>8</v>
          </cell>
          <cell r="B396" t="str">
            <v xml:space="preserve"> CABLE, OVERALL &amp; INDIVIDUAL SHIELDED, 300V 8P-#14AWG</v>
          </cell>
          <cell r="C396">
            <v>2700</v>
          </cell>
          <cell r="D396" t="str">
            <v>M</v>
          </cell>
          <cell r="E396">
            <v>137</v>
          </cell>
          <cell r="F396">
            <v>369900</v>
          </cell>
          <cell r="H396">
            <v>0</v>
          </cell>
          <cell r="I396">
            <v>0.17799999999999999</v>
          </cell>
          <cell r="J396">
            <v>481</v>
          </cell>
          <cell r="K396">
            <v>137</v>
          </cell>
          <cell r="L396">
            <v>369900</v>
          </cell>
          <cell r="M396">
            <v>0</v>
          </cell>
          <cell r="N396">
            <v>0</v>
          </cell>
          <cell r="O396">
            <v>50</v>
          </cell>
          <cell r="P396">
            <v>135000</v>
          </cell>
        </row>
        <row r="397">
          <cell r="A397">
            <v>9</v>
          </cell>
          <cell r="B397" t="str">
            <v>XLPE CABLE 3C-3.5SQ.MM</v>
          </cell>
          <cell r="C397">
            <v>2800</v>
          </cell>
          <cell r="D397" t="str">
            <v>M</v>
          </cell>
          <cell r="E397">
            <v>15</v>
          </cell>
          <cell r="F397">
            <v>42000</v>
          </cell>
          <cell r="H397">
            <v>0</v>
          </cell>
          <cell r="I397">
            <v>7.9000000000000001E-2</v>
          </cell>
          <cell r="J397">
            <v>221</v>
          </cell>
          <cell r="K397">
            <v>15</v>
          </cell>
          <cell r="L397">
            <v>42000</v>
          </cell>
          <cell r="M397">
            <v>0</v>
          </cell>
          <cell r="N397">
            <v>0</v>
          </cell>
          <cell r="O397">
            <v>22</v>
          </cell>
          <cell r="P397">
            <v>61600</v>
          </cell>
        </row>
        <row r="398">
          <cell r="A398">
            <v>10</v>
          </cell>
          <cell r="B398" t="str">
            <v xml:space="preserve"> SPEAKER CABLE, TWISTED PAIR #18 AWG</v>
          </cell>
          <cell r="C398">
            <v>50</v>
          </cell>
          <cell r="D398" t="str">
            <v>M</v>
          </cell>
          <cell r="E398">
            <v>12</v>
          </cell>
          <cell r="F398">
            <v>600</v>
          </cell>
          <cell r="H398">
            <v>0</v>
          </cell>
          <cell r="I398">
            <v>6.2E-2</v>
          </cell>
          <cell r="J398">
            <v>3</v>
          </cell>
          <cell r="K398">
            <v>12</v>
          </cell>
          <cell r="L398">
            <v>600</v>
          </cell>
          <cell r="M398">
            <v>0</v>
          </cell>
          <cell r="N398">
            <v>0</v>
          </cell>
          <cell r="O398">
            <v>17</v>
          </cell>
          <cell r="P398">
            <v>850</v>
          </cell>
        </row>
        <row r="399">
          <cell r="A399">
            <v>11</v>
          </cell>
          <cell r="B399" t="str">
            <v>RSG CONDUIT, 2"</v>
          </cell>
          <cell r="C399">
            <v>100</v>
          </cell>
          <cell r="D399" t="str">
            <v>M</v>
          </cell>
          <cell r="E399">
            <v>105</v>
          </cell>
          <cell r="F399">
            <v>10500</v>
          </cell>
          <cell r="H399">
            <v>0</v>
          </cell>
          <cell r="I399">
            <v>0.98</v>
          </cell>
          <cell r="J399">
            <v>98</v>
          </cell>
          <cell r="K399">
            <v>105</v>
          </cell>
          <cell r="L399">
            <v>10500</v>
          </cell>
          <cell r="M399">
            <v>0</v>
          </cell>
          <cell r="N399">
            <v>0</v>
          </cell>
          <cell r="O399">
            <v>274</v>
          </cell>
          <cell r="P399">
            <v>27400</v>
          </cell>
        </row>
        <row r="400">
          <cell r="A400">
            <v>12</v>
          </cell>
          <cell r="B400" t="str">
            <v>DITTO BUT 3/4"</v>
          </cell>
          <cell r="C400">
            <v>50</v>
          </cell>
          <cell r="D400" t="str">
            <v>M</v>
          </cell>
          <cell r="E400">
            <v>32</v>
          </cell>
          <cell r="F400">
            <v>1600</v>
          </cell>
          <cell r="H400">
            <v>0</v>
          </cell>
          <cell r="I400">
            <v>0.47</v>
          </cell>
          <cell r="J400">
            <v>24</v>
          </cell>
          <cell r="K400">
            <v>32</v>
          </cell>
          <cell r="L400">
            <v>1600</v>
          </cell>
          <cell r="M400">
            <v>0</v>
          </cell>
          <cell r="N400">
            <v>0</v>
          </cell>
          <cell r="O400">
            <v>132</v>
          </cell>
          <cell r="P400">
            <v>6600</v>
          </cell>
        </row>
        <row r="401">
          <cell r="A401">
            <v>13</v>
          </cell>
          <cell r="B401" t="str">
            <v xml:space="preserve"> FLEXIBLE CONDUIT, 3/4", 1M LG, W/ TWO CONNECTOR</v>
          </cell>
          <cell r="C401">
            <v>16</v>
          </cell>
          <cell r="D401" t="str">
            <v>M</v>
          </cell>
          <cell r="E401">
            <v>81</v>
          </cell>
          <cell r="F401">
            <v>1296</v>
          </cell>
          <cell r="H401">
            <v>0</v>
          </cell>
          <cell r="I401">
            <v>0.56000000000000005</v>
          </cell>
          <cell r="J401">
            <v>9</v>
          </cell>
          <cell r="K401">
            <v>81</v>
          </cell>
          <cell r="L401">
            <v>1296</v>
          </cell>
          <cell r="M401">
            <v>0</v>
          </cell>
          <cell r="N401">
            <v>0</v>
          </cell>
          <cell r="O401">
            <v>157</v>
          </cell>
          <cell r="P401">
            <v>2512</v>
          </cell>
        </row>
        <row r="402">
          <cell r="A402">
            <v>14</v>
          </cell>
          <cell r="B402" t="str">
            <v xml:space="preserve"> HOT DIPPED GALVANIZED CONDUIT FITTING, UNION,</v>
          </cell>
          <cell r="C402">
            <v>1</v>
          </cell>
          <cell r="D402" t="str">
            <v>LOT</v>
          </cell>
          <cell r="E402">
            <v>36300</v>
          </cell>
          <cell r="F402">
            <v>36300</v>
          </cell>
          <cell r="H402">
            <v>0</v>
          </cell>
          <cell r="I402">
            <v>61</v>
          </cell>
          <cell r="J402">
            <v>61</v>
          </cell>
          <cell r="K402">
            <v>36300</v>
          </cell>
          <cell r="L402">
            <v>36300</v>
          </cell>
          <cell r="M402">
            <v>0</v>
          </cell>
          <cell r="N402">
            <v>0</v>
          </cell>
          <cell r="O402">
            <v>17080</v>
          </cell>
          <cell r="P402">
            <v>17080</v>
          </cell>
        </row>
        <row r="403">
          <cell r="B403" t="str">
            <v>SEALING FITTING</v>
          </cell>
          <cell r="F403">
            <v>0</v>
          </cell>
          <cell r="H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</row>
        <row r="404">
          <cell r="A404">
            <v>15</v>
          </cell>
          <cell r="B404" t="str">
            <v>HOT DIPPED GALVALNIZED STEEL U-CHANNEL 41x41x2.0t</v>
          </cell>
          <cell r="C404">
            <v>15</v>
          </cell>
          <cell r="D404" t="str">
            <v>M</v>
          </cell>
          <cell r="E404">
            <v>82</v>
          </cell>
          <cell r="F404">
            <v>1230</v>
          </cell>
          <cell r="H404">
            <v>0</v>
          </cell>
          <cell r="I404">
            <v>0.40699999999999997</v>
          </cell>
          <cell r="J404">
            <v>6</v>
          </cell>
          <cell r="K404">
            <v>82</v>
          </cell>
          <cell r="L404">
            <v>1230</v>
          </cell>
          <cell r="M404">
            <v>0</v>
          </cell>
          <cell r="N404">
            <v>0</v>
          </cell>
          <cell r="O404">
            <v>114</v>
          </cell>
          <cell r="P404">
            <v>1710</v>
          </cell>
        </row>
        <row r="405">
          <cell r="A405">
            <v>16</v>
          </cell>
          <cell r="B405" t="str">
            <v>VHF PORTABLE MARINE BAND EXP-PROOF WALKY-TALKY</v>
          </cell>
          <cell r="C405">
            <v>2</v>
          </cell>
          <cell r="D405" t="str">
            <v>SET</v>
          </cell>
          <cell r="E405">
            <v>20000</v>
          </cell>
          <cell r="F405">
            <v>40000</v>
          </cell>
          <cell r="H405">
            <v>0</v>
          </cell>
          <cell r="J405">
            <v>0</v>
          </cell>
          <cell r="K405">
            <v>20000</v>
          </cell>
          <cell r="L405">
            <v>40000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</row>
        <row r="406">
          <cell r="A406">
            <v>17</v>
          </cell>
          <cell r="B406" t="str">
            <v xml:space="preserve"> MISCELLANEOUS MATERIALS </v>
          </cell>
          <cell r="C406">
            <v>1</v>
          </cell>
          <cell r="D406" t="str">
            <v>LOT</v>
          </cell>
          <cell r="E406">
            <v>48051.3</v>
          </cell>
          <cell r="F406">
            <v>48051</v>
          </cell>
          <cell r="H406">
            <v>0</v>
          </cell>
          <cell r="I406">
            <v>62.35</v>
          </cell>
          <cell r="J406">
            <v>62</v>
          </cell>
          <cell r="K406">
            <v>48051</v>
          </cell>
          <cell r="L406">
            <v>48051</v>
          </cell>
          <cell r="M406">
            <v>0</v>
          </cell>
          <cell r="N406">
            <v>0</v>
          </cell>
          <cell r="O406">
            <v>17458</v>
          </cell>
          <cell r="P406">
            <v>17458</v>
          </cell>
        </row>
        <row r="407">
          <cell r="B407" t="str">
            <v>SUB-TOTAL : (F)</v>
          </cell>
          <cell r="F407">
            <v>1009077</v>
          </cell>
          <cell r="H407">
            <v>0</v>
          </cell>
          <cell r="J407">
            <v>1309</v>
          </cell>
          <cell r="K407">
            <v>0</v>
          </cell>
          <cell r="L407">
            <v>1009077</v>
          </cell>
          <cell r="M407">
            <v>0</v>
          </cell>
          <cell r="N407">
            <v>0</v>
          </cell>
          <cell r="O407">
            <v>0</v>
          </cell>
          <cell r="P407">
            <v>366530</v>
          </cell>
        </row>
        <row r="408">
          <cell r="F408">
            <v>0</v>
          </cell>
          <cell r="H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</row>
        <row r="409">
          <cell r="F409">
            <v>0</v>
          </cell>
          <cell r="H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</row>
        <row r="410">
          <cell r="A410" t="str">
            <v>G.</v>
          </cell>
          <cell r="B410" t="str">
            <v>CCTV SYSTEM</v>
          </cell>
          <cell r="D410" t="str">
            <v xml:space="preserve"> </v>
          </cell>
          <cell r="F410">
            <v>0</v>
          </cell>
          <cell r="H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</row>
        <row r="411">
          <cell r="A411">
            <v>1</v>
          </cell>
          <cell r="B411" t="str">
            <v xml:space="preserve"> 20" BLACK-AND-WHITE VEDIO MONITOR,  </v>
          </cell>
          <cell r="C411">
            <v>1</v>
          </cell>
          <cell r="D411" t="str">
            <v>SET</v>
          </cell>
          <cell r="E411">
            <v>9450</v>
          </cell>
          <cell r="F411">
            <v>9450</v>
          </cell>
          <cell r="H411">
            <v>0</v>
          </cell>
          <cell r="I411">
            <v>4</v>
          </cell>
          <cell r="J411">
            <v>4</v>
          </cell>
          <cell r="K411">
            <v>9450</v>
          </cell>
          <cell r="L411">
            <v>9450</v>
          </cell>
          <cell r="M411">
            <v>0</v>
          </cell>
          <cell r="N411">
            <v>0</v>
          </cell>
          <cell r="O411">
            <v>1120</v>
          </cell>
          <cell r="P411">
            <v>1120</v>
          </cell>
        </row>
        <row r="412">
          <cell r="A412">
            <v>2</v>
          </cell>
          <cell r="B412" t="str">
            <v xml:space="preserve"> BLACK-AND-WHITE CAMERA,1/2 CCD</v>
          </cell>
          <cell r="C412">
            <v>6</v>
          </cell>
          <cell r="D412" t="str">
            <v>SET</v>
          </cell>
          <cell r="E412">
            <v>8100</v>
          </cell>
          <cell r="F412">
            <v>48600</v>
          </cell>
          <cell r="H412">
            <v>0</v>
          </cell>
          <cell r="I412">
            <v>8</v>
          </cell>
          <cell r="J412">
            <v>48</v>
          </cell>
          <cell r="K412">
            <v>8100</v>
          </cell>
          <cell r="L412">
            <v>48600</v>
          </cell>
          <cell r="M412">
            <v>0</v>
          </cell>
          <cell r="N412">
            <v>0</v>
          </cell>
          <cell r="O412">
            <v>2240</v>
          </cell>
          <cell r="P412">
            <v>13440</v>
          </cell>
        </row>
        <row r="413">
          <cell r="A413">
            <v>3</v>
          </cell>
          <cell r="B413" t="str">
            <v xml:space="preserve"> MOTORIZED LENS, 10X, AUTO IRIS/FOCUS</v>
          </cell>
          <cell r="C413">
            <v>2</v>
          </cell>
          <cell r="D413" t="str">
            <v>PCS</v>
          </cell>
          <cell r="E413">
            <v>18900</v>
          </cell>
          <cell r="F413">
            <v>37800</v>
          </cell>
          <cell r="H413">
            <v>0</v>
          </cell>
          <cell r="I413">
            <v>2</v>
          </cell>
          <cell r="J413">
            <v>4</v>
          </cell>
          <cell r="K413">
            <v>18900</v>
          </cell>
          <cell r="L413">
            <v>37800</v>
          </cell>
          <cell r="M413">
            <v>0</v>
          </cell>
          <cell r="N413">
            <v>0</v>
          </cell>
          <cell r="O413">
            <v>560</v>
          </cell>
          <cell r="P413">
            <v>1120</v>
          </cell>
        </row>
        <row r="414">
          <cell r="A414">
            <v>4</v>
          </cell>
          <cell r="B414" t="str">
            <v xml:space="preserve"> FIXED LENS, AUTO IRIS 16 mm, </v>
          </cell>
          <cell r="C414">
            <v>4</v>
          </cell>
          <cell r="D414" t="str">
            <v>PCS</v>
          </cell>
          <cell r="E414">
            <v>4050</v>
          </cell>
          <cell r="F414">
            <v>16200</v>
          </cell>
          <cell r="H414">
            <v>0</v>
          </cell>
          <cell r="I414">
            <v>2</v>
          </cell>
          <cell r="J414">
            <v>8</v>
          </cell>
          <cell r="K414">
            <v>4050</v>
          </cell>
          <cell r="L414">
            <v>16200</v>
          </cell>
          <cell r="M414">
            <v>0</v>
          </cell>
          <cell r="N414">
            <v>0</v>
          </cell>
          <cell r="O414">
            <v>560</v>
          </cell>
          <cell r="P414">
            <v>2240</v>
          </cell>
        </row>
        <row r="415">
          <cell r="A415">
            <v>5</v>
          </cell>
          <cell r="B415" t="str">
            <v xml:space="preserve"> EXPLOSION ROOF HOUSING</v>
          </cell>
          <cell r="C415">
            <v>4</v>
          </cell>
          <cell r="D415" t="str">
            <v>SET</v>
          </cell>
          <cell r="E415">
            <v>148500</v>
          </cell>
          <cell r="F415">
            <v>594000</v>
          </cell>
          <cell r="H415">
            <v>0</v>
          </cell>
          <cell r="I415">
            <v>8</v>
          </cell>
          <cell r="J415">
            <v>32</v>
          </cell>
          <cell r="K415">
            <v>148500</v>
          </cell>
          <cell r="L415">
            <v>594000</v>
          </cell>
          <cell r="M415">
            <v>0</v>
          </cell>
          <cell r="N415">
            <v>0</v>
          </cell>
          <cell r="O415">
            <v>2240</v>
          </cell>
          <cell r="P415">
            <v>8960</v>
          </cell>
        </row>
        <row r="416">
          <cell r="A416">
            <v>6</v>
          </cell>
          <cell r="B416" t="str">
            <v>WEATHER PROOF HOUSING</v>
          </cell>
          <cell r="C416">
            <v>2</v>
          </cell>
          <cell r="D416" t="str">
            <v>SET</v>
          </cell>
          <cell r="E416">
            <v>49500</v>
          </cell>
          <cell r="F416">
            <v>99000</v>
          </cell>
          <cell r="H416">
            <v>0</v>
          </cell>
          <cell r="I416">
            <v>6</v>
          </cell>
          <cell r="J416">
            <v>12</v>
          </cell>
          <cell r="K416">
            <v>49500</v>
          </cell>
          <cell r="L416">
            <v>99000</v>
          </cell>
          <cell r="M416">
            <v>0</v>
          </cell>
          <cell r="N416">
            <v>0</v>
          </cell>
          <cell r="O416">
            <v>1680</v>
          </cell>
          <cell r="P416">
            <v>3360</v>
          </cell>
        </row>
        <row r="417">
          <cell r="A417">
            <v>7</v>
          </cell>
          <cell r="B417" t="str">
            <v xml:space="preserve"> PAN-AND-TILT DRIVER, CL.1 DIV.2</v>
          </cell>
          <cell r="C417">
            <v>2</v>
          </cell>
          <cell r="D417" t="str">
            <v>SET</v>
          </cell>
          <cell r="E417">
            <v>148500</v>
          </cell>
          <cell r="F417">
            <v>297000</v>
          </cell>
          <cell r="H417">
            <v>0</v>
          </cell>
          <cell r="I417">
            <v>8</v>
          </cell>
          <cell r="J417">
            <v>16</v>
          </cell>
          <cell r="K417">
            <v>148500</v>
          </cell>
          <cell r="L417">
            <v>297000</v>
          </cell>
          <cell r="M417">
            <v>0</v>
          </cell>
          <cell r="N417">
            <v>0</v>
          </cell>
          <cell r="O417">
            <v>2240</v>
          </cell>
          <cell r="P417">
            <v>4480</v>
          </cell>
        </row>
        <row r="418">
          <cell r="A418">
            <v>8</v>
          </cell>
          <cell r="B418" t="str">
            <v>24 hr  VCR</v>
          </cell>
          <cell r="C418">
            <v>1</v>
          </cell>
          <cell r="D418" t="str">
            <v>SET</v>
          </cell>
          <cell r="E418">
            <v>45000</v>
          </cell>
          <cell r="F418">
            <v>45000</v>
          </cell>
          <cell r="H418">
            <v>0</v>
          </cell>
          <cell r="I418">
            <v>8</v>
          </cell>
          <cell r="J418">
            <v>8</v>
          </cell>
          <cell r="K418">
            <v>45000</v>
          </cell>
          <cell r="L418">
            <v>45000</v>
          </cell>
          <cell r="M418">
            <v>0</v>
          </cell>
          <cell r="N418">
            <v>0</v>
          </cell>
          <cell r="O418">
            <v>2240</v>
          </cell>
          <cell r="P418">
            <v>2240</v>
          </cell>
        </row>
        <row r="419">
          <cell r="A419">
            <v>9</v>
          </cell>
          <cell r="B419" t="str">
            <v>CONTROL SIGNAL DISTRIBUTION UNIT, 5 CHANNEL</v>
          </cell>
          <cell r="C419">
            <v>1</v>
          </cell>
          <cell r="D419" t="str">
            <v>SET</v>
          </cell>
          <cell r="E419">
            <v>45000</v>
          </cell>
          <cell r="F419">
            <v>45000</v>
          </cell>
          <cell r="H419">
            <v>0</v>
          </cell>
          <cell r="I419">
            <v>8</v>
          </cell>
          <cell r="J419">
            <v>8</v>
          </cell>
          <cell r="K419">
            <v>45000</v>
          </cell>
          <cell r="L419">
            <v>45000</v>
          </cell>
          <cell r="M419">
            <v>0</v>
          </cell>
          <cell r="N419">
            <v>0</v>
          </cell>
          <cell r="O419">
            <v>2240</v>
          </cell>
          <cell r="P419">
            <v>2240</v>
          </cell>
        </row>
        <row r="420">
          <cell r="A420">
            <v>10</v>
          </cell>
          <cell r="B420" t="str">
            <v>VEDIO MULTIPLEXER, 9-CHANNEL</v>
          </cell>
          <cell r="C420">
            <v>1</v>
          </cell>
          <cell r="D420" t="str">
            <v>SET</v>
          </cell>
          <cell r="E420">
            <v>32000</v>
          </cell>
          <cell r="F420">
            <v>32000</v>
          </cell>
          <cell r="H420">
            <v>0</v>
          </cell>
          <cell r="I420">
            <v>20</v>
          </cell>
          <cell r="J420">
            <v>20</v>
          </cell>
          <cell r="K420">
            <v>32000</v>
          </cell>
          <cell r="L420">
            <v>32000</v>
          </cell>
          <cell r="M420">
            <v>0</v>
          </cell>
          <cell r="N420">
            <v>0</v>
          </cell>
          <cell r="O420">
            <v>5600</v>
          </cell>
          <cell r="P420">
            <v>5600</v>
          </cell>
        </row>
        <row r="421">
          <cell r="A421">
            <v>11</v>
          </cell>
          <cell r="B421" t="str">
            <v xml:space="preserve"> VIDEO COXIAL CABLE, PWC 7C2V OR EQUAL</v>
          </cell>
          <cell r="C421">
            <v>2000</v>
          </cell>
          <cell r="D421" t="str">
            <v>M</v>
          </cell>
          <cell r="E421">
            <v>16</v>
          </cell>
          <cell r="F421">
            <v>32000</v>
          </cell>
          <cell r="H421">
            <v>0</v>
          </cell>
          <cell r="I421">
            <v>0.1</v>
          </cell>
          <cell r="J421">
            <v>200</v>
          </cell>
          <cell r="K421">
            <v>16</v>
          </cell>
          <cell r="L421">
            <v>32000</v>
          </cell>
          <cell r="M421">
            <v>0</v>
          </cell>
          <cell r="N421">
            <v>0</v>
          </cell>
          <cell r="O421">
            <v>28</v>
          </cell>
          <cell r="P421">
            <v>56000</v>
          </cell>
        </row>
        <row r="422">
          <cell r="A422">
            <v>12</v>
          </cell>
          <cell r="B422" t="str">
            <v>SHIELDED CABLE, 8C-1.25 SQ.MM</v>
          </cell>
          <cell r="C422">
            <v>1600</v>
          </cell>
          <cell r="D422" t="str">
            <v>M</v>
          </cell>
          <cell r="E422">
            <v>32</v>
          </cell>
          <cell r="F422">
            <v>51200</v>
          </cell>
          <cell r="H422">
            <v>0</v>
          </cell>
          <cell r="I422">
            <v>7.0000000000000007E-2</v>
          </cell>
          <cell r="J422">
            <v>112</v>
          </cell>
          <cell r="K422">
            <v>32</v>
          </cell>
          <cell r="L422">
            <v>51200</v>
          </cell>
          <cell r="M422">
            <v>0</v>
          </cell>
          <cell r="N422">
            <v>0</v>
          </cell>
          <cell r="O422">
            <v>20</v>
          </cell>
          <cell r="P422">
            <v>32000</v>
          </cell>
        </row>
        <row r="423">
          <cell r="A423">
            <v>13</v>
          </cell>
          <cell r="B423" t="str">
            <v>600V XLPE CABLE, 3C-5.5 SQ.MM</v>
          </cell>
          <cell r="C423">
            <v>1500</v>
          </cell>
          <cell r="D423" t="str">
            <v>M</v>
          </cell>
          <cell r="E423">
            <v>20</v>
          </cell>
          <cell r="F423">
            <v>30000</v>
          </cell>
          <cell r="H423">
            <v>0</v>
          </cell>
          <cell r="I423">
            <v>0.1</v>
          </cell>
          <cell r="J423">
            <v>150</v>
          </cell>
          <cell r="K423">
            <v>20</v>
          </cell>
          <cell r="L423">
            <v>30000</v>
          </cell>
          <cell r="M423">
            <v>0</v>
          </cell>
          <cell r="N423">
            <v>0</v>
          </cell>
          <cell r="O423">
            <v>28</v>
          </cell>
          <cell r="P423">
            <v>42000</v>
          </cell>
        </row>
        <row r="424">
          <cell r="A424">
            <v>14</v>
          </cell>
          <cell r="B424" t="str">
            <v xml:space="preserve">JUNCTION BOX CL.1 DIV.2 GROUP D 250L x 250W x 150D </v>
          </cell>
          <cell r="C424">
            <v>4</v>
          </cell>
          <cell r="D424" t="str">
            <v>SET</v>
          </cell>
          <cell r="E424">
            <v>8000</v>
          </cell>
          <cell r="F424">
            <v>32000</v>
          </cell>
          <cell r="H424">
            <v>0</v>
          </cell>
          <cell r="I424">
            <v>4</v>
          </cell>
          <cell r="J424">
            <v>16</v>
          </cell>
          <cell r="K424">
            <v>8000</v>
          </cell>
          <cell r="L424">
            <v>32000</v>
          </cell>
          <cell r="M424">
            <v>0</v>
          </cell>
          <cell r="N424">
            <v>0</v>
          </cell>
          <cell r="O424">
            <v>1120</v>
          </cell>
          <cell r="P424">
            <v>4480</v>
          </cell>
        </row>
        <row r="425">
          <cell r="A425">
            <v>15</v>
          </cell>
          <cell r="B425" t="str">
            <v xml:space="preserve">JUNCTION BOX WEATHER PROOF 250L x 250W x 150D </v>
          </cell>
          <cell r="C425">
            <v>2</v>
          </cell>
          <cell r="D425" t="str">
            <v>SET</v>
          </cell>
          <cell r="E425">
            <v>4000</v>
          </cell>
          <cell r="F425">
            <v>8000</v>
          </cell>
          <cell r="H425">
            <v>0</v>
          </cell>
          <cell r="I425">
            <v>3</v>
          </cell>
          <cell r="J425">
            <v>6</v>
          </cell>
          <cell r="K425">
            <v>4000</v>
          </cell>
          <cell r="L425">
            <v>8000</v>
          </cell>
          <cell r="M425">
            <v>0</v>
          </cell>
          <cell r="N425">
            <v>0</v>
          </cell>
          <cell r="O425">
            <v>840</v>
          </cell>
          <cell r="P425">
            <v>1680</v>
          </cell>
        </row>
        <row r="426">
          <cell r="A426">
            <v>16</v>
          </cell>
          <cell r="B426" t="str">
            <v>RSG CONDUIT, 2"</v>
          </cell>
          <cell r="C426">
            <v>250</v>
          </cell>
          <cell r="D426" t="str">
            <v>M</v>
          </cell>
          <cell r="E426">
            <v>105</v>
          </cell>
          <cell r="F426">
            <v>26250</v>
          </cell>
          <cell r="H426">
            <v>0</v>
          </cell>
          <cell r="I426">
            <v>0.98</v>
          </cell>
          <cell r="J426">
            <v>245</v>
          </cell>
          <cell r="K426">
            <v>105</v>
          </cell>
          <cell r="L426">
            <v>26250</v>
          </cell>
          <cell r="M426">
            <v>0</v>
          </cell>
          <cell r="N426">
            <v>0</v>
          </cell>
          <cell r="O426">
            <v>274</v>
          </cell>
          <cell r="P426">
            <v>68500</v>
          </cell>
        </row>
        <row r="427">
          <cell r="A427">
            <v>17</v>
          </cell>
          <cell r="B427" t="str">
            <v>HOT DIPPED GALVALNIZED STEEL U-CHANNEL 41x41x2.0t</v>
          </cell>
          <cell r="C427">
            <v>15</v>
          </cell>
          <cell r="D427" t="str">
            <v>M</v>
          </cell>
          <cell r="E427">
            <v>82</v>
          </cell>
          <cell r="F427">
            <v>1230</v>
          </cell>
          <cell r="H427">
            <v>0</v>
          </cell>
          <cell r="I427">
            <v>0.40699999999999997</v>
          </cell>
          <cell r="J427">
            <v>6</v>
          </cell>
          <cell r="K427">
            <v>82</v>
          </cell>
          <cell r="L427">
            <v>1230</v>
          </cell>
          <cell r="M427">
            <v>0</v>
          </cell>
          <cell r="N427">
            <v>0</v>
          </cell>
          <cell r="O427">
            <v>114</v>
          </cell>
          <cell r="P427">
            <v>1710</v>
          </cell>
        </row>
        <row r="428">
          <cell r="A428">
            <v>18</v>
          </cell>
          <cell r="B428" t="str">
            <v xml:space="preserve">CAMERA SUPPORT, HOT DIPPED GALVANIZED STEEL </v>
          </cell>
          <cell r="C428">
            <v>4</v>
          </cell>
          <cell r="D428" t="str">
            <v>SET</v>
          </cell>
          <cell r="E428">
            <v>8100</v>
          </cell>
          <cell r="F428">
            <v>32400</v>
          </cell>
          <cell r="H428">
            <v>0</v>
          </cell>
          <cell r="I428">
            <v>4</v>
          </cell>
          <cell r="J428">
            <v>16</v>
          </cell>
          <cell r="K428">
            <v>8100</v>
          </cell>
          <cell r="L428">
            <v>32400</v>
          </cell>
          <cell r="M428">
            <v>0</v>
          </cell>
          <cell r="N428">
            <v>0</v>
          </cell>
          <cell r="O428">
            <v>1120</v>
          </cell>
          <cell r="P428">
            <v>4480</v>
          </cell>
        </row>
        <row r="429">
          <cell r="B429" t="str">
            <v>W/ COATING, WALL MOUNT. TYPE</v>
          </cell>
          <cell r="F429">
            <v>0</v>
          </cell>
          <cell r="H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</row>
        <row r="430">
          <cell r="A430">
            <v>19</v>
          </cell>
          <cell r="B430" t="str">
            <v xml:space="preserve">CAMERA SUPPORT, HOT DIPPED GALVANIZED STEEL </v>
          </cell>
          <cell r="C430">
            <v>6</v>
          </cell>
          <cell r="D430" t="str">
            <v>SET</v>
          </cell>
          <cell r="E430">
            <v>14000</v>
          </cell>
          <cell r="F430">
            <v>84000</v>
          </cell>
          <cell r="H430">
            <v>0</v>
          </cell>
          <cell r="I430">
            <v>20</v>
          </cell>
          <cell r="J430">
            <v>120</v>
          </cell>
          <cell r="K430">
            <v>14000</v>
          </cell>
          <cell r="L430">
            <v>84000</v>
          </cell>
          <cell r="M430">
            <v>0</v>
          </cell>
          <cell r="N430">
            <v>0</v>
          </cell>
          <cell r="O430">
            <v>5600</v>
          </cell>
          <cell r="P430">
            <v>33600</v>
          </cell>
        </row>
        <row r="431">
          <cell r="B431" t="str">
            <v>W/ COATING, STANCHION TYPE, 3M H , W/FUNDATION</v>
          </cell>
          <cell r="F431">
            <v>0</v>
          </cell>
          <cell r="H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</row>
        <row r="432">
          <cell r="A432">
            <v>20</v>
          </cell>
          <cell r="B432" t="str">
            <v xml:space="preserve"> HOT DIPPED GALVANIZED CONDUIT FITTING, UNION,</v>
          </cell>
          <cell r="C432">
            <v>1</v>
          </cell>
          <cell r="D432" t="str">
            <v>LOT</v>
          </cell>
          <cell r="E432">
            <v>78750</v>
          </cell>
          <cell r="F432">
            <v>78750</v>
          </cell>
          <cell r="H432">
            <v>0</v>
          </cell>
          <cell r="I432">
            <v>122.5</v>
          </cell>
          <cell r="J432">
            <v>123</v>
          </cell>
          <cell r="K432">
            <v>78750</v>
          </cell>
          <cell r="L432">
            <v>78750</v>
          </cell>
          <cell r="M432">
            <v>0</v>
          </cell>
          <cell r="N432">
            <v>0</v>
          </cell>
          <cell r="O432">
            <v>34300</v>
          </cell>
          <cell r="P432">
            <v>34300</v>
          </cell>
        </row>
        <row r="433">
          <cell r="B433" t="str">
            <v>SEALING FITTING</v>
          </cell>
          <cell r="F433">
            <v>0</v>
          </cell>
          <cell r="H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</row>
        <row r="434">
          <cell r="A434">
            <v>21</v>
          </cell>
          <cell r="B434" t="str">
            <v>FIBER OPTIC CABLE CABLE , 1 FIBERS</v>
          </cell>
          <cell r="C434">
            <v>1250</v>
          </cell>
          <cell r="D434" t="str">
            <v>M</v>
          </cell>
          <cell r="E434">
            <v>38</v>
          </cell>
          <cell r="F434">
            <v>47500</v>
          </cell>
          <cell r="H434">
            <v>0</v>
          </cell>
          <cell r="I434">
            <v>0.1</v>
          </cell>
          <cell r="J434">
            <v>125</v>
          </cell>
          <cell r="K434">
            <v>38</v>
          </cell>
          <cell r="L434">
            <v>47500</v>
          </cell>
          <cell r="M434">
            <v>0</v>
          </cell>
          <cell r="N434">
            <v>0</v>
          </cell>
          <cell r="O434">
            <v>28</v>
          </cell>
          <cell r="P434">
            <v>35000</v>
          </cell>
        </row>
        <row r="435">
          <cell r="A435">
            <v>22</v>
          </cell>
          <cell r="B435" t="str">
            <v>FIBER OPTIC VIDEO SIGNAL RECEIVER</v>
          </cell>
          <cell r="C435">
            <v>1</v>
          </cell>
          <cell r="D435" t="str">
            <v>SET</v>
          </cell>
          <cell r="E435">
            <v>23400</v>
          </cell>
          <cell r="F435">
            <v>23400</v>
          </cell>
          <cell r="H435">
            <v>0</v>
          </cell>
          <cell r="I435">
            <v>4</v>
          </cell>
          <cell r="J435">
            <v>4</v>
          </cell>
          <cell r="K435">
            <v>23400</v>
          </cell>
          <cell r="L435">
            <v>23400</v>
          </cell>
          <cell r="M435">
            <v>0</v>
          </cell>
          <cell r="N435">
            <v>0</v>
          </cell>
          <cell r="O435">
            <v>1120</v>
          </cell>
          <cell r="P435">
            <v>1120</v>
          </cell>
        </row>
        <row r="436">
          <cell r="A436">
            <v>23</v>
          </cell>
          <cell r="B436" t="str">
            <v>FIBER OPTIC VIDEO SIGNAL TRANSMITER</v>
          </cell>
          <cell r="C436">
            <v>1</v>
          </cell>
          <cell r="D436" t="str">
            <v>SET</v>
          </cell>
          <cell r="E436">
            <v>25200</v>
          </cell>
          <cell r="F436">
            <v>25200</v>
          </cell>
          <cell r="H436">
            <v>0</v>
          </cell>
          <cell r="I436">
            <v>4</v>
          </cell>
          <cell r="J436">
            <v>4</v>
          </cell>
          <cell r="K436">
            <v>25200</v>
          </cell>
          <cell r="L436">
            <v>25200</v>
          </cell>
          <cell r="M436">
            <v>0</v>
          </cell>
          <cell r="N436">
            <v>0</v>
          </cell>
          <cell r="O436">
            <v>1120</v>
          </cell>
          <cell r="P436">
            <v>1120</v>
          </cell>
        </row>
        <row r="437">
          <cell r="A437">
            <v>24</v>
          </cell>
          <cell r="B437" t="str">
            <v xml:space="preserve"> MISCELLANEOUS MATERIALS</v>
          </cell>
          <cell r="C437">
            <v>1</v>
          </cell>
          <cell r="D437" t="str">
            <v>LOT</v>
          </cell>
          <cell r="E437">
            <v>50879.4</v>
          </cell>
          <cell r="F437">
            <v>50879</v>
          </cell>
          <cell r="H437">
            <v>0</v>
          </cell>
          <cell r="I437">
            <v>38.61</v>
          </cell>
          <cell r="J437">
            <v>39</v>
          </cell>
          <cell r="K437">
            <v>50879</v>
          </cell>
          <cell r="L437">
            <v>50879</v>
          </cell>
          <cell r="M437">
            <v>0</v>
          </cell>
          <cell r="N437">
            <v>0</v>
          </cell>
          <cell r="O437">
            <v>10811</v>
          </cell>
          <cell r="P437">
            <v>10811</v>
          </cell>
        </row>
        <row r="438">
          <cell r="B438" t="str">
            <v>SUB-TOTAL : (G)</v>
          </cell>
          <cell r="F438">
            <v>1746859</v>
          </cell>
          <cell r="H438">
            <v>0</v>
          </cell>
          <cell r="J438">
            <v>1326</v>
          </cell>
          <cell r="K438">
            <v>0</v>
          </cell>
          <cell r="L438">
            <v>1746859</v>
          </cell>
          <cell r="M438">
            <v>0</v>
          </cell>
          <cell r="N438">
            <v>0</v>
          </cell>
          <cell r="O438">
            <v>0</v>
          </cell>
          <cell r="P438">
            <v>371601</v>
          </cell>
        </row>
        <row r="439">
          <cell r="F439">
            <v>0</v>
          </cell>
          <cell r="H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</row>
        <row r="440">
          <cell r="F440">
            <v>0</v>
          </cell>
          <cell r="H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</row>
        <row r="441">
          <cell r="A441" t="str">
            <v>H.</v>
          </cell>
          <cell r="B441" t="str">
            <v xml:space="preserve"> CATHODIC PROTECTION SYSTEM </v>
          </cell>
          <cell r="F441">
            <v>0</v>
          </cell>
          <cell r="H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</row>
        <row r="442">
          <cell r="A442">
            <v>1</v>
          </cell>
          <cell r="B442" t="str">
            <v>40LB型鎂犧牲陽極</v>
          </cell>
          <cell r="C442">
            <v>60</v>
          </cell>
          <cell r="D442" t="str">
            <v>SET</v>
          </cell>
          <cell r="E442">
            <v>8000</v>
          </cell>
          <cell r="F442">
            <v>480000</v>
          </cell>
          <cell r="H442">
            <v>0</v>
          </cell>
          <cell r="I442">
            <v>9</v>
          </cell>
          <cell r="J442">
            <v>540</v>
          </cell>
          <cell r="K442">
            <v>8000</v>
          </cell>
          <cell r="L442">
            <v>480000</v>
          </cell>
          <cell r="M442">
            <v>0</v>
          </cell>
          <cell r="N442">
            <v>0</v>
          </cell>
          <cell r="O442">
            <v>2520</v>
          </cell>
          <cell r="P442">
            <v>151200</v>
          </cell>
        </row>
        <row r="443">
          <cell r="A443">
            <v>2</v>
          </cell>
          <cell r="B443" t="str">
            <v xml:space="preserve">ZINC GROUNDING CELL, FOUR ANODE UNITS WITH </v>
          </cell>
          <cell r="C443">
            <v>5</v>
          </cell>
          <cell r="D443" t="str">
            <v>SET</v>
          </cell>
          <cell r="E443">
            <v>14000</v>
          </cell>
          <cell r="F443">
            <v>70000</v>
          </cell>
          <cell r="H443">
            <v>0</v>
          </cell>
          <cell r="I443">
            <v>6</v>
          </cell>
          <cell r="J443">
            <v>30</v>
          </cell>
          <cell r="K443">
            <v>14000</v>
          </cell>
          <cell r="L443">
            <v>70000</v>
          </cell>
          <cell r="M443">
            <v>0</v>
          </cell>
          <cell r="N443">
            <v>0</v>
          </cell>
          <cell r="O443">
            <v>1680</v>
          </cell>
          <cell r="P443">
            <v>8400</v>
          </cell>
        </row>
        <row r="444">
          <cell r="B444" t="str">
            <v xml:space="preserve">10 FT OF #6 AWG HMWPE CATHODIC </v>
          </cell>
          <cell r="F444">
            <v>0</v>
          </cell>
          <cell r="H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</row>
        <row r="445">
          <cell r="B445" t="str">
            <v xml:space="preserve">PROTECTION COPPER CABLE, 1.4"X1.4"X60" </v>
          </cell>
          <cell r="F445">
            <v>0</v>
          </cell>
          <cell r="H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</row>
        <row r="446">
          <cell r="B446" t="str">
            <v>ANODE</v>
          </cell>
          <cell r="F446">
            <v>0</v>
          </cell>
          <cell r="H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</row>
        <row r="447">
          <cell r="A447">
            <v>3</v>
          </cell>
          <cell r="B447" t="str">
            <v>TEST JUNTION BOX</v>
          </cell>
          <cell r="C447">
            <v>7</v>
          </cell>
          <cell r="D447" t="str">
            <v>SET</v>
          </cell>
          <cell r="E447">
            <v>3000</v>
          </cell>
          <cell r="F447">
            <v>21000</v>
          </cell>
          <cell r="H447">
            <v>0</v>
          </cell>
          <cell r="I447">
            <v>6</v>
          </cell>
          <cell r="J447">
            <v>42</v>
          </cell>
          <cell r="K447">
            <v>3000</v>
          </cell>
          <cell r="L447">
            <v>21000</v>
          </cell>
          <cell r="M447">
            <v>0</v>
          </cell>
          <cell r="N447">
            <v>0</v>
          </cell>
          <cell r="O447">
            <v>1680</v>
          </cell>
          <cell r="P447">
            <v>11760</v>
          </cell>
        </row>
        <row r="448">
          <cell r="A448">
            <v>4</v>
          </cell>
          <cell r="B448" t="str">
            <v>Cu-CuS04 REFERENCE ELECTRODE WITH 10 FT OF</v>
          </cell>
          <cell r="C448">
            <v>7</v>
          </cell>
          <cell r="D448" t="str">
            <v>SET</v>
          </cell>
          <cell r="E448">
            <v>4000</v>
          </cell>
          <cell r="F448">
            <v>28000</v>
          </cell>
          <cell r="H448">
            <v>0</v>
          </cell>
          <cell r="I448">
            <v>6</v>
          </cell>
          <cell r="J448">
            <v>42</v>
          </cell>
          <cell r="K448">
            <v>4000</v>
          </cell>
          <cell r="L448">
            <v>28000</v>
          </cell>
          <cell r="M448">
            <v>0</v>
          </cell>
          <cell r="N448">
            <v>0</v>
          </cell>
          <cell r="O448">
            <v>1680</v>
          </cell>
          <cell r="P448">
            <v>11760</v>
          </cell>
        </row>
        <row r="449">
          <cell r="B449" t="str">
            <v xml:space="preserve">#8 AWG HMWPE CATHODIC PROTECTION  </v>
          </cell>
        </row>
        <row r="450">
          <cell r="B450" t="str">
            <v xml:space="preserve">COPPER CABLE &amp; BACKFILL OVER SIZE   </v>
          </cell>
        </row>
        <row r="451">
          <cell r="B451" t="str">
            <v>6" D x 10" L, GLOBAL TYPE OR EQUAL</v>
          </cell>
        </row>
        <row r="452">
          <cell r="A452">
            <v>5</v>
          </cell>
          <cell r="B452" t="str">
            <v>#8AWG 1/C HALAR CABLE</v>
          </cell>
          <cell r="C452">
            <v>475</v>
          </cell>
          <cell r="D452" t="str">
            <v>M</v>
          </cell>
          <cell r="E452">
            <v>120</v>
          </cell>
          <cell r="F452">
            <v>57000</v>
          </cell>
          <cell r="H452">
            <v>0</v>
          </cell>
          <cell r="I452">
            <v>0.12</v>
          </cell>
          <cell r="J452">
            <v>57</v>
          </cell>
          <cell r="K452">
            <v>120</v>
          </cell>
          <cell r="L452">
            <v>57000</v>
          </cell>
          <cell r="M452">
            <v>0</v>
          </cell>
          <cell r="N452">
            <v>0</v>
          </cell>
          <cell r="O452">
            <v>34</v>
          </cell>
          <cell r="P452">
            <v>16150</v>
          </cell>
        </row>
        <row r="453">
          <cell r="A453">
            <v>6</v>
          </cell>
          <cell r="B453" t="str">
            <v>CADWELD POWDER CARTRIDGE, CA-25 TYPE</v>
          </cell>
          <cell r="C453">
            <v>15</v>
          </cell>
          <cell r="D453" t="str">
            <v>PCS</v>
          </cell>
          <cell r="E453">
            <v>125</v>
          </cell>
          <cell r="F453">
            <v>1875</v>
          </cell>
          <cell r="H453">
            <v>0</v>
          </cell>
          <cell r="I453">
            <v>1</v>
          </cell>
          <cell r="J453">
            <v>15</v>
          </cell>
          <cell r="K453">
            <v>125</v>
          </cell>
          <cell r="L453">
            <v>1875</v>
          </cell>
          <cell r="M453">
            <v>0</v>
          </cell>
          <cell r="N453">
            <v>0</v>
          </cell>
          <cell r="O453">
            <v>280</v>
          </cell>
          <cell r="P453">
            <v>4200</v>
          </cell>
        </row>
        <row r="454">
          <cell r="A454">
            <v>7</v>
          </cell>
          <cell r="B454" t="str">
            <v>CADWELD MOLD</v>
          </cell>
          <cell r="C454">
            <v>1</v>
          </cell>
          <cell r="D454" t="str">
            <v>SET</v>
          </cell>
          <cell r="E454">
            <v>1500</v>
          </cell>
          <cell r="F454">
            <v>1500</v>
          </cell>
          <cell r="H454">
            <v>0</v>
          </cell>
          <cell r="J454">
            <v>0</v>
          </cell>
          <cell r="K454">
            <v>1500</v>
          </cell>
          <cell r="L454">
            <v>1500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</row>
        <row r="455">
          <cell r="A455">
            <v>8</v>
          </cell>
          <cell r="B455" t="str">
            <v>C TYPE LUG</v>
          </cell>
          <cell r="C455">
            <v>60</v>
          </cell>
          <cell r="D455" t="str">
            <v>PCS</v>
          </cell>
          <cell r="E455">
            <v>50</v>
          </cell>
          <cell r="F455">
            <v>3000</v>
          </cell>
          <cell r="H455">
            <v>0</v>
          </cell>
          <cell r="I455">
            <v>0.5</v>
          </cell>
          <cell r="J455">
            <v>30</v>
          </cell>
          <cell r="K455">
            <v>50</v>
          </cell>
          <cell r="L455">
            <v>3000</v>
          </cell>
          <cell r="M455">
            <v>0</v>
          </cell>
          <cell r="N455">
            <v>0</v>
          </cell>
          <cell r="O455">
            <v>140</v>
          </cell>
          <cell r="P455">
            <v>8400</v>
          </cell>
        </row>
        <row r="456">
          <cell r="A456">
            <v>9</v>
          </cell>
          <cell r="B456" t="str">
            <v>TOOL,MOLD SUPPORT CLAMP CADWELD CAB-320</v>
          </cell>
          <cell r="C456">
            <v>1</v>
          </cell>
          <cell r="D456" t="str">
            <v>PCS</v>
          </cell>
          <cell r="E456">
            <v>2500</v>
          </cell>
          <cell r="F456">
            <v>2500</v>
          </cell>
          <cell r="H456">
            <v>0</v>
          </cell>
          <cell r="J456">
            <v>0</v>
          </cell>
          <cell r="K456">
            <v>2500</v>
          </cell>
          <cell r="L456">
            <v>2500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</row>
        <row r="457">
          <cell r="A457">
            <v>10</v>
          </cell>
          <cell r="B457" t="str">
            <v xml:space="preserve">NONMETALLIC CONDUIT, PVC CNS 1302 UPVC </v>
          </cell>
          <cell r="C457">
            <v>285</v>
          </cell>
          <cell r="D457" t="str">
            <v>M</v>
          </cell>
          <cell r="E457">
            <v>16</v>
          </cell>
          <cell r="F457">
            <v>4560</v>
          </cell>
          <cell r="H457">
            <v>0</v>
          </cell>
          <cell r="I457">
            <v>0.5</v>
          </cell>
          <cell r="J457">
            <v>143</v>
          </cell>
          <cell r="K457">
            <v>16</v>
          </cell>
          <cell r="L457">
            <v>4560</v>
          </cell>
          <cell r="M457">
            <v>0</v>
          </cell>
          <cell r="N457">
            <v>0</v>
          </cell>
          <cell r="O457">
            <v>140</v>
          </cell>
          <cell r="P457">
            <v>39900</v>
          </cell>
        </row>
        <row r="458">
          <cell r="B458" t="str">
            <v>TABLE 1, 1"</v>
          </cell>
          <cell r="P458">
            <v>0</v>
          </cell>
        </row>
        <row r="459">
          <cell r="A459">
            <v>11</v>
          </cell>
          <cell r="B459" t="str">
            <v xml:space="preserve">CONCRETE, 3000PSI </v>
          </cell>
          <cell r="C459">
            <v>3</v>
          </cell>
          <cell r="D459" t="str">
            <v>M3</v>
          </cell>
          <cell r="E459" t="str">
            <v>M+L</v>
          </cell>
          <cell r="F459" t="str">
            <v>M+L</v>
          </cell>
          <cell r="H459">
            <v>0</v>
          </cell>
          <cell r="J459">
            <v>0</v>
          </cell>
          <cell r="K459" t="str">
            <v>M+L</v>
          </cell>
          <cell r="L459" t="str">
            <v>M+L</v>
          </cell>
          <cell r="O459">
            <v>2300</v>
          </cell>
          <cell r="P459">
            <v>6900</v>
          </cell>
        </row>
        <row r="460">
          <cell r="A460">
            <v>12</v>
          </cell>
          <cell r="B460" t="str">
            <v>STEEL REINFORCING BAR, 3/8"</v>
          </cell>
          <cell r="C460">
            <v>610</v>
          </cell>
          <cell r="D460" t="str">
            <v>KG</v>
          </cell>
          <cell r="E460" t="str">
            <v>M+L</v>
          </cell>
          <cell r="F460" t="str">
            <v>M+L</v>
          </cell>
          <cell r="H460">
            <v>0</v>
          </cell>
          <cell r="J460">
            <v>0</v>
          </cell>
          <cell r="K460" t="str">
            <v>M+L</v>
          </cell>
          <cell r="L460" t="str">
            <v>M+L</v>
          </cell>
          <cell r="O460">
            <v>16</v>
          </cell>
          <cell r="P460">
            <v>9760</v>
          </cell>
        </row>
        <row r="461">
          <cell r="A461">
            <v>13</v>
          </cell>
          <cell r="B461" t="str">
            <v xml:space="preserve"> EXCAVATION</v>
          </cell>
          <cell r="C461">
            <v>152</v>
          </cell>
          <cell r="D461" t="str">
            <v>M3</v>
          </cell>
          <cell r="E461" t="str">
            <v>M+L</v>
          </cell>
          <cell r="F461" t="str">
            <v>M+L</v>
          </cell>
          <cell r="H461">
            <v>0</v>
          </cell>
          <cell r="J461">
            <v>0</v>
          </cell>
          <cell r="K461" t="str">
            <v>M+L</v>
          </cell>
          <cell r="L461" t="str">
            <v>M+L</v>
          </cell>
          <cell r="O461">
            <v>120</v>
          </cell>
          <cell r="P461">
            <v>18240</v>
          </cell>
        </row>
        <row r="462">
          <cell r="A462">
            <v>14</v>
          </cell>
          <cell r="B462" t="str">
            <v xml:space="preserve"> BACKFILL SAND</v>
          </cell>
          <cell r="C462">
            <v>50</v>
          </cell>
          <cell r="D462" t="str">
            <v>M3</v>
          </cell>
          <cell r="E462" t="str">
            <v>M+L</v>
          </cell>
          <cell r="F462" t="str">
            <v>M+L</v>
          </cell>
          <cell r="H462">
            <v>0</v>
          </cell>
          <cell r="J462">
            <v>0</v>
          </cell>
          <cell r="K462" t="str">
            <v>M+L</v>
          </cell>
          <cell r="L462" t="str">
            <v>M+L</v>
          </cell>
          <cell r="O462">
            <v>550</v>
          </cell>
          <cell r="P462">
            <v>27500</v>
          </cell>
        </row>
        <row r="463">
          <cell r="A463">
            <v>15</v>
          </cell>
          <cell r="B463" t="str">
            <v xml:space="preserve"> BACKFILL STONE</v>
          </cell>
          <cell r="C463">
            <v>31</v>
          </cell>
          <cell r="D463" t="str">
            <v>M3</v>
          </cell>
          <cell r="E463" t="str">
            <v>M+L</v>
          </cell>
          <cell r="F463" t="str">
            <v>M+L</v>
          </cell>
          <cell r="H463">
            <v>0</v>
          </cell>
          <cell r="J463">
            <v>0</v>
          </cell>
          <cell r="K463" t="str">
            <v>M+L</v>
          </cell>
          <cell r="L463" t="str">
            <v>M+L</v>
          </cell>
          <cell r="O463">
            <v>520</v>
          </cell>
          <cell r="P463">
            <v>16120</v>
          </cell>
        </row>
        <row r="464">
          <cell r="A464">
            <v>16</v>
          </cell>
          <cell r="B464" t="str">
            <v xml:space="preserve"> DISPOSAL</v>
          </cell>
          <cell r="C464">
            <v>80</v>
          </cell>
          <cell r="D464" t="str">
            <v>M3</v>
          </cell>
          <cell r="E464" t="str">
            <v>M+L</v>
          </cell>
          <cell r="F464" t="str">
            <v>M+L</v>
          </cell>
          <cell r="H464">
            <v>0</v>
          </cell>
          <cell r="J464">
            <v>0</v>
          </cell>
          <cell r="K464" t="str">
            <v>M+L</v>
          </cell>
          <cell r="L464" t="str">
            <v>M+L</v>
          </cell>
          <cell r="O464">
            <v>220</v>
          </cell>
          <cell r="P464">
            <v>17600</v>
          </cell>
        </row>
        <row r="465">
          <cell r="A465">
            <v>17</v>
          </cell>
          <cell r="B465" t="str">
            <v>熱縮絕緣套管理(含熱溶膠)</v>
          </cell>
          <cell r="C465">
            <v>9</v>
          </cell>
          <cell r="D465" t="str">
            <v>PCS</v>
          </cell>
          <cell r="E465">
            <v>500</v>
          </cell>
          <cell r="F465">
            <v>4500</v>
          </cell>
          <cell r="H465">
            <v>0</v>
          </cell>
          <cell r="I465">
            <v>2</v>
          </cell>
          <cell r="J465">
            <v>18</v>
          </cell>
          <cell r="K465">
            <v>500</v>
          </cell>
          <cell r="L465">
            <v>4500</v>
          </cell>
          <cell r="M465">
            <v>0</v>
          </cell>
          <cell r="N465">
            <v>0</v>
          </cell>
          <cell r="O465">
            <v>560</v>
          </cell>
          <cell r="P465">
            <v>5040</v>
          </cell>
        </row>
        <row r="466">
          <cell r="A466">
            <v>18</v>
          </cell>
          <cell r="B466" t="str">
            <v>自融型絕緣膠帶</v>
          </cell>
          <cell r="C466">
            <v>7</v>
          </cell>
          <cell r="D466" t="str">
            <v>ROLL</v>
          </cell>
          <cell r="E466">
            <v>300</v>
          </cell>
          <cell r="F466">
            <v>2100</v>
          </cell>
          <cell r="H466">
            <v>0</v>
          </cell>
          <cell r="I466">
            <v>1</v>
          </cell>
          <cell r="J466">
            <v>7</v>
          </cell>
          <cell r="K466">
            <v>300</v>
          </cell>
          <cell r="L466">
            <v>2100</v>
          </cell>
          <cell r="M466">
            <v>0</v>
          </cell>
          <cell r="N466">
            <v>0</v>
          </cell>
          <cell r="O466">
            <v>280</v>
          </cell>
          <cell r="P466">
            <v>1960</v>
          </cell>
        </row>
        <row r="467">
          <cell r="A467">
            <v>19</v>
          </cell>
          <cell r="B467" t="str">
            <v>熱融焊點PE包覆蓋</v>
          </cell>
          <cell r="C467">
            <v>8</v>
          </cell>
          <cell r="D467" t="str">
            <v>PCS</v>
          </cell>
          <cell r="E467">
            <v>350</v>
          </cell>
          <cell r="F467">
            <v>2800</v>
          </cell>
          <cell r="H467">
            <v>0</v>
          </cell>
          <cell r="I467">
            <v>1</v>
          </cell>
          <cell r="J467">
            <v>8</v>
          </cell>
          <cell r="K467">
            <v>350</v>
          </cell>
          <cell r="L467">
            <v>2800</v>
          </cell>
          <cell r="M467">
            <v>0</v>
          </cell>
          <cell r="N467">
            <v>0</v>
          </cell>
          <cell r="O467">
            <v>280</v>
          </cell>
          <cell r="P467">
            <v>2240</v>
          </cell>
        </row>
        <row r="468">
          <cell r="A468">
            <v>20</v>
          </cell>
          <cell r="B468" t="str">
            <v>MISCELLANEOUS INCLUDE 防蝕系統測試調整 &amp; 交通安全措施費</v>
          </cell>
          <cell r="C468">
            <v>1</v>
          </cell>
          <cell r="D468" t="str">
            <v>LOT</v>
          </cell>
          <cell r="E468">
            <v>67883.5</v>
          </cell>
          <cell r="F468">
            <v>67884</v>
          </cell>
          <cell r="H468">
            <v>0</v>
          </cell>
          <cell r="I468">
            <v>93.2</v>
          </cell>
          <cell r="J468">
            <v>93</v>
          </cell>
          <cell r="K468">
            <v>67884</v>
          </cell>
          <cell r="L468">
            <v>67884</v>
          </cell>
          <cell r="M468">
            <v>0</v>
          </cell>
          <cell r="N468">
            <v>0</v>
          </cell>
          <cell r="O468">
            <v>26096</v>
          </cell>
          <cell r="P468">
            <v>26096</v>
          </cell>
        </row>
        <row r="469">
          <cell r="B469" t="str">
            <v>SUB-TOTAL : (H)</v>
          </cell>
          <cell r="F469">
            <v>746719</v>
          </cell>
          <cell r="H469">
            <v>0</v>
          </cell>
          <cell r="J469">
            <v>1025</v>
          </cell>
          <cell r="K469">
            <v>0</v>
          </cell>
          <cell r="L469">
            <v>746719</v>
          </cell>
          <cell r="M469">
            <v>0</v>
          </cell>
          <cell r="N469">
            <v>0</v>
          </cell>
          <cell r="O469">
            <v>0</v>
          </cell>
          <cell r="P469">
            <v>383226</v>
          </cell>
        </row>
        <row r="470">
          <cell r="F470">
            <v>0</v>
          </cell>
          <cell r="H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</row>
        <row r="471">
          <cell r="F471">
            <v>0</v>
          </cell>
          <cell r="H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</row>
        <row r="472">
          <cell r="F472">
            <v>0</v>
          </cell>
          <cell r="H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</row>
        <row r="473">
          <cell r="A473" t="str">
            <v>I.</v>
          </cell>
          <cell r="B473" t="str">
            <v>APS SYSTEM</v>
          </cell>
          <cell r="F473">
            <v>0</v>
          </cell>
          <cell r="H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</row>
        <row r="474">
          <cell r="B474" t="str">
            <v>D&amp;F SYSTEM PANEL, INCLUDING</v>
          </cell>
          <cell r="F474">
            <v>0</v>
          </cell>
          <cell r="H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</row>
        <row r="475">
          <cell r="A475">
            <v>1</v>
          </cell>
          <cell r="B475" t="str">
            <v>PLC BASE PANEL, INDOOR IP20 ENCLOSURE, W/</v>
          </cell>
          <cell r="C475">
            <v>1</v>
          </cell>
          <cell r="D475" t="str">
            <v>SET</v>
          </cell>
          <cell r="E475">
            <v>1285400</v>
          </cell>
          <cell r="F475">
            <v>1285400</v>
          </cell>
          <cell r="H475">
            <v>0</v>
          </cell>
          <cell r="I475">
            <v>50</v>
          </cell>
          <cell r="J475">
            <v>50</v>
          </cell>
          <cell r="K475">
            <v>1285400</v>
          </cell>
          <cell r="L475">
            <v>1285400</v>
          </cell>
          <cell r="M475">
            <v>0</v>
          </cell>
          <cell r="N475">
            <v>0</v>
          </cell>
          <cell r="O475">
            <v>14000</v>
          </cell>
          <cell r="P475">
            <v>14000</v>
          </cell>
        </row>
        <row r="476">
          <cell r="B476" t="str">
            <v xml:space="preserve">POWER SUPPLY, DIx144, DOx100, </v>
          </cell>
          <cell r="F476">
            <v>0</v>
          </cell>
          <cell r="H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</row>
        <row r="477">
          <cell r="B477" t="str">
            <v>INTERPOSITION RELAY x50,  WIRING, AND TB.</v>
          </cell>
          <cell r="F477">
            <v>0</v>
          </cell>
          <cell r="H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</row>
        <row r="478">
          <cell r="B478" t="str">
            <v>SOFTWARE DESIGN PACKAGE</v>
          </cell>
          <cell r="F478">
            <v>0</v>
          </cell>
          <cell r="H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</row>
        <row r="479">
          <cell r="A479">
            <v>2</v>
          </cell>
          <cell r="B479" t="str">
            <v>OPERATION CONSOLE, INCLUDING</v>
          </cell>
          <cell r="C479">
            <v>1</v>
          </cell>
          <cell r="D479" t="str">
            <v>SET</v>
          </cell>
          <cell r="E479">
            <v>357000</v>
          </cell>
          <cell r="F479">
            <v>357000</v>
          </cell>
          <cell r="H479">
            <v>0</v>
          </cell>
          <cell r="I479">
            <v>20</v>
          </cell>
          <cell r="J479">
            <v>20</v>
          </cell>
          <cell r="K479">
            <v>357000</v>
          </cell>
          <cell r="L479">
            <v>357000</v>
          </cell>
          <cell r="M479">
            <v>0</v>
          </cell>
          <cell r="N479">
            <v>0</v>
          </cell>
          <cell r="O479">
            <v>5600</v>
          </cell>
          <cell r="P479">
            <v>5600</v>
          </cell>
        </row>
        <row r="480">
          <cell r="B480" t="str">
            <v>ANNUNCIATOR PANEL, W/ 50 WINDOWS</v>
          </cell>
          <cell r="F480">
            <v>0</v>
          </cell>
          <cell r="H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</row>
        <row r="481">
          <cell r="B481" t="str">
            <v xml:space="preserve">COMMAND BOARD, W/ 15 PB SWITCH(SW. W/LIGHT) </v>
          </cell>
          <cell r="F481">
            <v>0</v>
          </cell>
          <cell r="H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</row>
        <row r="482">
          <cell r="B482" t="str">
            <v>WIRING, AND TB.</v>
          </cell>
          <cell r="F482">
            <v>0</v>
          </cell>
          <cell r="H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</row>
        <row r="483">
          <cell r="A483">
            <v>3</v>
          </cell>
          <cell r="B483" t="str">
            <v>MIMIC PANEL, ENCLOSURE SIZE 2300Hx1400Wx600D</v>
          </cell>
          <cell r="C483">
            <v>1</v>
          </cell>
          <cell r="D483" t="str">
            <v>SET</v>
          </cell>
          <cell r="E483">
            <v>448000</v>
          </cell>
          <cell r="F483">
            <v>448000</v>
          </cell>
          <cell r="H483">
            <v>0</v>
          </cell>
          <cell r="I483">
            <v>20</v>
          </cell>
          <cell r="J483">
            <v>20</v>
          </cell>
          <cell r="K483">
            <v>448000</v>
          </cell>
          <cell r="L483">
            <v>448000</v>
          </cell>
          <cell r="M483">
            <v>0</v>
          </cell>
          <cell r="N483">
            <v>0</v>
          </cell>
          <cell r="O483">
            <v>5600</v>
          </cell>
          <cell r="P483">
            <v>5600</v>
          </cell>
        </row>
        <row r="484">
          <cell r="B484" t="str">
            <v>MOSAIC PANEL  SIZE 1200Hx1200W, W/</v>
          </cell>
          <cell r="F484">
            <v>0</v>
          </cell>
          <cell r="H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</row>
        <row r="485">
          <cell r="B485" t="str">
            <v>INDICATION LIGHT x60, POWER SUPPLY, WIRING, AND TB.</v>
          </cell>
          <cell r="F485">
            <v>0</v>
          </cell>
          <cell r="H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</row>
        <row r="486">
          <cell r="A486">
            <v>4</v>
          </cell>
          <cell r="B486" t="str">
            <v>RECEIVING PANEL, INDOOR IP20 ENCLOSURE, W/</v>
          </cell>
          <cell r="C486">
            <v>1</v>
          </cell>
          <cell r="D486" t="str">
            <v>SET</v>
          </cell>
          <cell r="E486">
            <v>1400000</v>
          </cell>
          <cell r="F486">
            <v>1400000</v>
          </cell>
          <cell r="H486">
            <v>0</v>
          </cell>
          <cell r="I486">
            <v>50</v>
          </cell>
          <cell r="J486">
            <v>50</v>
          </cell>
          <cell r="K486">
            <v>1400000</v>
          </cell>
          <cell r="L486">
            <v>1400000</v>
          </cell>
          <cell r="M486">
            <v>0</v>
          </cell>
          <cell r="N486">
            <v>0</v>
          </cell>
          <cell r="O486">
            <v>14000</v>
          </cell>
          <cell r="P486">
            <v>14000</v>
          </cell>
        </row>
        <row r="487">
          <cell r="B487" t="str">
            <v>UV/IR DETECTOR CONTROLLER, 4-CHANNEL x1</v>
          </cell>
          <cell r="F487">
            <v>0</v>
          </cell>
          <cell r="H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</row>
        <row r="488">
          <cell r="B488" t="str">
            <v>GAS DETECTOR CONTROLLER, 8-CHANNEL x8</v>
          </cell>
          <cell r="F488">
            <v>0</v>
          </cell>
          <cell r="H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</row>
        <row r="489">
          <cell r="B489" t="str">
            <v>LOW TEMP. DETECTOR CONTROLLER, 4-CHANNEL x7</v>
          </cell>
          <cell r="F489">
            <v>0</v>
          </cell>
          <cell r="H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</row>
        <row r="490">
          <cell r="B490" t="str">
            <v>POWER SUPPLY, WIRING, AND TB.</v>
          </cell>
          <cell r="F490">
            <v>0</v>
          </cell>
          <cell r="H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</row>
        <row r="491">
          <cell r="A491">
            <v>5</v>
          </cell>
          <cell r="B491" t="str">
            <v>MANUAL STATION, 110VAC, CL.1 DIV.2, NEMA-4X</v>
          </cell>
          <cell r="C491">
            <v>16</v>
          </cell>
          <cell r="D491" t="str">
            <v>SET</v>
          </cell>
          <cell r="E491">
            <v>30000</v>
          </cell>
          <cell r="F491">
            <v>480000</v>
          </cell>
          <cell r="H491">
            <v>0</v>
          </cell>
          <cell r="I491">
            <v>5</v>
          </cell>
          <cell r="J491">
            <v>80</v>
          </cell>
          <cell r="K491">
            <v>30000</v>
          </cell>
          <cell r="L491">
            <v>480000</v>
          </cell>
          <cell r="M491">
            <v>0</v>
          </cell>
          <cell r="N491">
            <v>0</v>
          </cell>
          <cell r="O491">
            <v>1400</v>
          </cell>
          <cell r="P491">
            <v>22400</v>
          </cell>
        </row>
        <row r="492">
          <cell r="A492">
            <v>6</v>
          </cell>
          <cell r="B492" t="str">
            <v>SIREN(SPEAKER),, 110VAC, CL.1 DIV.2, NEMA-4X</v>
          </cell>
          <cell r="C492">
            <v>16</v>
          </cell>
          <cell r="D492" t="str">
            <v>SET</v>
          </cell>
          <cell r="E492">
            <v>40000</v>
          </cell>
          <cell r="F492">
            <v>640000</v>
          </cell>
          <cell r="H492">
            <v>0</v>
          </cell>
          <cell r="I492">
            <v>5</v>
          </cell>
          <cell r="J492">
            <v>80</v>
          </cell>
          <cell r="K492">
            <v>40000</v>
          </cell>
          <cell r="L492">
            <v>640000</v>
          </cell>
          <cell r="M492">
            <v>0</v>
          </cell>
          <cell r="N492">
            <v>0</v>
          </cell>
          <cell r="O492">
            <v>1400</v>
          </cell>
          <cell r="P492">
            <v>22400</v>
          </cell>
        </row>
        <row r="493">
          <cell r="A493">
            <v>7</v>
          </cell>
          <cell r="B493" t="str">
            <v>VISUAL ALARM BECON, , 110VAC, CL.1 DIV.2, NEMA-4X</v>
          </cell>
          <cell r="C493">
            <v>16</v>
          </cell>
          <cell r="D493" t="str">
            <v>SET</v>
          </cell>
          <cell r="E493">
            <v>37000</v>
          </cell>
          <cell r="F493">
            <v>592000</v>
          </cell>
          <cell r="H493">
            <v>0</v>
          </cell>
          <cell r="I493">
            <v>5</v>
          </cell>
          <cell r="J493">
            <v>80</v>
          </cell>
          <cell r="K493">
            <v>37000</v>
          </cell>
          <cell r="L493">
            <v>592000</v>
          </cell>
          <cell r="M493">
            <v>0</v>
          </cell>
          <cell r="N493">
            <v>0</v>
          </cell>
          <cell r="O493">
            <v>1400</v>
          </cell>
          <cell r="P493">
            <v>22400</v>
          </cell>
        </row>
        <row r="494">
          <cell r="A494">
            <v>8</v>
          </cell>
          <cell r="B494" t="str">
            <v>UV/IR FLAME DETECTOR, CL.1 DIV.2, NEMA-4X</v>
          </cell>
          <cell r="C494">
            <v>4</v>
          </cell>
          <cell r="D494" t="str">
            <v>SET</v>
          </cell>
          <cell r="E494">
            <v>67000</v>
          </cell>
          <cell r="F494">
            <v>268000</v>
          </cell>
          <cell r="H494">
            <v>0</v>
          </cell>
          <cell r="I494">
            <v>8</v>
          </cell>
          <cell r="J494">
            <v>32</v>
          </cell>
          <cell r="K494">
            <v>67000</v>
          </cell>
          <cell r="L494">
            <v>268000</v>
          </cell>
          <cell r="M494">
            <v>0</v>
          </cell>
          <cell r="N494">
            <v>0</v>
          </cell>
          <cell r="O494">
            <v>2240</v>
          </cell>
          <cell r="P494">
            <v>8960</v>
          </cell>
        </row>
        <row r="495">
          <cell r="A495">
            <v>9</v>
          </cell>
          <cell r="B495" t="str">
            <v>LOW TEMPERATURE DETECTOR, 50FT LG., NEMA-4X</v>
          </cell>
          <cell r="C495">
            <v>4</v>
          </cell>
          <cell r="D495" t="str">
            <v>SET</v>
          </cell>
          <cell r="E495">
            <v>288000</v>
          </cell>
          <cell r="F495">
            <v>1152000</v>
          </cell>
          <cell r="H495">
            <v>0</v>
          </cell>
          <cell r="I495">
            <v>10</v>
          </cell>
          <cell r="J495">
            <v>40</v>
          </cell>
          <cell r="K495">
            <v>288000</v>
          </cell>
          <cell r="L495">
            <v>1152000</v>
          </cell>
          <cell r="M495">
            <v>0</v>
          </cell>
          <cell r="N495">
            <v>0</v>
          </cell>
          <cell r="O495">
            <v>2800</v>
          </cell>
          <cell r="P495">
            <v>11200</v>
          </cell>
        </row>
        <row r="496">
          <cell r="A496">
            <v>10</v>
          </cell>
          <cell r="B496" t="str">
            <v>COMBUSTIBLE GAS DETECTOR,  CATALYTIC TYPE</v>
          </cell>
          <cell r="C496">
            <v>60</v>
          </cell>
          <cell r="D496" t="str">
            <v>EST</v>
          </cell>
          <cell r="E496">
            <v>50000</v>
          </cell>
          <cell r="F496">
            <v>3000000</v>
          </cell>
          <cell r="H496">
            <v>0</v>
          </cell>
          <cell r="I496">
            <v>5</v>
          </cell>
          <cell r="J496">
            <v>300</v>
          </cell>
          <cell r="K496">
            <v>50000</v>
          </cell>
          <cell r="L496">
            <v>3000000</v>
          </cell>
          <cell r="M496">
            <v>0</v>
          </cell>
          <cell r="N496">
            <v>0</v>
          </cell>
          <cell r="O496">
            <v>1400</v>
          </cell>
          <cell r="P496">
            <v>84000</v>
          </cell>
        </row>
        <row r="497">
          <cell r="B497" t="str">
            <v>CL.1, DIV.2, W/ WEATHER HOUSING, FILTER, NEMA-4X</v>
          </cell>
          <cell r="F497">
            <v>0</v>
          </cell>
          <cell r="H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</row>
        <row r="498">
          <cell r="A498">
            <v>11</v>
          </cell>
          <cell r="B498" t="str">
            <v>GAS DETECTOR TEST KIT FOR 60 DETECTORS &amp; GRAPHIC PANEL</v>
          </cell>
          <cell r="C498">
            <v>1</v>
          </cell>
          <cell r="D498" t="str">
            <v>SET</v>
          </cell>
          <cell r="E498">
            <v>350000</v>
          </cell>
          <cell r="F498">
            <v>350000</v>
          </cell>
          <cell r="H498">
            <v>0</v>
          </cell>
          <cell r="I498">
            <v>10</v>
          </cell>
          <cell r="J498">
            <v>10</v>
          </cell>
          <cell r="K498">
            <v>350000</v>
          </cell>
          <cell r="L498">
            <v>350000</v>
          </cell>
          <cell r="M498">
            <v>0</v>
          </cell>
          <cell r="N498">
            <v>0</v>
          </cell>
          <cell r="O498">
            <v>2800</v>
          </cell>
          <cell r="P498">
            <v>2800</v>
          </cell>
        </row>
        <row r="499">
          <cell r="A499">
            <v>12</v>
          </cell>
          <cell r="B499" t="str">
            <v>R.S.G. CONDUIT/W COUPLING 1"</v>
          </cell>
          <cell r="C499">
            <v>1600</v>
          </cell>
          <cell r="D499" t="str">
            <v>M</v>
          </cell>
          <cell r="E499">
            <v>49</v>
          </cell>
          <cell r="F499">
            <v>78400</v>
          </cell>
          <cell r="H499">
            <v>0</v>
          </cell>
          <cell r="I499">
            <v>0.54</v>
          </cell>
          <cell r="J499">
            <v>864</v>
          </cell>
          <cell r="K499">
            <v>49</v>
          </cell>
          <cell r="L499">
            <v>78400</v>
          </cell>
          <cell r="M499">
            <v>0</v>
          </cell>
          <cell r="N499">
            <v>0</v>
          </cell>
          <cell r="O499">
            <v>151</v>
          </cell>
          <cell r="P499">
            <v>241600</v>
          </cell>
        </row>
        <row r="500">
          <cell r="A500">
            <v>13</v>
          </cell>
          <cell r="B500" t="str">
            <v>R.S.G. CONDUIT/W COUPLING 2"</v>
          </cell>
          <cell r="C500">
            <v>2300</v>
          </cell>
          <cell r="D500" t="str">
            <v>M</v>
          </cell>
          <cell r="E500">
            <v>105</v>
          </cell>
          <cell r="F500">
            <v>241500</v>
          </cell>
          <cell r="H500">
            <v>0</v>
          </cell>
          <cell r="I500">
            <v>0.98</v>
          </cell>
          <cell r="J500">
            <v>2254</v>
          </cell>
          <cell r="K500">
            <v>105</v>
          </cell>
          <cell r="L500">
            <v>241500</v>
          </cell>
          <cell r="M500">
            <v>0</v>
          </cell>
          <cell r="N500">
            <v>0</v>
          </cell>
          <cell r="O500">
            <v>274</v>
          </cell>
          <cell r="P500">
            <v>630200</v>
          </cell>
        </row>
        <row r="501">
          <cell r="A501">
            <v>14</v>
          </cell>
          <cell r="B501" t="str">
            <v>FITTING FOR R.S.G. CONDUIT</v>
          </cell>
          <cell r="C501">
            <v>1</v>
          </cell>
          <cell r="D501" t="str">
            <v>LOT</v>
          </cell>
          <cell r="E501">
            <v>639800</v>
          </cell>
          <cell r="F501">
            <v>639800</v>
          </cell>
          <cell r="H501">
            <v>0</v>
          </cell>
          <cell r="I501">
            <v>935.4</v>
          </cell>
          <cell r="J501">
            <v>935</v>
          </cell>
          <cell r="K501">
            <v>639800</v>
          </cell>
          <cell r="L501">
            <v>639800</v>
          </cell>
          <cell r="M501">
            <v>0</v>
          </cell>
          <cell r="N501">
            <v>0</v>
          </cell>
          <cell r="O501">
            <v>261912</v>
          </cell>
          <cell r="P501">
            <v>261912</v>
          </cell>
        </row>
        <row r="502">
          <cell r="A502">
            <v>15</v>
          </cell>
          <cell r="B502" t="str">
            <v>600V控制電纜,銅導体,PVC絕緣,麥拉遮蔽(OVERALL),</v>
          </cell>
          <cell r="C502">
            <v>650</v>
          </cell>
          <cell r="D502" t="str">
            <v>M</v>
          </cell>
          <cell r="E502">
            <v>37</v>
          </cell>
          <cell r="F502">
            <v>24050</v>
          </cell>
          <cell r="H502">
            <v>0</v>
          </cell>
          <cell r="I502">
            <v>0.11700000000000001</v>
          </cell>
          <cell r="J502">
            <v>76</v>
          </cell>
          <cell r="K502">
            <v>37</v>
          </cell>
          <cell r="L502">
            <v>24050</v>
          </cell>
          <cell r="M502">
            <v>0</v>
          </cell>
          <cell r="N502">
            <v>0</v>
          </cell>
          <cell r="O502">
            <v>33</v>
          </cell>
          <cell r="P502">
            <v>21450</v>
          </cell>
        </row>
        <row r="503">
          <cell r="B503" t="str">
            <v>PVC黑色被覆 7C-2SQ.MM</v>
          </cell>
          <cell r="F503">
            <v>0</v>
          </cell>
          <cell r="H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</row>
        <row r="504">
          <cell r="A504">
            <v>16</v>
          </cell>
          <cell r="B504" t="str">
            <v>600V控制電纜,銅導体,PVC絕緣,麥拉遮蔽(OVERALL),</v>
          </cell>
          <cell r="C504">
            <v>1500</v>
          </cell>
          <cell r="D504" t="str">
            <v>M</v>
          </cell>
          <cell r="E504">
            <v>41</v>
          </cell>
          <cell r="F504">
            <v>61500</v>
          </cell>
          <cell r="H504">
            <v>0</v>
          </cell>
          <cell r="I504">
            <v>0.13300000000000001</v>
          </cell>
          <cell r="J504">
            <v>200</v>
          </cell>
          <cell r="K504">
            <v>41</v>
          </cell>
          <cell r="L504">
            <v>61500</v>
          </cell>
          <cell r="M504">
            <v>0</v>
          </cell>
          <cell r="N504">
            <v>0</v>
          </cell>
          <cell r="O504">
            <v>37</v>
          </cell>
          <cell r="P504">
            <v>55500</v>
          </cell>
        </row>
        <row r="505">
          <cell r="B505" t="str">
            <v>PVC黑色被覆 9C-2SQ.MM</v>
          </cell>
          <cell r="F505">
            <v>0</v>
          </cell>
          <cell r="H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</row>
        <row r="506">
          <cell r="A506">
            <v>17</v>
          </cell>
          <cell r="B506" t="str">
            <v>600V控制電纜,銅導体,PVC絕緣,麥拉遮蔽(OVERALL),</v>
          </cell>
          <cell r="C506">
            <v>2600</v>
          </cell>
          <cell r="D506" t="str">
            <v>M</v>
          </cell>
          <cell r="E506">
            <v>53</v>
          </cell>
          <cell r="F506">
            <v>137800</v>
          </cell>
          <cell r="H506">
            <v>0</v>
          </cell>
          <cell r="I506">
            <v>0.153</v>
          </cell>
          <cell r="J506">
            <v>398</v>
          </cell>
          <cell r="K506">
            <v>53</v>
          </cell>
          <cell r="L506">
            <v>137800</v>
          </cell>
          <cell r="M506">
            <v>0</v>
          </cell>
          <cell r="N506">
            <v>0</v>
          </cell>
          <cell r="O506">
            <v>43</v>
          </cell>
          <cell r="P506">
            <v>111800</v>
          </cell>
        </row>
        <row r="507">
          <cell r="B507" t="str">
            <v>PVC黑色被覆 12C-2SQ.MM</v>
          </cell>
          <cell r="F507">
            <v>0</v>
          </cell>
          <cell r="H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</row>
        <row r="508">
          <cell r="A508">
            <v>18</v>
          </cell>
          <cell r="B508" t="str">
            <v>600V控制電纜,銅導体,PVC絕緣,麥拉遮蔽(OVERALL),</v>
          </cell>
          <cell r="C508">
            <v>10000</v>
          </cell>
          <cell r="D508" t="str">
            <v>M</v>
          </cell>
          <cell r="E508">
            <v>44</v>
          </cell>
          <cell r="F508">
            <v>440000</v>
          </cell>
          <cell r="H508">
            <v>0</v>
          </cell>
          <cell r="I508">
            <v>0.13500000000000001</v>
          </cell>
          <cell r="J508">
            <v>1350</v>
          </cell>
          <cell r="K508">
            <v>44</v>
          </cell>
          <cell r="L508">
            <v>440000</v>
          </cell>
          <cell r="M508">
            <v>0</v>
          </cell>
          <cell r="N508">
            <v>0</v>
          </cell>
          <cell r="O508">
            <v>38</v>
          </cell>
          <cell r="P508">
            <v>380000</v>
          </cell>
        </row>
        <row r="509">
          <cell r="B509" t="str">
            <v>PVC黑色被覆 7C-3.5SQ.MM</v>
          </cell>
          <cell r="F509">
            <v>0</v>
          </cell>
          <cell r="H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</row>
        <row r="510">
          <cell r="A510">
            <v>19</v>
          </cell>
          <cell r="B510" t="str">
            <v>600V控制電纜,銅導体,PVC絕緣,麥拉遮蔽(OVERALL),</v>
          </cell>
          <cell r="C510">
            <v>3000</v>
          </cell>
          <cell r="D510" t="str">
            <v>M</v>
          </cell>
          <cell r="E510">
            <v>76</v>
          </cell>
          <cell r="F510">
            <v>228000</v>
          </cell>
          <cell r="H510">
            <v>0</v>
          </cell>
          <cell r="I510">
            <v>0.193</v>
          </cell>
          <cell r="J510">
            <v>579</v>
          </cell>
          <cell r="K510">
            <v>76</v>
          </cell>
          <cell r="L510">
            <v>228000</v>
          </cell>
          <cell r="M510">
            <v>0</v>
          </cell>
          <cell r="N510">
            <v>0</v>
          </cell>
          <cell r="O510">
            <v>54</v>
          </cell>
          <cell r="P510">
            <v>162000</v>
          </cell>
        </row>
        <row r="511">
          <cell r="B511" t="str">
            <v>PVC黑色被覆 19C-2SQ.MM</v>
          </cell>
          <cell r="F511">
            <v>0</v>
          </cell>
          <cell r="H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</row>
        <row r="512">
          <cell r="A512">
            <v>20</v>
          </cell>
          <cell r="B512" t="str">
            <v>600V控制電纜,銅導体,PVC絕緣,麥拉遮蔽(OVERALL),</v>
          </cell>
          <cell r="C512">
            <v>14000</v>
          </cell>
          <cell r="D512" t="str">
            <v>M</v>
          </cell>
          <cell r="E512">
            <v>119</v>
          </cell>
          <cell r="F512">
            <v>1666000</v>
          </cell>
          <cell r="H512">
            <v>0</v>
          </cell>
          <cell r="I512">
            <v>0.23599999999999999</v>
          </cell>
          <cell r="J512">
            <v>3304</v>
          </cell>
          <cell r="K512">
            <v>119</v>
          </cell>
          <cell r="L512">
            <v>1666000</v>
          </cell>
          <cell r="M512">
            <v>0</v>
          </cell>
          <cell r="N512">
            <v>0</v>
          </cell>
          <cell r="O512">
            <v>66</v>
          </cell>
          <cell r="P512">
            <v>924000</v>
          </cell>
        </row>
        <row r="513">
          <cell r="B513" t="str">
            <v>PVC黑色被覆 30C-2SQ.MM</v>
          </cell>
          <cell r="F513">
            <v>0</v>
          </cell>
          <cell r="H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</row>
        <row r="514">
          <cell r="A514">
            <v>21</v>
          </cell>
          <cell r="B514" t="str">
            <v>300V信號電纜,PVC絕緣,麥拉遮蔽(OVERALL &amp; INDIVID)PVC</v>
          </cell>
          <cell r="C514">
            <v>12000</v>
          </cell>
          <cell r="D514" t="str">
            <v>M</v>
          </cell>
          <cell r="E514">
            <v>17</v>
          </cell>
          <cell r="F514">
            <v>204000</v>
          </cell>
          <cell r="H514">
            <v>0</v>
          </cell>
          <cell r="I514">
            <v>6.4000000000000001E-2</v>
          </cell>
          <cell r="J514">
            <v>768</v>
          </cell>
          <cell r="K514">
            <v>17</v>
          </cell>
          <cell r="L514">
            <v>204000</v>
          </cell>
          <cell r="M514">
            <v>0</v>
          </cell>
          <cell r="N514">
            <v>0</v>
          </cell>
          <cell r="O514">
            <v>18</v>
          </cell>
          <cell r="P514">
            <v>216000</v>
          </cell>
        </row>
        <row r="515">
          <cell r="B515" t="str">
            <v>黑色被覆  1TxAWG#16</v>
          </cell>
          <cell r="F515">
            <v>0</v>
          </cell>
          <cell r="H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</row>
        <row r="516">
          <cell r="A516">
            <v>22</v>
          </cell>
          <cell r="B516" t="str">
            <v>300V信號電纜,PVC絕緣,麥拉遮蔽(OVERALL &amp; INDIVID)PVC</v>
          </cell>
          <cell r="C516">
            <v>3500</v>
          </cell>
          <cell r="D516" t="str">
            <v>M</v>
          </cell>
          <cell r="E516">
            <v>227</v>
          </cell>
          <cell r="F516">
            <v>794500</v>
          </cell>
          <cell r="H516">
            <v>0</v>
          </cell>
          <cell r="I516">
            <v>0.25</v>
          </cell>
          <cell r="J516">
            <v>875</v>
          </cell>
          <cell r="K516">
            <v>227</v>
          </cell>
          <cell r="L516">
            <v>794500</v>
          </cell>
          <cell r="M516">
            <v>0</v>
          </cell>
          <cell r="N516">
            <v>0</v>
          </cell>
          <cell r="O516">
            <v>70</v>
          </cell>
          <cell r="P516">
            <v>245000</v>
          </cell>
        </row>
        <row r="517">
          <cell r="B517" t="str">
            <v>黑色被覆  12TxAWG#14</v>
          </cell>
          <cell r="F517">
            <v>0</v>
          </cell>
          <cell r="H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</row>
        <row r="518">
          <cell r="A518">
            <v>23</v>
          </cell>
          <cell r="B518" t="str">
            <v>300V信號電纜,PVC絕緣,麥拉遮蔽(OVERALL &amp; INDIVID)PVC</v>
          </cell>
          <cell r="C518">
            <v>350</v>
          </cell>
          <cell r="D518" t="str">
            <v>M</v>
          </cell>
          <cell r="E518">
            <v>471</v>
          </cell>
          <cell r="F518">
            <v>164850</v>
          </cell>
          <cell r="H518">
            <v>0</v>
          </cell>
          <cell r="I518">
            <v>0.4</v>
          </cell>
          <cell r="J518">
            <v>140</v>
          </cell>
          <cell r="K518">
            <v>471</v>
          </cell>
          <cell r="L518">
            <v>164850</v>
          </cell>
          <cell r="M518">
            <v>0</v>
          </cell>
          <cell r="N518">
            <v>0</v>
          </cell>
          <cell r="O518">
            <v>112</v>
          </cell>
          <cell r="P518">
            <v>39200</v>
          </cell>
        </row>
        <row r="519">
          <cell r="B519" t="str">
            <v>黑色被覆 24TxAWG#14</v>
          </cell>
          <cell r="F519">
            <v>0</v>
          </cell>
          <cell r="H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</row>
        <row r="520">
          <cell r="A520">
            <v>24</v>
          </cell>
          <cell r="B520" t="str">
            <v>HOT DIPPED GALV, STEEL CHANNEL 100X50X5X7.5</v>
          </cell>
          <cell r="C520">
            <v>50</v>
          </cell>
          <cell r="D520" t="str">
            <v>M</v>
          </cell>
          <cell r="E520">
            <v>200</v>
          </cell>
          <cell r="F520">
            <v>10000</v>
          </cell>
          <cell r="H520">
            <v>0</v>
          </cell>
          <cell r="I520">
            <v>1.5</v>
          </cell>
          <cell r="J520">
            <v>75</v>
          </cell>
          <cell r="K520">
            <v>200</v>
          </cell>
          <cell r="L520">
            <v>10000</v>
          </cell>
          <cell r="M520">
            <v>0</v>
          </cell>
          <cell r="N520">
            <v>0</v>
          </cell>
          <cell r="O520">
            <v>420</v>
          </cell>
          <cell r="P520">
            <v>21000</v>
          </cell>
        </row>
        <row r="521">
          <cell r="A521">
            <v>25</v>
          </cell>
          <cell r="B521" t="str">
            <v>HOT DIPPED GALV, U- CHANNEL 41X41</v>
          </cell>
          <cell r="C521">
            <v>335</v>
          </cell>
          <cell r="D521" t="str">
            <v>M</v>
          </cell>
          <cell r="E521">
            <v>82</v>
          </cell>
          <cell r="F521">
            <v>27470</v>
          </cell>
          <cell r="H521">
            <v>0</v>
          </cell>
          <cell r="I521">
            <v>0.40699999999999997</v>
          </cell>
          <cell r="J521">
            <v>136</v>
          </cell>
          <cell r="K521">
            <v>82</v>
          </cell>
          <cell r="L521">
            <v>27470</v>
          </cell>
          <cell r="M521">
            <v>0</v>
          </cell>
          <cell r="N521">
            <v>0</v>
          </cell>
          <cell r="O521">
            <v>114</v>
          </cell>
          <cell r="P521">
            <v>38190</v>
          </cell>
        </row>
        <row r="522">
          <cell r="A522">
            <v>26</v>
          </cell>
          <cell r="B522" t="str">
            <v>FLEXIBLE CONDUIT 1"</v>
          </cell>
          <cell r="C522">
            <v>40</v>
          </cell>
          <cell r="D522" t="str">
            <v>M</v>
          </cell>
          <cell r="E522">
            <v>252</v>
          </cell>
          <cell r="F522">
            <v>10080</v>
          </cell>
          <cell r="H522">
            <v>0</v>
          </cell>
          <cell r="I522">
            <v>0.64</v>
          </cell>
          <cell r="J522">
            <v>26</v>
          </cell>
          <cell r="K522">
            <v>252</v>
          </cell>
          <cell r="L522">
            <v>10080</v>
          </cell>
          <cell r="M522">
            <v>0</v>
          </cell>
          <cell r="N522">
            <v>0</v>
          </cell>
          <cell r="O522">
            <v>179</v>
          </cell>
          <cell r="P522">
            <v>7160</v>
          </cell>
        </row>
        <row r="523">
          <cell r="A523">
            <v>27</v>
          </cell>
          <cell r="B523" t="str">
            <v>HOT DIPPED GALV. STEEL PLATE 1829X6401X3t</v>
          </cell>
          <cell r="C523">
            <v>2</v>
          </cell>
          <cell r="D523" t="str">
            <v>PCS</v>
          </cell>
          <cell r="E523">
            <v>1000</v>
          </cell>
          <cell r="F523">
            <v>2000</v>
          </cell>
          <cell r="H523">
            <v>0</v>
          </cell>
          <cell r="I523">
            <v>10</v>
          </cell>
          <cell r="J523">
            <v>20</v>
          </cell>
          <cell r="K523">
            <v>1000</v>
          </cell>
          <cell r="L523">
            <v>2000</v>
          </cell>
          <cell r="M523">
            <v>0</v>
          </cell>
          <cell r="N523">
            <v>0</v>
          </cell>
          <cell r="O523">
            <v>2800</v>
          </cell>
          <cell r="P523">
            <v>5600</v>
          </cell>
        </row>
        <row r="524">
          <cell r="A524">
            <v>28</v>
          </cell>
          <cell r="B524" t="str">
            <v>1/4圓(半徑30公分)低溫偵測器之補償器遮蔽板SS316製</v>
          </cell>
          <cell r="C524">
            <v>4</v>
          </cell>
          <cell r="D524" t="str">
            <v>PCS</v>
          </cell>
          <cell r="E524">
            <v>3000</v>
          </cell>
          <cell r="F524">
            <v>12000</v>
          </cell>
          <cell r="H524">
            <v>0</v>
          </cell>
          <cell r="I524">
            <v>4</v>
          </cell>
          <cell r="J524">
            <v>16</v>
          </cell>
          <cell r="K524">
            <v>3000</v>
          </cell>
          <cell r="L524">
            <v>12000</v>
          </cell>
          <cell r="M524">
            <v>0</v>
          </cell>
          <cell r="N524">
            <v>0</v>
          </cell>
          <cell r="O524">
            <v>1120</v>
          </cell>
          <cell r="P524">
            <v>4480</v>
          </cell>
        </row>
        <row r="525">
          <cell r="A525">
            <v>29</v>
          </cell>
          <cell r="B525" t="str">
            <v>接線箱,附端子板20P,FRP外殼,屋外防水型</v>
          </cell>
          <cell r="C525">
            <v>5</v>
          </cell>
          <cell r="D525" t="str">
            <v>SET</v>
          </cell>
          <cell r="E525">
            <v>3500</v>
          </cell>
          <cell r="F525">
            <v>17500</v>
          </cell>
          <cell r="H525">
            <v>0</v>
          </cell>
          <cell r="I525">
            <v>4</v>
          </cell>
          <cell r="J525">
            <v>20</v>
          </cell>
          <cell r="K525">
            <v>3500</v>
          </cell>
          <cell r="L525">
            <v>17500</v>
          </cell>
          <cell r="M525">
            <v>0</v>
          </cell>
          <cell r="N525">
            <v>0</v>
          </cell>
          <cell r="O525">
            <v>1120</v>
          </cell>
          <cell r="P525">
            <v>5600</v>
          </cell>
        </row>
        <row r="526">
          <cell r="A526">
            <v>30</v>
          </cell>
          <cell r="B526" t="str">
            <v>接線箱,附端子板50P,FRP外殼,屋外防水型</v>
          </cell>
          <cell r="C526">
            <v>4</v>
          </cell>
          <cell r="D526" t="str">
            <v>SET</v>
          </cell>
          <cell r="E526">
            <v>5500</v>
          </cell>
          <cell r="F526">
            <v>22000</v>
          </cell>
          <cell r="H526">
            <v>0</v>
          </cell>
          <cell r="I526">
            <v>8</v>
          </cell>
          <cell r="J526">
            <v>32</v>
          </cell>
          <cell r="K526">
            <v>5500</v>
          </cell>
          <cell r="L526">
            <v>22000</v>
          </cell>
          <cell r="M526">
            <v>0</v>
          </cell>
          <cell r="N526">
            <v>0</v>
          </cell>
          <cell r="O526">
            <v>2240</v>
          </cell>
          <cell r="P526">
            <v>8960</v>
          </cell>
        </row>
        <row r="527">
          <cell r="A527">
            <v>31</v>
          </cell>
          <cell r="B527" t="str">
            <v>接線箱,附端子板100P,FRP外殼,屋外防水型</v>
          </cell>
          <cell r="C527">
            <v>1</v>
          </cell>
          <cell r="D527" t="str">
            <v>SET</v>
          </cell>
          <cell r="E527">
            <v>9000</v>
          </cell>
          <cell r="F527">
            <v>9000</v>
          </cell>
          <cell r="H527">
            <v>0</v>
          </cell>
          <cell r="I527">
            <v>12</v>
          </cell>
          <cell r="J527">
            <v>12</v>
          </cell>
          <cell r="K527">
            <v>9000</v>
          </cell>
          <cell r="L527">
            <v>9000</v>
          </cell>
          <cell r="M527">
            <v>0</v>
          </cell>
          <cell r="N527">
            <v>0</v>
          </cell>
          <cell r="O527">
            <v>3360</v>
          </cell>
          <cell r="P527">
            <v>3360</v>
          </cell>
        </row>
        <row r="528">
          <cell r="A528">
            <v>32</v>
          </cell>
          <cell r="B528" t="str">
            <v>HOT DIPPED GALV, STEEL CHANNEL 100X50X5X7.5X2.4高</v>
          </cell>
          <cell r="C528">
            <v>26</v>
          </cell>
          <cell r="D528" t="str">
            <v>SET</v>
          </cell>
          <cell r="E528">
            <v>2400</v>
          </cell>
          <cell r="F528">
            <v>62400</v>
          </cell>
          <cell r="H528">
            <v>0</v>
          </cell>
          <cell r="I528">
            <v>3</v>
          </cell>
          <cell r="J528">
            <v>78</v>
          </cell>
          <cell r="K528">
            <v>2400</v>
          </cell>
          <cell r="L528">
            <v>62400</v>
          </cell>
          <cell r="M528">
            <v>0</v>
          </cell>
          <cell r="N528">
            <v>0</v>
          </cell>
          <cell r="O528">
            <v>840</v>
          </cell>
          <cell r="P528">
            <v>21840</v>
          </cell>
        </row>
        <row r="529">
          <cell r="B529" t="str">
            <v>附基礎</v>
          </cell>
          <cell r="F529">
            <v>0</v>
          </cell>
          <cell r="H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</row>
        <row r="530">
          <cell r="A530">
            <v>33</v>
          </cell>
          <cell r="B530" t="str">
            <v>DITTO, BUT STEEL CHANNEL 為3.6M高</v>
          </cell>
          <cell r="C530">
            <v>13</v>
          </cell>
          <cell r="D530" t="str">
            <v>SET</v>
          </cell>
          <cell r="E530">
            <v>3600</v>
          </cell>
          <cell r="F530">
            <v>46800</v>
          </cell>
          <cell r="H530">
            <v>0</v>
          </cell>
          <cell r="I530">
            <v>4</v>
          </cell>
          <cell r="J530">
            <v>52</v>
          </cell>
          <cell r="K530">
            <v>3600</v>
          </cell>
          <cell r="L530">
            <v>46800</v>
          </cell>
          <cell r="M530">
            <v>0</v>
          </cell>
          <cell r="N530">
            <v>0</v>
          </cell>
          <cell r="O530">
            <v>1120</v>
          </cell>
          <cell r="P530">
            <v>14560</v>
          </cell>
        </row>
        <row r="531">
          <cell r="A531">
            <v>34</v>
          </cell>
          <cell r="B531" t="str">
            <v>DITTO, BUT STEEL CHANNEL 為1.95M高</v>
          </cell>
          <cell r="C531">
            <v>3</v>
          </cell>
          <cell r="D531" t="str">
            <v>SET</v>
          </cell>
          <cell r="E531">
            <v>2000</v>
          </cell>
          <cell r="F531">
            <v>6000</v>
          </cell>
          <cell r="H531">
            <v>0</v>
          </cell>
          <cell r="I531">
            <v>3</v>
          </cell>
          <cell r="J531">
            <v>9</v>
          </cell>
          <cell r="K531">
            <v>2000</v>
          </cell>
          <cell r="L531">
            <v>6000</v>
          </cell>
          <cell r="M531">
            <v>0</v>
          </cell>
          <cell r="N531">
            <v>0</v>
          </cell>
          <cell r="O531">
            <v>840</v>
          </cell>
          <cell r="P531">
            <v>2520</v>
          </cell>
        </row>
        <row r="532">
          <cell r="A532">
            <v>35</v>
          </cell>
          <cell r="B532" t="str">
            <v xml:space="preserve">MISCELLANEOUS </v>
          </cell>
          <cell r="C532">
            <v>1</v>
          </cell>
          <cell r="D532" t="str">
            <v>LOT</v>
          </cell>
          <cell r="E532">
            <v>743902.5</v>
          </cell>
          <cell r="F532">
            <v>743903</v>
          </cell>
          <cell r="H532">
            <v>0</v>
          </cell>
          <cell r="I532">
            <v>646.55000000000007</v>
          </cell>
          <cell r="J532">
            <v>647</v>
          </cell>
          <cell r="K532">
            <v>743903</v>
          </cell>
          <cell r="L532">
            <v>743903</v>
          </cell>
          <cell r="M532">
            <v>0</v>
          </cell>
          <cell r="N532">
            <v>0</v>
          </cell>
          <cell r="O532">
            <v>181034</v>
          </cell>
          <cell r="P532">
            <v>181034</v>
          </cell>
        </row>
        <row r="533">
          <cell r="B533" t="str">
            <v>SUB-TOTAL : (I)</v>
          </cell>
          <cell r="F533">
            <v>15621953</v>
          </cell>
          <cell r="H533">
            <v>0</v>
          </cell>
          <cell r="J533">
            <v>13628</v>
          </cell>
          <cell r="K533">
            <v>0</v>
          </cell>
          <cell r="L533">
            <v>15621953</v>
          </cell>
          <cell r="M533">
            <v>0</v>
          </cell>
          <cell r="N533">
            <v>0</v>
          </cell>
          <cell r="O533">
            <v>0</v>
          </cell>
          <cell r="P533">
            <v>3816326</v>
          </cell>
        </row>
        <row r="536">
          <cell r="A536" t="str">
            <v>J.</v>
          </cell>
          <cell r="B536" t="str">
            <v>U/G CONDUIT BANK</v>
          </cell>
          <cell r="F536">
            <v>0</v>
          </cell>
          <cell r="H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</row>
        <row r="538">
          <cell r="A538" t="str">
            <v>J.1</v>
          </cell>
          <cell r="B538" t="str">
            <v>U/G CONDUIT BANK FOR TEL., P/P, CCTV, APS</v>
          </cell>
          <cell r="F538">
            <v>0</v>
          </cell>
          <cell r="H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</row>
        <row r="539">
          <cell r="A539" t="str">
            <v>J.1.1</v>
          </cell>
          <cell r="B539" t="str">
            <v xml:space="preserve"> PVC CONDUIT, THICK WALL, CNS1302 SCH. B , 1"</v>
          </cell>
          <cell r="C539">
            <v>800</v>
          </cell>
          <cell r="D539" t="str">
            <v>M</v>
          </cell>
          <cell r="E539">
            <v>16</v>
          </cell>
          <cell r="F539">
            <v>12800</v>
          </cell>
          <cell r="H539">
            <v>0</v>
          </cell>
          <cell r="I539">
            <v>0.22</v>
          </cell>
          <cell r="J539">
            <v>176</v>
          </cell>
          <cell r="K539">
            <v>16</v>
          </cell>
          <cell r="L539">
            <v>12800</v>
          </cell>
          <cell r="M539">
            <v>0</v>
          </cell>
          <cell r="N539">
            <v>0</v>
          </cell>
          <cell r="O539">
            <v>62</v>
          </cell>
          <cell r="P539">
            <v>49600</v>
          </cell>
        </row>
        <row r="540">
          <cell r="A540" t="str">
            <v>J.1.2</v>
          </cell>
          <cell r="B540" t="str">
            <v xml:space="preserve"> PVC CONDUIT, THICK WALL, CNS1302 SCH. B , 2"</v>
          </cell>
          <cell r="C540">
            <v>22000</v>
          </cell>
          <cell r="D540" t="str">
            <v>M</v>
          </cell>
          <cell r="E540">
            <v>38</v>
          </cell>
          <cell r="F540">
            <v>836000</v>
          </cell>
          <cell r="H540">
            <v>0</v>
          </cell>
          <cell r="I540">
            <v>0.3</v>
          </cell>
          <cell r="J540">
            <v>6600</v>
          </cell>
          <cell r="K540">
            <v>38</v>
          </cell>
          <cell r="L540">
            <v>836000</v>
          </cell>
          <cell r="M540">
            <v>0</v>
          </cell>
          <cell r="N540">
            <v>0</v>
          </cell>
          <cell r="O540">
            <v>84</v>
          </cell>
          <cell r="P540">
            <v>1848000</v>
          </cell>
        </row>
        <row r="541">
          <cell r="A541" t="str">
            <v>J.1.3</v>
          </cell>
          <cell r="B541" t="str">
            <v xml:space="preserve"> PVC CONDUIT, THICK WALL, CNS1302 SCH. B , 4"</v>
          </cell>
          <cell r="C541">
            <v>16500</v>
          </cell>
          <cell r="D541" t="str">
            <v>M</v>
          </cell>
          <cell r="E541">
            <v>128</v>
          </cell>
          <cell r="F541">
            <v>2112000</v>
          </cell>
          <cell r="H541">
            <v>0</v>
          </cell>
          <cell r="I541">
            <v>0.43</v>
          </cell>
          <cell r="J541">
            <v>7095</v>
          </cell>
          <cell r="K541">
            <v>128</v>
          </cell>
          <cell r="L541">
            <v>2112000</v>
          </cell>
          <cell r="M541">
            <v>0</v>
          </cell>
          <cell r="N541">
            <v>0</v>
          </cell>
          <cell r="O541">
            <v>120</v>
          </cell>
          <cell r="P541">
            <v>1980000</v>
          </cell>
        </row>
        <row r="542">
          <cell r="A542" t="str">
            <v>J.1.4</v>
          </cell>
          <cell r="B542" t="str">
            <v xml:space="preserve"> PVC CONDUIT, THICK WALL, CNS1302 SCH. B , 6"</v>
          </cell>
          <cell r="C542">
            <v>8000</v>
          </cell>
          <cell r="D542" t="str">
            <v>M</v>
          </cell>
          <cell r="E542">
            <v>242</v>
          </cell>
          <cell r="F542">
            <v>1936000</v>
          </cell>
          <cell r="H542">
            <v>0</v>
          </cell>
          <cell r="I542">
            <v>0.68</v>
          </cell>
          <cell r="J542">
            <v>5440</v>
          </cell>
          <cell r="K542">
            <v>242</v>
          </cell>
          <cell r="L542">
            <v>1936000</v>
          </cell>
          <cell r="M542">
            <v>0</v>
          </cell>
          <cell r="N542">
            <v>0</v>
          </cell>
          <cell r="O542">
            <v>190</v>
          </cell>
          <cell r="P542">
            <v>1520000</v>
          </cell>
        </row>
        <row r="543">
          <cell r="A543" t="str">
            <v>J.1.5</v>
          </cell>
          <cell r="B543" t="str">
            <v xml:space="preserve"> EXCAVATION</v>
          </cell>
          <cell r="C543">
            <v>7000</v>
          </cell>
          <cell r="D543" t="str">
            <v>M3</v>
          </cell>
          <cell r="E543" t="str">
            <v>M+L</v>
          </cell>
          <cell r="F543" t="str">
            <v>M+L</v>
          </cell>
          <cell r="H543">
            <v>0</v>
          </cell>
          <cell r="J543">
            <v>0</v>
          </cell>
          <cell r="K543" t="str">
            <v>M+L</v>
          </cell>
          <cell r="L543" t="str">
            <v>M+L</v>
          </cell>
          <cell r="M543">
            <v>0</v>
          </cell>
          <cell r="N543">
            <v>0</v>
          </cell>
          <cell r="O543">
            <v>60</v>
          </cell>
          <cell r="P543">
            <v>420000</v>
          </cell>
        </row>
        <row r="544">
          <cell r="A544" t="str">
            <v>J.1.6</v>
          </cell>
          <cell r="B544" t="str">
            <v xml:space="preserve"> BACKFILL</v>
          </cell>
          <cell r="C544">
            <v>5100</v>
          </cell>
          <cell r="D544" t="str">
            <v>M3</v>
          </cell>
          <cell r="E544" t="str">
            <v>M+L</v>
          </cell>
          <cell r="F544" t="str">
            <v>M+L</v>
          </cell>
          <cell r="H544">
            <v>0</v>
          </cell>
          <cell r="J544">
            <v>0</v>
          </cell>
          <cell r="K544" t="str">
            <v>M+L</v>
          </cell>
          <cell r="L544" t="str">
            <v>M+L</v>
          </cell>
          <cell r="M544">
            <v>0</v>
          </cell>
          <cell r="N544">
            <v>0</v>
          </cell>
          <cell r="O544">
            <v>100</v>
          </cell>
          <cell r="P544">
            <v>510000</v>
          </cell>
        </row>
        <row r="545">
          <cell r="A545" t="str">
            <v>J.1.7</v>
          </cell>
          <cell r="B545" t="str">
            <v xml:space="preserve"> CONCRETE FOR DUCT BANK 2000 PSI</v>
          </cell>
          <cell r="C545">
            <v>1900</v>
          </cell>
          <cell r="D545" t="str">
            <v>M3</v>
          </cell>
          <cell r="E545" t="str">
            <v>M+L</v>
          </cell>
          <cell r="F545" t="str">
            <v>M+L</v>
          </cell>
          <cell r="H545">
            <v>0</v>
          </cell>
          <cell r="J545">
            <v>0</v>
          </cell>
          <cell r="K545" t="str">
            <v>M+L</v>
          </cell>
          <cell r="L545" t="str">
            <v>M+L</v>
          </cell>
          <cell r="M545">
            <v>0</v>
          </cell>
          <cell r="N545">
            <v>0</v>
          </cell>
          <cell r="O545">
            <v>1700</v>
          </cell>
          <cell r="P545">
            <v>3230000</v>
          </cell>
        </row>
        <row r="546">
          <cell r="A546" t="str">
            <v>J.1.8</v>
          </cell>
          <cell r="B546" t="str">
            <v xml:space="preserve"> RED COLORED OXIDE</v>
          </cell>
          <cell r="C546">
            <v>17100</v>
          </cell>
          <cell r="D546" t="str">
            <v>KG</v>
          </cell>
          <cell r="E546" t="str">
            <v>M+L</v>
          </cell>
          <cell r="F546" t="str">
            <v>M+L</v>
          </cell>
          <cell r="H546">
            <v>0</v>
          </cell>
          <cell r="J546">
            <v>0</v>
          </cell>
          <cell r="K546" t="str">
            <v>M+L</v>
          </cell>
          <cell r="L546" t="str">
            <v>M+L</v>
          </cell>
          <cell r="M546">
            <v>0</v>
          </cell>
          <cell r="N546">
            <v>0</v>
          </cell>
          <cell r="O546">
            <v>60</v>
          </cell>
          <cell r="P546">
            <v>1026000</v>
          </cell>
        </row>
        <row r="547">
          <cell r="A547" t="str">
            <v>J.1.9</v>
          </cell>
          <cell r="B547" t="str">
            <v xml:space="preserve"> DISPOSAL</v>
          </cell>
          <cell r="C547">
            <v>1900</v>
          </cell>
          <cell r="D547" t="str">
            <v>M3</v>
          </cell>
          <cell r="E547" t="str">
            <v>M+L</v>
          </cell>
          <cell r="F547" t="str">
            <v>M+L</v>
          </cell>
          <cell r="H547">
            <v>0</v>
          </cell>
          <cell r="J547">
            <v>0</v>
          </cell>
          <cell r="K547" t="str">
            <v>M+L</v>
          </cell>
          <cell r="L547" t="str">
            <v>M+L</v>
          </cell>
          <cell r="M547">
            <v>0</v>
          </cell>
          <cell r="N547">
            <v>0</v>
          </cell>
          <cell r="O547">
            <v>220</v>
          </cell>
          <cell r="P547">
            <v>418000</v>
          </cell>
        </row>
        <row r="548">
          <cell r="A548" t="str">
            <v>J.1.10</v>
          </cell>
          <cell r="B548" t="str">
            <v xml:space="preserve"> FORMWORK</v>
          </cell>
          <cell r="C548">
            <v>5200</v>
          </cell>
          <cell r="D548" t="str">
            <v>M2</v>
          </cell>
          <cell r="E548" t="str">
            <v>M+L</v>
          </cell>
          <cell r="F548" t="str">
            <v>M+L</v>
          </cell>
          <cell r="H548">
            <v>0</v>
          </cell>
          <cell r="J548">
            <v>0</v>
          </cell>
          <cell r="K548" t="str">
            <v>M+L</v>
          </cell>
          <cell r="L548" t="str">
            <v>M+L</v>
          </cell>
          <cell r="M548">
            <v>0</v>
          </cell>
          <cell r="N548">
            <v>0</v>
          </cell>
          <cell r="O548">
            <v>360</v>
          </cell>
          <cell r="P548">
            <v>1872000</v>
          </cell>
        </row>
        <row r="549">
          <cell r="A549" t="str">
            <v>J.1.11</v>
          </cell>
          <cell r="B549" t="str">
            <v xml:space="preserve"> RE-BAR</v>
          </cell>
          <cell r="C549">
            <v>36500</v>
          </cell>
          <cell r="D549" t="str">
            <v>KG</v>
          </cell>
          <cell r="E549" t="str">
            <v>M+L</v>
          </cell>
          <cell r="F549" t="str">
            <v>M+L</v>
          </cell>
          <cell r="H549">
            <v>0</v>
          </cell>
          <cell r="J549">
            <v>0</v>
          </cell>
          <cell r="K549" t="str">
            <v>M+L</v>
          </cell>
          <cell r="L549" t="str">
            <v>M+L</v>
          </cell>
          <cell r="M549">
            <v>0</v>
          </cell>
          <cell r="N549">
            <v>0</v>
          </cell>
          <cell r="O549">
            <v>16</v>
          </cell>
          <cell r="P549">
            <v>584000</v>
          </cell>
        </row>
        <row r="550">
          <cell r="A550" t="str">
            <v>J.1.12</v>
          </cell>
          <cell r="B550" t="str">
            <v xml:space="preserve"> MAN-HOLE, 2,000 L x 2,000 W x 2,000 D</v>
          </cell>
          <cell r="C550">
            <v>24</v>
          </cell>
          <cell r="D550" t="str">
            <v>SET</v>
          </cell>
          <cell r="E550" t="str">
            <v>M+L</v>
          </cell>
          <cell r="F550" t="str">
            <v>M+L</v>
          </cell>
          <cell r="H550">
            <v>0</v>
          </cell>
          <cell r="J550">
            <v>0</v>
          </cell>
          <cell r="K550" t="str">
            <v>M+L</v>
          </cell>
          <cell r="L550" t="str">
            <v>M+L</v>
          </cell>
          <cell r="M550">
            <v>0</v>
          </cell>
          <cell r="N550">
            <v>0</v>
          </cell>
          <cell r="O550">
            <v>65000</v>
          </cell>
          <cell r="P550">
            <v>1560000</v>
          </cell>
        </row>
        <row r="551">
          <cell r="A551" t="str">
            <v>J.1.13</v>
          </cell>
          <cell r="B551" t="str">
            <v xml:space="preserve"> MAN-HOLE, 1,500 L x 1,500 W x 2,000 D</v>
          </cell>
          <cell r="C551">
            <v>0</v>
          </cell>
          <cell r="D551" t="str">
            <v>SET</v>
          </cell>
          <cell r="E551" t="str">
            <v>M+L</v>
          </cell>
          <cell r="F551" t="str">
            <v>M+L</v>
          </cell>
          <cell r="H551">
            <v>0</v>
          </cell>
          <cell r="J551">
            <v>0</v>
          </cell>
          <cell r="K551" t="str">
            <v>M+L</v>
          </cell>
          <cell r="L551" t="str">
            <v>M+L</v>
          </cell>
          <cell r="M551">
            <v>0</v>
          </cell>
          <cell r="N551">
            <v>0</v>
          </cell>
          <cell r="O551">
            <v>52000</v>
          </cell>
          <cell r="P551">
            <v>0</v>
          </cell>
        </row>
        <row r="552">
          <cell r="A552" t="str">
            <v>J.1.14</v>
          </cell>
          <cell r="B552" t="str">
            <v xml:space="preserve"> COMPOND FOR WATER SEALING(IN MH.)</v>
          </cell>
          <cell r="C552">
            <v>2500</v>
          </cell>
          <cell r="D552" t="str">
            <v>KG</v>
          </cell>
          <cell r="E552" t="str">
            <v>M+L</v>
          </cell>
          <cell r="F552" t="str">
            <v>M+L</v>
          </cell>
          <cell r="H552">
            <v>0</v>
          </cell>
          <cell r="J552">
            <v>0</v>
          </cell>
          <cell r="K552" t="str">
            <v>M+L</v>
          </cell>
          <cell r="L552" t="str">
            <v>M+L</v>
          </cell>
          <cell r="M552">
            <v>0</v>
          </cell>
          <cell r="N552">
            <v>0</v>
          </cell>
          <cell r="O552">
            <v>200</v>
          </cell>
          <cell r="P552">
            <v>500000</v>
          </cell>
        </row>
        <row r="553">
          <cell r="B553" t="str">
            <v>SUB-TOTAL : (J.1)</v>
          </cell>
          <cell r="F553">
            <v>4896800</v>
          </cell>
          <cell r="J553">
            <v>19311</v>
          </cell>
          <cell r="L553">
            <v>4896800</v>
          </cell>
          <cell r="P553">
            <v>15517600</v>
          </cell>
        </row>
        <row r="555">
          <cell r="A555" t="str">
            <v>J.2</v>
          </cell>
          <cell r="B555" t="str">
            <v>U/G CONDUIT BANK FOR TEL., P/P, CCTV, APS</v>
          </cell>
          <cell r="F555">
            <v>0</v>
          </cell>
          <cell r="H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</row>
        <row r="556">
          <cell r="A556" t="str">
            <v>J.2.1</v>
          </cell>
          <cell r="B556" t="str">
            <v xml:space="preserve"> PVC CONDUIT, THICK WALL, CNS1302 SCH. B , 1"</v>
          </cell>
          <cell r="C556">
            <v>1000</v>
          </cell>
          <cell r="D556" t="str">
            <v>M</v>
          </cell>
          <cell r="E556">
            <v>16</v>
          </cell>
          <cell r="F556">
            <v>16000</v>
          </cell>
          <cell r="H556">
            <v>0</v>
          </cell>
          <cell r="I556">
            <v>0.22</v>
          </cell>
          <cell r="J556">
            <v>220</v>
          </cell>
          <cell r="K556">
            <v>16</v>
          </cell>
          <cell r="L556">
            <v>16000</v>
          </cell>
          <cell r="M556">
            <v>0</v>
          </cell>
          <cell r="N556">
            <v>0</v>
          </cell>
          <cell r="O556">
            <v>62</v>
          </cell>
          <cell r="P556">
            <v>62000</v>
          </cell>
        </row>
        <row r="557">
          <cell r="A557" t="str">
            <v>J.2.2</v>
          </cell>
          <cell r="B557" t="str">
            <v xml:space="preserve"> PVC CONDUIT, THICK WALL, CNS1302 SCH. B , 2"</v>
          </cell>
          <cell r="C557">
            <v>26000</v>
          </cell>
          <cell r="D557" t="str">
            <v>M</v>
          </cell>
          <cell r="E557">
            <v>38</v>
          </cell>
          <cell r="F557">
            <v>988000</v>
          </cell>
          <cell r="H557">
            <v>0</v>
          </cell>
          <cell r="I557">
            <v>0.3</v>
          </cell>
          <cell r="J557">
            <v>7800</v>
          </cell>
          <cell r="K557">
            <v>38</v>
          </cell>
          <cell r="L557">
            <v>988000</v>
          </cell>
          <cell r="M557">
            <v>0</v>
          </cell>
          <cell r="N557">
            <v>0</v>
          </cell>
          <cell r="O557">
            <v>84</v>
          </cell>
          <cell r="P557">
            <v>2184000</v>
          </cell>
        </row>
        <row r="558">
          <cell r="A558" t="str">
            <v>J.2.3</v>
          </cell>
          <cell r="B558" t="str">
            <v xml:space="preserve"> EXCAVATION</v>
          </cell>
          <cell r="C558">
            <v>3500</v>
          </cell>
          <cell r="D558" t="str">
            <v>M3</v>
          </cell>
          <cell r="E558" t="str">
            <v>M+L</v>
          </cell>
          <cell r="F558" t="str">
            <v>M+L</v>
          </cell>
          <cell r="H558">
            <v>0</v>
          </cell>
          <cell r="J558">
            <v>0</v>
          </cell>
          <cell r="K558" t="str">
            <v>M+L</v>
          </cell>
          <cell r="L558" t="str">
            <v>M+L</v>
          </cell>
          <cell r="M558">
            <v>0</v>
          </cell>
          <cell r="N558">
            <v>0</v>
          </cell>
          <cell r="O558">
            <v>60</v>
          </cell>
          <cell r="P558">
            <v>210000</v>
          </cell>
        </row>
        <row r="559">
          <cell r="A559" t="str">
            <v>J.2.4</v>
          </cell>
          <cell r="B559" t="str">
            <v xml:space="preserve"> BACKFILL</v>
          </cell>
          <cell r="C559">
            <v>2550</v>
          </cell>
          <cell r="D559" t="str">
            <v>M3</v>
          </cell>
          <cell r="E559" t="str">
            <v>M+L</v>
          </cell>
          <cell r="F559" t="str">
            <v>M+L</v>
          </cell>
          <cell r="H559">
            <v>0</v>
          </cell>
          <cell r="J559">
            <v>0</v>
          </cell>
          <cell r="K559" t="str">
            <v>M+L</v>
          </cell>
          <cell r="L559" t="str">
            <v>M+L</v>
          </cell>
          <cell r="M559">
            <v>0</v>
          </cell>
          <cell r="N559">
            <v>0</v>
          </cell>
          <cell r="O559">
            <v>100</v>
          </cell>
          <cell r="P559">
            <v>255000</v>
          </cell>
        </row>
        <row r="560">
          <cell r="A560" t="str">
            <v>J.2.5</v>
          </cell>
          <cell r="B560" t="str">
            <v xml:space="preserve"> CONCRETE FOR DUCT BANK 2000 PSI</v>
          </cell>
          <cell r="C560">
            <v>950</v>
          </cell>
          <cell r="D560" t="str">
            <v>M3</v>
          </cell>
          <cell r="E560" t="str">
            <v>M+L</v>
          </cell>
          <cell r="F560" t="str">
            <v>M+L</v>
          </cell>
          <cell r="H560">
            <v>0</v>
          </cell>
          <cell r="J560">
            <v>0</v>
          </cell>
          <cell r="K560" t="str">
            <v>M+L</v>
          </cell>
          <cell r="L560" t="str">
            <v>M+L</v>
          </cell>
          <cell r="M560">
            <v>0</v>
          </cell>
          <cell r="N560">
            <v>0</v>
          </cell>
          <cell r="O560">
            <v>1700</v>
          </cell>
          <cell r="P560">
            <v>1615000</v>
          </cell>
        </row>
        <row r="561">
          <cell r="A561" t="str">
            <v>J.2.6</v>
          </cell>
          <cell r="B561" t="str">
            <v xml:space="preserve"> RED COLORED OXIDE</v>
          </cell>
          <cell r="C561">
            <v>8550</v>
          </cell>
          <cell r="D561" t="str">
            <v>KG</v>
          </cell>
          <cell r="E561" t="str">
            <v>M+L</v>
          </cell>
          <cell r="F561" t="str">
            <v>M+L</v>
          </cell>
          <cell r="H561">
            <v>0</v>
          </cell>
          <cell r="J561">
            <v>0</v>
          </cell>
          <cell r="K561" t="str">
            <v>M+L</v>
          </cell>
          <cell r="L561" t="str">
            <v>M+L</v>
          </cell>
          <cell r="M561">
            <v>0</v>
          </cell>
          <cell r="N561">
            <v>0</v>
          </cell>
          <cell r="O561">
            <v>60</v>
          </cell>
          <cell r="P561">
            <v>513000</v>
          </cell>
        </row>
        <row r="562">
          <cell r="A562" t="str">
            <v>J.2.7</v>
          </cell>
          <cell r="B562" t="str">
            <v xml:space="preserve"> DISPOSAL</v>
          </cell>
          <cell r="C562">
            <v>950</v>
          </cell>
          <cell r="D562" t="str">
            <v>M3</v>
          </cell>
          <cell r="E562" t="str">
            <v>M+L</v>
          </cell>
          <cell r="F562" t="str">
            <v>M+L</v>
          </cell>
          <cell r="H562">
            <v>0</v>
          </cell>
          <cell r="J562">
            <v>0</v>
          </cell>
          <cell r="K562" t="str">
            <v>M+L</v>
          </cell>
          <cell r="L562" t="str">
            <v>M+L</v>
          </cell>
          <cell r="M562">
            <v>0</v>
          </cell>
          <cell r="N562">
            <v>0</v>
          </cell>
          <cell r="O562">
            <v>220</v>
          </cell>
          <cell r="P562">
            <v>209000</v>
          </cell>
        </row>
        <row r="563">
          <cell r="A563" t="str">
            <v>J.2.8</v>
          </cell>
          <cell r="B563" t="str">
            <v xml:space="preserve"> FORMWORK</v>
          </cell>
          <cell r="C563">
            <v>2000</v>
          </cell>
          <cell r="D563" t="str">
            <v>M2</v>
          </cell>
          <cell r="E563" t="str">
            <v>M+L</v>
          </cell>
          <cell r="F563" t="str">
            <v>M+L</v>
          </cell>
          <cell r="H563">
            <v>0</v>
          </cell>
          <cell r="J563">
            <v>0</v>
          </cell>
          <cell r="K563" t="str">
            <v>M+L</v>
          </cell>
          <cell r="L563" t="str">
            <v>M+L</v>
          </cell>
          <cell r="M563">
            <v>0</v>
          </cell>
          <cell r="N563">
            <v>0</v>
          </cell>
          <cell r="O563">
            <v>360</v>
          </cell>
          <cell r="P563">
            <v>720000</v>
          </cell>
        </row>
        <row r="564">
          <cell r="A564" t="str">
            <v>J.2.9</v>
          </cell>
          <cell r="B564" t="str">
            <v xml:space="preserve"> RE-BAR</v>
          </cell>
          <cell r="C564">
            <v>18250</v>
          </cell>
          <cell r="D564" t="str">
            <v>KG</v>
          </cell>
          <cell r="E564" t="str">
            <v>M+L</v>
          </cell>
          <cell r="F564" t="str">
            <v>M+L</v>
          </cell>
          <cell r="H564">
            <v>0</v>
          </cell>
          <cell r="J564">
            <v>0</v>
          </cell>
          <cell r="K564" t="str">
            <v>M+L</v>
          </cell>
          <cell r="L564" t="str">
            <v>M+L</v>
          </cell>
          <cell r="M564">
            <v>0</v>
          </cell>
          <cell r="N564">
            <v>0</v>
          </cell>
          <cell r="O564">
            <v>16</v>
          </cell>
          <cell r="P564">
            <v>292000</v>
          </cell>
        </row>
        <row r="565">
          <cell r="A565" t="str">
            <v>J.2.10</v>
          </cell>
          <cell r="B565" t="str">
            <v xml:space="preserve"> MAN-HOLE, (與儀控共用)</v>
          </cell>
          <cell r="C565">
            <v>0</v>
          </cell>
          <cell r="D565" t="str">
            <v>SET</v>
          </cell>
          <cell r="P565">
            <v>0</v>
          </cell>
        </row>
        <row r="566">
          <cell r="A566" t="str">
            <v>J.2.11</v>
          </cell>
          <cell r="B566" t="str">
            <v xml:space="preserve"> HAND HOLE, 1200Lx1000Wx1200D</v>
          </cell>
          <cell r="C566">
            <v>7</v>
          </cell>
          <cell r="D566" t="str">
            <v>SET</v>
          </cell>
          <cell r="E566" t="str">
            <v>M+L</v>
          </cell>
          <cell r="F566" t="str">
            <v>M+L</v>
          </cell>
          <cell r="H566">
            <v>0</v>
          </cell>
          <cell r="J566">
            <v>0</v>
          </cell>
          <cell r="K566" t="str">
            <v>M+L</v>
          </cell>
          <cell r="L566" t="str">
            <v>M+L</v>
          </cell>
          <cell r="M566">
            <v>0</v>
          </cell>
          <cell r="N566">
            <v>0</v>
          </cell>
          <cell r="O566">
            <v>18000</v>
          </cell>
          <cell r="P566">
            <v>126000</v>
          </cell>
        </row>
        <row r="567">
          <cell r="A567" t="str">
            <v>J.2.12</v>
          </cell>
          <cell r="B567" t="str">
            <v xml:space="preserve"> COMPOND FOR WATER SEALING(IN MH.)</v>
          </cell>
          <cell r="C567">
            <v>1250</v>
          </cell>
          <cell r="D567" t="str">
            <v>KG</v>
          </cell>
          <cell r="E567" t="str">
            <v>M+L</v>
          </cell>
          <cell r="F567" t="str">
            <v>M+L</v>
          </cell>
          <cell r="H567">
            <v>0</v>
          </cell>
          <cell r="J567">
            <v>0</v>
          </cell>
          <cell r="K567" t="str">
            <v>M+L</v>
          </cell>
          <cell r="L567" t="str">
            <v>M+L</v>
          </cell>
          <cell r="M567">
            <v>0</v>
          </cell>
          <cell r="N567">
            <v>0</v>
          </cell>
          <cell r="O567">
            <v>200</v>
          </cell>
          <cell r="P567">
            <v>250000</v>
          </cell>
        </row>
        <row r="568">
          <cell r="B568" t="str">
            <v>SUB-TOTAL : (J.2)</v>
          </cell>
          <cell r="F568">
            <v>1004000</v>
          </cell>
          <cell r="J568">
            <v>8020</v>
          </cell>
          <cell r="L568">
            <v>1004000</v>
          </cell>
          <cell r="P568">
            <v>6436000</v>
          </cell>
        </row>
        <row r="569">
          <cell r="F569">
            <v>0</v>
          </cell>
          <cell r="H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</row>
        <row r="570">
          <cell r="B570" t="str">
            <v>SUB-TOTAL : (J)</v>
          </cell>
          <cell r="F570">
            <v>5900800</v>
          </cell>
          <cell r="H570">
            <v>0</v>
          </cell>
          <cell r="J570">
            <v>27331</v>
          </cell>
          <cell r="K570">
            <v>0</v>
          </cell>
          <cell r="L570">
            <v>5900800</v>
          </cell>
          <cell r="M570">
            <v>0</v>
          </cell>
          <cell r="N570">
            <v>0</v>
          </cell>
          <cell r="O570">
            <v>0</v>
          </cell>
          <cell r="P570">
            <v>21953600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"/>
      <sheetName val="DIR"/>
      <sheetName val="P-L"/>
      <sheetName val="DGchitiet "/>
      <sheetName val="giavatu"/>
      <sheetName val="IND"/>
      <sheetName val="MAN"/>
      <sheetName val="EQU"/>
      <sheetName val="MANDET"/>
      <sheetName val="EQUDET"/>
      <sheetName val="TCO"/>
      <sheetName val="XL4Poppy"/>
      <sheetName val="???????-BLDG"/>
      <sheetName val="TONGKE3p "/>
      <sheetName val="TDTKP"/>
      <sheetName val="_______-BLD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TTK"/>
      <sheetName val="Danh_sach_hang"/>
      <sheetName val="KHO_X_N"/>
      <sheetName val="TONG_HOP_KHO"/>
      <sheetName val="Nhap_HN"/>
      <sheetName val="Xuat_noi_bo"/>
      <sheetName val="157_Sang"/>
      <sheetName val="157"/>
      <sheetName val="Sheet9"/>
      <sheetName val="Sheet8"/>
      <sheetName val="Sheet7"/>
      <sheetName val="Sheet6"/>
      <sheetName val="Sheet5"/>
      <sheetName val="Sheet4"/>
      <sheetName val="Sheet1"/>
      <sheetName val="Sheet3"/>
      <sheetName val="XL4Poppy"/>
    </sheetNames>
    <sheetDataSet>
      <sheetData sheetId="0" refreshError="1"/>
      <sheetData sheetId="1" refreshError="1">
        <row r="4">
          <cell r="B4" t="str">
            <v>SIM</v>
          </cell>
          <cell r="C4" t="str">
            <v>Sim soá</v>
          </cell>
        </row>
        <row r="5">
          <cell r="B5" t="str">
            <v>C-100</v>
          </cell>
          <cell r="C5" t="str">
            <v>Theû caøo meänh giaù 100.000 ñ</v>
          </cell>
        </row>
        <row r="6">
          <cell r="B6" t="str">
            <v>C-200</v>
          </cell>
          <cell r="C6" t="str">
            <v>Theû caøo meänh giaù 200.000 ñ</v>
          </cell>
        </row>
        <row r="7">
          <cell r="B7" t="str">
            <v>C-300</v>
          </cell>
          <cell r="C7" t="str">
            <v>Theû caøo meänh giaù 300.000 ñ</v>
          </cell>
        </row>
        <row r="8">
          <cell r="B8" t="str">
            <v>C-500</v>
          </cell>
          <cell r="C8" t="str">
            <v>Theû caøo meänh giaù 500.000 ñ</v>
          </cell>
        </row>
      </sheetData>
      <sheetData sheetId="2" refreshError="1">
        <row r="12">
          <cell r="C12" t="str">
            <v>PN-01</v>
          </cell>
          <cell r="G12" t="str">
            <v>C-100</v>
          </cell>
          <cell r="H12">
            <v>100</v>
          </cell>
          <cell r="J12">
            <v>0</v>
          </cell>
          <cell r="K12">
            <v>9500000</v>
          </cell>
        </row>
        <row r="13">
          <cell r="C13" t="str">
            <v>PX-01</v>
          </cell>
          <cell r="G13" t="str">
            <v>C-100</v>
          </cell>
          <cell r="H13">
            <v>20</v>
          </cell>
          <cell r="J13">
            <v>1900000</v>
          </cell>
          <cell r="K13">
            <v>0</v>
          </cell>
        </row>
        <row r="14">
          <cell r="C14" t="str">
            <v>PX-02</v>
          </cell>
          <cell r="G14" t="str">
            <v>C-200</v>
          </cell>
          <cell r="H14">
            <v>10</v>
          </cell>
          <cell r="J14">
            <v>1850000</v>
          </cell>
          <cell r="K14">
            <v>0</v>
          </cell>
        </row>
        <row r="15">
          <cell r="C15" t="str">
            <v>PX-03</v>
          </cell>
          <cell r="G15" t="str">
            <v>C-300</v>
          </cell>
          <cell r="H15">
            <v>20</v>
          </cell>
          <cell r="J15">
            <v>5500000</v>
          </cell>
          <cell r="K15">
            <v>0</v>
          </cell>
        </row>
        <row r="16">
          <cell r="C16" t="str">
            <v>PN-02</v>
          </cell>
          <cell r="G16" t="str">
            <v>C-200</v>
          </cell>
          <cell r="H16">
            <v>100</v>
          </cell>
          <cell r="J16">
            <v>0</v>
          </cell>
          <cell r="K16">
            <v>9500000</v>
          </cell>
        </row>
        <row r="17">
          <cell r="C17" t="str">
            <v>PN-03</v>
          </cell>
          <cell r="G17" t="str">
            <v>C-300</v>
          </cell>
          <cell r="H17">
            <v>100</v>
          </cell>
          <cell r="J17">
            <v>0</v>
          </cell>
          <cell r="K17">
            <v>27500000</v>
          </cell>
        </row>
        <row r="18">
          <cell r="C18" t="str">
            <v>PN-04</v>
          </cell>
          <cell r="G18" t="str">
            <v>C-100</v>
          </cell>
          <cell r="H18">
            <v>150</v>
          </cell>
          <cell r="J18">
            <v>0</v>
          </cell>
          <cell r="K18">
            <v>14400000</v>
          </cell>
        </row>
        <row r="19">
          <cell r="J19">
            <v>0</v>
          </cell>
          <cell r="K19">
            <v>0</v>
          </cell>
        </row>
        <row r="20">
          <cell r="J20">
            <v>0</v>
          </cell>
          <cell r="K20">
            <v>0</v>
          </cell>
        </row>
        <row r="21">
          <cell r="J21">
            <v>0</v>
          </cell>
          <cell r="K21">
            <v>0</v>
          </cell>
        </row>
        <row r="22">
          <cell r="J22">
            <v>0</v>
          </cell>
          <cell r="K22">
            <v>0</v>
          </cell>
        </row>
        <row r="23">
          <cell r="J23">
            <v>0</v>
          </cell>
          <cell r="K23">
            <v>0</v>
          </cell>
        </row>
        <row r="24">
          <cell r="J24">
            <v>0</v>
          </cell>
          <cell r="K24">
            <v>0</v>
          </cell>
        </row>
        <row r="25">
          <cell r="J25">
            <v>0</v>
          </cell>
          <cell r="K25">
            <v>0</v>
          </cell>
        </row>
        <row r="26">
          <cell r="J26">
            <v>0</v>
          </cell>
          <cell r="K26">
            <v>0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0</v>
          </cell>
          <cell r="K29">
            <v>0</v>
          </cell>
        </row>
        <row r="30">
          <cell r="J30">
            <v>0</v>
          </cell>
          <cell r="K30">
            <v>0</v>
          </cell>
        </row>
        <row r="31">
          <cell r="J31">
            <v>0</v>
          </cell>
          <cell r="K31">
            <v>0</v>
          </cell>
        </row>
        <row r="32">
          <cell r="J32">
            <v>0</v>
          </cell>
          <cell r="K32">
            <v>0</v>
          </cell>
        </row>
        <row r="33">
          <cell r="J33">
            <v>0</v>
          </cell>
          <cell r="K33">
            <v>0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0</v>
          </cell>
          <cell r="K36">
            <v>0</v>
          </cell>
        </row>
        <row r="37">
          <cell r="J37">
            <v>0</v>
          </cell>
          <cell r="K37">
            <v>0</v>
          </cell>
        </row>
        <row r="38">
          <cell r="J38">
            <v>0</v>
          </cell>
          <cell r="K38">
            <v>0</v>
          </cell>
        </row>
        <row r="39">
          <cell r="J39">
            <v>0</v>
          </cell>
          <cell r="K39">
            <v>0</v>
          </cell>
        </row>
        <row r="40">
          <cell r="J40">
            <v>0</v>
          </cell>
          <cell r="K40">
            <v>0</v>
          </cell>
        </row>
        <row r="41">
          <cell r="J41">
            <v>0</v>
          </cell>
          <cell r="K41">
            <v>0</v>
          </cell>
        </row>
        <row r="42">
          <cell r="J42">
            <v>0</v>
          </cell>
          <cell r="K42">
            <v>0</v>
          </cell>
        </row>
        <row r="43">
          <cell r="J43">
            <v>0</v>
          </cell>
          <cell r="K43">
            <v>0</v>
          </cell>
        </row>
        <row r="44">
          <cell r="J44">
            <v>0</v>
          </cell>
          <cell r="K44">
            <v>0</v>
          </cell>
        </row>
        <row r="45">
          <cell r="J45">
            <v>0</v>
          </cell>
          <cell r="K45">
            <v>0</v>
          </cell>
        </row>
        <row r="46">
          <cell r="J46">
            <v>0</v>
          </cell>
          <cell r="K46">
            <v>0</v>
          </cell>
        </row>
        <row r="47">
          <cell r="J47">
            <v>0</v>
          </cell>
          <cell r="K47">
            <v>0</v>
          </cell>
        </row>
        <row r="48">
          <cell r="J48">
            <v>0</v>
          </cell>
          <cell r="K48">
            <v>0</v>
          </cell>
        </row>
        <row r="49">
          <cell r="J49">
            <v>0</v>
          </cell>
          <cell r="K49">
            <v>0</v>
          </cell>
        </row>
        <row r="50">
          <cell r="J50">
            <v>0</v>
          </cell>
          <cell r="K50">
            <v>0</v>
          </cell>
        </row>
        <row r="51">
          <cell r="J51">
            <v>0</v>
          </cell>
          <cell r="K51">
            <v>0</v>
          </cell>
        </row>
        <row r="52">
          <cell r="J52">
            <v>0</v>
          </cell>
          <cell r="K52">
            <v>0</v>
          </cell>
        </row>
        <row r="53">
          <cell r="J53">
            <v>0</v>
          </cell>
          <cell r="K53">
            <v>0</v>
          </cell>
        </row>
        <row r="54">
          <cell r="J54">
            <v>0</v>
          </cell>
          <cell r="K54">
            <v>0</v>
          </cell>
        </row>
        <row r="55">
          <cell r="J55">
            <v>0</v>
          </cell>
          <cell r="K55">
            <v>0</v>
          </cell>
        </row>
        <row r="56">
          <cell r="J56">
            <v>0</v>
          </cell>
          <cell r="K56">
            <v>0</v>
          </cell>
        </row>
        <row r="57">
          <cell r="J57">
            <v>0</v>
          </cell>
          <cell r="K57">
            <v>0</v>
          </cell>
        </row>
        <row r="58">
          <cell r="J58">
            <v>0</v>
          </cell>
          <cell r="K58">
            <v>0</v>
          </cell>
        </row>
        <row r="59">
          <cell r="J59">
            <v>0</v>
          </cell>
          <cell r="K59">
            <v>0</v>
          </cell>
        </row>
        <row r="60">
          <cell r="J60">
            <v>0</v>
          </cell>
          <cell r="K60">
            <v>0</v>
          </cell>
        </row>
        <row r="61">
          <cell r="J61">
            <v>0</v>
          </cell>
          <cell r="K61">
            <v>0</v>
          </cell>
        </row>
        <row r="62">
          <cell r="J62">
            <v>0</v>
          </cell>
          <cell r="K62">
            <v>0</v>
          </cell>
        </row>
        <row r="63">
          <cell r="J63">
            <v>0</v>
          </cell>
          <cell r="K63">
            <v>0</v>
          </cell>
        </row>
        <row r="64">
          <cell r="J64">
            <v>0</v>
          </cell>
          <cell r="K64">
            <v>0</v>
          </cell>
        </row>
        <row r="65">
          <cell r="J65">
            <v>0</v>
          </cell>
          <cell r="K65">
            <v>0</v>
          </cell>
        </row>
        <row r="66">
          <cell r="J66">
            <v>0</v>
          </cell>
          <cell r="K66">
            <v>0</v>
          </cell>
        </row>
        <row r="67">
          <cell r="J67">
            <v>0</v>
          </cell>
          <cell r="K67">
            <v>0</v>
          </cell>
        </row>
        <row r="68">
          <cell r="J68">
            <v>0</v>
          </cell>
          <cell r="K68">
            <v>0</v>
          </cell>
        </row>
        <row r="69">
          <cell r="J69">
            <v>0</v>
          </cell>
          <cell r="K69">
            <v>0</v>
          </cell>
        </row>
        <row r="70">
          <cell r="J70">
            <v>0</v>
          </cell>
          <cell r="K70">
            <v>0</v>
          </cell>
        </row>
        <row r="71">
          <cell r="J71">
            <v>0</v>
          </cell>
          <cell r="K71">
            <v>0</v>
          </cell>
        </row>
        <row r="72">
          <cell r="J72">
            <v>0</v>
          </cell>
          <cell r="K72">
            <v>0</v>
          </cell>
        </row>
        <row r="73">
          <cell r="J73">
            <v>0</v>
          </cell>
          <cell r="K73">
            <v>0</v>
          </cell>
        </row>
        <row r="74">
          <cell r="J74">
            <v>0</v>
          </cell>
          <cell r="K74">
            <v>0</v>
          </cell>
        </row>
        <row r="75">
          <cell r="J75">
            <v>0</v>
          </cell>
          <cell r="K75">
            <v>0</v>
          </cell>
        </row>
        <row r="76">
          <cell r="J76">
            <v>0</v>
          </cell>
          <cell r="K76">
            <v>0</v>
          </cell>
        </row>
        <row r="77">
          <cell r="J77">
            <v>0</v>
          </cell>
          <cell r="K77">
            <v>0</v>
          </cell>
        </row>
        <row r="78">
          <cell r="J78">
            <v>0</v>
          </cell>
          <cell r="K78">
            <v>0</v>
          </cell>
        </row>
        <row r="79">
          <cell r="J79">
            <v>0</v>
          </cell>
          <cell r="K79">
            <v>0</v>
          </cell>
        </row>
        <row r="80">
          <cell r="J80">
            <v>0</v>
          </cell>
          <cell r="K80">
            <v>0</v>
          </cell>
        </row>
        <row r="81">
          <cell r="J81">
            <v>0</v>
          </cell>
          <cell r="K81">
            <v>0</v>
          </cell>
        </row>
        <row r="82">
          <cell r="J82">
            <v>0</v>
          </cell>
          <cell r="K82">
            <v>0</v>
          </cell>
        </row>
        <row r="83">
          <cell r="J83">
            <v>0</v>
          </cell>
          <cell r="K83">
            <v>0</v>
          </cell>
        </row>
        <row r="84">
          <cell r="J84">
            <v>0</v>
          </cell>
          <cell r="K84">
            <v>0</v>
          </cell>
        </row>
        <row r="85">
          <cell r="J85">
            <v>0</v>
          </cell>
          <cell r="K85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XL4Poppy"/>
      <sheetName val="PIPE-03E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LUAN CHUYEN"/>
      <sheetName val="KE QUY"/>
      <sheetName val="CPC"/>
      <sheetName val="LUONGGIAN TIEP"/>
      <sheetName val="CLUONG"/>
      <sheetName val="VAY VON"/>
      <sheetName val="O.THAO"/>
      <sheetName val="Q.TRUNG"/>
      <sheetName val="THUY"/>
      <sheetName val="Y.THANH"/>
      <sheetName val="621"/>
      <sheetName val="333"/>
      <sheetName val="627"/>
      <sheetName val="TTLUONG"/>
      <sheetName val="TSCD"/>
      <sheetName val="C.TIEU"/>
      <sheetName val="CPNLTT"/>
      <sheetName val="T.Luong"/>
      <sheetName val="CPSX"/>
      <sheetName val="NCTT"/>
      <sheetName val="QLDN"/>
      <sheetName val="641"/>
      <sheetName val="642"/>
      <sheetName val="THCP"/>
      <sheetName val="T.HAO"/>
      <sheetName val="DT TUYEN"/>
      <sheetName val="DT GIA"/>
      <sheetName val="KHDT"/>
      <sheetName val="KHDT (2)"/>
      <sheetName val="SX-TT"/>
      <sheetName val="CL "/>
      <sheetName val="VTu"/>
      <sheetName val="LDTL"/>
      <sheetName val="KHao"/>
      <sheetName val="LNKD"/>
      <sheetName val="SK"/>
      <sheetName val="TNo"/>
      <sheetName val="CTTH"/>
      <sheetName val="VON"/>
      <sheetName val="VLD"/>
      <sheetName val="KQ (2)"/>
      <sheetName val="KLHT"/>
      <sheetName val="THKP"/>
      <sheetName val="KL XL2000"/>
      <sheetName val="KLXL2001"/>
      <sheetName val="THKP2001"/>
      <sheetName val="KLphanbo"/>
      <sheetName val="Chiet tinh"/>
      <sheetName val="Van chuyen"/>
      <sheetName val="THKP (2)"/>
      <sheetName val="T.Bi"/>
      <sheetName val="Thiet ke"/>
      <sheetName val="CT"/>
      <sheetName val="K.luong"/>
      <sheetName val="TT L2"/>
      <sheetName val="TT L1"/>
      <sheetName val="Thue Ngoai"/>
      <sheetName val="KH"/>
      <sheetName val="DM"/>
      <sheetName val="DD&amp;TV"/>
      <sheetName val="CDSL"/>
      <sheetName val="PTSL"/>
      <sheetName val="VT"/>
      <sheetName val="NL"/>
      <sheetName val="SoSanh"/>
      <sheetName val="QTVT"/>
      <sheetName val="QTNC"/>
      <sheetName val="1"/>
      <sheetName val="Chart1"/>
      <sheetName val="Interim payment"/>
      <sheetName val="Letter"/>
      <sheetName val="Bid Sum"/>
      <sheetName val="Item B"/>
      <sheetName val="Dg A"/>
      <sheetName val="Dg B&amp;C"/>
      <sheetName val="Rates&amp;Prices"/>
      <sheetName val="Material at site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BC_KKTSCD"/>
      <sheetName val="Chitiet"/>
      <sheetName val="Sheet2 (2)"/>
      <sheetName val="Mau_BC_KKTSCD"/>
      <sheetName val="KH 2003 (moi max)"/>
      <sheetName val="BCC (2)"/>
      <sheetName val="Bao cao"/>
      <sheetName val="Bao cao 2"/>
      <sheetName val="BC3"/>
      <sheetName val="THKL"/>
      <sheetName val="Khoi luong"/>
      <sheetName val="Khoi luong mat"/>
      <sheetName val="Bang ke"/>
      <sheetName val="KLCL"/>
      <sheetName val="T.HopKL"/>
      <sheetName val="S.Luong"/>
      <sheetName val="PTCP2"/>
      <sheetName val="CPBVTC2"/>
      <sheetName val="D.Dap"/>
      <sheetName val="Q.Toan"/>
      <sheetName val="NCong"/>
      <sheetName val="Phan tich chi phi"/>
      <sheetName val="Chi phi nen theo BVTC"/>
      <sheetName val="CPTBVTC3"/>
      <sheetName val="nhan cong phu"/>
      <sheetName val="nhan cong Hung"/>
      <sheetName val="Nhan cong"/>
      <sheetName val="CCD2"/>
      <sheetName val="BCC"/>
      <sheetName val="Doi2"/>
      <sheetName val="Khoi luong nen theo BVTC"/>
      <sheetName val="116(300)"/>
      <sheetName val="116(200)"/>
      <sheetName val="116(150)"/>
      <sheetName val="00000000"/>
      <sheetName val="Km0-Km1"/>
      <sheetName val="Km1-Km2"/>
      <sheetName val="TH"/>
      <sheetName val="BU CTPH"/>
      <sheetName val="CTPH"/>
      <sheetName val="BU tran3+360.22"/>
      <sheetName val="Tran3+360.22"/>
      <sheetName val="BU tran2+386.4"/>
      <sheetName val="Tran2+386.4"/>
      <sheetName val="Bu4-5"/>
      <sheetName val="DTcong 4-5"/>
      <sheetName val="BU3-4"/>
      <sheetName val="dtcong3-4"/>
      <sheetName val="bu2-3"/>
      <sheetName val="dtcong2-3"/>
      <sheetName val="Bu 1-2"/>
      <sheetName val="dtcong1-2"/>
      <sheetName val="bu0-1"/>
      <sheetName val="dtcong0-1"/>
      <sheetName val="KLc1"/>
      <sheetName val="klcong"/>
      <sheetName val="Bu 12-13"/>
      <sheetName val="DTcong 12-13"/>
      <sheetName val="BU13-13+"/>
      <sheetName val="DT cong13-13+"/>
      <sheetName val="BU- nhanh"/>
      <sheetName val="Bunh1-2"/>
      <sheetName val="dtcong nh1-2"/>
      <sheetName val="BUnh0-1"/>
      <sheetName val="dtcong nh0-1"/>
      <sheetName val="BU5-6"/>
      <sheetName val="DTcong5-6"/>
      <sheetName val="BU6-7"/>
      <sheetName val="DTcong6-7"/>
      <sheetName val="BU7-8"/>
      <sheetName val="DTcong7-8"/>
      <sheetName val="BU8-9"/>
      <sheetName val="DTcong8-9"/>
      <sheetName val="BU9-10"/>
      <sheetName val="DTcong9-10"/>
      <sheetName val="BU10-11"/>
      <sheetName val="DTcong10-11"/>
      <sheetName val="BU 11-12"/>
      <sheetName val="DTcong 11-12"/>
      <sheetName val="Mnh1-2+80"/>
      <sheetName val="Pr- CC"/>
      <sheetName val="Nnh1-2+80"/>
      <sheetName val="Mnh0-1"/>
      <sheetName val="Nnh0-1"/>
      <sheetName val="MD13-13+334"/>
      <sheetName val="ND13-13+334"/>
      <sheetName val="BU-TK"/>
      <sheetName val="MD12-13"/>
      <sheetName val="ND12-13"/>
      <sheetName val="MD11-12"/>
      <sheetName val="ND11-12"/>
      <sheetName val="MD10-11"/>
      <sheetName val="ND10-11"/>
      <sheetName val="MD9-10"/>
      <sheetName val="ND9-10"/>
      <sheetName val="MD8-9"/>
      <sheetName val="ND8-9"/>
      <sheetName val="MD7-8"/>
      <sheetName val="ND7-8"/>
      <sheetName val="MD6-7"/>
      <sheetName val="ND6-7"/>
      <sheetName val="MD5-6"/>
      <sheetName val="ND5-6"/>
      <sheetName val="MD4-5"/>
      <sheetName val="ND4-5"/>
      <sheetName val="MD 3-4"/>
      <sheetName val="ND 3-4"/>
      <sheetName val="MD2-3"/>
      <sheetName val="ND2-3"/>
      <sheetName val="MD 1-2"/>
      <sheetName val="ND 1-2"/>
      <sheetName val="MD 0-1"/>
      <sheetName val="ND 0-1"/>
      <sheetName val="km11-12"/>
      <sheetName val="km10-11"/>
      <sheetName val="KLN"/>
      <sheetName val="Tong hop"/>
      <sheetName val="KL tong"/>
      <sheetName val="372+132-181"/>
      <sheetName val="372+00-025-T"/>
      <sheetName val="371+920-1000-T"/>
      <sheetName val="371-340-386"/>
      <sheetName val="371+036-175"/>
      <sheetName val="371+920-1000-P"/>
      <sheetName val="371+650-800"/>
      <sheetName val="371+340-386"/>
      <sheetName val="371+00-150"/>
      <sheetName val="370+625-720"/>
      <sheetName val="370+402-550"/>
      <sheetName val="370+227-300"/>
      <sheetName val="370+00-10"/>
      <sheetName val="370+933-1000"/>
      <sheetName val="370+421-550"/>
      <sheetName val="370+246-280"/>
      <sheetName val="370+135-160"/>
      <sheetName val="369+700-730"/>
      <sheetName val="369+592-700"/>
      <sheetName val="369+400-542"/>
      <sheetName val="369+940-008"/>
      <sheetName val="369+800-908"/>
      <sheetName val="369+606-722"/>
      <sheetName val="369+411-526"/>
      <sheetName val="368+517-580"/>
      <sheetName val="368+822-900"/>
      <sheetName val="368+530-687"/>
      <sheetName val="368+00-25"/>
      <sheetName val="369+"/>
      <sheetName val="AC PC"/>
      <sheetName val="LT"/>
      <sheetName val="LP"/>
      <sheetName val="Dao-P"/>
      <sheetName val="AC66-436"/>
      <sheetName val="Dao-T"/>
      <sheetName val="MD"/>
      <sheetName val="ND"/>
      <sheetName val="CONG"/>
      <sheetName val="DGCT"/>
      <sheetName val="Congty"/>
      <sheetName val="VPPN"/>
      <sheetName val="XN74"/>
      <sheetName val="XN54"/>
      <sheetName val="XN33"/>
      <sheetName val="NK96"/>
      <sheetName val="XL4Test5"/>
      <sheetName val="KH12"/>
      <sheetName val="CN12"/>
      <sheetName val="HD12"/>
      <sheetName val="KH1"/>
      <sheetName val="Chi tiet - Dv lap"/>
      <sheetName val="TH KHTC"/>
      <sheetName val="000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Dong Dau"/>
      <sheetName val="Dong Dau (2)"/>
      <sheetName val="Sau dong"/>
      <sheetName val="Ma xa"/>
      <sheetName val="My dinh"/>
      <sheetName val="Tong cong"/>
      <sheetName val="VL"/>
      <sheetName val="CTXD"/>
      <sheetName val=".."/>
      <sheetName val="CTDN"/>
      <sheetName val="san vuon"/>
      <sheetName val="khu phu tro"/>
      <sheetName val="26+180-400.2"/>
      <sheetName val="26+180.Sub1"/>
      <sheetName val="26+180.Sub4"/>
      <sheetName val="26+180-400.5(k95)"/>
      <sheetName val="26+400-620.3(k95)"/>
      <sheetName val="26+400-640.1(k95)"/>
      <sheetName val="26+960-27+150.9"/>
      <sheetName val="26+960-27+150.10"/>
      <sheetName val="26+960-27+150.11"/>
      <sheetName val="26+960-27+150.12"/>
      <sheetName val="26+960-27+150.5(k95)"/>
      <sheetName val="26+960-27+150.4(k95)"/>
      <sheetName val="26+960-27+150.1(k95)"/>
      <sheetName val="27+500-700.5(k95)"/>
      <sheetName val="27+500-700.4(k95)"/>
      <sheetName val="27+500-700.3(k95)"/>
      <sheetName val="27+500-700.1(k95)"/>
      <sheetName val="27+740-920.3(k95)"/>
      <sheetName val="27+740-920.21"/>
      <sheetName val="27+920-28+040.6,7"/>
      <sheetName val="27+920-28+040,8,9"/>
      <sheetName val="27+920-28+040.10"/>
      <sheetName val="27+920-28+040,11"/>
      <sheetName val="27+920-28+160.Su3"/>
      <sheetName val="28+160-28+420,17Top"/>
      <sheetName val="28+160-28+420.5K95"/>
      <sheetName val="28+430-657.7"/>
      <sheetName val="Km28+430-657.8"/>
      <sheetName val="28+430-657.9"/>
      <sheetName val="28+430-667.10"/>
      <sheetName val="28+430-657.11"/>
      <sheetName val="28+430-657.4k95"/>
      <sheetName val="28+500-657.18"/>
      <sheetName val="28+520-657.19"/>
      <sheetName val="Chart2"/>
      <sheetName val="be tong"/>
      <sheetName val="Thep"/>
      <sheetName val="Tong hop thep"/>
      <sheetName val="Thuyet minh"/>
      <sheetName val="CQ-HQ"/>
      <sheetName val="00000001"/>
      <sheetName val="00000002"/>
      <sheetName val="00000003"/>
      <sheetName val="00000004"/>
      <sheetName val="Dec31"/>
      <sheetName val="Jan2"/>
      <sheetName val="Jan3"/>
      <sheetName val="Jan4"/>
      <sheetName val="Jan6"/>
      <sheetName val="Jan7"/>
      <sheetName val="Jan8"/>
      <sheetName val="Jan9"/>
      <sheetName val="Jan10"/>
      <sheetName val="Jan11"/>
      <sheetName val="Jan13"/>
      <sheetName val="Jan14"/>
      <sheetName val="Jan15"/>
      <sheetName val="Jan16"/>
      <sheetName val="Jan17"/>
      <sheetName val="Jan18"/>
      <sheetName val="Jan20"/>
      <sheetName val="Jan21"/>
      <sheetName val="Jan22"/>
      <sheetName val="Jan23"/>
      <sheetName val="Jan24"/>
      <sheetName val="Jan25"/>
      <sheetName val="Jan27"/>
      <sheetName val="Jan28"/>
      <sheetName val="9"/>
      <sheetName val="10"/>
      <sheetName val="NRC"/>
      <sheetName val="DG SOC"/>
      <sheetName val="DG HQ"/>
      <sheetName val="ENFALUX"/>
      <sheetName val="NHXP"/>
      <sheetName val="KGIAT"/>
      <sheetName val="KDR"/>
      <sheetName val="JAVEL"/>
      <sheetName val="vita"/>
      <sheetName val="TPXM"/>
      <sheetName val="XM"/>
      <sheetName val="Bot Giat C"/>
      <sheetName val="Bot Giat P "/>
      <sheetName val="TP"/>
      <sheetName val="BRTAICHE"/>
      <sheetName val="THBKEO"/>
      <sheetName val="PBBKEO"/>
      <sheetName val="THAY THUNG H"/>
      <sheetName val="BBKK"/>
      <sheetName val="thi nghiem"/>
      <sheetName val="CBQT"/>
      <sheetName val="DTHH"/>
      <sheetName val="Bang1"/>
      <sheetName val="TAI TRONG"/>
      <sheetName val="NOI LUC"/>
      <sheetName val="TINH DUYET THTT CHINH"/>
      <sheetName val="TDUYET THTT PHU"/>
      <sheetName val="TINH DAO DONG VA DO VONG"/>
      <sheetName val="TINH NEO"/>
      <sheetName val="Phu luc"/>
      <sheetName val="Gia trÞ"/>
      <sheetName val="PTCT"/>
      <sheetName val="CDghino"/>
      <sheetName val="Tonghop"/>
      <sheetName val="TH (T1-6)"/>
      <sheetName val="ThueTB"/>
      <sheetName val="SCD5"/>
      <sheetName val=" NL"/>
      <sheetName val="CPVL-CPM"/>
      <sheetName val="PTVL"/>
      <sheetName val="CD1"/>
      <sheetName val=" NL (2)"/>
      <sheetName val="CDTHCT"/>
      <sheetName val="CDTHCT (3)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phong"/>
      <sheetName val="KM"/>
      <sheetName val="KHOANMUC"/>
      <sheetName val="CPQL"/>
      <sheetName val="SANLUONG"/>
      <sheetName val="SSCP-SL"/>
      <sheetName val="KQKD"/>
      <sheetName val="CDSL (2)"/>
      <sheetName val="Thep "/>
      <sheetName val="Chi tiet Khoi luong"/>
      <sheetName val="TH khoi luong"/>
      <sheetName val="Chiet tinh vat lieu "/>
      <sheetName val="TH KL VL"/>
      <sheetName val="CHIT"/>
      <sheetName val="THXH"/>
      <sheetName val="BHXH"/>
      <sheetName val="tong hop thanh toan thue"/>
      <sheetName val="bang ke nop thue"/>
      <sheetName val="Tonh hop chi phi"/>
      <sheetName val="BK chi phi"/>
      <sheetName val="KTra DS va thue GTGT"/>
      <sheetName val="Kiãøm tra DS thue GTGT"/>
      <sheetName val="XUAT(gia von)"/>
      <sheetName val="nhap"/>
      <sheetName val="Xuat (gia ban)"/>
      <sheetName val="Dchinh TH N-X-T"/>
      <sheetName val="Tong hop N-X-T"/>
      <sheetName val="thue TH"/>
      <sheetName val="tong hop 2001"/>
      <sheetName val="qUYET TOAN THUE"/>
      <sheetName val="N-X-T=L"/>
      <sheetName val="Sheet17"/>
      <sheetName val="DS them luong qui 4-2002"/>
      <sheetName val="Phuc loi 2-9-02"/>
      <sheetName val="PCLB-2002"/>
      <sheetName val="Thuong nhan dip 21-12-02"/>
      <sheetName val="Thuong dip nhan danh hieu AHL§"/>
      <sheetName val="Thang luong thu 13 nam 2002"/>
      <sheetName val="Luong SX# dip Tet Qui Mui(dong)"/>
      <sheetName val="Sheet13"/>
      <sheetName val="Sheet14"/>
      <sheetName val="Sheet15"/>
      <sheetName val="Sheet16"/>
      <sheetName val="THCT"/>
      <sheetName val="cap cho cac DT"/>
      <sheetName val="Ung - hoan"/>
      <sheetName val="CP may"/>
      <sheetName val="SS"/>
      <sheetName val="NVL"/>
      <sheetName val="10000000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dutoan1"/>
      <sheetName val="Anhtoan"/>
      <sheetName val="dutoan2"/>
      <sheetName val="vat tu"/>
      <sheetName val="CDTHU CHI T1"/>
      <sheetName val="THUCHI 2"/>
      <sheetName val="THU CHI3"/>
      <sheetName val="THU CHI 4"/>
      <sheetName val="THU CHI5"/>
      <sheetName val="THU CHI 6"/>
      <sheetName val="TU CHI 7"/>
      <sheetName val="THU CHI9"/>
      <sheetName val="THU CHI 8"/>
      <sheetName val="THU CHI 10"/>
      <sheetName val="THU CHI 11"/>
      <sheetName val="THU CHI 12"/>
      <sheetName val="sent to"/>
      <sheetName val="Outlets"/>
      <sheetName val="PGs"/>
      <sheetName val="CT Duong"/>
      <sheetName val="Bia"/>
      <sheetName val="D.gia"/>
      <sheetName val="T.hop"/>
      <sheetName val="Khoan"/>
      <sheetName val="CtP.tro"/>
      <sheetName val="Nha moi"/>
      <sheetName val="NamBanThach"/>
      <sheetName val="KhoanDuong"/>
      <sheetName val="DeNghiDuong"/>
      <sheetName val="TT-BDH-B1"/>
      <sheetName val="TT-T.Tron So 2"/>
      <sheetName val="TT-Doi6-Dot-1"/>
      <sheetName val="ChietTinh"/>
      <sheetName val="Ct.Dam "/>
      <sheetName val="Ct.Duoi"/>
      <sheetName val="Ct.Tren"/>
      <sheetName val="CtVKdam"/>
      <sheetName val="asphal"/>
      <sheetName val="Gvua"/>
      <sheetName val="D.giaMay"/>
      <sheetName val="phan tich DG"/>
      <sheetName val="gia vat lieu"/>
      <sheetName val="gia xe may"/>
      <sheetName val="gia nhan cong"/>
      <sheetName val="01"/>
      <sheetName val="02"/>
      <sheetName val="03"/>
      <sheetName val="04"/>
      <sheetName val="05"/>
      <sheetName val="Sheet18"/>
      <sheetName val="Sheet19"/>
      <sheetName val="Sheet20"/>
      <sheetName val="TK111"/>
      <sheetName val="TK112"/>
      <sheetName val="TK131"/>
      <sheetName val="TK1331"/>
      <sheetName val="TK136"/>
      <sheetName val="TK138"/>
      <sheetName val="TK141"/>
      <sheetName val="TK152"/>
      <sheetName val="TK153"/>
      <sheetName val="TK154"/>
      <sheetName val="TK211"/>
      <sheetName val="TK214"/>
      <sheetName val="TK311"/>
      <sheetName val="TK331"/>
      <sheetName val="TK3331"/>
      <sheetName val="TK3334"/>
      <sheetName val="TK334"/>
      <sheetName val="TK335"/>
      <sheetName val="TK336"/>
      <sheetName val="cd viaK0-T6"/>
      <sheetName val="cdvia T6-Tc24"/>
      <sheetName val="cdvia Tc24-T46"/>
      <sheetName val="cdbtnL2ko-k0+361"/>
      <sheetName val="cd btnL2k0+361-T19"/>
      <sheetName val="cong Q2"/>
      <sheetName val="T.U luong Q1"/>
      <sheetName val="T.U luong Q2"/>
      <sheetName val="T.U luong Q3"/>
      <sheetName val="DT"/>
      <sheetName val="THND"/>
      <sheetName val="THMD"/>
      <sheetName val="Phtro1"/>
      <sheetName val="DTKS1"/>
      <sheetName val="CT1m"/>
      <sheetName val="Dc Dau"/>
      <sheetName val=" o to Hien 8"/>
      <sheetName val=" o to Hien9"/>
      <sheetName val=" o to Hien10"/>
      <sheetName val=" o to Hien11"/>
      <sheetName val=" o to Hien12)"/>
      <sheetName val=" o to Hien1"/>
      <sheetName val=" o to Hien2"/>
      <sheetName val=" o to Hien3"/>
      <sheetName val=" o to Hien4"/>
      <sheetName val=" o to Hien5"/>
      <sheetName val=" o to Phong 8"/>
      <sheetName val=" o to Phong9"/>
      <sheetName val=" o to Phong10"/>
      <sheetName val=" o to Phong11"/>
      <sheetName val=" o to Phong12)"/>
      <sheetName val=" o to Phong1"/>
      <sheetName val=" o to Phong2"/>
      <sheetName val=" o to Phong3"/>
      <sheetName val=" o to Phong4"/>
      <sheetName val=" o to Phong5"/>
      <sheetName val=" o to Dung 8 "/>
      <sheetName val=" D tt dau8"/>
      <sheetName val=" o to Dung 9"/>
      <sheetName val=" D9 tt dau"/>
      <sheetName val=" D10 tt dau"/>
      <sheetName val=" o to Dung 10"/>
      <sheetName val=" o to Dung 11"/>
      <sheetName val=" o to Dung 12)"/>
      <sheetName val=" o to Dung 1"/>
      <sheetName val=" o to Dung2"/>
      <sheetName val=" o to Dung3"/>
      <sheetName val=" o to Dung4"/>
      <sheetName val=" o totrongT10-12"/>
      <sheetName val=" o totrongT2"/>
      <sheetName val=" o totrungT10-12"/>
      <sheetName val=" o toMinhT10-12 "/>
      <sheetName val=" o toMinhT2"/>
      <sheetName val=" o toTrieuT10-12  "/>
      <sheetName val="Luong 8 SP"/>
      <sheetName val="Luong 9 SP "/>
      <sheetName val="Luong 10 SP "/>
      <sheetName val="Luong 11 SP "/>
      <sheetName val="Luong 12 SP"/>
      <sheetName val="Luong 1 SP1"/>
      <sheetName val="Luong 2 SP2"/>
      <sheetName val="Luong 3 SP3"/>
      <sheetName val="Luong 4 SP4"/>
      <sheetName val="Luong 4 SP5"/>
      <sheetName val="BTTTLT8"/>
      <sheetName val="BTTTLT9"/>
      <sheetName val="BTTTLT10"/>
      <sheetName val="BTTTLT11"/>
      <sheetName val="BTTTLT12"/>
      <sheetName val="BTTTLT1"/>
      <sheetName val="BTTTLT2"/>
      <sheetName val="BTTTLT3"/>
      <sheetName val="BTTTLT4"/>
      <sheetName val="BTTTLT5"/>
      <sheetName val="Q1-02"/>
      <sheetName val="Q2-02"/>
      <sheetName val="Q3-02"/>
      <sheetName val="KL VL"/>
      <sheetName val="KHCTiet"/>
      <sheetName val="QT 9-6"/>
      <sheetName val="Thuong luu HB"/>
      <sheetName val="QT03"/>
      <sheetName val="QT"/>
      <sheetName val="PTmay"/>
      <sheetName val="KK"/>
      <sheetName val="QT Ky T"/>
      <sheetName val="BCKT"/>
      <sheetName val="bc vt TON BAI"/>
      <sheetName val="XXXXXXX0"/>
      <sheetName val="Ke"/>
      <sheetName val="KLTong hop"/>
      <sheetName val="Lan can"/>
      <sheetName val="Ranh doc (2)"/>
      <sheetName val="Ranh doc"/>
      <sheetName val="Coc tieu"/>
      <sheetName val="Bien bao"/>
      <sheetName val="Nan tuyen"/>
      <sheetName val="Lan 1"/>
      <sheetName val="Lan  2"/>
      <sheetName val="Lan 3"/>
      <sheetName val="Gia tri"/>
      <sheetName val="Lan 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ong Thu"/>
      <sheetName val="Tong Chi"/>
      <sheetName val="Truong hoc"/>
      <sheetName val="Cty CP"/>
      <sheetName val="G.thau 3B"/>
      <sheetName val="T.Hop Thu-chi"/>
      <sheetName val="Quyet toan"/>
      <sheetName val="Thu hoi"/>
      <sheetName val="Lai vay"/>
      <sheetName val="Tien vay"/>
      <sheetName val="Cong no"/>
      <sheetName val="Cop pha"/>
      <sheetName val="20000000"/>
      <sheetName val="KL Tram Cty"/>
      <sheetName val="Gam may Cty"/>
      <sheetName val="KL tram KH"/>
      <sheetName val="Gam may KH"/>
      <sheetName val="Cach dien"/>
      <sheetName val="Mang tai"/>
      <sheetName val="KL DDK"/>
      <sheetName val="Mang tai DDK"/>
      <sheetName val="KL DDK0,4"/>
      <sheetName val="TT Ky thuat"/>
      <sheetName val="CT moi"/>
      <sheetName val="Tu dien"/>
      <sheetName val="May cat"/>
      <sheetName val="Dao Cly"/>
      <sheetName val="THDGK"/>
      <sheetName val="THDGTT"/>
      <sheetName val="Cong hop"/>
      <sheetName val="nt+dd+cl"/>
      <sheetName val="kc+conlaiql"/>
      <sheetName val="kc+clai(107)"/>
      <sheetName val="duong(107)"/>
      <sheetName val="qui1"/>
      <sheetName val="1,3-30,4"/>
      <sheetName val="kldukien"/>
      <sheetName val="kldukien (107)"/>
      <sheetName val="thang4"/>
      <sheetName val="qui1 (2)"/>
      <sheetName val="Xep hang 201"/>
      <sheetName val="toan Cty"/>
      <sheetName val="Cong ty"/>
      <sheetName val="XN 2"/>
      <sheetName val="XN ong CHi"/>
      <sheetName val="N XDCT&amp; XKLD"/>
      <sheetName val="CN HCM"/>
      <sheetName val="HITECO"/>
      <sheetName val="TT XKLD(Nhan)"/>
      <sheetName val="Ong Hong"/>
      <sheetName val="CN hung yen"/>
      <sheetName val="Dong nai"/>
      <sheetName val="LUU1704"/>
      <sheetName val="T1(T1)04"/>
      <sheetName val="Caodo"/>
      <sheetName val="Dat"/>
      <sheetName val="KL-CTTK"/>
      <sheetName val="BTH"/>
      <sheetName val="TM"/>
      <sheetName val="BU-gian"/>
      <sheetName val="Bu-Ha"/>
      <sheetName val="PTVT"/>
      <sheetName val="Gia DAN"/>
      <sheetName val="Dan"/>
      <sheetName val="Cuoc"/>
      <sheetName val="Bugia"/>
      <sheetName val="KL57"/>
      <sheetName val="Phu luc HD"/>
      <sheetName val="Gia du thau"/>
      <sheetName val="PTDG"/>
      <sheetName val="Ca xe"/>
      <sheetName val="binh do"/>
      <sheetName val="cot lieu"/>
      <sheetName val="van khuon"/>
      <sheetName val="CT BT"/>
      <sheetName val="lay mau"/>
      <sheetName val="mat ngoai goi"/>
      <sheetName val="coc tram-bt"/>
      <sheetName val="THDT"/>
      <sheetName val="DM-Goc"/>
      <sheetName val="Gia-CT"/>
      <sheetName val="PTCP"/>
      <sheetName val="cphoi"/>
      <sheetName val="C45A-BH"/>
      <sheetName val="C46A-BH"/>
      <sheetName val="C47A-BH"/>
      <sheetName val="C48A-BH"/>
      <sheetName val="S-53-1"/>
      <sheetName val="CT xa"/>
      <sheetName val="TLGC"/>
      <sheetName val="BL"/>
      <sheetName val="tc"/>
      <sheetName val="TDT"/>
      <sheetName val="xl"/>
      <sheetName val="NN"/>
      <sheetName val="Tralaivay"/>
      <sheetName val="TBTN"/>
      <sheetName val="CPTV"/>
      <sheetName val="PCCHAY"/>
      <sheetName val="dtks"/>
      <sheetName val="Dao Ptai"/>
      <sheetName val="Tu RMU"/>
      <sheetName val="C.set"/>
      <sheetName val="SI"/>
      <sheetName val="Sco Cap"/>
      <sheetName val="Sco TB"/>
      <sheetName val="TN tram"/>
      <sheetName val="TN C.set"/>
      <sheetName val="TN TD DDay"/>
      <sheetName val="Phan chung"/>
      <sheetName val="NAM 2004"/>
      <sheetName val="C47-QI-2003"/>
      <sheetName val="ytq1"/>
      <sheetName val="C48-QI-2003"/>
      <sheetName val="cap so lan 2"/>
      <sheetName val="cap so BHXH"/>
      <sheetName val="tru tien"/>
      <sheetName val="C45-2003"/>
      <sheetName val="C47-QII-2003"/>
      <sheetName val="C48-QII-2003"/>
      <sheetName val="yt q2"/>
      <sheetName val="all"/>
      <sheetName val="c45 t3"/>
      <sheetName val="c45 t6"/>
      <sheetName val="BHYT Q3.2003"/>
      <sheetName val="C45 t7"/>
      <sheetName val="C47-t07.2003"/>
      <sheetName val="C45 t8"/>
      <sheetName val="C47-t08.2003"/>
      <sheetName val="C45 t09"/>
      <sheetName val="C47-t09.2003"/>
      <sheetName val="C45T12"/>
      <sheetName val="C47 T12"/>
      <sheetName val="BHYT Q4-2003"/>
      <sheetName val="C47T11"/>
      <sheetName val="C45T11"/>
      <sheetName val="C45 T10"/>
      <sheetName val="C47-t10"/>
      <sheetName val="luong thang 10"/>
      <sheetName val="tong hop thang 10"/>
      <sheetName val="loung11"/>
      <sheetName val="TH 11"/>
      <sheetName val="T122"/>
      <sheetName val="T121"/>
      <sheetName val="px khai thac 2"/>
      <sheetName val="dao lo so 2"/>
      <sheetName val="luong vp thang 10"/>
      <sheetName val="Dutoan"/>
      <sheetName val="congtac vien-uy"/>
      <sheetName val="Nhan luc2001"/>
      <sheetName val="Vattu2"/>
      <sheetName val="Vattu"/>
      <sheetName val="PXuat"/>
      <sheetName val="THVT.T5"/>
      <sheetName val="XL1.t5"/>
      <sheetName val="XL2.T5"/>
      <sheetName val="XL3.T5"/>
      <sheetName val="XL5.T5"/>
      <sheetName val="THCCDCXN"/>
      <sheetName val="CC.XL1"/>
      <sheetName val="XL2"/>
      <sheetName val="XL3"/>
      <sheetName val="XL5"/>
      <sheetName val="Cpa"/>
      <sheetName val="khXN"/>
      <sheetName val="KKTS.04"/>
      <sheetName val="nha kct"/>
      <sheetName val="BKVT"/>
      <sheetName val="Tien ung"/>
      <sheetName val="phi luong3"/>
      <sheetName val="DGXDCB"/>
      <sheetName val="DEM"/>
      <sheetName val="KHOILUONG"/>
      <sheetName val="DONGIA"/>
      <sheetName val="CPKSTK"/>
      <sheetName val="THIETBI"/>
      <sheetName val="VC1"/>
      <sheetName val="VC2"/>
      <sheetName val="VC3"/>
      <sheetName val="VC4"/>
      <sheetName val="VC5"/>
      <sheetName val="BaoCao"/>
      <sheetName val="TT"/>
      <sheetName val="CO SO DU LIEU PTVL"/>
      <sheetName val="HTSD6LD"/>
      <sheetName val="HTSDDNN"/>
      <sheetName val="HTSDKT"/>
      <sheetName val="BD"/>
      <sheetName val="HTNT"/>
      <sheetName val="CHART"/>
      <sheetName val="HTDT"/>
      <sheetName val="HTSDD"/>
      <sheetName val="Thang 12"/>
      <sheetName val="Thang 1"/>
      <sheetName val="moi"/>
      <sheetName val="Thang 12 (2)"/>
      <sheetName val="Thang 01"/>
    </sheetNames>
    <definedNames>
      <definedName name="DataFilter"/>
      <definedName name="DataSort"/>
      <definedName name="GoBack" sheetId="0"/>
    </defined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 refreshError="1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"/>
      <sheetName val="Sum (2)"/>
      <sheetName val="Supplement1"/>
      <sheetName val="Supplement1 (2)"/>
      <sheetName val="A"/>
      <sheetName val="B"/>
      <sheetName val="C"/>
      <sheetName val="D"/>
      <sheetName val="E"/>
      <sheetName val="F"/>
      <sheetName val="G"/>
      <sheetName val="H"/>
      <sheetName val="I"/>
      <sheetName val="K"/>
      <sheetName val="M"/>
      <sheetName val="L"/>
      <sheetName val="N"/>
      <sheetName val="O"/>
      <sheetName val=" Outdoor drainage"/>
      <sheetName val="000"/>
      <sheetName val="XL4Poppy"/>
      <sheetName val="DS-Thuong 6T dau"/>
      <sheetName val=" 견적서"/>
      <sheetName val="Sat tron"/>
    </sheetNames>
    <sheetDataSet>
      <sheetData sheetId="0" refreshError="1">
        <row r="1">
          <cell r="F1">
            <v>1</v>
          </cell>
        </row>
        <row r="2">
          <cell r="F2">
            <v>0.95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PANEL 南區焚化爐"/>
      <sheetName val="NEW-PANEL"/>
      <sheetName val="MV-PANEL"/>
    </sheetNames>
    <sheetDataSet>
      <sheetData sheetId="0"/>
      <sheetData sheetId="1"/>
      <sheetData sheetId="2"/>
      <sheetData sheetId="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M"/>
      <sheetName val="MA NPL"/>
      <sheetName val="Ma SP"/>
      <sheetName val="so dm"/>
      <sheetName val="TK XK"/>
    </sheetNames>
    <sheetDataSet>
      <sheetData sheetId="0"/>
      <sheetData sheetId="1">
        <row r="2">
          <cell r="B2" t="str">
            <v>N1</v>
          </cell>
          <cell r="C2" t="str">
            <v>KG</v>
          </cell>
          <cell r="D2" t="str">
            <v>Ôxit ma nhê</v>
          </cell>
        </row>
        <row r="3">
          <cell r="B3" t="str">
            <v>N2</v>
          </cell>
          <cell r="C3" t="str">
            <v>KG</v>
          </cell>
          <cell r="D3" t="str">
            <v>Bột talc</v>
          </cell>
        </row>
        <row r="4">
          <cell r="B4" t="str">
            <v>N3</v>
          </cell>
          <cell r="C4" t="str">
            <v>KG</v>
          </cell>
          <cell r="D4" t="str">
            <v>Lưu huỳnh</v>
          </cell>
        </row>
        <row r="5">
          <cell r="B5" t="str">
            <v>N4</v>
          </cell>
          <cell r="C5" t="str">
            <v>KG</v>
          </cell>
          <cell r="D5" t="str">
            <v>Ôxit silic</v>
          </cell>
        </row>
        <row r="6">
          <cell r="B6" t="str">
            <v>N5</v>
          </cell>
          <cell r="C6" t="str">
            <v>KG</v>
          </cell>
          <cell r="D6" t="str">
            <v>Ôxit kẽm</v>
          </cell>
        </row>
        <row r="7">
          <cell r="B7" t="str">
            <v>N6</v>
          </cell>
          <cell r="C7" t="str">
            <v>KG</v>
          </cell>
          <cell r="D7" t="str">
            <v>Ôxit titan</v>
          </cell>
        </row>
        <row r="8">
          <cell r="B8" t="str">
            <v>N7</v>
          </cell>
          <cell r="C8" t="str">
            <v>KG</v>
          </cell>
          <cell r="D8" t="str">
            <v>Axit Stearic</v>
          </cell>
        </row>
        <row r="9">
          <cell r="B9" t="str">
            <v>N8</v>
          </cell>
          <cell r="C9" t="str">
            <v>KG</v>
          </cell>
          <cell r="D9" t="str">
            <v>Can xi các bô nát</v>
          </cell>
        </row>
        <row r="10">
          <cell r="B10" t="str">
            <v>N9</v>
          </cell>
          <cell r="C10" t="str">
            <v>KG</v>
          </cell>
          <cell r="D10" t="str">
            <v>Chất làm mềm dẻo cao su (dầu trung)</v>
          </cell>
        </row>
        <row r="11">
          <cell r="B11" t="str">
            <v>N12</v>
          </cell>
          <cell r="C11" t="str">
            <v>KG</v>
          </cell>
          <cell r="D11" t="str">
            <v>Chất tạo màu</v>
          </cell>
        </row>
        <row r="12">
          <cell r="B12" t="str">
            <v>N13</v>
          </cell>
          <cell r="C12" t="str">
            <v>KG</v>
          </cell>
          <cell r="D12" t="str">
            <v>Chất chống lão hóa</v>
          </cell>
        </row>
        <row r="13">
          <cell r="B13" t="str">
            <v>N14</v>
          </cell>
          <cell r="C13" t="str">
            <v>KG</v>
          </cell>
          <cell r="D13" t="str">
            <v>Chất xúc tác cao su</v>
          </cell>
        </row>
        <row r="14">
          <cell r="B14" t="str">
            <v>N15</v>
          </cell>
          <cell r="C14" t="str">
            <v>KG</v>
          </cell>
          <cell r="D14" t="str">
            <v>Hạt nhựa EVA</v>
          </cell>
        </row>
        <row r="15">
          <cell r="B15" t="str">
            <v>N16</v>
          </cell>
          <cell r="C15" t="str">
            <v>KG</v>
          </cell>
          <cell r="D15" t="str">
            <v>Nhựa propylene copolymer</v>
          </cell>
        </row>
        <row r="16">
          <cell r="B16" t="str">
            <v>N19</v>
          </cell>
          <cell r="C16" t="str">
            <v>KG</v>
          </cell>
          <cell r="D16" t="str">
            <v>Ma nhê các bô nát</v>
          </cell>
        </row>
        <row r="17">
          <cell r="B17" t="str">
            <v>N20</v>
          </cell>
          <cell r="C17" t="str">
            <v>KG</v>
          </cell>
          <cell r="D17" t="str">
            <v>Cao su tổng hợp dạng nguyên sinh</v>
          </cell>
        </row>
        <row r="18">
          <cell r="B18" t="str">
            <v>N21</v>
          </cell>
          <cell r="C18" t="str">
            <v>KG</v>
          </cell>
          <cell r="D18" t="str">
            <v>Cao su tổng hợp</v>
          </cell>
        </row>
        <row r="19">
          <cell r="B19" t="str">
            <v>N22</v>
          </cell>
          <cell r="C19" t="str">
            <v>KG</v>
          </cell>
          <cell r="D19" t="str">
            <v>Sáp chế biến</v>
          </cell>
        </row>
        <row r="20">
          <cell r="B20" t="str">
            <v>N23</v>
          </cell>
          <cell r="C20" t="str">
            <v>KG</v>
          </cell>
          <cell r="D20" t="str">
            <v>Chất lưu hóa</v>
          </cell>
        </row>
        <row r="21">
          <cell r="B21" t="str">
            <v>N24</v>
          </cell>
          <cell r="C21" t="str">
            <v>KG</v>
          </cell>
          <cell r="D21" t="str">
            <v>Kẽm các bô nát</v>
          </cell>
        </row>
        <row r="22">
          <cell r="B22" t="str">
            <v>N26</v>
          </cell>
          <cell r="C22" t="str">
            <v>KG</v>
          </cell>
          <cell r="D22" t="str">
            <v>Hạt nhựa</v>
          </cell>
        </row>
        <row r="23">
          <cell r="B23" t="str">
            <v>N27</v>
          </cell>
          <cell r="C23" t="str">
            <v>KG</v>
          </cell>
          <cell r="D23" t="str">
            <v>Hạt nhựa Polyamit</v>
          </cell>
        </row>
        <row r="24">
          <cell r="B24" t="str">
            <v>N28</v>
          </cell>
          <cell r="C24" t="str">
            <v>KG</v>
          </cell>
          <cell r="D24" t="str">
            <v>Sợi thủy tinh</v>
          </cell>
        </row>
        <row r="25">
          <cell r="B25" t="str">
            <v>N29</v>
          </cell>
          <cell r="C25" t="str">
            <v>KG</v>
          </cell>
          <cell r="D25" t="str">
            <v>Chất chống ôxy hóa</v>
          </cell>
        </row>
        <row r="26">
          <cell r="B26" t="str">
            <v>N30</v>
          </cell>
          <cell r="C26" t="str">
            <v>KG</v>
          </cell>
          <cell r="D26" t="str">
            <v>Hạt nhựa polyme từ propylen</v>
          </cell>
        </row>
        <row r="27">
          <cell r="B27" t="str">
            <v>N31</v>
          </cell>
          <cell r="C27" t="str">
            <v>KG</v>
          </cell>
          <cell r="D27" t="str">
            <v>Muối canxi Stearat</v>
          </cell>
        </row>
        <row r="28">
          <cell r="B28" t="str">
            <v>N33</v>
          </cell>
          <cell r="C28" t="str">
            <v>KG</v>
          </cell>
          <cell r="D28" t="str">
            <v>Chất màu</v>
          </cell>
        </row>
        <row r="29">
          <cell r="B29" t="str">
            <v>N34</v>
          </cell>
          <cell r="C29" t="str">
            <v>CAI</v>
          </cell>
          <cell r="D29" t="str">
            <v>Bao giấy</v>
          </cell>
        </row>
        <row r="30">
          <cell r="B30" t="str">
            <v>N35</v>
          </cell>
          <cell r="C30" t="str">
            <v>M</v>
          </cell>
          <cell r="D30" t="str">
            <v>Giấy may miệng bao</v>
          </cell>
        </row>
        <row r="31">
          <cell r="B31" t="str">
            <v>bỏ</v>
          </cell>
          <cell r="D31" t="str">
            <v>Thùng cacrton</v>
          </cell>
        </row>
      </sheetData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K-111T9"/>
      <sheetName val="MATK"/>
      <sheetName val="BANGKE"/>
      <sheetName val="TONQUY"/>
      <sheetName val="SOCAI"/>
      <sheetName val="CANDOI"/>
    </sheetNames>
    <sheetDataSet>
      <sheetData sheetId="0"/>
      <sheetData sheetId="1">
        <row r="5">
          <cell r="A5">
            <v>111</v>
          </cell>
          <cell r="B5" t="str">
            <v>Tieàn maët</v>
          </cell>
        </row>
        <row r="6">
          <cell r="A6">
            <v>1111</v>
          </cell>
          <cell r="B6" t="str">
            <v>Tieàn VN</v>
          </cell>
        </row>
        <row r="7">
          <cell r="A7">
            <v>1112</v>
          </cell>
          <cell r="B7" t="str">
            <v>Ngoaïi teä</v>
          </cell>
        </row>
        <row r="8">
          <cell r="A8">
            <v>1113</v>
          </cell>
          <cell r="B8" t="str">
            <v>Vaøng baïc, kim khí quyù, ñaù quyù</v>
          </cell>
        </row>
        <row r="9">
          <cell r="A9">
            <v>112</v>
          </cell>
          <cell r="B9" t="str">
            <v>Tieàn göûi ngaân haøng</v>
          </cell>
        </row>
        <row r="10">
          <cell r="A10">
            <v>1121</v>
          </cell>
          <cell r="B10" t="str">
            <v>Tieàn VN</v>
          </cell>
        </row>
        <row r="11">
          <cell r="A11">
            <v>1122</v>
          </cell>
          <cell r="B11" t="str">
            <v>Ngoaïi teä</v>
          </cell>
        </row>
        <row r="12">
          <cell r="A12">
            <v>1123</v>
          </cell>
          <cell r="B12" t="str">
            <v>Vaøng baïc, kim khí quyù, ñaù quyù</v>
          </cell>
        </row>
        <row r="13">
          <cell r="A13">
            <v>113</v>
          </cell>
          <cell r="B13" t="str">
            <v>Tieàn ñang chuyeån</v>
          </cell>
        </row>
        <row r="14">
          <cell r="A14">
            <v>1131</v>
          </cell>
          <cell r="B14" t="str">
            <v>Tieàn VN</v>
          </cell>
        </row>
        <row r="15">
          <cell r="A15">
            <v>1132</v>
          </cell>
          <cell r="B15" t="str">
            <v>Ngoaïi teä</v>
          </cell>
        </row>
        <row r="16">
          <cell r="A16">
            <v>121</v>
          </cell>
          <cell r="B16" t="str">
            <v>Ñaàu tö chöùng khoaùn ngaén haïn</v>
          </cell>
        </row>
        <row r="17">
          <cell r="A17">
            <v>1211</v>
          </cell>
          <cell r="B17" t="str">
            <v>Coå phieáu</v>
          </cell>
        </row>
        <row r="18">
          <cell r="A18">
            <v>1212</v>
          </cell>
          <cell r="B18" t="str">
            <v>Traùi phieáu</v>
          </cell>
        </row>
        <row r="19">
          <cell r="A19">
            <v>128</v>
          </cell>
          <cell r="B19" t="str">
            <v>Ñaàu tö chöùng khoaùn ngaén haïn khaùc</v>
          </cell>
        </row>
        <row r="20">
          <cell r="A20">
            <v>129</v>
          </cell>
          <cell r="B20" t="str">
            <v>Döï phoøng giaûm giaù ñaàu tö ngaén haïn</v>
          </cell>
        </row>
        <row r="21">
          <cell r="A21">
            <v>131</v>
          </cell>
          <cell r="B21" t="str">
            <v>Phaûi thu cuûa khaùch haøng</v>
          </cell>
        </row>
        <row r="22">
          <cell r="A22">
            <v>133</v>
          </cell>
          <cell r="B22" t="str">
            <v>Thueá GTGT ñöôïc khaáu tröø</v>
          </cell>
        </row>
        <row r="23">
          <cell r="A23">
            <v>1331</v>
          </cell>
          <cell r="B23" t="str">
            <v>Thueá GTGT ñöôïc khaáu tröø cuûa h. hoùa, d.vuïï</v>
          </cell>
        </row>
        <row r="24">
          <cell r="A24">
            <v>1332</v>
          </cell>
          <cell r="B24" t="str">
            <v>Thueá GTGT ñöôïc khaáu tröø cuûa TSCÑ</v>
          </cell>
        </row>
        <row r="25">
          <cell r="A25">
            <v>136</v>
          </cell>
          <cell r="B25" t="str">
            <v>Phaûi thu noäi boä</v>
          </cell>
        </row>
        <row r="26">
          <cell r="A26">
            <v>1361</v>
          </cell>
          <cell r="B26" t="str">
            <v>Voán kinh doanh ôû caùc ñôn vò tröïc thuoäc</v>
          </cell>
        </row>
        <row r="27">
          <cell r="A27">
            <v>1368</v>
          </cell>
          <cell r="B27" t="str">
            <v>Phaûi thu noäi boä khaùc</v>
          </cell>
        </row>
        <row r="28">
          <cell r="A28">
            <v>138</v>
          </cell>
          <cell r="B28" t="str">
            <v>Phaûi thu khaùc</v>
          </cell>
        </row>
        <row r="29">
          <cell r="A29">
            <v>1381</v>
          </cell>
          <cell r="B29" t="str">
            <v>taøi saûn thieáu chôø söû lyù</v>
          </cell>
        </row>
        <row r="30">
          <cell r="A30">
            <v>1388</v>
          </cell>
          <cell r="B30" t="str">
            <v>Phaûi thu khaùc</v>
          </cell>
        </row>
        <row r="31">
          <cell r="A31">
            <v>139</v>
          </cell>
          <cell r="B31" t="str">
            <v>Döï phoøng phaûi thu khoù ñoøi</v>
          </cell>
        </row>
        <row r="32">
          <cell r="A32">
            <v>141</v>
          </cell>
          <cell r="B32" t="str">
            <v>Taïm öùng</v>
          </cell>
        </row>
        <row r="33">
          <cell r="A33">
            <v>142</v>
          </cell>
          <cell r="B33" t="str">
            <v>Chi phí traû tröôùc</v>
          </cell>
        </row>
        <row r="34">
          <cell r="A34">
            <v>1421</v>
          </cell>
          <cell r="B34" t="str">
            <v>Chi phí traû tröôùc</v>
          </cell>
        </row>
        <row r="35">
          <cell r="A35">
            <v>1422</v>
          </cell>
          <cell r="B35" t="str">
            <v>Chi phí chôø keát chuyeån</v>
          </cell>
        </row>
        <row r="36">
          <cell r="A36">
            <v>144</v>
          </cell>
          <cell r="B36" t="str">
            <v>Theá chaáp, kyù cöôïc, kyù quyõ ngaén haïn</v>
          </cell>
        </row>
        <row r="37">
          <cell r="A37">
            <v>151</v>
          </cell>
          <cell r="B37" t="str">
            <v>Haøng mua ñang ñi treân ñöôøng</v>
          </cell>
        </row>
        <row r="38">
          <cell r="A38">
            <v>152</v>
          </cell>
          <cell r="B38" t="str">
            <v>Nguyeân lieäu, vaät lieäu</v>
          </cell>
        </row>
        <row r="39">
          <cell r="A39">
            <v>153</v>
          </cell>
          <cell r="B39" t="str">
            <v>Coâng cuï, duïng cuï</v>
          </cell>
        </row>
        <row r="40">
          <cell r="A40">
            <v>1531</v>
          </cell>
          <cell r="B40" t="str">
            <v>Coâng cuï, duïng cuï</v>
          </cell>
        </row>
        <row r="41">
          <cell r="A41">
            <v>1532</v>
          </cell>
          <cell r="B41" t="str">
            <v>Bao bì luaân chuyeån</v>
          </cell>
        </row>
        <row r="42">
          <cell r="A42">
            <v>1533</v>
          </cell>
          <cell r="B42" t="str">
            <v>Ñoà duøng cho thueâ</v>
          </cell>
        </row>
        <row r="43">
          <cell r="A43">
            <v>154</v>
          </cell>
          <cell r="B43" t="str">
            <v>Chi phí sx, kd dôû dang</v>
          </cell>
        </row>
        <row r="44">
          <cell r="A44">
            <v>155</v>
          </cell>
          <cell r="B44" t="str">
            <v>Thaønh phaåm</v>
          </cell>
        </row>
        <row r="45">
          <cell r="A45">
            <v>156</v>
          </cell>
          <cell r="B45" t="str">
            <v>Haøng hoùa</v>
          </cell>
        </row>
        <row r="46">
          <cell r="A46">
            <v>1561</v>
          </cell>
          <cell r="B46" t="str">
            <v>Giaù mua haøng hoùa</v>
          </cell>
        </row>
        <row r="47">
          <cell r="A47">
            <v>1562</v>
          </cell>
          <cell r="B47" t="str">
            <v>Chi phí thu mua haøng hoùa</v>
          </cell>
        </row>
        <row r="48">
          <cell r="A48">
            <v>157</v>
          </cell>
          <cell r="B48" t="str">
            <v>Haøng göûi ñi baùn</v>
          </cell>
        </row>
        <row r="49">
          <cell r="A49">
            <v>159</v>
          </cell>
          <cell r="B49" t="str">
            <v>Döï phoøng giaûm giaù haøng toàn kho</v>
          </cell>
        </row>
        <row r="50">
          <cell r="A50">
            <v>161</v>
          </cell>
          <cell r="B50" t="str">
            <v>Chi söï nghieäp</v>
          </cell>
        </row>
        <row r="51">
          <cell r="A51">
            <v>1611</v>
          </cell>
          <cell r="B51" t="str">
            <v>Chi söï nghieäp naêm tröôùc</v>
          </cell>
        </row>
        <row r="52">
          <cell r="A52">
            <v>1612</v>
          </cell>
          <cell r="B52" t="str">
            <v>Chi söï nghieäp naêm nay</v>
          </cell>
        </row>
        <row r="53">
          <cell r="A53" t="str">
            <v>Loaïi 2</v>
          </cell>
          <cell r="B53" t="str">
            <v>Taøi Saûn Coá Ñònh</v>
          </cell>
        </row>
        <row r="54">
          <cell r="A54">
            <v>211</v>
          </cell>
          <cell r="B54" t="str">
            <v>TSCÑ höõu hình</v>
          </cell>
        </row>
        <row r="55">
          <cell r="A55">
            <v>2112</v>
          </cell>
          <cell r="B55" t="str">
            <v>Nhaø cöûa, vaät kieán truùc</v>
          </cell>
        </row>
        <row r="56">
          <cell r="A56">
            <v>2113</v>
          </cell>
          <cell r="B56" t="str">
            <v>Maùy moùc, thieát bò</v>
          </cell>
        </row>
        <row r="57">
          <cell r="A57">
            <v>2114</v>
          </cell>
          <cell r="B57" t="str">
            <v>Phöông tieän vaän taûi, truyeàn daãn</v>
          </cell>
        </row>
        <row r="58">
          <cell r="A58">
            <v>2115</v>
          </cell>
          <cell r="B58" t="str">
            <v>Thieát bò, duïng cuï quaûn lyù</v>
          </cell>
        </row>
        <row r="59">
          <cell r="A59">
            <v>2116</v>
          </cell>
          <cell r="B59" t="str">
            <v>Caây laâu naêm, suùc vaät laøm vieäc vaø cho sp</v>
          </cell>
        </row>
        <row r="60">
          <cell r="A60">
            <v>2118</v>
          </cell>
          <cell r="B60" t="str">
            <v>TSCÑ khaùc</v>
          </cell>
        </row>
        <row r="61">
          <cell r="A61">
            <v>212</v>
          </cell>
          <cell r="B61" t="str">
            <v>TSCÑ thueâ taøi chính</v>
          </cell>
        </row>
        <row r="62">
          <cell r="A62">
            <v>213</v>
          </cell>
          <cell r="B62" t="str">
            <v>TSCÑ voâ hình</v>
          </cell>
        </row>
        <row r="63">
          <cell r="A63">
            <v>2131</v>
          </cell>
          <cell r="B63" t="str">
            <v>Quyeàn söû duïng ñaát</v>
          </cell>
        </row>
        <row r="64">
          <cell r="A64">
            <v>2132</v>
          </cell>
          <cell r="B64" t="str">
            <v>Chi phí thaønh laäp, chuaån bò sx</v>
          </cell>
        </row>
        <row r="65">
          <cell r="A65">
            <v>2133</v>
          </cell>
          <cell r="B65" t="str">
            <v>Baèng phaùt minh, saùng cheá</v>
          </cell>
        </row>
        <row r="66">
          <cell r="A66">
            <v>2134</v>
          </cell>
          <cell r="B66" t="str">
            <v>Chi phí nghieân cöùu phaùt trieån</v>
          </cell>
        </row>
        <row r="67">
          <cell r="A67">
            <v>2135</v>
          </cell>
          <cell r="B67" t="str">
            <v>Chi phí veà lôïi theá thöông maïi</v>
          </cell>
        </row>
        <row r="68">
          <cell r="A68">
            <v>2138</v>
          </cell>
          <cell r="B68" t="str">
            <v>TSCÑ voâ hình khaùc</v>
          </cell>
        </row>
        <row r="69">
          <cell r="A69">
            <v>214</v>
          </cell>
          <cell r="B69" t="str">
            <v>Hao moøn TSCÑ</v>
          </cell>
        </row>
        <row r="70">
          <cell r="A70">
            <v>2141</v>
          </cell>
          <cell r="B70" t="str">
            <v>Hao moøn TSCÑ höõu hình</v>
          </cell>
        </row>
        <row r="71">
          <cell r="A71">
            <v>2142</v>
          </cell>
          <cell r="B71" t="str">
            <v>Hao moøn TSCÑ ñi thueâ</v>
          </cell>
        </row>
        <row r="72">
          <cell r="A72">
            <v>2143</v>
          </cell>
          <cell r="B72" t="str">
            <v>Hao moøn TSCÑ voâ hình</v>
          </cell>
        </row>
        <row r="73">
          <cell r="A73">
            <v>221</v>
          </cell>
          <cell r="B73" t="str">
            <v>Ñaàu tö chöùng khoaùn daøi haïn</v>
          </cell>
        </row>
        <row r="74">
          <cell r="A74">
            <v>2211</v>
          </cell>
          <cell r="B74" t="str">
            <v>Coâå phieáu</v>
          </cell>
        </row>
        <row r="75">
          <cell r="A75">
            <v>2212</v>
          </cell>
          <cell r="B75" t="str">
            <v>Traùi phieáu</v>
          </cell>
        </row>
        <row r="76">
          <cell r="A76">
            <v>222</v>
          </cell>
          <cell r="B76" t="str">
            <v>Goùp voán lieân doanh</v>
          </cell>
        </row>
        <row r="77">
          <cell r="A77">
            <v>228</v>
          </cell>
          <cell r="B77" t="str">
            <v>Ñaàu tö daøi haïn khaùc</v>
          </cell>
        </row>
        <row r="78">
          <cell r="A78">
            <v>229</v>
          </cell>
          <cell r="B78" t="str">
            <v>Döï phoøng giaûm giaù ñaàu tö daøi haïn</v>
          </cell>
        </row>
        <row r="79">
          <cell r="A79">
            <v>241</v>
          </cell>
          <cell r="B79" t="str">
            <v>Xaây döïng cô baûn dôû dang</v>
          </cell>
        </row>
        <row r="80">
          <cell r="A80">
            <v>2411</v>
          </cell>
          <cell r="B80" t="str">
            <v>Mua saém TSCÑ</v>
          </cell>
        </row>
        <row r="81">
          <cell r="A81">
            <v>2412</v>
          </cell>
          <cell r="B81" t="str">
            <v>Xaây döïng cô baûn</v>
          </cell>
        </row>
        <row r="82">
          <cell r="A82">
            <v>2413</v>
          </cell>
          <cell r="B82" t="str">
            <v>Söûa chöõa lôùn TSCÑ</v>
          </cell>
        </row>
        <row r="83">
          <cell r="A83">
            <v>244</v>
          </cell>
          <cell r="B83" t="str">
            <v>Kyù quyõ, kyù cöôïc daøi haïn</v>
          </cell>
        </row>
        <row r="84">
          <cell r="A84" t="str">
            <v>Loaïi 3û</v>
          </cell>
          <cell r="B84" t="str">
            <v>Nôï Phaûi Traû</v>
          </cell>
        </row>
        <row r="85">
          <cell r="A85">
            <v>311</v>
          </cell>
          <cell r="B85" t="str">
            <v>Vay ngaén haïn</v>
          </cell>
        </row>
        <row r="86">
          <cell r="A86">
            <v>315</v>
          </cell>
          <cell r="B86" t="str">
            <v>Nôï daøi haïn ñeán haïn traû</v>
          </cell>
        </row>
        <row r="87">
          <cell r="A87">
            <v>331</v>
          </cell>
          <cell r="B87" t="str">
            <v>Phaûi traû ngöôøi baùn</v>
          </cell>
        </row>
        <row r="88">
          <cell r="A88">
            <v>333</v>
          </cell>
          <cell r="B88" t="str">
            <v>Thueá vaø caùc khoaûn phaûi noäp Nhaø Nöôùc</v>
          </cell>
        </row>
        <row r="89">
          <cell r="A89">
            <v>3331</v>
          </cell>
          <cell r="B89" t="str">
            <v>Thueá GTGT</v>
          </cell>
        </row>
        <row r="90">
          <cell r="A90">
            <v>33311</v>
          </cell>
          <cell r="B90" t="str">
            <v>Thueá GTGT ñaàu ra</v>
          </cell>
        </row>
        <row r="91">
          <cell r="A91">
            <v>33312</v>
          </cell>
          <cell r="B91" t="str">
            <v>Thueá GTGT haøng nhaäp khaåu</v>
          </cell>
        </row>
        <row r="92">
          <cell r="A92">
            <v>3332</v>
          </cell>
          <cell r="B92" t="str">
            <v>Thueá tieâu thuï ñaëc bieät</v>
          </cell>
        </row>
        <row r="93">
          <cell r="A93">
            <v>3333</v>
          </cell>
          <cell r="B93" t="str">
            <v>Thueá xuaát nhaäp khaåu</v>
          </cell>
        </row>
        <row r="94">
          <cell r="A94">
            <v>3334</v>
          </cell>
          <cell r="B94" t="str">
            <v>Thueá thu nhaäp doanh nghieäp</v>
          </cell>
        </row>
        <row r="95">
          <cell r="A95">
            <v>3335</v>
          </cell>
          <cell r="B95" t="str">
            <v>Thu treân voán</v>
          </cell>
        </row>
        <row r="96">
          <cell r="A96">
            <v>3336</v>
          </cell>
          <cell r="B96" t="str">
            <v>Thueá taøi nguyeân</v>
          </cell>
        </row>
        <row r="97">
          <cell r="A97">
            <v>3337</v>
          </cell>
          <cell r="B97" t="str">
            <v>Thueá nhaø ñaát, tieàn thueâ ñaát</v>
          </cell>
        </row>
        <row r="98">
          <cell r="A98">
            <v>3338</v>
          </cell>
          <cell r="B98" t="str">
            <v>Caùc loaïi thueá khaùc</v>
          </cell>
        </row>
        <row r="99">
          <cell r="A99">
            <v>3339</v>
          </cell>
          <cell r="B99" t="str">
            <v>Phí, leä phí vaø caùc khoaûn phaûi noäp khaùc</v>
          </cell>
        </row>
        <row r="100">
          <cell r="A100">
            <v>334</v>
          </cell>
          <cell r="B100" t="str">
            <v>Phaûi traû coâng nhaân vieân</v>
          </cell>
        </row>
        <row r="101">
          <cell r="A101">
            <v>335</v>
          </cell>
          <cell r="B101" t="str">
            <v>Chi phí phaûi traû</v>
          </cell>
        </row>
        <row r="102">
          <cell r="A102">
            <v>336</v>
          </cell>
          <cell r="B102" t="str">
            <v>Phaûi traû noäi boä</v>
          </cell>
        </row>
        <row r="103">
          <cell r="A103">
            <v>338</v>
          </cell>
          <cell r="B103" t="str">
            <v>Phaûi traû, phaûi noäp khaùc</v>
          </cell>
        </row>
        <row r="104">
          <cell r="A104">
            <v>3381</v>
          </cell>
          <cell r="B104" t="str">
            <v>Taøi saûn thöøa chôø giaûi quyeát</v>
          </cell>
        </row>
        <row r="105">
          <cell r="A105">
            <v>3382</v>
          </cell>
          <cell r="B105" t="str">
            <v>Kinh phí coâng ñoaøn</v>
          </cell>
        </row>
        <row r="106">
          <cell r="A106">
            <v>3383</v>
          </cell>
          <cell r="B106" t="str">
            <v>Baûo hieåm xaõ hoäi</v>
          </cell>
        </row>
        <row r="107">
          <cell r="A107">
            <v>3384</v>
          </cell>
          <cell r="B107" t="str">
            <v>Baûo hieåm y teá</v>
          </cell>
        </row>
        <row r="108">
          <cell r="A108">
            <v>3388</v>
          </cell>
          <cell r="B108" t="str">
            <v>Phaûi traû, phaûi noäp khaùc</v>
          </cell>
        </row>
        <row r="109">
          <cell r="A109">
            <v>341</v>
          </cell>
          <cell r="B109" t="str">
            <v>Vay daøi haïn</v>
          </cell>
        </row>
        <row r="110">
          <cell r="A110">
            <v>342</v>
          </cell>
          <cell r="B110" t="str">
            <v>Nôï daøi haïn</v>
          </cell>
        </row>
        <row r="111">
          <cell r="A111">
            <v>344</v>
          </cell>
          <cell r="B111" t="str">
            <v>Nhaän kyù quyõ, kyù cöôïc daøi haïn</v>
          </cell>
        </row>
        <row r="112">
          <cell r="A112" t="str">
            <v>Loaïi 4</v>
          </cell>
          <cell r="B112" t="str">
            <v>Nguoàn Voán Chuû Sôû Höõu</v>
          </cell>
        </row>
        <row r="113">
          <cell r="A113">
            <v>411</v>
          </cell>
          <cell r="B113" t="str">
            <v>Nguoàn voán kinh doanh</v>
          </cell>
        </row>
        <row r="114">
          <cell r="A114">
            <v>412</v>
          </cell>
          <cell r="B114" t="str">
            <v>Cheânh leäch ñaùnh giaù laïi taøi saûn</v>
          </cell>
        </row>
        <row r="115">
          <cell r="A115">
            <v>413</v>
          </cell>
          <cell r="B115" t="str">
            <v>Cheânh leäch tyû giaù</v>
          </cell>
        </row>
        <row r="116">
          <cell r="A116">
            <v>414</v>
          </cell>
          <cell r="B116" t="str">
            <v>Quyõ ñaåu tö phaùt trieån</v>
          </cell>
        </row>
        <row r="117">
          <cell r="A117">
            <v>415</v>
          </cell>
          <cell r="B117" t="str">
            <v>Quyõ döï phoøng taøi chính</v>
          </cell>
        </row>
        <row r="118">
          <cell r="A118">
            <v>416</v>
          </cell>
          <cell r="B118" t="str">
            <v>Quyõ döï phoøng veà trôï caáp maát vieäc laøm</v>
          </cell>
        </row>
        <row r="119">
          <cell r="A119">
            <v>421</v>
          </cell>
          <cell r="B119" t="str">
            <v>Lôïi nhuaän chöa phaân phoái</v>
          </cell>
        </row>
        <row r="120">
          <cell r="A120">
            <v>4211</v>
          </cell>
          <cell r="B120" t="str">
            <v>Lôïi nhuaän naêm tröôùc</v>
          </cell>
        </row>
        <row r="121">
          <cell r="A121">
            <v>4212</v>
          </cell>
          <cell r="B121" t="str">
            <v>Lôïi nhuaän naêm nay</v>
          </cell>
        </row>
        <row r="122">
          <cell r="A122">
            <v>431</v>
          </cell>
          <cell r="B122" t="str">
            <v>Quyõ khen thöôûng, phuùc lôïi</v>
          </cell>
        </row>
        <row r="123">
          <cell r="A123">
            <v>4311</v>
          </cell>
          <cell r="B123" t="str">
            <v>Quyõ khen thöôûng</v>
          </cell>
        </row>
        <row r="124">
          <cell r="A124">
            <v>4312</v>
          </cell>
          <cell r="B124" t="str">
            <v>Quyõ phuùc läôïi</v>
          </cell>
        </row>
        <row r="125">
          <cell r="A125">
            <v>4313</v>
          </cell>
          <cell r="B125" t="str">
            <v>Quyõ phuùc läôïi ñaõ hình thaønh TSCÑ</v>
          </cell>
        </row>
        <row r="126">
          <cell r="A126">
            <v>441</v>
          </cell>
          <cell r="B126" t="str">
            <v>Nguoàn voán ñaàu tö xaây döïng cô baûn</v>
          </cell>
        </row>
        <row r="127">
          <cell r="A127">
            <v>451</v>
          </cell>
          <cell r="B127" t="str">
            <v>Quyõ quaûn lyù cuûa caáp treän</v>
          </cell>
        </row>
        <row r="128">
          <cell r="A128">
            <v>461</v>
          </cell>
          <cell r="B128" t="str">
            <v>Nguoàn kinh phí söï nghieäp</v>
          </cell>
        </row>
        <row r="129">
          <cell r="A129">
            <v>4611</v>
          </cell>
          <cell r="B129" t="str">
            <v>Nguoàn kinh phí söï nghieäp naêm tröôùc</v>
          </cell>
        </row>
        <row r="130">
          <cell r="A130">
            <v>4612</v>
          </cell>
          <cell r="B130" t="str">
            <v>Nguoàn kinh phí söï nghieäp naêm nay</v>
          </cell>
        </row>
        <row r="131">
          <cell r="A131">
            <v>466</v>
          </cell>
          <cell r="B131" t="str">
            <v>Nguoàn kinh phí ñaõ hình thaønh TSCÑ</v>
          </cell>
        </row>
        <row r="132">
          <cell r="A132" t="str">
            <v>Loaïi 5</v>
          </cell>
          <cell r="B132" t="str">
            <v>Doanh Thu</v>
          </cell>
        </row>
        <row r="133">
          <cell r="A133">
            <v>511</v>
          </cell>
          <cell r="B133" t="str">
            <v>Doanh thu baùn haøng</v>
          </cell>
        </row>
        <row r="134">
          <cell r="A134">
            <v>5111</v>
          </cell>
          <cell r="B134" t="str">
            <v>Doanh thu baùn haøng hoaù</v>
          </cell>
        </row>
        <row r="135">
          <cell r="A135">
            <v>5112</v>
          </cell>
          <cell r="B135" t="str">
            <v>Doanh thu baùn caùc thaønh phaåm</v>
          </cell>
        </row>
        <row r="136">
          <cell r="A136">
            <v>5113</v>
          </cell>
          <cell r="B136" t="str">
            <v>Doanh thu cung caáp dòch vuï</v>
          </cell>
        </row>
        <row r="137">
          <cell r="A137">
            <v>5114</v>
          </cell>
          <cell r="B137" t="str">
            <v>Doanh thu trôï caáp trôï giaù</v>
          </cell>
        </row>
        <row r="138">
          <cell r="A138">
            <v>512</v>
          </cell>
          <cell r="B138" t="str">
            <v>Doanh thu baùn haøng noäi boä</v>
          </cell>
        </row>
        <row r="139">
          <cell r="A139">
            <v>5121</v>
          </cell>
          <cell r="B139" t="str">
            <v>Doanh thu baùn haøng hoùa</v>
          </cell>
        </row>
        <row r="140">
          <cell r="A140">
            <v>5122</v>
          </cell>
          <cell r="B140" t="str">
            <v>Doanh thu baùn saûn phaåm</v>
          </cell>
        </row>
        <row r="141">
          <cell r="A141">
            <v>5123</v>
          </cell>
          <cell r="B141" t="str">
            <v>Doanh thu cung caáp dòch vuï</v>
          </cell>
        </row>
        <row r="142">
          <cell r="A142">
            <v>521</v>
          </cell>
          <cell r="B142" t="str">
            <v>Chieát khaáu baùn haøng</v>
          </cell>
        </row>
        <row r="143">
          <cell r="A143">
            <v>5211</v>
          </cell>
          <cell r="B143" t="str">
            <v>Chieát khaáu haøng hoùa</v>
          </cell>
        </row>
        <row r="144">
          <cell r="A144">
            <v>5212</v>
          </cell>
          <cell r="B144" t="str">
            <v>Chieát khaáu thaønh phaåm</v>
          </cell>
        </row>
        <row r="145">
          <cell r="A145">
            <v>5213</v>
          </cell>
          <cell r="B145" t="str">
            <v>Chieát khaáu dòch vuï</v>
          </cell>
        </row>
        <row r="146">
          <cell r="A146">
            <v>531</v>
          </cell>
          <cell r="B146" t="str">
            <v>Haøng baùn bò traû laïi</v>
          </cell>
        </row>
        <row r="147">
          <cell r="A147">
            <v>532</v>
          </cell>
          <cell r="B147" t="str">
            <v>Giaûm giaù haøng baùn</v>
          </cell>
        </row>
        <row r="148">
          <cell r="A148" t="str">
            <v>Loaïi 6</v>
          </cell>
          <cell r="B148" t="str">
            <v>Chi Phí Saûn Xuaát, Kinh Doanh</v>
          </cell>
        </row>
        <row r="149">
          <cell r="A149">
            <v>611</v>
          </cell>
          <cell r="B149" t="str">
            <v xml:space="preserve">Mua haøng </v>
          </cell>
        </row>
        <row r="150">
          <cell r="A150">
            <v>6111</v>
          </cell>
          <cell r="B150" t="str">
            <v>Mua nguyeân lieäu, vaät lieäu</v>
          </cell>
        </row>
        <row r="151">
          <cell r="A151">
            <v>6112</v>
          </cell>
          <cell r="B151" t="str">
            <v>Mua haøng hoùa</v>
          </cell>
        </row>
        <row r="152">
          <cell r="A152">
            <v>621</v>
          </cell>
          <cell r="B152" t="str">
            <v>Chi phí NVL tröïc tieáp</v>
          </cell>
        </row>
        <row r="153">
          <cell r="A153">
            <v>622</v>
          </cell>
          <cell r="B153" t="str">
            <v>Chi phí nhaân coâng tröïc tieáp</v>
          </cell>
        </row>
        <row r="154">
          <cell r="A154">
            <v>627</v>
          </cell>
          <cell r="B154" t="str">
            <v>Chi phí SX chung</v>
          </cell>
        </row>
        <row r="155">
          <cell r="A155">
            <v>6271</v>
          </cell>
          <cell r="B155" t="str">
            <v>Chi phí nhaân vieân phaân xöôûng</v>
          </cell>
        </row>
        <row r="156">
          <cell r="A156">
            <v>6272</v>
          </cell>
          <cell r="B156" t="str">
            <v>Chi phí vaät lieäu</v>
          </cell>
        </row>
        <row r="157">
          <cell r="A157">
            <v>6273</v>
          </cell>
          <cell r="B157" t="str">
            <v>Chi phí duïng cuï SX</v>
          </cell>
        </row>
        <row r="158">
          <cell r="A158">
            <v>6274</v>
          </cell>
          <cell r="B158" t="str">
            <v>Chi phí khaáu hao TSCÑ</v>
          </cell>
        </row>
        <row r="159">
          <cell r="A159">
            <v>6277</v>
          </cell>
          <cell r="B159" t="str">
            <v>Chi phí dòch vuï mua ngoaøi</v>
          </cell>
        </row>
        <row r="160">
          <cell r="A160">
            <v>6278</v>
          </cell>
          <cell r="B160" t="str">
            <v>Chi phí baèng tieàn khaùc</v>
          </cell>
        </row>
        <row r="161">
          <cell r="A161">
            <v>631</v>
          </cell>
          <cell r="B161" t="str">
            <v>Giaù thaønh saûn xuaát</v>
          </cell>
        </row>
        <row r="162">
          <cell r="A162">
            <v>632</v>
          </cell>
          <cell r="B162" t="str">
            <v>Giaù voán haøng baùn</v>
          </cell>
        </row>
        <row r="163">
          <cell r="A163">
            <v>641</v>
          </cell>
          <cell r="B163" t="str">
            <v>Chi phí baùn haøng</v>
          </cell>
        </row>
        <row r="164">
          <cell r="A164">
            <v>6411</v>
          </cell>
          <cell r="B164" t="str">
            <v>Chi phí nhaân vieân</v>
          </cell>
        </row>
        <row r="165">
          <cell r="A165">
            <v>6412</v>
          </cell>
          <cell r="B165" t="str">
            <v>Chi phí vaät lieän, bao bì</v>
          </cell>
        </row>
        <row r="166">
          <cell r="A166">
            <v>6413</v>
          </cell>
          <cell r="B166" t="str">
            <v>Chi phí duïng cuï, ñoà duøng</v>
          </cell>
        </row>
        <row r="167">
          <cell r="A167">
            <v>6414</v>
          </cell>
          <cell r="B167" t="str">
            <v>Chi phí khaáu hao TSCÑ</v>
          </cell>
        </row>
        <row r="168">
          <cell r="A168">
            <v>6417</v>
          </cell>
          <cell r="B168" t="str">
            <v>Chi phí dòch vuï mua ngoaøi</v>
          </cell>
        </row>
        <row r="169">
          <cell r="A169">
            <v>6418</v>
          </cell>
          <cell r="B169" t="str">
            <v>Chi phí baèng tieàn khaùc</v>
          </cell>
        </row>
        <row r="170">
          <cell r="A170">
            <v>642</v>
          </cell>
          <cell r="B170" t="str">
            <v>Chi phí quaûn lyù doanh nghieäp</v>
          </cell>
        </row>
        <row r="171">
          <cell r="A171">
            <v>6421</v>
          </cell>
          <cell r="B171" t="str">
            <v>Chi phí nhaân vieân quaûn lyù</v>
          </cell>
        </row>
        <row r="172">
          <cell r="A172">
            <v>6422</v>
          </cell>
          <cell r="B172" t="str">
            <v>Chi phí vaät lieäu quaûn lyù</v>
          </cell>
        </row>
        <row r="173">
          <cell r="A173">
            <v>6423</v>
          </cell>
          <cell r="B173" t="str">
            <v>Chi phí ñoà duøng vaên phoøng</v>
          </cell>
        </row>
        <row r="174">
          <cell r="A174">
            <v>6424</v>
          </cell>
          <cell r="B174" t="str">
            <v>Chi phí khaáu hao TSCÑ</v>
          </cell>
        </row>
        <row r="175">
          <cell r="A175">
            <v>6425</v>
          </cell>
          <cell r="B175" t="str">
            <v>Thueá, phí vaø leä phí</v>
          </cell>
        </row>
        <row r="176">
          <cell r="A176">
            <v>6426</v>
          </cell>
          <cell r="B176" t="str">
            <v>Chi phí döï phoøng</v>
          </cell>
        </row>
        <row r="177">
          <cell r="A177">
            <v>6427</v>
          </cell>
          <cell r="B177" t="str">
            <v>Chi phí dòch vuï mua ngoaøi</v>
          </cell>
        </row>
        <row r="178">
          <cell r="A178">
            <v>6428</v>
          </cell>
          <cell r="B178" t="str">
            <v>Chi phí baèng tieàn khaùc</v>
          </cell>
        </row>
        <row r="179">
          <cell r="A179" t="str">
            <v>Loaïi 7</v>
          </cell>
          <cell r="B179" t="str">
            <v>Thu Nhaäp Hoaït Ñoäng Khaùc</v>
          </cell>
        </row>
        <row r="180">
          <cell r="A180">
            <v>711</v>
          </cell>
          <cell r="B180" t="str">
            <v>Thu nhaäp hoaït ñoäng taøi chính</v>
          </cell>
        </row>
        <row r="181">
          <cell r="A181">
            <v>721</v>
          </cell>
          <cell r="B181" t="str">
            <v xml:space="preserve">Caùc khoaûn thu nhaäp baát thöôøng </v>
          </cell>
        </row>
        <row r="182">
          <cell r="A182" t="str">
            <v>Loaïi 8</v>
          </cell>
          <cell r="B182" t="str">
            <v>Chi Phí Hoaït Ñoäng Khaùc</v>
          </cell>
        </row>
        <row r="183">
          <cell r="A183">
            <v>811</v>
          </cell>
          <cell r="B183" t="str">
            <v>Chi phí hoaït ñoäng taøi chính</v>
          </cell>
        </row>
        <row r="184">
          <cell r="A184">
            <v>821</v>
          </cell>
          <cell r="B184" t="str">
            <v xml:space="preserve">Chi phí baát thöôøng </v>
          </cell>
        </row>
        <row r="185">
          <cell r="A185" t="str">
            <v>Loaïi 9</v>
          </cell>
          <cell r="B185" t="str">
            <v>Xaùc ñònh keát quaû kinh doanh</v>
          </cell>
        </row>
        <row r="186">
          <cell r="A186">
            <v>911</v>
          </cell>
          <cell r="B186" t="str">
            <v>Xaùc ñònh keát quaû kinh doanh</v>
          </cell>
        </row>
        <row r="187">
          <cell r="A187" t="str">
            <v>Loaïi 0</v>
          </cell>
          <cell r="B187" t="str">
            <v>Taøi Khoaûn Ngoaøi Baûng</v>
          </cell>
        </row>
        <row r="188">
          <cell r="A188" t="str">
            <v>001</v>
          </cell>
          <cell r="B188" t="str">
            <v>Taøi saûn thueâ ngoaøi</v>
          </cell>
        </row>
        <row r="189">
          <cell r="A189" t="str">
            <v>002</v>
          </cell>
          <cell r="B189" t="str">
            <v>Vaät tö, h. hoaù nhaän giöõ hoä, nhaän gia coâng</v>
          </cell>
        </row>
        <row r="190">
          <cell r="A190" t="str">
            <v>003</v>
          </cell>
          <cell r="B190" t="str">
            <v>Haøng hoaù nhaän baùn hoä, kyù göûi</v>
          </cell>
        </row>
        <row r="191">
          <cell r="A191" t="str">
            <v>004</v>
          </cell>
          <cell r="B191" t="str">
            <v>Nôï khoù ñoøi ñaõ xöû lyù</v>
          </cell>
        </row>
        <row r="192">
          <cell r="A192" t="str">
            <v>007</v>
          </cell>
          <cell r="B192" t="str">
            <v>Ngoaïi teä caùc loaïi</v>
          </cell>
        </row>
        <row r="193">
          <cell r="A193" t="str">
            <v>008</v>
          </cell>
          <cell r="B193" t="str">
            <v>Haïn möùc kinh phí</v>
          </cell>
        </row>
        <row r="194">
          <cell r="A194" t="str">
            <v>0081</v>
          </cell>
          <cell r="B194" t="str">
            <v>Haïn möùc kinh phí thuoäc ngaân saùch TW</v>
          </cell>
        </row>
        <row r="195">
          <cell r="A195" t="str">
            <v>0082</v>
          </cell>
          <cell r="B195" t="str">
            <v>Haïn möùc kd thuoäc ngaân saùch ñòa phöông</v>
          </cell>
        </row>
        <row r="196">
          <cell r="A196" t="str">
            <v>009</v>
          </cell>
          <cell r="B196" t="str">
            <v>Nguoàn voán khaáu hao cô baûn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FF.OT1"/>
      <sheetName val="PRO.OT1"/>
      <sheetName val="OFF.OT2"/>
      <sheetName val="PRO.OT2"/>
      <sheetName val="BIS.178 2ND"/>
      <sheetName val="BIS 2ND  300,800"/>
      <sheetName val="BIS SP 2675 2ND"/>
      <sheetName val="PRO.TIME2ND"/>
      <sheetName val="178,300,800.B1ST"/>
      <sheetName val="25,175,,2675. B 1ST"/>
      <sheetName val="PRO.TIME1ST"/>
      <sheetName val="BTIME.1ST"/>
      <sheetName val="BTIME2ND"/>
      <sheetName val="PACKING(400+600+300+700).1ST "/>
      <sheetName val="PACKING(200).1ST"/>
      <sheetName val="PACKI NG(100+120)1ST"/>
      <sheetName val="PACKING1(100&amp;120).2ND"/>
      <sheetName val="PACKING1(200, 220.2ND (2)"/>
      <sheetName val="PACKING1(300&amp;400&amp;500&amp;700&amp;).2ND "/>
      <sheetName val="SPPROD 2ND"/>
      <sheetName val="PAID 1"/>
      <sheetName val="ALLOWANCE P.W 1ST"/>
      <sheetName val="ALLOWANCE P.W 2ND"/>
      <sheetName val="ALLOWANCE OT 1ST"/>
      <sheetName val="SHIET THREE 1ST"/>
      <sheetName val="OT PROD 2ND"/>
      <sheetName val="SHIET THREE PROD 2ND"/>
      <sheetName val="Sheet2"/>
      <sheetName val="PAID 2"/>
      <sheetName val="REPORT1"/>
      <sheetName val="REPORT 2 "/>
      <sheetName val="BAOCAO XIAO ZHANG"/>
      <sheetName val="Sheet4"/>
      <sheetName val="Sheet5"/>
      <sheetName val="Sheet1"/>
      <sheetName val="Sheet3"/>
      <sheetName val="XL4Poppy"/>
      <sheetName val="PACKING1(300&amp;400&amp;500&amp;700&amp;). (2)"/>
      <sheetName val="TEMPORARY"/>
      <sheetName val="178 +500 B 2ND"/>
      <sheetName val="500+50+2675+300.B 1ST "/>
      <sheetName val="PACKING(220&amp;500&amp;700).1ST"/>
      <sheetName val="PACKING(200&amp;600).1ST"/>
      <sheetName val="PACKING1(200&amp;400).2ND (2)"/>
      <sheetName val="DS CN KHO"/>
      <sheetName val="PAID1"/>
      <sheetName val="BIS.1ST,2675"/>
      <sheetName val="178,300,800"/>
      <sheetName val="25,50,400,2675"/>
      <sheetName val="DS BISCUIT.W MOVE PROD"/>
      <sheetName val="BIS.2ND,2675"/>
      <sheetName val="300&amp;500 1st"/>
      <sheetName val=" 2675&amp; 178.B 1ST "/>
      <sheetName val="PACKING1(200).2ND (2)"/>
      <sheetName val="ALLOWANCE PROD JUN 1ST"/>
      <sheetName val="ALLOWANCE PROD 2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BASE"/>
    </sheetNames>
    <sheetDataSet>
      <sheetData sheetId="0">
        <row r="7">
          <cell r="AH7" t="str">
            <v>SP1</v>
          </cell>
          <cell r="AI7" t="str">
            <v>SOLVENT CLEANING   (SSPC-SP-1)</v>
          </cell>
          <cell r="AJ7">
            <v>60</v>
          </cell>
          <cell r="AK7">
            <v>60</v>
          </cell>
          <cell r="AL7">
            <v>60</v>
          </cell>
        </row>
        <row r="8">
          <cell r="AH8" t="str">
            <v>SP2</v>
          </cell>
          <cell r="AI8" t="str">
            <v>HAND CLEANING   (SSPC-SP-2)</v>
          </cell>
          <cell r="AJ8">
            <v>50</v>
          </cell>
          <cell r="AK8">
            <v>50</v>
          </cell>
          <cell r="AL8">
            <v>50</v>
          </cell>
        </row>
        <row r="9">
          <cell r="AH9" t="str">
            <v>SP3</v>
          </cell>
          <cell r="AI9" t="str">
            <v>POWER CLEANING   (SSPC-SP-3)</v>
          </cell>
          <cell r="AJ9">
            <v>50</v>
          </cell>
          <cell r="AK9">
            <v>50</v>
          </cell>
          <cell r="AL9">
            <v>50</v>
          </cell>
        </row>
        <row r="10">
          <cell r="AH10" t="str">
            <v>SP5</v>
          </cell>
          <cell r="AI10" t="str">
            <v>WHITE METAL BLAST   (SSPC-SP-5)</v>
          </cell>
          <cell r="AJ10">
            <v>90</v>
          </cell>
          <cell r="AK10">
            <v>90</v>
          </cell>
          <cell r="AL10">
            <v>90</v>
          </cell>
        </row>
        <row r="11">
          <cell r="AH11" t="str">
            <v>SP6</v>
          </cell>
          <cell r="AI11" t="str">
            <v>COMMERCIAL BLAST (SSPC-SP-6)</v>
          </cell>
          <cell r="AJ11">
            <v>70</v>
          </cell>
          <cell r="AK11">
            <v>70</v>
          </cell>
          <cell r="AL11">
            <v>70</v>
          </cell>
        </row>
        <row r="12">
          <cell r="AH12" t="str">
            <v>SP7</v>
          </cell>
          <cell r="AI12" t="str">
            <v>BRUSH OFF BLAST CLEANING (SSPC-SP7)</v>
          </cell>
          <cell r="AJ12">
            <v>50</v>
          </cell>
          <cell r="AK12">
            <v>50</v>
          </cell>
          <cell r="AL12">
            <v>50</v>
          </cell>
        </row>
        <row r="13">
          <cell r="AH13" t="str">
            <v>SP8</v>
          </cell>
          <cell r="AI13" t="str">
            <v>PICKLING  (SSPC-SP-8)</v>
          </cell>
          <cell r="AJ13">
            <v>350</v>
          </cell>
          <cell r="AK13">
            <v>350</v>
          </cell>
          <cell r="AL13">
            <v>350</v>
          </cell>
        </row>
        <row r="14">
          <cell r="AH14" t="str">
            <v>SP10</v>
          </cell>
          <cell r="AI14" t="str">
            <v>NEAR WHITE BLAST (SSPC-SP-10)</v>
          </cell>
          <cell r="AJ14">
            <v>80</v>
          </cell>
          <cell r="AK14">
            <v>80</v>
          </cell>
          <cell r="AL14">
            <v>80</v>
          </cell>
        </row>
        <row r="16">
          <cell r="AH16" t="str">
            <v>RLP</v>
          </cell>
          <cell r="AI16" t="str">
            <v>RED LEAD PRIMER</v>
          </cell>
          <cell r="AJ16" t="str">
            <v>0101</v>
          </cell>
          <cell r="AK16" t="str">
            <v>905(OP-91)</v>
          </cell>
          <cell r="AL16" t="str">
            <v>210</v>
          </cell>
          <cell r="AM16">
            <v>1</v>
          </cell>
          <cell r="AN16">
            <v>9.1999999999999993</v>
          </cell>
          <cell r="AO16">
            <v>9.6999999999999993</v>
          </cell>
          <cell r="AP16">
            <v>14.8</v>
          </cell>
          <cell r="AQ16">
            <v>47.83</v>
          </cell>
          <cell r="AR16">
            <v>45.36</v>
          </cell>
          <cell r="AS16">
            <v>38.51</v>
          </cell>
          <cell r="AT16">
            <v>440</v>
          </cell>
          <cell r="AU16">
            <v>440</v>
          </cell>
          <cell r="AV16">
            <v>570</v>
          </cell>
        </row>
        <row r="17">
          <cell r="AI17" t="str">
            <v>RED LEAD PRIMER</v>
          </cell>
          <cell r="AJ17" t="str">
            <v>0102</v>
          </cell>
          <cell r="AK17" t="str">
            <v>906(OP-92)</v>
          </cell>
          <cell r="AL17" t="str">
            <v>220</v>
          </cell>
          <cell r="AM17">
            <v>1</v>
          </cell>
          <cell r="AN17">
            <v>8.7799999999999994</v>
          </cell>
          <cell r="AO17">
            <v>10</v>
          </cell>
          <cell r="AP17">
            <v>12.4</v>
          </cell>
          <cell r="AQ17">
            <v>47.83</v>
          </cell>
          <cell r="AR17">
            <v>42</v>
          </cell>
          <cell r="AS17">
            <v>38.71</v>
          </cell>
          <cell r="AT17">
            <v>420</v>
          </cell>
          <cell r="AU17">
            <v>420</v>
          </cell>
          <cell r="AV17">
            <v>480</v>
          </cell>
        </row>
        <row r="18">
          <cell r="AI18" t="str">
            <v>B P RED LEAD PRIMER</v>
          </cell>
          <cell r="AJ18" t="str">
            <v>0103</v>
          </cell>
          <cell r="AK18" t="str">
            <v>911</v>
          </cell>
          <cell r="AM18">
            <v>1</v>
          </cell>
          <cell r="AN18">
            <v>8.44</v>
          </cell>
          <cell r="AO18">
            <v>9</v>
          </cell>
          <cell r="AQ18">
            <v>45</v>
          </cell>
          <cell r="AR18">
            <v>42.22</v>
          </cell>
          <cell r="AT18">
            <v>380</v>
          </cell>
          <cell r="AU18">
            <v>380</v>
          </cell>
        </row>
        <row r="19">
          <cell r="AH19" t="str">
            <v>ATP</v>
          </cell>
          <cell r="AI19" t="str">
            <v xml:space="preserve">ALUMINUM TRIPOLYPHOSPHATE PRIMER </v>
          </cell>
          <cell r="AJ19" t="str">
            <v>0107</v>
          </cell>
          <cell r="AK19" t="str">
            <v>992</v>
          </cell>
          <cell r="AL19" t="str">
            <v>221</v>
          </cell>
          <cell r="AM19">
            <v>1</v>
          </cell>
          <cell r="AN19">
            <v>12.6</v>
          </cell>
          <cell r="AO19">
            <v>7.09</v>
          </cell>
          <cell r="AP19">
            <v>11.4</v>
          </cell>
          <cell r="AQ19">
            <v>39.68</v>
          </cell>
          <cell r="AR19">
            <v>42.31</v>
          </cell>
          <cell r="AS19">
            <v>38.6</v>
          </cell>
          <cell r="AT19">
            <v>500</v>
          </cell>
          <cell r="AU19">
            <v>300</v>
          </cell>
          <cell r="AV19">
            <v>440</v>
          </cell>
        </row>
        <row r="20">
          <cell r="AH20" t="str">
            <v>AZPP</v>
          </cell>
          <cell r="AI20" t="str">
            <v xml:space="preserve">ALKYD ZINC PHOSPHATE PRIMER </v>
          </cell>
          <cell r="AJ20" t="str">
            <v>0111</v>
          </cell>
          <cell r="AK20" t="str">
            <v>907(OP-93)</v>
          </cell>
          <cell r="AL20" t="str">
            <v>240</v>
          </cell>
          <cell r="AM20">
            <v>1</v>
          </cell>
          <cell r="AN20">
            <v>24.77</v>
          </cell>
          <cell r="AO20">
            <v>10.6</v>
          </cell>
          <cell r="AP20">
            <v>9</v>
          </cell>
          <cell r="AQ20">
            <v>40.369999999999997</v>
          </cell>
          <cell r="AR20">
            <v>41.51</v>
          </cell>
          <cell r="AS20">
            <v>40.89</v>
          </cell>
          <cell r="AT20">
            <v>1000</v>
          </cell>
          <cell r="AU20">
            <v>440</v>
          </cell>
          <cell r="AV20">
            <v>368</v>
          </cell>
        </row>
        <row r="21">
          <cell r="AH21" t="str">
            <v>IOP</v>
          </cell>
          <cell r="AI21" t="str">
            <v xml:space="preserve">IRON OXIDE PRIMER </v>
          </cell>
          <cell r="AJ21" t="str">
            <v>0121</v>
          </cell>
          <cell r="AK21" t="str">
            <v>904(OP-95)</v>
          </cell>
          <cell r="AL21" t="str">
            <v>230</v>
          </cell>
          <cell r="AM21">
            <v>1</v>
          </cell>
          <cell r="AN21">
            <v>6.5</v>
          </cell>
          <cell r="AO21">
            <v>8.1999999999999993</v>
          </cell>
          <cell r="AP21">
            <v>5.2</v>
          </cell>
          <cell r="AQ21">
            <v>46.15</v>
          </cell>
          <cell r="AR21">
            <v>41.46</v>
          </cell>
          <cell r="AS21">
            <v>57.12</v>
          </cell>
          <cell r="AT21">
            <v>300</v>
          </cell>
          <cell r="AU21">
            <v>340</v>
          </cell>
          <cell r="AV21">
            <v>297</v>
          </cell>
        </row>
        <row r="22">
          <cell r="AH22" t="str">
            <v>GS</v>
          </cell>
          <cell r="AI22" t="str">
            <v xml:space="preserve">GRAY SURFACE </v>
          </cell>
          <cell r="AJ22" t="str">
            <v>0141</v>
          </cell>
          <cell r="AK22" t="str">
            <v>501</v>
          </cell>
          <cell r="AL22" t="str">
            <v>090</v>
          </cell>
          <cell r="AM22">
            <v>1</v>
          </cell>
          <cell r="AN22">
            <v>8.1</v>
          </cell>
          <cell r="AO22">
            <v>12.1</v>
          </cell>
          <cell r="AP22">
            <v>12.6</v>
          </cell>
          <cell r="AQ22">
            <v>37.04</v>
          </cell>
          <cell r="AR22">
            <v>37.19</v>
          </cell>
          <cell r="AS22">
            <v>37.94</v>
          </cell>
          <cell r="AT22">
            <v>300</v>
          </cell>
          <cell r="AU22">
            <v>450</v>
          </cell>
          <cell r="AV22">
            <v>478</v>
          </cell>
        </row>
        <row r="23">
          <cell r="AH23" t="str">
            <v>RMP</v>
          </cell>
          <cell r="AI23" t="str">
            <v>READY-MIXED PAINT</v>
          </cell>
          <cell r="AJ23" t="str">
            <v>0151</v>
          </cell>
          <cell r="AK23" t="str">
            <v>111</v>
          </cell>
          <cell r="AL23" t="str">
            <v>100</v>
          </cell>
          <cell r="AM23">
            <v>1</v>
          </cell>
          <cell r="AN23">
            <v>10.9</v>
          </cell>
          <cell r="AO23">
            <v>9.6</v>
          </cell>
          <cell r="AP23">
            <v>10</v>
          </cell>
          <cell r="AQ23">
            <v>41.28</v>
          </cell>
          <cell r="AR23">
            <v>41.67</v>
          </cell>
          <cell r="AS23">
            <v>38</v>
          </cell>
          <cell r="AT23">
            <v>450</v>
          </cell>
          <cell r="AU23">
            <v>400</v>
          </cell>
          <cell r="AV23">
            <v>380</v>
          </cell>
        </row>
        <row r="24">
          <cell r="AH24" t="str">
            <v>FRMP</v>
          </cell>
          <cell r="AI24" t="str">
            <v xml:space="preserve">FLAT READY-MIXED PAINT </v>
          </cell>
          <cell r="AJ24" t="str">
            <v>0153</v>
          </cell>
          <cell r="AK24" t="str">
            <v>508</v>
          </cell>
          <cell r="AM24">
            <v>1</v>
          </cell>
          <cell r="AN24">
            <v>11.8</v>
          </cell>
          <cell r="AO24">
            <v>9.4</v>
          </cell>
          <cell r="AQ24">
            <v>36.44</v>
          </cell>
          <cell r="AR24">
            <v>37.229999999999997</v>
          </cell>
          <cell r="AT24">
            <v>430</v>
          </cell>
          <cell r="AU24">
            <v>350</v>
          </cell>
        </row>
        <row r="25">
          <cell r="AH25" t="str">
            <v>AE</v>
          </cell>
          <cell r="AI25" t="str">
            <v>ALKYD ENAMEL FINISH</v>
          </cell>
          <cell r="AJ25" t="str">
            <v>0162</v>
          </cell>
          <cell r="AK25" t="str">
            <v>502</v>
          </cell>
          <cell r="AL25" t="str">
            <v>110</v>
          </cell>
          <cell r="AM25">
            <v>1</v>
          </cell>
          <cell r="AN25">
            <v>11.9</v>
          </cell>
          <cell r="AO25">
            <v>12.4</v>
          </cell>
          <cell r="AP25">
            <v>12</v>
          </cell>
          <cell r="AQ25">
            <v>35.29</v>
          </cell>
          <cell r="AR25">
            <v>37.1</v>
          </cell>
          <cell r="AS25">
            <v>37.92</v>
          </cell>
          <cell r="AT25">
            <v>420</v>
          </cell>
          <cell r="AU25">
            <v>460</v>
          </cell>
          <cell r="AV25">
            <v>455</v>
          </cell>
        </row>
        <row r="26">
          <cell r="AH26" t="str">
            <v>AP</v>
          </cell>
          <cell r="AI26" t="str">
            <v>ALUMIN PAINT</v>
          </cell>
          <cell r="AJ26" t="str">
            <v>0152</v>
          </cell>
          <cell r="AK26" t="str">
            <v>103</v>
          </cell>
          <cell r="AL26" t="str">
            <v>310</v>
          </cell>
          <cell r="AM26">
            <v>1</v>
          </cell>
          <cell r="AN26">
            <v>10.9</v>
          </cell>
          <cell r="AO26">
            <v>13.5</v>
          </cell>
          <cell r="AP26">
            <v>13.5</v>
          </cell>
          <cell r="AQ26">
            <v>36.700000000000003</v>
          </cell>
          <cell r="AR26">
            <v>34.07</v>
          </cell>
          <cell r="AS26">
            <v>32.44</v>
          </cell>
          <cell r="AT26">
            <v>400</v>
          </cell>
          <cell r="AU26">
            <v>460</v>
          </cell>
          <cell r="AV26">
            <v>438</v>
          </cell>
        </row>
        <row r="27">
          <cell r="AH27" t="str">
            <v>AMF</v>
          </cell>
          <cell r="AI27" t="str">
            <v>PHEN0LIC-MODIFIED ALKYD M.I.O.FINISH</v>
          </cell>
          <cell r="AJ27" t="str">
            <v>4690(Ar-900)</v>
          </cell>
          <cell r="AL27" t="str">
            <v>800</v>
          </cell>
          <cell r="AM27">
            <v>1</v>
          </cell>
          <cell r="AN27">
            <v>19.16</v>
          </cell>
          <cell r="AP27">
            <v>17.8</v>
          </cell>
          <cell r="AQ27">
            <v>26.1</v>
          </cell>
          <cell r="AS27">
            <v>37.869999999999997</v>
          </cell>
          <cell r="AT27">
            <v>500</v>
          </cell>
          <cell r="AV27">
            <v>674</v>
          </cell>
        </row>
        <row r="28">
          <cell r="AH28" t="str">
            <v>GP</v>
          </cell>
          <cell r="AI28" t="str">
            <v xml:space="preserve">GALVAN. STEEL SHEET EHULSION PAINT </v>
          </cell>
          <cell r="AK28" t="str">
            <v>100(OM-12)</v>
          </cell>
          <cell r="AM28">
            <v>1</v>
          </cell>
          <cell r="AO28">
            <v>14.3</v>
          </cell>
          <cell r="AR28">
            <v>47.55</v>
          </cell>
          <cell r="AU28">
            <v>680</v>
          </cell>
        </row>
        <row r="29">
          <cell r="AI29" t="str">
            <v xml:space="preserve">EPOXY RESIN </v>
          </cell>
        </row>
        <row r="30">
          <cell r="AH30" t="str">
            <v>ERLP</v>
          </cell>
          <cell r="AI30" t="str">
            <v xml:space="preserve">EPOXY RED LEAD PRIMER </v>
          </cell>
          <cell r="AJ30" t="str">
            <v>0401</v>
          </cell>
          <cell r="AK30" t="str">
            <v>1007(EP-01)</v>
          </cell>
          <cell r="AM30">
            <v>1</v>
          </cell>
          <cell r="AN30">
            <v>13.7</v>
          </cell>
          <cell r="AO30">
            <v>11.9</v>
          </cell>
          <cell r="AQ30">
            <v>41.61</v>
          </cell>
          <cell r="AR30">
            <v>47.9</v>
          </cell>
          <cell r="AT30">
            <v>570</v>
          </cell>
          <cell r="AU30">
            <v>570</v>
          </cell>
        </row>
        <row r="31">
          <cell r="AH31" t="str">
            <v>EZCP</v>
          </cell>
          <cell r="AI31" t="str">
            <v xml:space="preserve">EPOXY ZINC CHROMATE PRIMER </v>
          </cell>
          <cell r="AJ31" t="str">
            <v>0411</v>
          </cell>
          <cell r="AK31" t="str">
            <v>1008(EP-09)</v>
          </cell>
          <cell r="AL31" t="str">
            <v>56</v>
          </cell>
          <cell r="AM31">
            <v>1</v>
          </cell>
          <cell r="AN31">
            <v>13.7</v>
          </cell>
          <cell r="AO31">
            <v>13.2</v>
          </cell>
          <cell r="AP31">
            <v>15.7</v>
          </cell>
          <cell r="AQ31">
            <v>41.61</v>
          </cell>
          <cell r="AR31">
            <v>43.18</v>
          </cell>
          <cell r="AS31">
            <v>57.32</v>
          </cell>
          <cell r="AT31">
            <v>570</v>
          </cell>
          <cell r="AU31">
            <v>570</v>
          </cell>
          <cell r="AV31">
            <v>900</v>
          </cell>
        </row>
        <row r="32">
          <cell r="AH32" t="str">
            <v>EZRP</v>
          </cell>
          <cell r="AI32" t="str">
            <v xml:space="preserve">EPOXY ZINC RICH PRIMER </v>
          </cell>
          <cell r="AJ32" t="str">
            <v>0416</v>
          </cell>
          <cell r="AK32" t="str">
            <v>1006(EP-03)</v>
          </cell>
          <cell r="AL32" t="str">
            <v>63</v>
          </cell>
          <cell r="AM32">
            <v>1</v>
          </cell>
          <cell r="AN32">
            <v>24.9</v>
          </cell>
          <cell r="AO32">
            <v>18.899999999999999</v>
          </cell>
          <cell r="AP32">
            <v>44.29</v>
          </cell>
          <cell r="AQ32">
            <v>44.18</v>
          </cell>
          <cell r="AR32">
            <v>52.91</v>
          </cell>
          <cell r="AS32">
            <v>29.35</v>
          </cell>
          <cell r="AT32">
            <v>1100</v>
          </cell>
          <cell r="AU32">
            <v>1000</v>
          </cell>
          <cell r="AV32">
            <v>1300</v>
          </cell>
        </row>
        <row r="33">
          <cell r="AH33" t="str">
            <v>EROP</v>
          </cell>
          <cell r="AI33" t="str">
            <v xml:space="preserve">EPOXY RED OXIDE PRIMER </v>
          </cell>
          <cell r="AJ33" t="str">
            <v>0421(Z-500)</v>
          </cell>
          <cell r="AK33" t="str">
            <v>1009(EP-02)</v>
          </cell>
          <cell r="AL33" t="str">
            <v>87</v>
          </cell>
          <cell r="AM33">
            <v>1</v>
          </cell>
          <cell r="AN33">
            <v>11.3</v>
          </cell>
          <cell r="AO33">
            <v>10.9</v>
          </cell>
          <cell r="AP33">
            <v>28.1</v>
          </cell>
          <cell r="AQ33">
            <v>41.59</v>
          </cell>
          <cell r="AR33">
            <v>43.12</v>
          </cell>
          <cell r="AS33">
            <v>39.15</v>
          </cell>
          <cell r="AT33">
            <v>470</v>
          </cell>
          <cell r="AU33">
            <v>470</v>
          </cell>
          <cell r="AV33">
            <v>1100</v>
          </cell>
        </row>
        <row r="34">
          <cell r="AH34" t="str">
            <v>EV</v>
          </cell>
          <cell r="AI34" t="str">
            <v xml:space="preserve">EPOXY VARNISH </v>
          </cell>
          <cell r="AJ34" t="str">
            <v>0450</v>
          </cell>
          <cell r="AK34" t="str">
            <v>1010</v>
          </cell>
          <cell r="AL34" t="str">
            <v>46</v>
          </cell>
          <cell r="AM34">
            <v>1</v>
          </cell>
          <cell r="AN34">
            <v>19</v>
          </cell>
          <cell r="AO34">
            <v>19.399999999999999</v>
          </cell>
          <cell r="AP34">
            <v>21.1</v>
          </cell>
          <cell r="AQ34">
            <v>28.95</v>
          </cell>
          <cell r="AR34">
            <v>28.35</v>
          </cell>
          <cell r="AS34">
            <v>26.07</v>
          </cell>
          <cell r="AT34">
            <v>550</v>
          </cell>
          <cell r="AU34">
            <v>550</v>
          </cell>
          <cell r="AV34">
            <v>550</v>
          </cell>
        </row>
        <row r="35">
          <cell r="AH35" t="str">
            <v>EFC</v>
          </cell>
          <cell r="AI35" t="str">
            <v xml:space="preserve">EPOXY FINISH COATING </v>
          </cell>
          <cell r="AJ35" t="str">
            <v>0451</v>
          </cell>
          <cell r="AK35" t="str">
            <v>1001(EP-04)</v>
          </cell>
          <cell r="AL35" t="str">
            <v>86</v>
          </cell>
          <cell r="AM35">
            <v>1</v>
          </cell>
          <cell r="AN35">
            <v>16.8</v>
          </cell>
          <cell r="AO35">
            <v>18.3</v>
          </cell>
          <cell r="AP35">
            <v>34.9</v>
          </cell>
          <cell r="AQ35">
            <v>41.67</v>
          </cell>
          <cell r="AR35">
            <v>38.25</v>
          </cell>
          <cell r="AS35">
            <v>22.92</v>
          </cell>
          <cell r="AT35">
            <v>700</v>
          </cell>
          <cell r="AU35">
            <v>700</v>
          </cell>
          <cell r="AV35">
            <v>800</v>
          </cell>
        </row>
        <row r="36">
          <cell r="AH36" t="str">
            <v>CTE</v>
          </cell>
          <cell r="AI36" t="str">
            <v xml:space="preserve">COAL TAR EPOXY HB </v>
          </cell>
          <cell r="AJ36" t="str">
            <v>0459</v>
          </cell>
          <cell r="AK36" t="str">
            <v>1004(EP-06)</v>
          </cell>
          <cell r="AL36" t="str">
            <v>58</v>
          </cell>
          <cell r="AM36">
            <v>1</v>
          </cell>
          <cell r="AN36">
            <v>7.9</v>
          </cell>
          <cell r="AO36">
            <v>7.6</v>
          </cell>
          <cell r="AQ36">
            <v>50.63</v>
          </cell>
          <cell r="AR36">
            <v>52.63</v>
          </cell>
          <cell r="AT36">
            <v>400</v>
          </cell>
          <cell r="AU36">
            <v>400</v>
          </cell>
          <cell r="AV36">
            <v>700</v>
          </cell>
        </row>
        <row r="37">
          <cell r="AH37" t="str">
            <v>IZRP</v>
          </cell>
          <cell r="AI37" t="str">
            <v xml:space="preserve">INORGANIC ZINC RICH PRIMER </v>
          </cell>
          <cell r="AJ37" t="str">
            <v>4120(Z-120HB)</v>
          </cell>
          <cell r="AK37" t="str">
            <v>1011(IZ-01)</v>
          </cell>
          <cell r="AL37" t="str">
            <v>33</v>
          </cell>
          <cell r="AM37">
            <v>1</v>
          </cell>
          <cell r="AN37">
            <v>19.399999999999999</v>
          </cell>
          <cell r="AO37">
            <v>17.16</v>
          </cell>
          <cell r="AP37">
            <v>30.3</v>
          </cell>
          <cell r="AQ37">
            <v>56.7</v>
          </cell>
          <cell r="AR37">
            <v>64.099999999999994</v>
          </cell>
          <cell r="AS37">
            <v>42.9</v>
          </cell>
          <cell r="AT37">
            <v>1100</v>
          </cell>
          <cell r="AU37">
            <v>1100</v>
          </cell>
          <cell r="AV37">
            <v>1300</v>
          </cell>
        </row>
        <row r="38">
          <cell r="AH38" t="str">
            <v>EATP</v>
          </cell>
          <cell r="AI38" t="str">
            <v>EPOXY ALUMINUM TRIPOLYPHOSPHATE PRIMER</v>
          </cell>
          <cell r="AJ38" t="str">
            <v>A-536</v>
          </cell>
          <cell r="AK38" t="str">
            <v>1075</v>
          </cell>
          <cell r="AL38" t="str">
            <v>57</v>
          </cell>
          <cell r="AM38">
            <v>1</v>
          </cell>
          <cell r="AN38">
            <v>18.7</v>
          </cell>
          <cell r="AO38">
            <v>14.7</v>
          </cell>
          <cell r="AP38">
            <v>15.5</v>
          </cell>
          <cell r="AQ38">
            <v>42.78</v>
          </cell>
          <cell r="AR38">
            <v>42.86</v>
          </cell>
          <cell r="AS38">
            <v>39.03</v>
          </cell>
          <cell r="AT38">
            <v>800</v>
          </cell>
          <cell r="AU38">
            <v>630</v>
          </cell>
          <cell r="AV38">
            <v>605</v>
          </cell>
        </row>
        <row r="39">
          <cell r="AH39" t="str">
            <v>EBZRP</v>
          </cell>
          <cell r="AI39" t="str">
            <v xml:space="preserve">EPOXY CURED BASED ZINC RICH PRIMER </v>
          </cell>
          <cell r="AJ39" t="str">
            <v>4180(Z-800)</v>
          </cell>
          <cell r="AK39" t="str">
            <v>1002</v>
          </cell>
          <cell r="AM39">
            <v>1</v>
          </cell>
          <cell r="AN39">
            <v>27.3</v>
          </cell>
          <cell r="AO39">
            <v>15.7</v>
          </cell>
          <cell r="AQ39">
            <v>40.29</v>
          </cell>
          <cell r="AR39">
            <v>38.22</v>
          </cell>
          <cell r="AT39">
            <v>1100</v>
          </cell>
          <cell r="AU39">
            <v>600</v>
          </cell>
        </row>
        <row r="40">
          <cell r="AH40" t="str">
            <v>HBEP</v>
          </cell>
          <cell r="AI40" t="str">
            <v>HIGH BUILD EPOXY POLYAMINE CURED</v>
          </cell>
          <cell r="AJ40" t="str">
            <v>4418(A-418)</v>
          </cell>
          <cell r="AK40" t="str">
            <v>1015</v>
          </cell>
          <cell r="AM40">
            <v>1</v>
          </cell>
          <cell r="AN40">
            <v>18.3</v>
          </cell>
          <cell r="AO40">
            <v>13.1</v>
          </cell>
          <cell r="AQ40">
            <v>65.569999999999993</v>
          </cell>
          <cell r="AR40">
            <v>83.97</v>
          </cell>
          <cell r="AT40">
            <v>1200</v>
          </cell>
          <cell r="AU40">
            <v>1100</v>
          </cell>
        </row>
        <row r="41">
          <cell r="AH41" t="str">
            <v>HBCP</v>
          </cell>
          <cell r="AI41" t="str">
            <v>HIGH BUILD EPOXY POLYAMINE CURED PRIMER</v>
          </cell>
          <cell r="AJ41" t="str">
            <v>4418(A-448)</v>
          </cell>
          <cell r="AK41">
            <v>1017</v>
          </cell>
          <cell r="AM41">
            <v>1</v>
          </cell>
          <cell r="AN41">
            <v>20.309999999999999</v>
          </cell>
          <cell r="AO41">
            <v>13.1</v>
          </cell>
          <cell r="AQ41">
            <v>64</v>
          </cell>
          <cell r="AR41">
            <v>83.97</v>
          </cell>
          <cell r="AT41">
            <v>1300</v>
          </cell>
          <cell r="AU41">
            <v>1100</v>
          </cell>
        </row>
        <row r="42">
          <cell r="AH42" t="str">
            <v>EEA</v>
          </cell>
          <cell r="AI42" t="str">
            <v>EPOXY ENAMEL AMINE ADDUCT CURED</v>
          </cell>
          <cell r="AJ42" t="str">
            <v>4450(A-500)</v>
          </cell>
          <cell r="AK42" t="str">
            <v>1014</v>
          </cell>
          <cell r="AM42">
            <v>1</v>
          </cell>
          <cell r="AN42">
            <v>23.8</v>
          </cell>
          <cell r="AO42">
            <v>11.4</v>
          </cell>
          <cell r="AQ42">
            <v>37.82</v>
          </cell>
          <cell r="AR42">
            <v>83.33</v>
          </cell>
          <cell r="AT42">
            <v>900</v>
          </cell>
          <cell r="AU42">
            <v>950</v>
          </cell>
        </row>
        <row r="43">
          <cell r="AH43" t="str">
            <v>NEP</v>
          </cell>
          <cell r="AI43" t="str">
            <v>NON-REACTIVE EPOXY PRIMER</v>
          </cell>
          <cell r="AJ43" t="str">
            <v>4405(A-505)</v>
          </cell>
          <cell r="AM43">
            <v>1</v>
          </cell>
          <cell r="AN43">
            <v>19.2</v>
          </cell>
          <cell r="AQ43">
            <v>41.67</v>
          </cell>
          <cell r="AT43">
            <v>800</v>
          </cell>
        </row>
        <row r="44">
          <cell r="AH44" t="str">
            <v>ZCOP</v>
          </cell>
          <cell r="AI44" t="str">
            <v xml:space="preserve">ZINC CHROMATE-RED OXIDE/EPOXY PRIMER </v>
          </cell>
          <cell r="AJ44" t="str">
            <v>4451(A-510)</v>
          </cell>
          <cell r="AK44" t="str">
            <v>1016</v>
          </cell>
          <cell r="AM44">
            <v>1</v>
          </cell>
          <cell r="AN44">
            <v>18.2</v>
          </cell>
          <cell r="AO44">
            <v>8.1999999999999993</v>
          </cell>
          <cell r="AQ44">
            <v>42.86</v>
          </cell>
          <cell r="AR44">
            <v>85.37</v>
          </cell>
          <cell r="AT44">
            <v>780</v>
          </cell>
          <cell r="AU44">
            <v>700</v>
          </cell>
        </row>
        <row r="45">
          <cell r="AH45" t="str">
            <v>EPC</v>
          </cell>
          <cell r="AI45" t="str">
            <v xml:space="preserve">EPOXY ENAMEL/POLYAMIDE CURED </v>
          </cell>
          <cell r="AJ45" t="str">
            <v>4415(A-515)</v>
          </cell>
          <cell r="AM45">
            <v>1</v>
          </cell>
          <cell r="AN45">
            <v>19.8</v>
          </cell>
          <cell r="AQ45">
            <v>42.93</v>
          </cell>
          <cell r="AT45">
            <v>850</v>
          </cell>
        </row>
        <row r="46">
          <cell r="AI46" t="str">
            <v>EPOXY NON-SKID SURFACING</v>
          </cell>
          <cell r="AJ46" t="str">
            <v>4425(A-525)</v>
          </cell>
          <cell r="AK46" t="str">
            <v>1018</v>
          </cell>
          <cell r="AM46">
            <v>1</v>
          </cell>
          <cell r="AN46">
            <v>18</v>
          </cell>
          <cell r="AO46">
            <v>31.3</v>
          </cell>
          <cell r="AQ46">
            <v>37.78</v>
          </cell>
          <cell r="AR46">
            <v>47.92</v>
          </cell>
          <cell r="AT46">
            <v>680</v>
          </cell>
          <cell r="AU46">
            <v>1500</v>
          </cell>
        </row>
        <row r="47">
          <cell r="AH47" t="str">
            <v>EPAP</v>
          </cell>
          <cell r="AI47" t="str">
            <v>EPOXY-POLYAMIDE,ALLOY PRIMER.</v>
          </cell>
          <cell r="AJ47" t="str">
            <v>4465(A-650)</v>
          </cell>
          <cell r="AK47">
            <v>1020</v>
          </cell>
          <cell r="AM47">
            <v>1</v>
          </cell>
          <cell r="AN47">
            <v>21</v>
          </cell>
          <cell r="AO47">
            <v>26.92</v>
          </cell>
          <cell r="AQ47">
            <v>42.86</v>
          </cell>
          <cell r="AR47">
            <v>13</v>
          </cell>
          <cell r="AT47">
            <v>900</v>
          </cell>
          <cell r="AU47">
            <v>350</v>
          </cell>
        </row>
        <row r="48">
          <cell r="AI48" t="str">
            <v>LEAD SILICO CHROMATE EP.PRI./POLYAMIDE CURED</v>
          </cell>
          <cell r="AJ48" t="str">
            <v>4430(A-530)</v>
          </cell>
          <cell r="AM48">
            <v>1</v>
          </cell>
          <cell r="AN48">
            <v>21.97</v>
          </cell>
          <cell r="AQ48">
            <v>37.78</v>
          </cell>
          <cell r="AT48">
            <v>830</v>
          </cell>
        </row>
        <row r="49">
          <cell r="AH49" t="str">
            <v>ERLP</v>
          </cell>
          <cell r="AI49" t="str">
            <v>EPOXY RED LEAD POLYAMIDE CURED PRIMER</v>
          </cell>
          <cell r="AJ49" t="str">
            <v>4440(A-540)</v>
          </cell>
          <cell r="AK49" t="str">
            <v>1051</v>
          </cell>
          <cell r="AM49">
            <v>1</v>
          </cell>
          <cell r="AN49">
            <v>19.399999999999999</v>
          </cell>
          <cell r="AO49">
            <v>15.8</v>
          </cell>
          <cell r="AQ49">
            <v>42.78</v>
          </cell>
          <cell r="AR49">
            <v>43.04</v>
          </cell>
          <cell r="AT49">
            <v>830</v>
          </cell>
          <cell r="AU49">
            <v>680</v>
          </cell>
        </row>
        <row r="50">
          <cell r="AI50" t="str">
            <v>RED LEAD-RED OXIDE EP./POLYAMIDE CURED PRI.</v>
          </cell>
          <cell r="AJ50" t="str">
            <v>4445(A-545)</v>
          </cell>
          <cell r="AK50" t="str">
            <v>1060</v>
          </cell>
          <cell r="AM50">
            <v>1</v>
          </cell>
          <cell r="AN50">
            <v>18.7</v>
          </cell>
          <cell r="AO50">
            <v>20.9</v>
          </cell>
          <cell r="AQ50">
            <v>42.78</v>
          </cell>
          <cell r="AR50">
            <v>28.71</v>
          </cell>
          <cell r="AT50">
            <v>800</v>
          </cell>
          <cell r="AU50">
            <v>600</v>
          </cell>
        </row>
        <row r="51">
          <cell r="AH51" t="str">
            <v>ETC</v>
          </cell>
          <cell r="AI51" t="str">
            <v>TAR EPOXY COATING/POLYAMIDE CURED</v>
          </cell>
          <cell r="AJ51" t="str">
            <v>4460(A-560)</v>
          </cell>
          <cell r="AK51" t="str">
            <v>1070(EP-10)</v>
          </cell>
          <cell r="AM51">
            <v>1</v>
          </cell>
          <cell r="AN51">
            <v>11.69</v>
          </cell>
          <cell r="AO51">
            <v>12.2</v>
          </cell>
          <cell r="AQ51">
            <v>42.78</v>
          </cell>
          <cell r="AR51">
            <v>57.38</v>
          </cell>
          <cell r="AT51">
            <v>500</v>
          </cell>
          <cell r="AU51">
            <v>700</v>
          </cell>
        </row>
        <row r="52">
          <cell r="AH52" t="str">
            <v>EWB</v>
          </cell>
          <cell r="AI52" t="str">
            <v>WATER BASE EPOXY ENAMEL/POLTAMINE CURED</v>
          </cell>
          <cell r="AJ52" t="str">
            <v>4458(A-580)</v>
          </cell>
          <cell r="AK52" t="str">
            <v>1017(EP-07)</v>
          </cell>
          <cell r="AL52" t="str">
            <v>96</v>
          </cell>
          <cell r="AM52">
            <v>1</v>
          </cell>
          <cell r="AN52">
            <v>34.4</v>
          </cell>
          <cell r="AO52">
            <v>16</v>
          </cell>
          <cell r="AP52">
            <v>32.700000000000003</v>
          </cell>
          <cell r="AQ52">
            <v>37.79</v>
          </cell>
          <cell r="AR52">
            <v>43.75</v>
          </cell>
          <cell r="AS52">
            <v>45.87</v>
          </cell>
          <cell r="AT52">
            <v>1300</v>
          </cell>
          <cell r="AU52">
            <v>700</v>
          </cell>
          <cell r="AV52">
            <v>1500</v>
          </cell>
        </row>
        <row r="53">
          <cell r="AH53" t="str">
            <v>CCTE</v>
          </cell>
          <cell r="AI53" t="str">
            <v>CATALYZED COAL TAR EPOXY POLYAMINE CURED</v>
          </cell>
          <cell r="AJ53" t="str">
            <v>4459(A-590)</v>
          </cell>
          <cell r="AK53" t="str">
            <v>SP-06</v>
          </cell>
          <cell r="AM53">
            <v>1</v>
          </cell>
          <cell r="AN53">
            <v>12.6</v>
          </cell>
          <cell r="AO53">
            <v>32.1</v>
          </cell>
          <cell r="AQ53">
            <v>55.56</v>
          </cell>
          <cell r="AR53">
            <v>42.37</v>
          </cell>
          <cell r="AT53">
            <v>700</v>
          </cell>
          <cell r="AU53">
            <v>1360</v>
          </cell>
        </row>
        <row r="54">
          <cell r="AH54" t="str">
            <v>EPF</v>
          </cell>
          <cell r="AI54" t="str">
            <v>EPOXY-POLYAMINE,FINISH</v>
          </cell>
          <cell r="AJ54" t="str">
            <v>4465(A-650)</v>
          </cell>
          <cell r="AK54" t="str">
            <v>SP-08</v>
          </cell>
          <cell r="AM54">
            <v>1</v>
          </cell>
          <cell r="AN54">
            <v>21</v>
          </cell>
          <cell r="AO54">
            <v>24.4</v>
          </cell>
          <cell r="AQ54">
            <v>42.86</v>
          </cell>
          <cell r="AR54">
            <v>25</v>
          </cell>
          <cell r="AT54">
            <v>900</v>
          </cell>
          <cell r="AU54">
            <v>610</v>
          </cell>
        </row>
        <row r="55">
          <cell r="AH55" t="str">
            <v>EPRLP</v>
          </cell>
          <cell r="AI55" t="str">
            <v>EPOXY/POLYAMINE,RED LEAD PRIMER</v>
          </cell>
          <cell r="AJ55" t="str">
            <v>4570(A-700)</v>
          </cell>
          <cell r="AK55" t="str">
            <v>SP-09</v>
          </cell>
          <cell r="AM55">
            <v>1</v>
          </cell>
          <cell r="AN55">
            <v>21</v>
          </cell>
          <cell r="AO55">
            <v>32</v>
          </cell>
          <cell r="AQ55">
            <v>42.86</v>
          </cell>
          <cell r="AR55">
            <v>23.75</v>
          </cell>
          <cell r="AT55">
            <v>900</v>
          </cell>
          <cell r="AU55">
            <v>760</v>
          </cell>
        </row>
        <row r="56">
          <cell r="AH56" t="str">
            <v>EMOP</v>
          </cell>
          <cell r="AI56" t="str">
            <v xml:space="preserve">EPOXY MIO PRIMER </v>
          </cell>
          <cell r="AJ56" t="str">
            <v>4691(Ar-910)</v>
          </cell>
          <cell r="AK56" t="str">
            <v>1050(EP-20)</v>
          </cell>
          <cell r="AL56" t="str">
            <v>76</v>
          </cell>
          <cell r="AM56">
            <v>1</v>
          </cell>
          <cell r="AN56">
            <v>17.3</v>
          </cell>
          <cell r="AO56">
            <v>9.2799999999999994</v>
          </cell>
          <cell r="AP56">
            <v>30.9</v>
          </cell>
          <cell r="AQ56">
            <v>43.35</v>
          </cell>
          <cell r="AR56">
            <v>31.25</v>
          </cell>
          <cell r="AS56">
            <v>25.89</v>
          </cell>
          <cell r="AT56">
            <v>750</v>
          </cell>
          <cell r="AU56">
            <v>290</v>
          </cell>
          <cell r="AV56">
            <v>800</v>
          </cell>
        </row>
        <row r="57">
          <cell r="AH57" t="str">
            <v>EMP</v>
          </cell>
          <cell r="AI57" t="str">
            <v xml:space="preserve">EPOXY MIDDLE PRIMER </v>
          </cell>
          <cell r="AJ57" t="str">
            <v>4691(Ar-910)</v>
          </cell>
          <cell r="AK57" t="str">
            <v>1060</v>
          </cell>
          <cell r="AL57" t="str">
            <v>76</v>
          </cell>
          <cell r="AM57">
            <v>1</v>
          </cell>
          <cell r="AN57">
            <v>17.3</v>
          </cell>
          <cell r="AO57">
            <v>19.2</v>
          </cell>
          <cell r="AP57">
            <v>30.9</v>
          </cell>
          <cell r="AQ57">
            <v>43.35</v>
          </cell>
          <cell r="AR57">
            <v>31.25</v>
          </cell>
          <cell r="AS57">
            <v>25.89</v>
          </cell>
          <cell r="AT57">
            <v>750</v>
          </cell>
          <cell r="AU57">
            <v>600</v>
          </cell>
          <cell r="AV57">
            <v>800</v>
          </cell>
        </row>
        <row r="59">
          <cell r="AI59" t="str">
            <v xml:space="preserve">CHLORINATED RUBBER RESIN </v>
          </cell>
        </row>
        <row r="60">
          <cell r="AH60" t="str">
            <v>CRRLP</v>
          </cell>
          <cell r="AI60" t="str">
            <v xml:space="preserve">CALORINATED RUBBER RED LEAD PRIMER </v>
          </cell>
          <cell r="AJ60" t="str">
            <v>0201</v>
          </cell>
          <cell r="AK60" t="str">
            <v>1402(RF-63)</v>
          </cell>
          <cell r="AL60" t="str">
            <v>530</v>
          </cell>
          <cell r="AM60">
            <v>1</v>
          </cell>
          <cell r="AN60">
            <v>14.7</v>
          </cell>
          <cell r="AO60">
            <v>12.9</v>
          </cell>
          <cell r="AP60">
            <v>15.5</v>
          </cell>
          <cell r="AQ60">
            <v>32.65</v>
          </cell>
          <cell r="AR60">
            <v>37.979999999999997</v>
          </cell>
          <cell r="AS60">
            <v>36.450000000000003</v>
          </cell>
          <cell r="AT60">
            <v>480</v>
          </cell>
          <cell r="AU60">
            <v>490</v>
          </cell>
          <cell r="AV60">
            <v>565</v>
          </cell>
        </row>
        <row r="61">
          <cell r="AH61" t="str">
            <v>CRZCP</v>
          </cell>
          <cell r="AI61" t="str">
            <v>CHLORINATED RUBBER PRIMER ZINC CHROMATE PR.</v>
          </cell>
          <cell r="AJ61" t="str">
            <v>0211</v>
          </cell>
          <cell r="AK61" t="str">
            <v>1450(RF-67)</v>
          </cell>
          <cell r="AL61" t="str">
            <v>540</v>
          </cell>
          <cell r="AM61">
            <v>1</v>
          </cell>
          <cell r="AN61">
            <v>15.5</v>
          </cell>
          <cell r="AO61">
            <v>11.3</v>
          </cell>
          <cell r="AP61">
            <v>14.1</v>
          </cell>
          <cell r="AQ61">
            <v>30.97</v>
          </cell>
          <cell r="AR61">
            <v>42.48</v>
          </cell>
          <cell r="AS61">
            <v>36.450000000000003</v>
          </cell>
          <cell r="AT61">
            <v>480</v>
          </cell>
          <cell r="AU61">
            <v>480</v>
          </cell>
          <cell r="AV61">
            <v>514</v>
          </cell>
        </row>
        <row r="62">
          <cell r="AH62" t="str">
            <v>CRROP</v>
          </cell>
          <cell r="AI62" t="str">
            <v xml:space="preserve">CHLORINATED RUBBER RED OXIDE PRIMER </v>
          </cell>
          <cell r="AJ62" t="str">
            <v>0221</v>
          </cell>
          <cell r="AK62" t="str">
            <v>1403(RF-65)</v>
          </cell>
          <cell r="AL62" t="str">
            <v>510</v>
          </cell>
          <cell r="AM62">
            <v>1</v>
          </cell>
          <cell r="AN62">
            <v>14.6</v>
          </cell>
          <cell r="AO62">
            <v>12.1</v>
          </cell>
          <cell r="AP62">
            <v>31</v>
          </cell>
          <cell r="AQ62">
            <v>30.82</v>
          </cell>
          <cell r="AR62">
            <v>38.020000000000003</v>
          </cell>
          <cell r="AS62">
            <v>38.549999999999997</v>
          </cell>
          <cell r="AT62">
            <v>450</v>
          </cell>
          <cell r="AU62">
            <v>460</v>
          </cell>
          <cell r="AV62">
            <v>1195</v>
          </cell>
        </row>
        <row r="63">
          <cell r="AH63" t="str">
            <v>CRF</v>
          </cell>
          <cell r="AI63" t="str">
            <v xml:space="preserve">CHLORINATED RUBBER FINISH </v>
          </cell>
          <cell r="AJ63" t="str">
            <v>0251</v>
          </cell>
          <cell r="AK63" t="str">
            <v>1401</v>
          </cell>
          <cell r="AL63" t="str">
            <v>520</v>
          </cell>
          <cell r="AM63">
            <v>1</v>
          </cell>
          <cell r="AN63">
            <v>18.899999999999999</v>
          </cell>
          <cell r="AO63">
            <v>15.8</v>
          </cell>
          <cell r="AP63">
            <v>16.7</v>
          </cell>
          <cell r="AQ63">
            <v>31.75</v>
          </cell>
          <cell r="AR63">
            <v>34.18</v>
          </cell>
          <cell r="AS63">
            <v>33.83</v>
          </cell>
          <cell r="AT63">
            <v>600</v>
          </cell>
          <cell r="AU63">
            <v>540</v>
          </cell>
          <cell r="AV63">
            <v>565</v>
          </cell>
        </row>
        <row r="64">
          <cell r="AH64" t="str">
            <v>CRATP</v>
          </cell>
          <cell r="AI64" t="str">
            <v>C RUBBER ALUMINUM TRIPOLYPHOSPHATE PRIMER</v>
          </cell>
          <cell r="AJ64" t="str">
            <v>0203</v>
          </cell>
          <cell r="AL64" t="str">
            <v>531</v>
          </cell>
          <cell r="AM64">
            <v>1</v>
          </cell>
          <cell r="AN64">
            <v>13.4</v>
          </cell>
          <cell r="AP64">
            <v>14.5</v>
          </cell>
          <cell r="AQ64">
            <v>37.31</v>
          </cell>
          <cell r="AS64">
            <v>36.409999999999997</v>
          </cell>
          <cell r="AT64">
            <v>500</v>
          </cell>
          <cell r="AV64">
            <v>528</v>
          </cell>
        </row>
        <row r="65">
          <cell r="AH65" t="str">
            <v>PCRF</v>
          </cell>
          <cell r="AI65" t="str">
            <v>PIGMENTED CHLORINATED RUBBER FINISH</v>
          </cell>
          <cell r="AJ65" t="str">
            <v>4470(C-700)</v>
          </cell>
          <cell r="AK65" t="str">
            <v>RF-51~56</v>
          </cell>
          <cell r="AL65" t="str">
            <v>560</v>
          </cell>
          <cell r="AM65">
            <v>1</v>
          </cell>
          <cell r="AN65">
            <v>27.1</v>
          </cell>
          <cell r="AO65">
            <v>12.3</v>
          </cell>
          <cell r="AP65">
            <v>13.5</v>
          </cell>
          <cell r="AQ65">
            <v>33.21</v>
          </cell>
          <cell r="AR65">
            <v>38.21</v>
          </cell>
          <cell r="AS65">
            <v>33.78</v>
          </cell>
          <cell r="AT65">
            <v>900</v>
          </cell>
          <cell r="AU65">
            <v>470</v>
          </cell>
          <cell r="AV65">
            <v>456</v>
          </cell>
        </row>
        <row r="66">
          <cell r="AH66" t="str">
            <v>CRRLP</v>
          </cell>
          <cell r="AI66" t="str">
            <v xml:space="preserve">CHLORINATED RUBBER RED LEAD PRIMER </v>
          </cell>
          <cell r="AJ66" t="str">
            <v>4575(C-750)</v>
          </cell>
          <cell r="AL66" t="str">
            <v>500</v>
          </cell>
          <cell r="AM66">
            <v>1</v>
          </cell>
          <cell r="AN66">
            <v>17.2</v>
          </cell>
          <cell r="AP66">
            <v>15</v>
          </cell>
          <cell r="AQ66">
            <v>37.79</v>
          </cell>
          <cell r="AS66">
            <v>30.4</v>
          </cell>
          <cell r="AT66">
            <v>650</v>
          </cell>
          <cell r="AV66">
            <v>456</v>
          </cell>
        </row>
        <row r="67">
          <cell r="AH67" t="str">
            <v>CRROP</v>
          </cell>
          <cell r="AI67" t="str">
            <v xml:space="preserve">CHLORINATED RUBBER RED LEAD-RED OXIDE PRIMER </v>
          </cell>
          <cell r="AJ67" t="str">
            <v>4576(C-760)</v>
          </cell>
          <cell r="AL67" t="str">
            <v>550</v>
          </cell>
          <cell r="AM67">
            <v>1</v>
          </cell>
          <cell r="AN67">
            <v>15.9</v>
          </cell>
          <cell r="AP67">
            <v>14.8</v>
          </cell>
          <cell r="AQ67">
            <v>38.99</v>
          </cell>
          <cell r="AS67">
            <v>33.78</v>
          </cell>
          <cell r="AT67">
            <v>620</v>
          </cell>
          <cell r="AV67">
            <v>500</v>
          </cell>
        </row>
        <row r="68">
          <cell r="AI68" t="str">
            <v>CHLORINATED RUBBER BASE M.I.O.COATING</v>
          </cell>
          <cell r="AJ68" t="str">
            <v>4693(Ar-930)</v>
          </cell>
          <cell r="AK68" t="str">
            <v>1452(RF-68)</v>
          </cell>
          <cell r="AL68" t="str">
            <v>600</v>
          </cell>
          <cell r="AM68">
            <v>1</v>
          </cell>
          <cell r="AN68">
            <v>16.399999999999999</v>
          </cell>
          <cell r="AO68">
            <v>13.2</v>
          </cell>
          <cell r="AP68">
            <v>14.8</v>
          </cell>
          <cell r="AQ68">
            <v>37.799999999999997</v>
          </cell>
          <cell r="AR68">
            <v>37.880000000000003</v>
          </cell>
          <cell r="AS68">
            <v>33.72</v>
          </cell>
          <cell r="AT68">
            <v>620</v>
          </cell>
          <cell r="AU68">
            <v>500</v>
          </cell>
          <cell r="AV68">
            <v>499</v>
          </cell>
        </row>
        <row r="71">
          <cell r="AI71" t="str">
            <v xml:space="preserve">SILICONE RESIN </v>
          </cell>
        </row>
        <row r="72">
          <cell r="AH72" t="str">
            <v>HP200</v>
          </cell>
          <cell r="AI72" t="str">
            <v xml:space="preserve">HEAT-RESISTING PRIMER 200'C </v>
          </cell>
          <cell r="AJ72" t="str">
            <v>0631</v>
          </cell>
          <cell r="AK72" t="str">
            <v>1512</v>
          </cell>
          <cell r="AM72">
            <v>1</v>
          </cell>
          <cell r="AN72">
            <v>16.5</v>
          </cell>
          <cell r="AO72">
            <v>26.2</v>
          </cell>
          <cell r="AQ72">
            <v>36.36</v>
          </cell>
          <cell r="AR72">
            <v>38.17</v>
          </cell>
          <cell r="AT72">
            <v>600</v>
          </cell>
          <cell r="AU72">
            <v>1000</v>
          </cell>
        </row>
        <row r="73">
          <cell r="AH73" t="str">
            <v>HP300</v>
          </cell>
          <cell r="AI73" t="str">
            <v xml:space="preserve">HEAT-RESISTING PRIMER 300'C </v>
          </cell>
          <cell r="AJ73" t="str">
            <v>0632</v>
          </cell>
          <cell r="AK73" t="str">
            <v>1507</v>
          </cell>
          <cell r="AL73" t="str">
            <v>330-1</v>
          </cell>
          <cell r="AM73">
            <v>1</v>
          </cell>
          <cell r="AN73">
            <v>20.7</v>
          </cell>
          <cell r="AO73">
            <v>20.399999999999999</v>
          </cell>
          <cell r="AP73">
            <v>29</v>
          </cell>
          <cell r="AQ73">
            <v>36.229999999999997</v>
          </cell>
          <cell r="AR73">
            <v>38.24</v>
          </cell>
          <cell r="AS73">
            <v>33.76</v>
          </cell>
          <cell r="AT73">
            <v>750</v>
          </cell>
          <cell r="AU73">
            <v>780</v>
          </cell>
          <cell r="AV73">
            <v>979</v>
          </cell>
        </row>
        <row r="74">
          <cell r="AH74" t="str">
            <v>HP500</v>
          </cell>
          <cell r="AI74" t="str">
            <v>HEAT-RESISTING PRIMER 500'C</v>
          </cell>
          <cell r="AJ74" t="str">
            <v>0634</v>
          </cell>
          <cell r="AK74" t="str">
            <v>1501</v>
          </cell>
          <cell r="AM74">
            <v>1</v>
          </cell>
          <cell r="AN74">
            <v>35.799999999999997</v>
          </cell>
          <cell r="AO74">
            <v>34.1</v>
          </cell>
          <cell r="AQ74">
            <v>36.31</v>
          </cell>
          <cell r="AR74">
            <v>38.119999999999997</v>
          </cell>
          <cell r="AT74">
            <v>1300</v>
          </cell>
          <cell r="AU74">
            <v>1300</v>
          </cell>
        </row>
        <row r="75">
          <cell r="AH75" t="str">
            <v>HP600</v>
          </cell>
          <cell r="AI75" t="str">
            <v>HEAT-RESISTING PRIMER 600'C</v>
          </cell>
          <cell r="AJ75" t="str">
            <v>0635</v>
          </cell>
          <cell r="AK75" t="str">
            <v>1500</v>
          </cell>
          <cell r="AL75" t="str">
            <v>320-1</v>
          </cell>
          <cell r="AM75">
            <v>1</v>
          </cell>
          <cell r="AN75">
            <v>44.09</v>
          </cell>
          <cell r="AO75">
            <v>34.1</v>
          </cell>
          <cell r="AP75">
            <v>44.4</v>
          </cell>
          <cell r="AQ75">
            <v>31.75</v>
          </cell>
          <cell r="AR75">
            <v>38.119999999999997</v>
          </cell>
          <cell r="AS75">
            <v>33.78</v>
          </cell>
          <cell r="AT75">
            <v>1400</v>
          </cell>
          <cell r="AU75">
            <v>1300</v>
          </cell>
          <cell r="AV75">
            <v>1500</v>
          </cell>
        </row>
        <row r="76">
          <cell r="AH76" t="str">
            <v>HF200</v>
          </cell>
          <cell r="AI76" t="str">
            <v>HEAT-RESISTING PAINT 200'C SILICONE RESIN.</v>
          </cell>
          <cell r="AJ76" t="str">
            <v>0651</v>
          </cell>
          <cell r="AK76" t="str">
            <v>1504</v>
          </cell>
          <cell r="AM76">
            <v>1</v>
          </cell>
          <cell r="AN76">
            <v>17.5</v>
          </cell>
          <cell r="AO76">
            <v>27.3</v>
          </cell>
          <cell r="AQ76">
            <v>30.29</v>
          </cell>
          <cell r="AR76">
            <v>28.57</v>
          </cell>
          <cell r="AT76">
            <v>530</v>
          </cell>
          <cell r="AU76">
            <v>780</v>
          </cell>
        </row>
        <row r="77">
          <cell r="AH77" t="str">
            <v>HF300</v>
          </cell>
          <cell r="AI77" t="str">
            <v>HEAT-RESISTING PAINT 300'C SILICONE RESIN.</v>
          </cell>
          <cell r="AJ77" t="str">
            <v>0652</v>
          </cell>
          <cell r="AK77" t="str">
            <v>1505</v>
          </cell>
          <cell r="AL77" t="str">
            <v>330</v>
          </cell>
          <cell r="AM77">
            <v>1</v>
          </cell>
          <cell r="AN77">
            <v>27.6</v>
          </cell>
          <cell r="AO77">
            <v>27.3</v>
          </cell>
          <cell r="AP77">
            <v>28.4</v>
          </cell>
          <cell r="AQ77">
            <v>27.17</v>
          </cell>
          <cell r="AR77">
            <v>28.57</v>
          </cell>
          <cell r="AS77">
            <v>32.54</v>
          </cell>
          <cell r="AT77">
            <v>750</v>
          </cell>
          <cell r="AU77">
            <v>780</v>
          </cell>
          <cell r="AV77">
            <v>924</v>
          </cell>
        </row>
        <row r="78">
          <cell r="AH78" t="str">
            <v>HF400</v>
          </cell>
          <cell r="AI78" t="str">
            <v>HEAT-RESISTING PAINT 400'C SILICONE RESIN.</v>
          </cell>
          <cell r="AJ78" t="str">
            <v>0654</v>
          </cell>
          <cell r="AK78" t="str">
            <v>1503</v>
          </cell>
          <cell r="AM78">
            <v>1</v>
          </cell>
          <cell r="AN78">
            <v>51.61</v>
          </cell>
          <cell r="AO78">
            <v>59.4</v>
          </cell>
          <cell r="AQ78">
            <v>25.19</v>
          </cell>
          <cell r="AR78">
            <v>28.62</v>
          </cell>
          <cell r="AT78">
            <v>1300</v>
          </cell>
          <cell r="AU78">
            <v>1700</v>
          </cell>
        </row>
        <row r="79">
          <cell r="AH79" t="str">
            <v>HF600</v>
          </cell>
          <cell r="AI79" t="str">
            <v>HEAT-RESISTING PAINT 600'C</v>
          </cell>
          <cell r="AJ79" t="str">
            <v>0655</v>
          </cell>
          <cell r="AK79" t="str">
            <v>1508</v>
          </cell>
          <cell r="AL79" t="str">
            <v>320</v>
          </cell>
          <cell r="AM79">
            <v>1</v>
          </cell>
          <cell r="AN79">
            <v>74.400000000000006</v>
          </cell>
          <cell r="AO79">
            <v>52.39</v>
          </cell>
          <cell r="AP79">
            <v>43.5</v>
          </cell>
          <cell r="AQ79">
            <v>20.16</v>
          </cell>
          <cell r="AR79">
            <v>28.63</v>
          </cell>
          <cell r="AS79">
            <v>32.479999999999997</v>
          </cell>
          <cell r="AT79">
            <v>1500</v>
          </cell>
          <cell r="AU79">
            <v>1500</v>
          </cell>
          <cell r="AV79">
            <v>1413</v>
          </cell>
        </row>
        <row r="80">
          <cell r="AH80" t="str">
            <v>ITIP</v>
          </cell>
          <cell r="AI80" t="str">
            <v>THERMOINDICATIVE PAINT INTERBOND TEMP. INDICATING PAINT</v>
          </cell>
          <cell r="AJ80" t="str">
            <v>0654</v>
          </cell>
          <cell r="AK80" t="str">
            <v>HAA-705</v>
          </cell>
          <cell r="AM80">
            <v>1</v>
          </cell>
          <cell r="AN80">
            <v>51.61</v>
          </cell>
          <cell r="AO80">
            <v>68</v>
          </cell>
          <cell r="AQ80">
            <v>25.19</v>
          </cell>
          <cell r="AR80">
            <v>10</v>
          </cell>
          <cell r="AT80">
            <v>1300</v>
          </cell>
          <cell r="AU80">
            <v>680</v>
          </cell>
        </row>
        <row r="82">
          <cell r="AI82" t="str">
            <v xml:space="preserve">POLY-VINYL BUTYRAL RESIN (PVB) </v>
          </cell>
        </row>
        <row r="83">
          <cell r="AH83" t="str">
            <v>VRLP</v>
          </cell>
          <cell r="AI83" t="str">
            <v>VINYL RED LEAD PRIMER</v>
          </cell>
          <cell r="AJ83" t="str">
            <v>0301</v>
          </cell>
          <cell r="AK83" t="str">
            <v>SP30(VP-71)</v>
          </cell>
          <cell r="AL83" t="str">
            <v xml:space="preserve"> 21</v>
          </cell>
          <cell r="AM83">
            <v>1</v>
          </cell>
          <cell r="AN83">
            <v>21.8</v>
          </cell>
          <cell r="AO83">
            <v>25.3</v>
          </cell>
          <cell r="AP83">
            <v>64.900000000000006</v>
          </cell>
          <cell r="AQ83">
            <v>25.23</v>
          </cell>
          <cell r="AR83">
            <v>23.72</v>
          </cell>
          <cell r="AS83">
            <v>21.57</v>
          </cell>
          <cell r="AT83">
            <v>550</v>
          </cell>
          <cell r="AU83">
            <v>600</v>
          </cell>
          <cell r="AV83">
            <v>1400</v>
          </cell>
        </row>
        <row r="84">
          <cell r="AH84" t="str">
            <v>VZCP</v>
          </cell>
          <cell r="AI84" t="str">
            <v>VINYL ZINC CHRMATE PRIMER</v>
          </cell>
          <cell r="AJ84" t="str">
            <v>0311</v>
          </cell>
          <cell r="AK84" t="str">
            <v>VP-72</v>
          </cell>
          <cell r="AM84">
            <v>1</v>
          </cell>
          <cell r="AN84">
            <v>24.5</v>
          </cell>
          <cell r="AO84">
            <v>28.8</v>
          </cell>
          <cell r="AQ84">
            <v>22.04</v>
          </cell>
          <cell r="AR84">
            <v>19.79</v>
          </cell>
          <cell r="AT84">
            <v>540</v>
          </cell>
          <cell r="AU84">
            <v>570</v>
          </cell>
        </row>
        <row r="85">
          <cell r="AH85" t="str">
            <v>WP</v>
          </cell>
          <cell r="AI85" t="str">
            <v>WASH PRIMER</v>
          </cell>
          <cell r="AJ85" t="str">
            <v>0345</v>
          </cell>
          <cell r="AK85" t="str">
            <v>908(SP-02)</v>
          </cell>
          <cell r="AL85" t="str">
            <v xml:space="preserve"> 11</v>
          </cell>
          <cell r="AM85">
            <v>1</v>
          </cell>
          <cell r="AN85">
            <v>55.83</v>
          </cell>
          <cell r="AO85">
            <v>37.1</v>
          </cell>
          <cell r="AP85">
            <v>78.3</v>
          </cell>
          <cell r="AQ85">
            <v>8.06</v>
          </cell>
          <cell r="AR85">
            <v>11.86</v>
          </cell>
          <cell r="AS85">
            <v>8.94</v>
          </cell>
          <cell r="AT85">
            <v>450</v>
          </cell>
          <cell r="AU85">
            <v>440</v>
          </cell>
          <cell r="AV85">
            <v>700</v>
          </cell>
        </row>
        <row r="86">
          <cell r="AH86" t="str">
            <v>VE</v>
          </cell>
          <cell r="AI86" t="str">
            <v xml:space="preserve">VINYL ENAMEL </v>
          </cell>
          <cell r="AJ86" t="str">
            <v>0351</v>
          </cell>
          <cell r="AK86" t="str">
            <v>SP32(VA-11)</v>
          </cell>
          <cell r="AM86">
            <v>1</v>
          </cell>
          <cell r="AN86">
            <v>29.1</v>
          </cell>
          <cell r="AO86">
            <v>26.21</v>
          </cell>
          <cell r="AQ86">
            <v>18.899999999999999</v>
          </cell>
          <cell r="AR86">
            <v>19.079999999999998</v>
          </cell>
          <cell r="AT86">
            <v>550</v>
          </cell>
          <cell r="AU86">
            <v>500</v>
          </cell>
        </row>
        <row r="87">
          <cell r="AI87" t="str">
            <v>PIGMENTED PVC VINYL FINISH</v>
          </cell>
          <cell r="AJ87" t="str">
            <v>4340(U-400)</v>
          </cell>
          <cell r="AK87" t="str">
            <v>SP34(VA-51)</v>
          </cell>
          <cell r="AM87">
            <v>1</v>
          </cell>
          <cell r="AN87">
            <v>21.2</v>
          </cell>
          <cell r="AO87">
            <v>27.3</v>
          </cell>
          <cell r="AQ87">
            <v>30.19</v>
          </cell>
          <cell r="AR87">
            <v>19.78</v>
          </cell>
          <cell r="AT87">
            <v>640</v>
          </cell>
          <cell r="AU87">
            <v>540</v>
          </cell>
        </row>
        <row r="89">
          <cell r="AI89" t="str">
            <v xml:space="preserve">POLYOL POLYISOCYANATE </v>
          </cell>
        </row>
        <row r="90">
          <cell r="AH90" t="str">
            <v>PCC</v>
          </cell>
          <cell r="AI90" t="str">
            <v xml:space="preserve">POLYURETHANE COATING CLEAR </v>
          </cell>
          <cell r="AJ90" t="str">
            <v>0550</v>
          </cell>
          <cell r="AK90" t="str">
            <v>722</v>
          </cell>
          <cell r="AL90" t="str">
            <v xml:space="preserve"> 67</v>
          </cell>
          <cell r="AM90">
            <v>1</v>
          </cell>
          <cell r="AN90">
            <v>27.8</v>
          </cell>
          <cell r="AO90">
            <v>29.8</v>
          </cell>
          <cell r="AP90">
            <v>81.790000000000006</v>
          </cell>
          <cell r="AQ90">
            <v>25.18</v>
          </cell>
          <cell r="AR90">
            <v>25.17</v>
          </cell>
          <cell r="AS90">
            <v>18.34</v>
          </cell>
          <cell r="AT90">
            <v>700</v>
          </cell>
          <cell r="AU90">
            <v>750</v>
          </cell>
          <cell r="AV90">
            <v>1500</v>
          </cell>
        </row>
        <row r="91">
          <cell r="AH91" t="str">
            <v>PF</v>
          </cell>
          <cell r="AI91" t="str">
            <v>POLYURETHANE COATING</v>
          </cell>
          <cell r="AJ91" t="str">
            <v>0551</v>
          </cell>
          <cell r="AK91" t="str">
            <v>725</v>
          </cell>
          <cell r="AL91" t="str">
            <v xml:space="preserve"> 66</v>
          </cell>
          <cell r="AM91">
            <v>1</v>
          </cell>
          <cell r="AN91">
            <v>33.1</v>
          </cell>
          <cell r="AO91">
            <v>21.52</v>
          </cell>
          <cell r="AP91">
            <v>92.79</v>
          </cell>
          <cell r="AQ91">
            <v>27.19</v>
          </cell>
          <cell r="AR91">
            <v>30.2</v>
          </cell>
          <cell r="AS91">
            <v>18.32</v>
          </cell>
          <cell r="AT91">
            <v>900</v>
          </cell>
          <cell r="AU91">
            <v>650</v>
          </cell>
          <cell r="AV91">
            <v>1700</v>
          </cell>
        </row>
        <row r="92">
          <cell r="AH92" t="str">
            <v>PFC</v>
          </cell>
          <cell r="AI92" t="str">
            <v>POLYURETHANE COATING</v>
          </cell>
          <cell r="AJ92" t="str">
            <v>0551</v>
          </cell>
          <cell r="AK92" t="str">
            <v>UP-04</v>
          </cell>
          <cell r="AL92" t="str">
            <v xml:space="preserve"> 66</v>
          </cell>
          <cell r="AM92">
            <v>1</v>
          </cell>
          <cell r="AN92">
            <v>36.78</v>
          </cell>
          <cell r="AO92">
            <v>16.059999999999999</v>
          </cell>
          <cell r="AP92">
            <v>92.79</v>
          </cell>
          <cell r="AQ92">
            <v>27.19</v>
          </cell>
          <cell r="AR92">
            <v>30.2</v>
          </cell>
          <cell r="AS92">
            <v>18.32</v>
          </cell>
          <cell r="AT92">
            <v>1000</v>
          </cell>
          <cell r="AU92">
            <v>485</v>
          </cell>
          <cell r="AV92">
            <v>1700</v>
          </cell>
        </row>
        <row r="93">
          <cell r="AH93" t="str">
            <v>AICP</v>
          </cell>
          <cell r="AI93" t="str">
            <v>ALIPHATIC ISCYANATE CURED POLYURETHANE FIN.</v>
          </cell>
          <cell r="AJ93" t="str">
            <v>4231(I-300)</v>
          </cell>
          <cell r="AK93" t="str">
            <v>728</v>
          </cell>
          <cell r="AM93">
            <v>1</v>
          </cell>
          <cell r="AN93">
            <v>46.3</v>
          </cell>
          <cell r="AO93">
            <v>56.2</v>
          </cell>
          <cell r="AQ93">
            <v>30.24</v>
          </cell>
          <cell r="AR93">
            <v>30.25</v>
          </cell>
          <cell r="AT93">
            <v>1400</v>
          </cell>
          <cell r="AU93">
            <v>1700</v>
          </cell>
        </row>
        <row r="94">
          <cell r="AI94" t="str">
            <v>POLYURETHANE TANK LINING</v>
          </cell>
          <cell r="AJ94" t="str">
            <v>4230(I-310)</v>
          </cell>
          <cell r="AK94" t="str">
            <v>733</v>
          </cell>
          <cell r="AM94">
            <v>1</v>
          </cell>
          <cell r="AN94">
            <v>37</v>
          </cell>
          <cell r="AO94">
            <v>19.8</v>
          </cell>
          <cell r="AQ94">
            <v>37.840000000000003</v>
          </cell>
          <cell r="AR94">
            <v>28.79</v>
          </cell>
          <cell r="AT94">
            <v>1400</v>
          </cell>
          <cell r="AU94">
            <v>570</v>
          </cell>
        </row>
        <row r="95">
          <cell r="AI95" t="str">
            <v>NON-REACTIVE POLYURETHANE PRIMER</v>
          </cell>
          <cell r="AJ95" t="str">
            <v>4239(I-350)</v>
          </cell>
          <cell r="AM95">
            <v>1</v>
          </cell>
          <cell r="AN95">
            <v>18</v>
          </cell>
          <cell r="AQ95">
            <v>55.56</v>
          </cell>
          <cell r="AT95">
            <v>1000</v>
          </cell>
        </row>
        <row r="96">
          <cell r="AI96" t="str">
            <v>CLEAR POLYURETHANE FINISH</v>
          </cell>
          <cell r="AJ96" t="str">
            <v>4235(I-390)</v>
          </cell>
          <cell r="AK96" t="str">
            <v>1101</v>
          </cell>
          <cell r="AM96">
            <v>1</v>
          </cell>
          <cell r="AN96">
            <v>31.7</v>
          </cell>
          <cell r="AO96">
            <v>17</v>
          </cell>
          <cell r="AQ96">
            <v>37.85</v>
          </cell>
          <cell r="AR96">
            <v>26.47</v>
          </cell>
          <cell r="AT96">
            <v>1200</v>
          </cell>
          <cell r="AU96">
            <v>450</v>
          </cell>
        </row>
        <row r="97">
          <cell r="AI97" t="str">
            <v>URETHANE CHROMATE PRIMER</v>
          </cell>
          <cell r="AJ97" t="str">
            <v>4420(A-200)</v>
          </cell>
          <cell r="AK97" t="str">
            <v>1106</v>
          </cell>
          <cell r="AM97">
            <v>1</v>
          </cell>
          <cell r="AN97">
            <v>21.6</v>
          </cell>
          <cell r="AO97">
            <v>12.5</v>
          </cell>
          <cell r="AQ97">
            <v>37.04</v>
          </cell>
          <cell r="AR97">
            <v>24</v>
          </cell>
          <cell r="AT97">
            <v>800</v>
          </cell>
          <cell r="AU97">
            <v>300</v>
          </cell>
        </row>
        <row r="98">
          <cell r="AI98" t="str">
            <v>ZINC TETROXYCHROMATE BUTYRAL ETCH PRIMER</v>
          </cell>
          <cell r="AJ98" t="str">
            <v>4322(U-220)</v>
          </cell>
          <cell r="AK98" t="str">
            <v>738</v>
          </cell>
          <cell r="AM98">
            <v>1</v>
          </cell>
          <cell r="AN98">
            <v>58.41</v>
          </cell>
          <cell r="AO98">
            <v>69.59</v>
          </cell>
          <cell r="AQ98">
            <v>8.56</v>
          </cell>
          <cell r="AR98">
            <v>28.74</v>
          </cell>
          <cell r="AT98">
            <v>500</v>
          </cell>
          <cell r="AU98">
            <v>2000</v>
          </cell>
        </row>
        <row r="100">
          <cell r="AI100" t="str">
            <v>MASONRY &amp; ACRYLIC PAINT</v>
          </cell>
        </row>
        <row r="101">
          <cell r="AI101" t="str">
            <v>SOLVENT BASE MASONRY PRIMER</v>
          </cell>
          <cell r="AJ101" t="str">
            <v>1541</v>
          </cell>
          <cell r="AL101" t="str">
            <v>140</v>
          </cell>
          <cell r="AM101">
            <v>1</v>
          </cell>
          <cell r="AN101">
            <v>9.6999999999999993</v>
          </cell>
          <cell r="AP101">
            <v>14</v>
          </cell>
          <cell r="AQ101">
            <v>40.21</v>
          </cell>
          <cell r="AS101">
            <v>30.36</v>
          </cell>
          <cell r="AT101">
            <v>390</v>
          </cell>
          <cell r="AV101">
            <v>425</v>
          </cell>
        </row>
        <row r="102">
          <cell r="AI102" t="str">
            <v>WATER BASE MASONRY PRIMER</v>
          </cell>
          <cell r="AJ102" t="str">
            <v>1546</v>
          </cell>
          <cell r="AL102" t="str">
            <v>140-1</v>
          </cell>
          <cell r="AM102">
            <v>1</v>
          </cell>
          <cell r="AN102">
            <v>8.1999999999999993</v>
          </cell>
          <cell r="AP102">
            <v>12</v>
          </cell>
          <cell r="AQ102">
            <v>40.24</v>
          </cell>
          <cell r="AS102">
            <v>33.83</v>
          </cell>
          <cell r="AT102">
            <v>330</v>
          </cell>
          <cell r="AV102">
            <v>406</v>
          </cell>
        </row>
        <row r="103">
          <cell r="AI103" t="str">
            <v>WATER BASE MASONRY PAINT</v>
          </cell>
          <cell r="AJ103" t="str">
            <v>1556</v>
          </cell>
          <cell r="AM103">
            <v>1</v>
          </cell>
          <cell r="AN103">
            <v>11.9</v>
          </cell>
          <cell r="AQ103">
            <v>36.97</v>
          </cell>
          <cell r="AT103">
            <v>440</v>
          </cell>
        </row>
        <row r="104">
          <cell r="AI104" t="str">
            <v xml:space="preserve">ACRYLIC EMULSION PAINT </v>
          </cell>
          <cell r="AJ104" t="str">
            <v>1656</v>
          </cell>
          <cell r="AM104">
            <v>1</v>
          </cell>
          <cell r="AN104">
            <v>9.4</v>
          </cell>
          <cell r="AP104">
            <v>25.8</v>
          </cell>
          <cell r="AQ104">
            <v>38.299999999999997</v>
          </cell>
          <cell r="AS104">
            <v>34.880000000000003</v>
          </cell>
          <cell r="AT104">
            <v>360</v>
          </cell>
          <cell r="AV104">
            <v>900</v>
          </cell>
        </row>
        <row r="105">
          <cell r="AI105" t="str">
            <v xml:space="preserve">EMULSION PAINT </v>
          </cell>
          <cell r="AJ105" t="str">
            <v>1657</v>
          </cell>
          <cell r="AL105" t="str">
            <v>130</v>
          </cell>
          <cell r="AM105">
            <v>1</v>
          </cell>
          <cell r="AN105">
            <v>6.4</v>
          </cell>
          <cell r="AP105">
            <v>5.8</v>
          </cell>
          <cell r="AQ105">
            <v>40.630000000000003</v>
          </cell>
          <cell r="AS105">
            <v>34.83</v>
          </cell>
          <cell r="AT105">
            <v>260</v>
          </cell>
          <cell r="AV105">
            <v>202</v>
          </cell>
        </row>
        <row r="107">
          <cell r="AI107" t="str">
            <v>OTHER PAINT</v>
          </cell>
        </row>
        <row r="108">
          <cell r="AH108" t="str">
            <v>AO</v>
          </cell>
          <cell r="AI108" t="str">
            <v>AMERLOCK-400 100,</v>
          </cell>
          <cell r="AM108">
            <v>1</v>
          </cell>
          <cell r="AO108">
            <v>35</v>
          </cell>
          <cell r="AR108">
            <v>21</v>
          </cell>
          <cell r="AU108">
            <v>735</v>
          </cell>
        </row>
        <row r="109">
          <cell r="AI109" t="str">
            <v>BLACK VARNISH</v>
          </cell>
          <cell r="AJ109" t="str">
            <v>1727</v>
          </cell>
          <cell r="AL109" t="str">
            <v>170</v>
          </cell>
          <cell r="AM109">
            <v>1</v>
          </cell>
          <cell r="AN109">
            <v>5.8</v>
          </cell>
          <cell r="AP109">
            <v>6.2</v>
          </cell>
          <cell r="AQ109">
            <v>34.479999999999997</v>
          </cell>
          <cell r="AS109">
            <v>26.94</v>
          </cell>
          <cell r="AT109">
            <v>200</v>
          </cell>
          <cell r="AV109">
            <v>167</v>
          </cell>
        </row>
        <row r="110">
          <cell r="AI110" t="str">
            <v>NEO WATER PROOF COATING</v>
          </cell>
          <cell r="AJ110" t="str">
            <v>1728</v>
          </cell>
          <cell r="AL110" t="str">
            <v>160</v>
          </cell>
          <cell r="AM110">
            <v>1</v>
          </cell>
          <cell r="AN110">
            <v>4.4000000000000004</v>
          </cell>
          <cell r="AP110">
            <v>6.7</v>
          </cell>
          <cell r="AQ110">
            <v>227.27</v>
          </cell>
          <cell r="AS110">
            <v>28.81</v>
          </cell>
          <cell r="AT110">
            <v>1000</v>
          </cell>
          <cell r="AV110">
            <v>193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-ESTI"/>
      <sheetName val="切割 MTL"/>
      <sheetName val="切割 DI"/>
      <sheetName val="ESTI."/>
    </sheetNames>
    <sheetDataSet>
      <sheetData sheetId="0">
        <row r="8"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I8">
            <v>7.0000000000000007E-2</v>
          </cell>
          <cell r="J8">
            <v>0</v>
          </cell>
          <cell r="K8">
            <v>7.0000000000000007E-2</v>
          </cell>
          <cell r="P8">
            <v>2</v>
          </cell>
        </row>
        <row r="9"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I9">
            <v>7.0000000000000007E-2</v>
          </cell>
          <cell r="J9">
            <v>0</v>
          </cell>
          <cell r="K9">
            <v>7.0000000000000007E-2</v>
          </cell>
          <cell r="P9">
            <v>2</v>
          </cell>
        </row>
        <row r="10"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I10">
            <v>7.0000000000000007E-2</v>
          </cell>
          <cell r="J10">
            <v>0</v>
          </cell>
          <cell r="K10">
            <v>7.0000000000000007E-2</v>
          </cell>
          <cell r="P10">
            <v>2</v>
          </cell>
        </row>
        <row r="11"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I11">
            <v>7.0000000000000007E-2</v>
          </cell>
          <cell r="J11">
            <v>0</v>
          </cell>
          <cell r="K11">
            <v>7.0000000000000007E-2</v>
          </cell>
          <cell r="P11">
            <v>2</v>
          </cell>
        </row>
        <row r="12"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I12">
            <v>7.0000000000000007E-2</v>
          </cell>
          <cell r="J12">
            <v>0</v>
          </cell>
          <cell r="K12">
            <v>7.0000000000000007E-2</v>
          </cell>
          <cell r="P12">
            <v>2</v>
          </cell>
        </row>
        <row r="13"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I13">
            <v>7.0000000000000007E-2</v>
          </cell>
          <cell r="J13">
            <v>0</v>
          </cell>
          <cell r="K13">
            <v>7.0000000000000007E-2</v>
          </cell>
          <cell r="P13">
            <v>2</v>
          </cell>
        </row>
        <row r="14"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I14">
            <v>0.12</v>
          </cell>
          <cell r="J14">
            <v>0</v>
          </cell>
          <cell r="K14">
            <v>0.12</v>
          </cell>
          <cell r="P14">
            <v>2</v>
          </cell>
        </row>
        <row r="15"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I15">
            <v>0.12</v>
          </cell>
          <cell r="J15">
            <v>0</v>
          </cell>
          <cell r="K15">
            <v>0.12</v>
          </cell>
          <cell r="P15">
            <v>2</v>
          </cell>
        </row>
        <row r="16"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I16">
            <v>0.12</v>
          </cell>
          <cell r="J16">
            <v>0</v>
          </cell>
          <cell r="K16">
            <v>0.12</v>
          </cell>
          <cell r="P16">
            <v>2</v>
          </cell>
        </row>
        <row r="17"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I17">
            <v>0.15</v>
          </cell>
          <cell r="K17">
            <v>0.15</v>
          </cell>
          <cell r="P17">
            <v>2</v>
          </cell>
        </row>
        <row r="18"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I18">
            <v>0.15</v>
          </cell>
          <cell r="K18">
            <v>0.15</v>
          </cell>
          <cell r="P18">
            <v>2</v>
          </cell>
        </row>
        <row r="19"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I19">
            <v>0.15</v>
          </cell>
          <cell r="K19">
            <v>0.15</v>
          </cell>
          <cell r="P19">
            <v>2</v>
          </cell>
        </row>
        <row r="20"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I20">
            <v>0.15</v>
          </cell>
          <cell r="J20">
            <v>0</v>
          </cell>
          <cell r="K20">
            <v>0.15</v>
          </cell>
          <cell r="P20">
            <v>2</v>
          </cell>
        </row>
        <row r="21"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I21">
            <v>0.15</v>
          </cell>
          <cell r="J21">
            <v>0</v>
          </cell>
          <cell r="K21">
            <v>0.15</v>
          </cell>
          <cell r="P21">
            <v>2</v>
          </cell>
        </row>
        <row r="22"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I22">
            <v>0.15</v>
          </cell>
          <cell r="J22">
            <v>0</v>
          </cell>
          <cell r="K22">
            <v>0.15</v>
          </cell>
          <cell r="P22">
            <v>2</v>
          </cell>
        </row>
        <row r="23"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I23">
            <v>0.15</v>
          </cell>
          <cell r="J23">
            <v>0</v>
          </cell>
          <cell r="K23">
            <v>0.15</v>
          </cell>
          <cell r="P23">
            <v>2</v>
          </cell>
        </row>
        <row r="24"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I24">
            <v>0.15</v>
          </cell>
          <cell r="J24">
            <v>0</v>
          </cell>
          <cell r="K24">
            <v>0.15</v>
          </cell>
          <cell r="P24">
            <v>2</v>
          </cell>
        </row>
        <row r="25"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I25">
            <v>0.15</v>
          </cell>
          <cell r="J25">
            <v>0</v>
          </cell>
          <cell r="K25">
            <v>0.15</v>
          </cell>
          <cell r="P25">
            <v>2</v>
          </cell>
        </row>
        <row r="26"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I26">
            <v>0.15</v>
          </cell>
          <cell r="J26">
            <v>0</v>
          </cell>
          <cell r="K26">
            <v>0.15</v>
          </cell>
          <cell r="P26">
            <v>2</v>
          </cell>
        </row>
        <row r="27"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I27">
            <v>0.3</v>
          </cell>
          <cell r="J27">
            <v>0</v>
          </cell>
          <cell r="K27">
            <v>0.3</v>
          </cell>
          <cell r="P27">
            <v>2</v>
          </cell>
        </row>
        <row r="28"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I28">
            <v>0.3</v>
          </cell>
          <cell r="K28">
            <v>0.3</v>
          </cell>
          <cell r="P28">
            <v>3</v>
          </cell>
        </row>
        <row r="29"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I29">
            <v>0.3</v>
          </cell>
          <cell r="J29">
            <v>0</v>
          </cell>
          <cell r="K29">
            <v>0.3</v>
          </cell>
          <cell r="P29">
            <v>3</v>
          </cell>
        </row>
        <row r="30"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I30">
            <v>0.3</v>
          </cell>
          <cell r="K30">
            <v>0.3</v>
          </cell>
          <cell r="P30">
            <v>4</v>
          </cell>
        </row>
        <row r="31"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I31">
            <v>0.45</v>
          </cell>
          <cell r="J31">
            <v>0</v>
          </cell>
          <cell r="K31">
            <v>0.45</v>
          </cell>
          <cell r="P31">
            <v>4</v>
          </cell>
        </row>
        <row r="32"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I32">
            <v>0.45</v>
          </cell>
          <cell r="J32">
            <v>0</v>
          </cell>
          <cell r="K32">
            <v>0.45</v>
          </cell>
          <cell r="P32">
            <v>4</v>
          </cell>
        </row>
        <row r="33"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I33">
            <v>0.9</v>
          </cell>
          <cell r="J33">
            <v>0</v>
          </cell>
          <cell r="K33">
            <v>0.9</v>
          </cell>
          <cell r="P33">
            <v>4</v>
          </cell>
        </row>
        <row r="34"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I34">
            <v>1.2</v>
          </cell>
          <cell r="J34">
            <v>0</v>
          </cell>
          <cell r="K34">
            <v>1.2</v>
          </cell>
          <cell r="P34">
            <v>6</v>
          </cell>
        </row>
        <row r="35"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I35">
            <v>1.34</v>
          </cell>
          <cell r="J35">
            <v>0</v>
          </cell>
          <cell r="K35">
            <v>1.34</v>
          </cell>
          <cell r="P35">
            <v>6</v>
          </cell>
        </row>
        <row r="36"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I36">
            <v>1.65</v>
          </cell>
          <cell r="J36">
            <v>0</v>
          </cell>
          <cell r="K36">
            <v>1.65</v>
          </cell>
          <cell r="P36">
            <v>6</v>
          </cell>
        </row>
        <row r="37"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I37">
            <v>1.8</v>
          </cell>
          <cell r="J37">
            <v>0</v>
          </cell>
          <cell r="K37">
            <v>1.8</v>
          </cell>
          <cell r="P37">
            <v>6</v>
          </cell>
        </row>
        <row r="38"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I38">
            <v>2.54</v>
          </cell>
          <cell r="J38">
            <v>0</v>
          </cell>
          <cell r="K38">
            <v>2.54</v>
          </cell>
          <cell r="P38">
            <v>7</v>
          </cell>
        </row>
        <row r="39"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I39">
            <v>2.69</v>
          </cell>
          <cell r="J39">
            <v>0</v>
          </cell>
          <cell r="K39">
            <v>2.69</v>
          </cell>
          <cell r="P39">
            <v>8</v>
          </cell>
        </row>
        <row r="40"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I40">
            <v>2.4300000000000002</v>
          </cell>
          <cell r="J40">
            <v>1.47</v>
          </cell>
          <cell r="K40">
            <v>3.9000000000000004</v>
          </cell>
          <cell r="P40">
            <v>8</v>
          </cell>
        </row>
        <row r="41"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I41">
            <v>3.04</v>
          </cell>
          <cell r="J41">
            <v>3.11</v>
          </cell>
          <cell r="K41">
            <v>6.15</v>
          </cell>
          <cell r="P41">
            <v>10</v>
          </cell>
        </row>
        <row r="42"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I42">
            <v>1.42</v>
          </cell>
          <cell r="J42">
            <v>1.27</v>
          </cell>
          <cell r="K42">
            <v>2.69</v>
          </cell>
          <cell r="P42">
            <v>6</v>
          </cell>
        </row>
        <row r="43"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I43">
            <v>1.62</v>
          </cell>
          <cell r="J43">
            <v>1.38</v>
          </cell>
          <cell r="K43">
            <v>3</v>
          </cell>
          <cell r="P43">
            <v>6</v>
          </cell>
        </row>
        <row r="44"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I44">
            <v>1.82</v>
          </cell>
          <cell r="J44">
            <v>1.48</v>
          </cell>
          <cell r="K44">
            <v>3.3</v>
          </cell>
          <cell r="P44">
            <v>6</v>
          </cell>
        </row>
        <row r="45"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I45">
            <v>2.0299999999999998</v>
          </cell>
          <cell r="J45">
            <v>1.72</v>
          </cell>
          <cell r="K45">
            <v>3.75</v>
          </cell>
          <cell r="P45">
            <v>7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I46">
            <v>2.23</v>
          </cell>
          <cell r="J46">
            <v>2.27</v>
          </cell>
          <cell r="K46">
            <v>4.5</v>
          </cell>
          <cell r="P46">
            <v>8</v>
          </cell>
        </row>
        <row r="47"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I47">
            <v>2.4300000000000002</v>
          </cell>
          <cell r="J47">
            <v>2.0699999999999998</v>
          </cell>
          <cell r="K47">
            <v>4.5</v>
          </cell>
          <cell r="P47">
            <v>8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I48">
            <v>2.64</v>
          </cell>
          <cell r="J48">
            <v>4.8600000000000003</v>
          </cell>
          <cell r="K48">
            <v>7.5</v>
          </cell>
          <cell r="P48">
            <v>9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I49">
            <v>2.84</v>
          </cell>
          <cell r="J49">
            <v>5.26</v>
          </cell>
          <cell r="K49">
            <v>8.1</v>
          </cell>
          <cell r="P49">
            <v>9</v>
          </cell>
        </row>
        <row r="50"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I50">
            <v>3.04</v>
          </cell>
          <cell r="J50">
            <v>5.66</v>
          </cell>
          <cell r="K50">
            <v>8.6999999999999993</v>
          </cell>
          <cell r="P50">
            <v>10</v>
          </cell>
        </row>
        <row r="51"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I51">
            <v>3.24</v>
          </cell>
          <cell r="J51">
            <v>6.06</v>
          </cell>
          <cell r="K51">
            <v>9.3000000000000007</v>
          </cell>
          <cell r="P51">
            <v>11</v>
          </cell>
        </row>
        <row r="52"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I52">
            <v>3.45</v>
          </cell>
          <cell r="J52">
            <v>6.44</v>
          </cell>
          <cell r="K52">
            <v>9.89</v>
          </cell>
          <cell r="P52">
            <v>12</v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I53">
            <v>3.65</v>
          </cell>
          <cell r="J53">
            <v>6.84</v>
          </cell>
          <cell r="K53">
            <v>10.49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I54">
            <v>7.0000000000000007E-2</v>
          </cell>
          <cell r="K54">
            <v>7.0000000000000007E-2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I55">
            <v>7.0000000000000007E-2</v>
          </cell>
          <cell r="K55">
            <v>7.0000000000000007E-2</v>
          </cell>
          <cell r="P55">
            <v>2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I56">
            <v>7.0000000000000007E-2</v>
          </cell>
          <cell r="K56">
            <v>7.0000000000000007E-2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I57">
            <v>7.0000000000000007E-2</v>
          </cell>
          <cell r="K57">
            <v>7.0000000000000007E-2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I58">
            <v>7.0000000000000007E-2</v>
          </cell>
          <cell r="K58">
            <v>7.0000000000000007E-2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I59">
            <v>7.0000000000000007E-2</v>
          </cell>
          <cell r="K59">
            <v>7.0000000000000007E-2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I60">
            <v>7.0000000000000007E-2</v>
          </cell>
          <cell r="J60">
            <v>0</v>
          </cell>
          <cell r="K60">
            <v>7.0000000000000007E-2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I61">
            <v>7.0000000000000007E-2</v>
          </cell>
          <cell r="J61">
            <v>0</v>
          </cell>
          <cell r="K61">
            <v>7.0000000000000007E-2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I62">
            <v>7.0000000000000007E-2</v>
          </cell>
          <cell r="J62">
            <v>0</v>
          </cell>
          <cell r="K62">
            <v>7.0000000000000007E-2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I63">
            <v>7.0000000000000007E-2</v>
          </cell>
          <cell r="J63">
            <v>0</v>
          </cell>
          <cell r="K63">
            <v>7.0000000000000007E-2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I64">
            <v>7.0000000000000007E-2</v>
          </cell>
          <cell r="J64">
            <v>0</v>
          </cell>
          <cell r="K64">
            <v>7.0000000000000007E-2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I65">
            <v>7.0000000000000007E-2</v>
          </cell>
          <cell r="J65">
            <v>0</v>
          </cell>
          <cell r="K65">
            <v>7.0000000000000007E-2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I66">
            <v>7.0000000000000007E-2</v>
          </cell>
          <cell r="J66">
            <v>0</v>
          </cell>
          <cell r="K66">
            <v>7.0000000000000007E-2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I67">
            <v>7.0000000000000007E-2</v>
          </cell>
          <cell r="J67">
            <v>0</v>
          </cell>
          <cell r="K67">
            <v>7.0000000000000007E-2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I68">
            <v>7.0000000000000007E-2</v>
          </cell>
          <cell r="J68">
            <v>0</v>
          </cell>
          <cell r="K68">
            <v>7.0000000000000007E-2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I69">
            <v>0.12</v>
          </cell>
          <cell r="J69">
            <v>0</v>
          </cell>
          <cell r="K69">
            <v>0.12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I70">
            <v>0.12</v>
          </cell>
          <cell r="J70">
            <v>0</v>
          </cell>
          <cell r="K70">
            <v>0.12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I71">
            <v>0.12</v>
          </cell>
          <cell r="J71">
            <v>0</v>
          </cell>
          <cell r="K71">
            <v>0.12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I72">
            <v>0.15</v>
          </cell>
          <cell r="K72">
            <v>0.15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I73">
            <v>0.15</v>
          </cell>
          <cell r="K73">
            <v>0.15</v>
          </cell>
          <cell r="P73">
            <v>2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I74">
            <v>0.15</v>
          </cell>
          <cell r="K74">
            <v>0.15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I75">
            <v>0.15</v>
          </cell>
          <cell r="J75">
            <v>0</v>
          </cell>
          <cell r="K75">
            <v>0.15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I76">
            <v>0.15</v>
          </cell>
          <cell r="J76">
            <v>0</v>
          </cell>
          <cell r="K76">
            <v>0.15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I77">
            <v>0.15</v>
          </cell>
          <cell r="J77">
            <v>0</v>
          </cell>
          <cell r="K77">
            <v>0.15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I78">
            <v>0.15</v>
          </cell>
          <cell r="J78">
            <v>0</v>
          </cell>
          <cell r="K78">
            <v>0.15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I79">
            <v>0.15</v>
          </cell>
          <cell r="J79">
            <v>0</v>
          </cell>
          <cell r="K79">
            <v>0.15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I80">
            <v>0.15</v>
          </cell>
          <cell r="J80">
            <v>0</v>
          </cell>
          <cell r="K80">
            <v>0.15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I81">
            <v>0.15</v>
          </cell>
          <cell r="J81">
            <v>0</v>
          </cell>
          <cell r="K81">
            <v>0.15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I82">
            <v>0.3</v>
          </cell>
          <cell r="J82">
            <v>0</v>
          </cell>
          <cell r="K82">
            <v>0.3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I83">
            <v>0.3</v>
          </cell>
          <cell r="K83">
            <v>0.3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I84">
            <v>0.45</v>
          </cell>
          <cell r="J84">
            <v>0</v>
          </cell>
          <cell r="K84">
            <v>0.45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I85">
            <v>0.45</v>
          </cell>
          <cell r="K85">
            <v>0.45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I86">
            <v>0.6</v>
          </cell>
          <cell r="J86">
            <v>0</v>
          </cell>
          <cell r="K86">
            <v>0.6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I87">
            <v>0.6</v>
          </cell>
          <cell r="J87">
            <v>0</v>
          </cell>
          <cell r="K87">
            <v>0.6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I88">
            <v>1.2</v>
          </cell>
          <cell r="J88">
            <v>0</v>
          </cell>
          <cell r="K88">
            <v>1.2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I89">
            <v>1.5</v>
          </cell>
          <cell r="J89">
            <v>0</v>
          </cell>
          <cell r="K89">
            <v>1.5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I90">
            <v>1.65</v>
          </cell>
          <cell r="J90">
            <v>0</v>
          </cell>
          <cell r="K90">
            <v>1.65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I91">
            <v>1.95</v>
          </cell>
          <cell r="J91">
            <v>0</v>
          </cell>
          <cell r="K91">
            <v>1.95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I92">
            <v>2.25</v>
          </cell>
          <cell r="J92">
            <v>0</v>
          </cell>
          <cell r="K92">
            <v>2.25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I93">
            <v>2.0299999999999998</v>
          </cell>
          <cell r="J93">
            <v>1.1200000000000001</v>
          </cell>
          <cell r="K93">
            <v>3.15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I94">
            <v>2.23</v>
          </cell>
          <cell r="J94">
            <v>1.37</v>
          </cell>
          <cell r="K94">
            <v>3.6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I95">
            <v>2.4300000000000002</v>
          </cell>
          <cell r="J95">
            <v>2.0699999999999998</v>
          </cell>
          <cell r="K95">
            <v>4.5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I96">
            <v>3.04</v>
          </cell>
          <cell r="J96">
            <v>5.66</v>
          </cell>
          <cell r="K96">
            <v>8.6999999999999993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I97">
            <v>0.81</v>
          </cell>
          <cell r="J97">
            <v>0.99</v>
          </cell>
          <cell r="K97">
            <v>1.8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I98">
            <v>1.01</v>
          </cell>
          <cell r="J98">
            <v>1.0900000000000001</v>
          </cell>
          <cell r="K98">
            <v>2.1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I99">
            <v>1.22</v>
          </cell>
          <cell r="J99">
            <v>1.32</v>
          </cell>
          <cell r="K99">
            <v>2.54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I100">
            <v>1.42</v>
          </cell>
          <cell r="J100">
            <v>2.48</v>
          </cell>
          <cell r="K100">
            <v>3.9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I101">
            <v>1.62</v>
          </cell>
          <cell r="J101">
            <v>2.73</v>
          </cell>
          <cell r="K101">
            <v>4.3499999999999996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I102">
            <v>1.82</v>
          </cell>
          <cell r="J102">
            <v>3.12</v>
          </cell>
          <cell r="K102">
            <v>4.9400000000000004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I103">
            <v>2.0299999999999998</v>
          </cell>
          <cell r="J103">
            <v>5.47</v>
          </cell>
          <cell r="K103">
            <v>7.5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I104">
            <v>2.23</v>
          </cell>
          <cell r="J104">
            <v>6.47</v>
          </cell>
          <cell r="K104">
            <v>8.6999999999999993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I105">
            <v>2.4300000000000002</v>
          </cell>
          <cell r="J105">
            <v>6.57</v>
          </cell>
          <cell r="K105">
            <v>9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I106">
            <v>2.64</v>
          </cell>
          <cell r="J106">
            <v>13.86</v>
          </cell>
          <cell r="K106">
            <v>16.5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I107">
            <v>2.84</v>
          </cell>
          <cell r="J107">
            <v>15.16</v>
          </cell>
          <cell r="K107">
            <v>18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I108">
            <v>3.04</v>
          </cell>
          <cell r="J108">
            <v>16.45</v>
          </cell>
          <cell r="K108">
            <v>19.489999999999998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I109">
            <v>3.24</v>
          </cell>
          <cell r="J109">
            <v>17.75</v>
          </cell>
          <cell r="K109">
            <v>20.990000000000002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I110">
            <v>3.45</v>
          </cell>
          <cell r="J110">
            <v>18.54</v>
          </cell>
          <cell r="K110">
            <v>21.99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I111">
            <v>3.65</v>
          </cell>
          <cell r="J111">
            <v>18.84</v>
          </cell>
          <cell r="K111">
            <v>22.49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I112">
            <v>0.81</v>
          </cell>
          <cell r="J112">
            <v>1.1399999999999999</v>
          </cell>
          <cell r="K112">
            <v>1.95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I113">
            <v>1.01</v>
          </cell>
          <cell r="J113">
            <v>1.99</v>
          </cell>
          <cell r="K113">
            <v>3</v>
          </cell>
          <cell r="P113">
            <v>4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I114">
            <v>1.22</v>
          </cell>
          <cell r="J114">
            <v>2.68</v>
          </cell>
          <cell r="K114">
            <v>3.9000000000000004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I115">
            <v>1.42</v>
          </cell>
          <cell r="J115">
            <v>3.97</v>
          </cell>
          <cell r="K115">
            <v>5.3900000000000006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I116">
            <v>1.62</v>
          </cell>
          <cell r="J116">
            <v>4.68</v>
          </cell>
          <cell r="K116">
            <v>6.3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I117">
            <v>1.82</v>
          </cell>
          <cell r="J117">
            <v>6.88</v>
          </cell>
          <cell r="K117">
            <v>8.6999999999999993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I118">
            <v>2.0299999999999998</v>
          </cell>
          <cell r="J118">
            <v>10.42</v>
          </cell>
          <cell r="K118">
            <v>12.45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I119">
            <v>2.23</v>
          </cell>
          <cell r="J119">
            <v>11.72</v>
          </cell>
          <cell r="K119">
            <v>13.950000000000001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I120">
            <v>2.4300000000000002</v>
          </cell>
          <cell r="J120">
            <v>15.57</v>
          </cell>
          <cell r="K120">
            <v>18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I121">
            <v>2.84</v>
          </cell>
          <cell r="J121">
            <v>22.65</v>
          </cell>
          <cell r="K121">
            <v>25.49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I122">
            <v>3.04</v>
          </cell>
          <cell r="J122">
            <v>23.96</v>
          </cell>
          <cell r="K122">
            <v>27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I123">
            <v>3.24</v>
          </cell>
          <cell r="J123">
            <v>26.76</v>
          </cell>
          <cell r="K123">
            <v>30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I124">
            <v>3.45</v>
          </cell>
          <cell r="J124">
            <v>28.05</v>
          </cell>
          <cell r="K124">
            <v>31.5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I125">
            <v>3.65</v>
          </cell>
          <cell r="J125">
            <v>29.35</v>
          </cell>
          <cell r="K125">
            <v>33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I126">
            <v>7.0000000000000007E-2</v>
          </cell>
          <cell r="K126">
            <v>7.0000000000000007E-2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I127">
            <v>7.0000000000000007E-2</v>
          </cell>
          <cell r="K127">
            <v>7.0000000000000007E-2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I128">
            <v>7.0000000000000007E-2</v>
          </cell>
          <cell r="K128">
            <v>7.0000000000000007E-2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I129">
            <v>7.0000000000000007E-2</v>
          </cell>
          <cell r="K129">
            <v>7.0000000000000007E-2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I130">
            <v>7.0000000000000007E-2</v>
          </cell>
          <cell r="K130">
            <v>7.0000000000000007E-2</v>
          </cell>
          <cell r="P130">
            <v>2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I131">
            <v>7.0000000000000007E-2</v>
          </cell>
          <cell r="K131">
            <v>7.0000000000000007E-2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I132">
            <v>7.0000000000000007E-2</v>
          </cell>
          <cell r="J132">
            <v>0</v>
          </cell>
          <cell r="K132">
            <v>7.0000000000000007E-2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I133">
            <v>7.0000000000000007E-2</v>
          </cell>
          <cell r="J133">
            <v>0</v>
          </cell>
          <cell r="K133">
            <v>7.0000000000000007E-2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I134">
            <v>7.0000000000000007E-2</v>
          </cell>
          <cell r="J134">
            <v>0</v>
          </cell>
          <cell r="K134">
            <v>7.0000000000000007E-2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I135">
            <v>7.0000000000000007E-2</v>
          </cell>
          <cell r="J135">
            <v>0</v>
          </cell>
          <cell r="K135">
            <v>7.0000000000000007E-2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I136">
            <v>7.0000000000000007E-2</v>
          </cell>
          <cell r="J136">
            <v>0</v>
          </cell>
          <cell r="K136">
            <v>7.0000000000000007E-2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I137">
            <v>7.0000000000000007E-2</v>
          </cell>
          <cell r="J137">
            <v>0</v>
          </cell>
          <cell r="K137">
            <v>7.0000000000000007E-2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I138">
            <v>7.0000000000000007E-2</v>
          </cell>
          <cell r="J138">
            <v>0</v>
          </cell>
          <cell r="K138">
            <v>7.0000000000000007E-2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I139">
            <v>7.0000000000000007E-2</v>
          </cell>
          <cell r="J139">
            <v>0</v>
          </cell>
          <cell r="K139">
            <v>7.0000000000000007E-2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I140">
            <v>7.0000000000000007E-2</v>
          </cell>
          <cell r="J140">
            <v>0</v>
          </cell>
          <cell r="K140">
            <v>7.0000000000000007E-2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I141">
            <v>0.12</v>
          </cell>
          <cell r="J141">
            <v>0</v>
          </cell>
          <cell r="K141">
            <v>0.12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I142">
            <v>0.12</v>
          </cell>
          <cell r="J142">
            <v>0</v>
          </cell>
          <cell r="K142">
            <v>0.12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I143">
            <v>0.12</v>
          </cell>
          <cell r="J143">
            <v>0</v>
          </cell>
          <cell r="K143">
            <v>0.12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I144">
            <v>0.15</v>
          </cell>
          <cell r="K144">
            <v>0.15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I145">
            <v>0.15</v>
          </cell>
          <cell r="K145">
            <v>0.15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I146">
            <v>0.15</v>
          </cell>
          <cell r="K146">
            <v>0.15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I147">
            <v>0.15</v>
          </cell>
          <cell r="J147">
            <v>0</v>
          </cell>
          <cell r="K147">
            <v>0.15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I148">
            <v>0.15</v>
          </cell>
          <cell r="J148">
            <v>0</v>
          </cell>
          <cell r="K148">
            <v>0.15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I149">
            <v>0.15</v>
          </cell>
          <cell r="J149">
            <v>0</v>
          </cell>
          <cell r="K149">
            <v>0.15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I150">
            <v>0.3</v>
          </cell>
          <cell r="J150">
            <v>0</v>
          </cell>
          <cell r="K150">
            <v>0.3</v>
          </cell>
          <cell r="P150">
            <v>2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I151">
            <v>0.3</v>
          </cell>
          <cell r="J151">
            <v>0</v>
          </cell>
          <cell r="K151">
            <v>0.3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I152">
            <v>0.3</v>
          </cell>
          <cell r="J152">
            <v>0</v>
          </cell>
          <cell r="K152">
            <v>0.3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I153">
            <v>0.25</v>
          </cell>
          <cell r="J153">
            <v>0.2</v>
          </cell>
          <cell r="K153">
            <v>0.45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I154">
            <v>0.3</v>
          </cell>
          <cell r="J154">
            <v>0.3</v>
          </cell>
          <cell r="K154">
            <v>0.6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I155">
            <v>0.35</v>
          </cell>
          <cell r="J155">
            <v>0.4</v>
          </cell>
          <cell r="K155">
            <v>0.75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I156">
            <v>0.41</v>
          </cell>
          <cell r="J156">
            <v>0.49</v>
          </cell>
          <cell r="K156">
            <v>0.89999999999999991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I157">
            <v>0.51</v>
          </cell>
          <cell r="J157">
            <v>0.54</v>
          </cell>
          <cell r="K157">
            <v>1.05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I158">
            <v>0.61</v>
          </cell>
          <cell r="J158">
            <v>1.04</v>
          </cell>
          <cell r="K158">
            <v>1.65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I159">
            <v>0.81</v>
          </cell>
          <cell r="J159">
            <v>1.73</v>
          </cell>
          <cell r="K159">
            <v>2.54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I160">
            <v>1.01</v>
          </cell>
          <cell r="J160">
            <v>3.04</v>
          </cell>
          <cell r="K160">
            <v>4.05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I161">
            <v>1.22</v>
          </cell>
          <cell r="J161">
            <v>4.0199999999999996</v>
          </cell>
          <cell r="K161">
            <v>5.2399999999999993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I162">
            <v>1.42</v>
          </cell>
          <cell r="J162">
            <v>5.33</v>
          </cell>
          <cell r="K162">
            <v>6.75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I163">
            <v>1.62</v>
          </cell>
          <cell r="J163">
            <v>8.42</v>
          </cell>
          <cell r="K163">
            <v>10.039999999999999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I164">
            <v>1.82</v>
          </cell>
          <cell r="J164">
            <v>11.53</v>
          </cell>
          <cell r="K164">
            <v>13.35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I165">
            <v>2.0299999999999998</v>
          </cell>
          <cell r="J165">
            <v>14.47</v>
          </cell>
          <cell r="K165">
            <v>16.5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I166">
            <v>2.4300000000000002</v>
          </cell>
          <cell r="J166">
            <v>24.57</v>
          </cell>
          <cell r="K166">
            <v>27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I167">
            <v>3.24</v>
          </cell>
          <cell r="J167">
            <v>31.26</v>
          </cell>
          <cell r="K167">
            <v>34.5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I168">
            <v>3.45</v>
          </cell>
          <cell r="J168">
            <v>34.049999999999997</v>
          </cell>
          <cell r="K168">
            <v>37.5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I169">
            <v>3.65</v>
          </cell>
          <cell r="J169">
            <v>41.34</v>
          </cell>
          <cell r="K169">
            <v>44.99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I170">
            <v>7.0000000000000007E-2</v>
          </cell>
          <cell r="K170">
            <v>7.0000000000000007E-2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I171">
            <v>7.0000000000000007E-2</v>
          </cell>
          <cell r="K171">
            <v>7.0000000000000007E-2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I172">
            <v>7.0000000000000007E-2</v>
          </cell>
          <cell r="K172">
            <v>7.0000000000000007E-2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I173">
            <v>7.0000000000000007E-2</v>
          </cell>
          <cell r="K173">
            <v>7.0000000000000007E-2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I174">
            <v>7.0000000000000007E-2</v>
          </cell>
          <cell r="K174">
            <v>7.0000000000000007E-2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I175">
            <v>7.0000000000000007E-2</v>
          </cell>
          <cell r="K175">
            <v>7.0000000000000007E-2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I176">
            <v>7.0000000000000007E-2</v>
          </cell>
          <cell r="K176">
            <v>7.0000000000000007E-2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I177">
            <v>7.0000000000000007E-2</v>
          </cell>
          <cell r="K177">
            <v>7.0000000000000007E-2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I178">
            <v>7.0000000000000007E-2</v>
          </cell>
          <cell r="K178">
            <v>7.0000000000000007E-2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I179">
            <v>7.0000000000000007E-2</v>
          </cell>
          <cell r="J179">
            <v>0</v>
          </cell>
          <cell r="K179">
            <v>7.0000000000000007E-2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I180">
            <v>7.0000000000000007E-2</v>
          </cell>
          <cell r="J180">
            <v>0</v>
          </cell>
          <cell r="K180">
            <v>7.0000000000000007E-2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I181">
            <v>7.0000000000000007E-2</v>
          </cell>
          <cell r="J181">
            <v>0</v>
          </cell>
          <cell r="K181">
            <v>7.0000000000000007E-2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I182">
            <v>7.0000000000000007E-2</v>
          </cell>
          <cell r="J182">
            <v>0</v>
          </cell>
          <cell r="K182">
            <v>7.0000000000000007E-2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I183">
            <v>7.0000000000000007E-2</v>
          </cell>
          <cell r="J183">
            <v>0</v>
          </cell>
          <cell r="K183">
            <v>7.0000000000000007E-2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I184">
            <v>7.0000000000000007E-2</v>
          </cell>
          <cell r="J184">
            <v>0</v>
          </cell>
          <cell r="K184">
            <v>7.0000000000000007E-2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I185">
            <v>0.12</v>
          </cell>
          <cell r="J185">
            <v>0</v>
          </cell>
          <cell r="K185">
            <v>0.12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I186">
            <v>0.12</v>
          </cell>
          <cell r="J186">
            <v>0</v>
          </cell>
          <cell r="K186">
            <v>0.12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I187">
            <v>0.12</v>
          </cell>
          <cell r="J187">
            <v>0</v>
          </cell>
          <cell r="K187">
            <v>0.12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I188">
            <v>0.15</v>
          </cell>
          <cell r="K188">
            <v>0.15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I189">
            <v>0.15</v>
          </cell>
          <cell r="K189">
            <v>0.15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I190">
            <v>0.15</v>
          </cell>
          <cell r="K190">
            <v>0.15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I191">
            <v>0.15</v>
          </cell>
          <cell r="J191">
            <v>0</v>
          </cell>
          <cell r="K191">
            <v>0.15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I192">
            <v>0.15</v>
          </cell>
          <cell r="J192">
            <v>0</v>
          </cell>
          <cell r="K192">
            <v>0.15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I193">
            <v>0.15</v>
          </cell>
          <cell r="J193">
            <v>0</v>
          </cell>
          <cell r="K193">
            <v>0.15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I194">
            <v>0.3</v>
          </cell>
          <cell r="J194">
            <v>0</v>
          </cell>
          <cell r="K194">
            <v>0.3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I195">
            <v>0.3</v>
          </cell>
          <cell r="J195">
            <v>0</v>
          </cell>
          <cell r="K195">
            <v>0.3</v>
          </cell>
          <cell r="P195">
            <v>2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I196">
            <v>0.3</v>
          </cell>
          <cell r="J196">
            <v>0</v>
          </cell>
          <cell r="K196">
            <v>0.3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I197">
            <v>0.25</v>
          </cell>
          <cell r="J197">
            <v>0.2</v>
          </cell>
          <cell r="K197">
            <v>0.45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I198">
            <v>0.3</v>
          </cell>
          <cell r="J198">
            <v>0.3</v>
          </cell>
          <cell r="K198">
            <v>0.6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I199">
            <v>0.35</v>
          </cell>
          <cell r="J199">
            <v>0.4</v>
          </cell>
          <cell r="K199">
            <v>0.75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I200">
            <v>0.41</v>
          </cell>
          <cell r="J200">
            <v>0.49</v>
          </cell>
          <cell r="K200">
            <v>0.89999999999999991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I201">
            <v>0.51</v>
          </cell>
          <cell r="J201">
            <v>0.54</v>
          </cell>
          <cell r="K201">
            <v>1.05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I202">
            <v>0.61</v>
          </cell>
          <cell r="J202">
            <v>1.04</v>
          </cell>
          <cell r="K202">
            <v>1.65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I203">
            <v>0.81</v>
          </cell>
          <cell r="J203">
            <v>1.73</v>
          </cell>
          <cell r="K203">
            <v>2.54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I204">
            <v>1.01</v>
          </cell>
          <cell r="J204">
            <v>3.04</v>
          </cell>
          <cell r="K204">
            <v>4.05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I205">
            <v>1.22</v>
          </cell>
          <cell r="J205">
            <v>3.28</v>
          </cell>
          <cell r="K205">
            <v>4.5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I206">
            <v>0.81</v>
          </cell>
          <cell r="J206">
            <v>2.64</v>
          </cell>
          <cell r="K206">
            <v>3.45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I207">
            <v>1.01</v>
          </cell>
          <cell r="J207">
            <v>5.74</v>
          </cell>
          <cell r="K207">
            <v>6.75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I208">
            <v>1.22</v>
          </cell>
          <cell r="J208">
            <v>8.3800000000000008</v>
          </cell>
          <cell r="K208">
            <v>9.6000000000000014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I209">
            <v>1.42</v>
          </cell>
          <cell r="J209">
            <v>9.9700000000000006</v>
          </cell>
          <cell r="K209">
            <v>11.39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I210">
            <v>1.62</v>
          </cell>
          <cell r="J210">
            <v>14.88</v>
          </cell>
          <cell r="K210">
            <v>16.5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I211">
            <v>1.82</v>
          </cell>
          <cell r="J211">
            <v>20.67</v>
          </cell>
          <cell r="K211">
            <v>22.490000000000002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I212">
            <v>2.0299999999999998</v>
          </cell>
          <cell r="J212">
            <v>23.47</v>
          </cell>
          <cell r="K212">
            <v>25.5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I213">
            <v>2.23</v>
          </cell>
          <cell r="J213">
            <v>29.27</v>
          </cell>
          <cell r="K213">
            <v>31.5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I214">
            <v>2.4300000000000002</v>
          </cell>
          <cell r="J214">
            <v>35.07</v>
          </cell>
          <cell r="K214">
            <v>37.5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I215">
            <v>7.0000000000000007E-2</v>
          </cell>
          <cell r="K215">
            <v>7.0000000000000007E-2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I216">
            <v>7.0000000000000007E-2</v>
          </cell>
          <cell r="K216">
            <v>7.0000000000000007E-2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I217">
            <v>7.0000000000000007E-2</v>
          </cell>
          <cell r="K217">
            <v>7.0000000000000007E-2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I218">
            <v>7.0000000000000007E-2</v>
          </cell>
          <cell r="K218">
            <v>7.0000000000000007E-2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I219">
            <v>7.0000000000000007E-2</v>
          </cell>
          <cell r="K219">
            <v>7.0000000000000007E-2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I220">
            <v>7.0000000000000007E-2</v>
          </cell>
          <cell r="K220">
            <v>7.0000000000000007E-2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I221">
            <v>7.0000000000000007E-2</v>
          </cell>
          <cell r="J221">
            <v>0</v>
          </cell>
          <cell r="K221">
            <v>7.0000000000000007E-2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I222">
            <v>7.0000000000000007E-2</v>
          </cell>
          <cell r="J222">
            <v>0</v>
          </cell>
          <cell r="K222">
            <v>7.0000000000000007E-2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I223">
            <v>7.0000000000000007E-2</v>
          </cell>
          <cell r="J223">
            <v>0</v>
          </cell>
          <cell r="K223">
            <v>7.0000000000000007E-2</v>
          </cell>
          <cell r="P223">
            <v>2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I224">
            <v>7.0000000000000007E-2</v>
          </cell>
          <cell r="J224">
            <v>0</v>
          </cell>
          <cell r="K224">
            <v>7.0000000000000007E-2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I225">
            <v>7.0000000000000007E-2</v>
          </cell>
          <cell r="J225">
            <v>0</v>
          </cell>
          <cell r="K225">
            <v>7.0000000000000007E-2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I226">
            <v>7.0000000000000007E-2</v>
          </cell>
          <cell r="J226">
            <v>0</v>
          </cell>
          <cell r="K226">
            <v>7.0000000000000007E-2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I227">
            <v>7.0000000000000007E-2</v>
          </cell>
          <cell r="J227">
            <v>0</v>
          </cell>
          <cell r="K227">
            <v>7.0000000000000007E-2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I228">
            <v>7.0000000000000007E-2</v>
          </cell>
          <cell r="J228">
            <v>0</v>
          </cell>
          <cell r="K228">
            <v>7.0000000000000007E-2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I229">
            <v>7.0000000000000007E-2</v>
          </cell>
          <cell r="J229">
            <v>0</v>
          </cell>
          <cell r="K229">
            <v>7.0000000000000007E-2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I230">
            <v>0.15</v>
          </cell>
          <cell r="J230">
            <v>0</v>
          </cell>
          <cell r="K230">
            <v>0.15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I231">
            <v>0.15</v>
          </cell>
          <cell r="J231">
            <v>0</v>
          </cell>
          <cell r="K231">
            <v>0.15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I232">
            <v>0.15</v>
          </cell>
          <cell r="J232">
            <v>0</v>
          </cell>
          <cell r="K232">
            <v>0.15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I233">
            <v>0.13</v>
          </cell>
          <cell r="J233">
            <v>0.17</v>
          </cell>
          <cell r="K233">
            <v>0.30000000000000004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I234">
            <v>0.13</v>
          </cell>
          <cell r="J234">
            <v>0.17</v>
          </cell>
          <cell r="K234">
            <v>0.30000000000000004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I235">
            <v>0.13</v>
          </cell>
          <cell r="J235">
            <v>0.17</v>
          </cell>
          <cell r="K235">
            <v>0.30000000000000004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I236">
            <v>0.15</v>
          </cell>
          <cell r="J236">
            <v>0.15</v>
          </cell>
          <cell r="K236">
            <v>0.3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I237">
            <v>0.15</v>
          </cell>
          <cell r="J237">
            <v>0.15</v>
          </cell>
          <cell r="K237">
            <v>0.3</v>
          </cell>
          <cell r="P237">
            <v>2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I238">
            <v>0.15</v>
          </cell>
          <cell r="J238">
            <v>0.15</v>
          </cell>
          <cell r="K238">
            <v>0.3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I239">
            <v>0.2</v>
          </cell>
          <cell r="J239">
            <v>0.25</v>
          </cell>
          <cell r="K239">
            <v>0.45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I240">
            <v>0.2</v>
          </cell>
          <cell r="J240">
            <v>0.25</v>
          </cell>
          <cell r="K240">
            <v>0.45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I241">
            <v>0.2</v>
          </cell>
          <cell r="J241">
            <v>0.25</v>
          </cell>
          <cell r="K241">
            <v>0.45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I242">
            <v>0.25</v>
          </cell>
          <cell r="J242">
            <v>0.5</v>
          </cell>
          <cell r="K242">
            <v>0.75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I243">
            <v>0.3</v>
          </cell>
          <cell r="J243">
            <v>0.6</v>
          </cell>
          <cell r="K243">
            <v>0.89999999999999991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I244">
            <v>0.35</v>
          </cell>
          <cell r="J244">
            <v>0.85</v>
          </cell>
          <cell r="K244">
            <v>1.2</v>
          </cell>
          <cell r="P244">
            <v>3</v>
          </cell>
        </row>
        <row r="245"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I245">
            <v>0.41</v>
          </cell>
          <cell r="J245">
            <v>0.93</v>
          </cell>
          <cell r="K245">
            <v>1.34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I246">
            <v>0.51</v>
          </cell>
          <cell r="J246">
            <v>1.59</v>
          </cell>
          <cell r="K246">
            <v>2.1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I247">
            <v>0.61</v>
          </cell>
          <cell r="J247">
            <v>2.69</v>
          </cell>
          <cell r="K247">
            <v>3.3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I248">
            <v>0.81</v>
          </cell>
          <cell r="J248">
            <v>4.58</v>
          </cell>
          <cell r="K248">
            <v>5.3900000000000006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I249">
            <v>1.01</v>
          </cell>
          <cell r="J249">
            <v>7.99</v>
          </cell>
          <cell r="K249">
            <v>9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I250">
            <v>1.22</v>
          </cell>
          <cell r="J250">
            <v>11.68</v>
          </cell>
          <cell r="K250">
            <v>12.9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I251">
            <v>1.42</v>
          </cell>
          <cell r="J251">
            <v>12.68</v>
          </cell>
          <cell r="K251">
            <v>14.1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I252">
            <v>1.62</v>
          </cell>
          <cell r="J252">
            <v>19.37</v>
          </cell>
          <cell r="K252">
            <v>20.990000000000002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I253">
            <v>1.82</v>
          </cell>
          <cell r="J253">
            <v>26.68</v>
          </cell>
          <cell r="K253">
            <v>28.5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I254">
            <v>2.0299999999999998</v>
          </cell>
          <cell r="J254">
            <v>36.96</v>
          </cell>
          <cell r="K254">
            <v>38.99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I255">
            <v>2.23</v>
          </cell>
          <cell r="J255">
            <v>45.77</v>
          </cell>
          <cell r="K255">
            <v>48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I256">
            <v>2.4300000000000002</v>
          </cell>
          <cell r="J256">
            <v>53.07</v>
          </cell>
          <cell r="K256">
            <v>55.5</v>
          </cell>
          <cell r="P256">
            <v>8</v>
          </cell>
        </row>
        <row r="257"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I257">
            <v>7.0000000000000007E-2</v>
          </cell>
          <cell r="K257">
            <v>7.0000000000000007E-2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I258">
            <v>7.0000000000000007E-2</v>
          </cell>
          <cell r="K258">
            <v>7.0000000000000007E-2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I259">
            <v>7.0000000000000007E-2</v>
          </cell>
          <cell r="K259">
            <v>7.0000000000000007E-2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I260">
            <v>7.0000000000000007E-2</v>
          </cell>
          <cell r="K260">
            <v>7.0000000000000007E-2</v>
          </cell>
          <cell r="P260">
            <v>2</v>
          </cell>
        </row>
        <row r="261"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I261">
            <v>7.0000000000000007E-2</v>
          </cell>
          <cell r="K261">
            <v>7.0000000000000007E-2</v>
          </cell>
          <cell r="P261">
            <v>2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I262">
            <v>7.0000000000000007E-2</v>
          </cell>
          <cell r="K262">
            <v>7.0000000000000007E-2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I263">
            <v>7.0000000000000007E-2</v>
          </cell>
          <cell r="J263">
            <v>0</v>
          </cell>
          <cell r="K263">
            <v>7.0000000000000007E-2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I264">
            <v>7.0000000000000007E-2</v>
          </cell>
          <cell r="J264">
            <v>0</v>
          </cell>
          <cell r="K264">
            <v>7.0000000000000007E-2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I265">
            <v>7.0000000000000007E-2</v>
          </cell>
          <cell r="J265">
            <v>0</v>
          </cell>
          <cell r="K265">
            <v>7.0000000000000007E-2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I266">
            <v>7.0000000000000007E-2</v>
          </cell>
          <cell r="J266">
            <v>0</v>
          </cell>
          <cell r="K266">
            <v>7.0000000000000007E-2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I267">
            <v>7.0000000000000007E-2</v>
          </cell>
          <cell r="J267">
            <v>0</v>
          </cell>
          <cell r="K267">
            <v>7.0000000000000007E-2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I268">
            <v>7.0000000000000007E-2</v>
          </cell>
          <cell r="J268">
            <v>0</v>
          </cell>
          <cell r="K268">
            <v>7.0000000000000007E-2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I269">
            <v>7.0000000000000007E-2</v>
          </cell>
          <cell r="J269">
            <v>0</v>
          </cell>
          <cell r="K269">
            <v>7.0000000000000007E-2</v>
          </cell>
          <cell r="P269">
            <v>2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I270">
            <v>7.0000000000000007E-2</v>
          </cell>
          <cell r="J270">
            <v>0</v>
          </cell>
          <cell r="K270">
            <v>7.0000000000000007E-2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I271">
            <v>7.0000000000000007E-2</v>
          </cell>
          <cell r="J271">
            <v>0</v>
          </cell>
          <cell r="K271">
            <v>7.0000000000000007E-2</v>
          </cell>
          <cell r="P271">
            <v>2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I272">
            <v>0.15</v>
          </cell>
          <cell r="J272">
            <v>0</v>
          </cell>
          <cell r="K272">
            <v>0.15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I273">
            <v>0.15</v>
          </cell>
          <cell r="J273">
            <v>0</v>
          </cell>
          <cell r="K273">
            <v>0.15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I274">
            <v>0.15</v>
          </cell>
          <cell r="J274">
            <v>0</v>
          </cell>
          <cell r="K274">
            <v>0.15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I275">
            <v>0.13</v>
          </cell>
          <cell r="J275">
            <v>0.17</v>
          </cell>
          <cell r="K275">
            <v>0.30000000000000004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I276">
            <v>0.13</v>
          </cell>
          <cell r="J276">
            <v>0.17</v>
          </cell>
          <cell r="K276">
            <v>0.30000000000000004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I277">
            <v>0.13</v>
          </cell>
          <cell r="J277">
            <v>0.17</v>
          </cell>
          <cell r="K277">
            <v>0.30000000000000004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I278">
            <v>0.15</v>
          </cell>
          <cell r="J278">
            <v>0.15</v>
          </cell>
          <cell r="K278">
            <v>0.3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I279">
            <v>0.15</v>
          </cell>
          <cell r="J279">
            <v>0.15</v>
          </cell>
          <cell r="K279">
            <v>0.3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I280">
            <v>0.15</v>
          </cell>
          <cell r="J280">
            <v>0.15</v>
          </cell>
          <cell r="K280">
            <v>0.3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I281">
            <v>0.2</v>
          </cell>
          <cell r="J281">
            <v>0.25</v>
          </cell>
          <cell r="K281">
            <v>0.45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I282">
            <v>0.2</v>
          </cell>
          <cell r="J282">
            <v>0.25</v>
          </cell>
          <cell r="K282">
            <v>0.45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I283">
            <v>0.2</v>
          </cell>
          <cell r="J283">
            <v>0.25</v>
          </cell>
          <cell r="K283">
            <v>0.45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I284">
            <v>0.25</v>
          </cell>
          <cell r="J284">
            <v>0.5</v>
          </cell>
          <cell r="K284">
            <v>0.75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I285">
            <v>0.3</v>
          </cell>
          <cell r="J285">
            <v>0.6</v>
          </cell>
          <cell r="K285">
            <v>0.89999999999999991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I286">
            <v>0.35</v>
          </cell>
          <cell r="J286">
            <v>0.85</v>
          </cell>
          <cell r="K286">
            <v>1.2</v>
          </cell>
          <cell r="P286">
            <v>3</v>
          </cell>
        </row>
        <row r="287"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I287">
            <v>0.41</v>
          </cell>
          <cell r="J287">
            <v>0.93</v>
          </cell>
          <cell r="K287">
            <v>1.34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I288">
            <v>0.51</v>
          </cell>
          <cell r="J288">
            <v>1.59</v>
          </cell>
          <cell r="K288">
            <v>2.1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I289">
            <v>0.61</v>
          </cell>
          <cell r="J289">
            <v>2.69</v>
          </cell>
          <cell r="K289">
            <v>3.3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I290">
            <v>0.81</v>
          </cell>
          <cell r="J290">
            <v>4.58</v>
          </cell>
          <cell r="K290">
            <v>5.3900000000000006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I291">
            <v>1.01</v>
          </cell>
          <cell r="J291">
            <v>5.74</v>
          </cell>
          <cell r="K291">
            <v>6.75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I292">
            <v>1.22</v>
          </cell>
          <cell r="J292">
            <v>6.73</v>
          </cell>
          <cell r="K292">
            <v>7.95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I293">
            <v>0.81</v>
          </cell>
          <cell r="J293">
            <v>6.09</v>
          </cell>
          <cell r="K293">
            <v>6.9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I294">
            <v>1.01</v>
          </cell>
          <cell r="J294">
            <v>11.44</v>
          </cell>
          <cell r="K294">
            <v>12.45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I295">
            <v>1.22</v>
          </cell>
          <cell r="J295">
            <v>15.28</v>
          </cell>
          <cell r="K295">
            <v>16.5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I296">
            <v>1.42</v>
          </cell>
          <cell r="J296">
            <v>21.07</v>
          </cell>
          <cell r="K296">
            <v>22.490000000000002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I297">
            <v>1.62</v>
          </cell>
          <cell r="J297">
            <v>28.38</v>
          </cell>
          <cell r="K297">
            <v>30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I298">
            <v>1.82</v>
          </cell>
          <cell r="J298">
            <v>37.17</v>
          </cell>
          <cell r="K298">
            <v>38.99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I299">
            <v>2.0299999999999998</v>
          </cell>
          <cell r="J299">
            <v>45.97</v>
          </cell>
          <cell r="K299">
            <v>48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I300">
            <v>2.23</v>
          </cell>
          <cell r="J300">
            <v>65.27</v>
          </cell>
          <cell r="K300">
            <v>67.5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I301">
            <v>2.4300000000000002</v>
          </cell>
          <cell r="J301">
            <v>75.56</v>
          </cell>
          <cell r="K301">
            <v>77.990000000000009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I302">
            <v>0.41</v>
          </cell>
          <cell r="J302">
            <v>1.84</v>
          </cell>
          <cell r="K302">
            <v>2.25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I303">
            <v>0.51</v>
          </cell>
          <cell r="J303">
            <v>2.94</v>
          </cell>
          <cell r="K303">
            <v>3.45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I304">
            <v>0.61</v>
          </cell>
          <cell r="J304">
            <v>4.1900000000000004</v>
          </cell>
          <cell r="K304">
            <v>4.8000000000000007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I305">
            <v>0.81</v>
          </cell>
          <cell r="J305">
            <v>9.23</v>
          </cell>
          <cell r="K305">
            <v>10.040000000000001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I306">
            <v>1.01</v>
          </cell>
          <cell r="J306">
            <v>12.49</v>
          </cell>
          <cell r="K306">
            <v>13.5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I307">
            <v>1.22</v>
          </cell>
          <cell r="J307">
            <v>21.27</v>
          </cell>
          <cell r="K307">
            <v>22.49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I308">
            <v>1.42</v>
          </cell>
          <cell r="J308">
            <v>25.58</v>
          </cell>
          <cell r="K308">
            <v>27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I309">
            <v>1.62</v>
          </cell>
          <cell r="J309">
            <v>35.880000000000003</v>
          </cell>
          <cell r="K309">
            <v>37.5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I310">
            <v>1.82</v>
          </cell>
          <cell r="J310">
            <v>47.68</v>
          </cell>
          <cell r="K310">
            <v>49.5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I311">
            <v>2.0299999999999998</v>
          </cell>
          <cell r="J311">
            <v>62.47</v>
          </cell>
          <cell r="K311">
            <v>64.5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I312">
            <v>2.23</v>
          </cell>
          <cell r="J312">
            <v>84.76</v>
          </cell>
          <cell r="K312">
            <v>86.990000000000009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I313">
            <v>2.4300000000000002</v>
          </cell>
          <cell r="J313">
            <v>98.07</v>
          </cell>
          <cell r="K313">
            <v>100.5</v>
          </cell>
          <cell r="P313">
            <v>8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I314">
            <v>0.81</v>
          </cell>
          <cell r="J314">
            <v>10.130000000000001</v>
          </cell>
          <cell r="K314">
            <v>10.940000000000001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I315">
            <v>1.01</v>
          </cell>
          <cell r="J315">
            <v>18.48</v>
          </cell>
          <cell r="K315">
            <v>19.490000000000002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I316">
            <v>1.22</v>
          </cell>
          <cell r="J316">
            <v>25.78</v>
          </cell>
          <cell r="K316">
            <v>27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I317">
            <v>1.42</v>
          </cell>
          <cell r="J317">
            <v>31.58</v>
          </cell>
          <cell r="K317">
            <v>33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I318">
            <v>1.62</v>
          </cell>
          <cell r="J318">
            <v>44.87</v>
          </cell>
          <cell r="K318">
            <v>46.489999999999995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I319">
            <v>1.82</v>
          </cell>
          <cell r="J319">
            <v>59.68</v>
          </cell>
          <cell r="K319">
            <v>61.5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I321">
            <v>2.23</v>
          </cell>
          <cell r="J321">
            <v>108.77</v>
          </cell>
          <cell r="K321">
            <v>111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I322">
            <v>2.4300000000000002</v>
          </cell>
          <cell r="J322">
            <v>126.57</v>
          </cell>
          <cell r="K322">
            <v>129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I323">
            <v>7.0000000000000007E-2</v>
          </cell>
          <cell r="J323">
            <v>0.08</v>
          </cell>
          <cell r="K323">
            <v>0.15000000000000002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I324">
            <v>7.0000000000000007E-2</v>
          </cell>
          <cell r="J324">
            <v>0.08</v>
          </cell>
          <cell r="K324">
            <v>0.15000000000000002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I325">
            <v>7.0000000000000007E-2</v>
          </cell>
          <cell r="J325">
            <v>0.08</v>
          </cell>
          <cell r="K325">
            <v>0.15000000000000002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I326">
            <v>0.08</v>
          </cell>
          <cell r="J326">
            <v>7.0000000000000007E-2</v>
          </cell>
          <cell r="K326">
            <v>0.15000000000000002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I327">
            <v>0.08</v>
          </cell>
          <cell r="J327">
            <v>7.0000000000000007E-2</v>
          </cell>
          <cell r="K327">
            <v>0.15000000000000002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I328">
            <v>0.08</v>
          </cell>
          <cell r="J328">
            <v>7.0000000000000007E-2</v>
          </cell>
          <cell r="K328">
            <v>0.15000000000000002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I329">
            <v>0.1</v>
          </cell>
          <cell r="J329">
            <v>0.35</v>
          </cell>
          <cell r="K329">
            <v>0.44999999999999996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I330">
            <v>0.1</v>
          </cell>
          <cell r="J330">
            <v>0.35</v>
          </cell>
          <cell r="K330">
            <v>0.44999999999999996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I331">
            <v>0.1</v>
          </cell>
          <cell r="J331">
            <v>0.35</v>
          </cell>
          <cell r="K331">
            <v>0.44999999999999996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I332">
            <v>0.13</v>
          </cell>
          <cell r="J332">
            <v>0.32</v>
          </cell>
          <cell r="K332">
            <v>0.45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I333">
            <v>0.13</v>
          </cell>
          <cell r="J333">
            <v>0.32</v>
          </cell>
          <cell r="K333">
            <v>0.45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I334">
            <v>0.13</v>
          </cell>
          <cell r="J334">
            <v>0.32</v>
          </cell>
          <cell r="K334">
            <v>0.45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I335">
            <v>0.15</v>
          </cell>
          <cell r="J335">
            <v>0.45</v>
          </cell>
          <cell r="K335">
            <v>0.6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I336">
            <v>0.15</v>
          </cell>
          <cell r="J336">
            <v>0.45</v>
          </cell>
          <cell r="K336">
            <v>0.6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I337">
            <v>0.15</v>
          </cell>
          <cell r="J337">
            <v>0.45</v>
          </cell>
          <cell r="K337">
            <v>0.6</v>
          </cell>
          <cell r="P337">
            <v>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I338">
            <v>0.2</v>
          </cell>
          <cell r="J338">
            <v>0.7</v>
          </cell>
          <cell r="K338">
            <v>0.89999999999999991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I339">
            <v>0.2</v>
          </cell>
          <cell r="J339">
            <v>0.7</v>
          </cell>
          <cell r="K339">
            <v>0.89999999999999991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I340">
            <v>0.2</v>
          </cell>
          <cell r="J340">
            <v>0.7</v>
          </cell>
          <cell r="K340">
            <v>0.89999999999999991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I341">
            <v>0.25</v>
          </cell>
          <cell r="J341">
            <v>0.8</v>
          </cell>
          <cell r="K341">
            <v>1.05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I342">
            <v>0.3</v>
          </cell>
          <cell r="J342">
            <v>1.5</v>
          </cell>
          <cell r="K342">
            <v>1.8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I343">
            <v>0.41</v>
          </cell>
          <cell r="J343">
            <v>2.59</v>
          </cell>
          <cell r="K343">
            <v>3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I344">
            <v>0.51</v>
          </cell>
          <cell r="J344">
            <v>4.29</v>
          </cell>
          <cell r="K344">
            <v>4.8</v>
          </cell>
          <cell r="P344">
            <v>4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I345">
            <v>0.61</v>
          </cell>
          <cell r="J345">
            <v>7.04</v>
          </cell>
          <cell r="K345">
            <v>7.65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I346">
            <v>0.81</v>
          </cell>
          <cell r="J346">
            <v>11.19</v>
          </cell>
          <cell r="K346">
            <v>12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I347">
            <v>1.01</v>
          </cell>
          <cell r="J347">
            <v>21.48</v>
          </cell>
          <cell r="K347">
            <v>22.490000000000002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I348">
            <v>1.22</v>
          </cell>
          <cell r="J348">
            <v>31.78</v>
          </cell>
          <cell r="K348">
            <v>33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I349">
            <v>1.42</v>
          </cell>
          <cell r="J349">
            <v>39.07</v>
          </cell>
          <cell r="K349">
            <v>40.49</v>
          </cell>
          <cell r="P349">
            <v>6</v>
          </cell>
        </row>
        <row r="350"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I350">
            <v>1.62</v>
          </cell>
          <cell r="J350">
            <v>53.88</v>
          </cell>
          <cell r="K350">
            <v>55.5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I351">
            <v>1.82</v>
          </cell>
          <cell r="J351">
            <v>71.680000000000007</v>
          </cell>
          <cell r="K351">
            <v>73.5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I352">
            <v>2.0299999999999998</v>
          </cell>
          <cell r="J352">
            <v>93.97</v>
          </cell>
          <cell r="K352">
            <v>96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I353">
            <v>2.23</v>
          </cell>
          <cell r="J353">
            <v>132.77000000000001</v>
          </cell>
          <cell r="K353">
            <v>135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I354">
            <v>2.4300000000000002</v>
          </cell>
          <cell r="J354">
            <v>162.56</v>
          </cell>
          <cell r="K354">
            <v>164.99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I355">
            <v>7.0000000000000007E-2</v>
          </cell>
          <cell r="K355">
            <v>7.0000000000000007E-2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I356">
            <v>7.0000000000000007E-2</v>
          </cell>
          <cell r="K356">
            <v>7.0000000000000007E-2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I357">
            <v>7.0000000000000007E-2</v>
          </cell>
          <cell r="K357">
            <v>7.0000000000000007E-2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I358">
            <v>7.0000000000000007E-2</v>
          </cell>
          <cell r="K358">
            <v>7.0000000000000007E-2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I359">
            <v>7.0000000000000007E-2</v>
          </cell>
          <cell r="K359">
            <v>7.0000000000000007E-2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I360">
            <v>7.0000000000000007E-2</v>
          </cell>
          <cell r="K360">
            <v>7.0000000000000007E-2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I361">
            <v>7.0000000000000007E-2</v>
          </cell>
          <cell r="J361">
            <v>0</v>
          </cell>
          <cell r="K361">
            <v>7.0000000000000007E-2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I362">
            <v>7.0000000000000007E-2</v>
          </cell>
          <cell r="J362">
            <v>0</v>
          </cell>
          <cell r="K362">
            <v>7.0000000000000007E-2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I363">
            <v>7.0000000000000007E-2</v>
          </cell>
          <cell r="J363">
            <v>0</v>
          </cell>
          <cell r="K363">
            <v>7.0000000000000007E-2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I364">
            <v>7.0000000000000007E-2</v>
          </cell>
          <cell r="J364">
            <v>0</v>
          </cell>
          <cell r="K364">
            <v>7.0000000000000007E-2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I365">
            <v>7.0000000000000007E-2</v>
          </cell>
          <cell r="J365">
            <v>0</v>
          </cell>
          <cell r="K365">
            <v>7.0000000000000007E-2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I366">
            <v>7.0000000000000007E-2</v>
          </cell>
          <cell r="J366">
            <v>0</v>
          </cell>
          <cell r="K366">
            <v>7.0000000000000007E-2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I367">
            <v>7.0000000000000007E-2</v>
          </cell>
          <cell r="J367">
            <v>0</v>
          </cell>
          <cell r="K367">
            <v>7.0000000000000007E-2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I368">
            <v>7.0000000000000007E-2</v>
          </cell>
          <cell r="J368">
            <v>0</v>
          </cell>
          <cell r="K368">
            <v>7.0000000000000007E-2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I369">
            <v>7.0000000000000007E-2</v>
          </cell>
          <cell r="J369">
            <v>0</v>
          </cell>
          <cell r="K369">
            <v>7.0000000000000007E-2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I370">
            <v>0.12</v>
          </cell>
          <cell r="J370">
            <v>0</v>
          </cell>
          <cell r="K370">
            <v>0.12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I371">
            <v>0.12</v>
          </cell>
          <cell r="J371">
            <v>0</v>
          </cell>
          <cell r="K371">
            <v>0.12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I372">
            <v>0.12</v>
          </cell>
          <cell r="J372">
            <v>0</v>
          </cell>
          <cell r="K372">
            <v>0.12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I373">
            <v>0.15</v>
          </cell>
          <cell r="K373">
            <v>0.15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I374">
            <v>0.15</v>
          </cell>
          <cell r="K374">
            <v>0.15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I375">
            <v>0.15</v>
          </cell>
          <cell r="K375">
            <v>0.15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I376">
            <v>0.15</v>
          </cell>
          <cell r="J376">
            <v>0</v>
          </cell>
          <cell r="K376">
            <v>0.15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I377">
            <v>0.15</v>
          </cell>
          <cell r="J377">
            <v>0</v>
          </cell>
          <cell r="K377">
            <v>0.15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I378">
            <v>0.15</v>
          </cell>
          <cell r="J378">
            <v>0</v>
          </cell>
          <cell r="K378">
            <v>0.15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I379">
            <v>0.3</v>
          </cell>
          <cell r="J379">
            <v>0</v>
          </cell>
          <cell r="K379">
            <v>0.3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I380">
            <v>0.3</v>
          </cell>
          <cell r="J380">
            <v>0</v>
          </cell>
          <cell r="K380">
            <v>0.3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I381">
            <v>0.3</v>
          </cell>
          <cell r="J381">
            <v>0</v>
          </cell>
          <cell r="K381">
            <v>0.3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I382">
            <v>0.25</v>
          </cell>
          <cell r="J382">
            <v>0.2</v>
          </cell>
          <cell r="K382">
            <v>0.45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I383">
            <v>0.3</v>
          </cell>
          <cell r="J383">
            <v>0.3</v>
          </cell>
          <cell r="K383">
            <v>0.6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I384">
            <v>0.35</v>
          </cell>
          <cell r="J384">
            <v>0.4</v>
          </cell>
          <cell r="K384">
            <v>0.75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I385">
            <v>0.41</v>
          </cell>
          <cell r="J385">
            <v>0.49</v>
          </cell>
          <cell r="K385">
            <v>0.89999999999999991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I386">
            <v>0.51</v>
          </cell>
          <cell r="J386">
            <v>0.54</v>
          </cell>
          <cell r="K386">
            <v>1.05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I387">
            <v>0.61</v>
          </cell>
          <cell r="J387">
            <v>1.04</v>
          </cell>
          <cell r="K387">
            <v>1.65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I388">
            <v>0.81</v>
          </cell>
          <cell r="J388">
            <v>1.73</v>
          </cell>
          <cell r="K388">
            <v>2.54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I389">
            <v>1.01</v>
          </cell>
          <cell r="J389">
            <v>3.04</v>
          </cell>
          <cell r="K389">
            <v>4.05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I390">
            <v>1.22</v>
          </cell>
          <cell r="J390">
            <v>3.28</v>
          </cell>
          <cell r="K390">
            <v>4.5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I391">
            <v>1.42</v>
          </cell>
          <cell r="J391">
            <v>3.97</v>
          </cell>
          <cell r="K391">
            <v>5.3900000000000006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I392">
            <v>1.62</v>
          </cell>
          <cell r="J392">
            <v>4.68</v>
          </cell>
          <cell r="K392">
            <v>6.3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I393">
            <v>1.82</v>
          </cell>
          <cell r="J393">
            <v>5.38</v>
          </cell>
          <cell r="K393">
            <v>7.2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I394">
            <v>2.0299999999999998</v>
          </cell>
          <cell r="J394">
            <v>5.47</v>
          </cell>
          <cell r="K394">
            <v>7.5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I395">
            <v>2.23</v>
          </cell>
          <cell r="J395">
            <v>6.47</v>
          </cell>
          <cell r="K395">
            <v>8.6999999999999993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I396">
            <v>2.4300000000000002</v>
          </cell>
          <cell r="J396">
            <v>6.57</v>
          </cell>
          <cell r="K396">
            <v>9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I397">
            <v>2.64</v>
          </cell>
          <cell r="J397">
            <v>7.7</v>
          </cell>
          <cell r="K397">
            <v>10.34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I398">
            <v>2.84</v>
          </cell>
          <cell r="J398">
            <v>8.25</v>
          </cell>
          <cell r="K398">
            <v>11.09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I399">
            <v>3.04</v>
          </cell>
          <cell r="J399">
            <v>8.9600000000000009</v>
          </cell>
          <cell r="K399">
            <v>12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I400">
            <v>3.24</v>
          </cell>
          <cell r="J400">
            <v>9.51</v>
          </cell>
          <cell r="K400">
            <v>12.75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I401">
            <v>3.45</v>
          </cell>
          <cell r="J401">
            <v>10.050000000000001</v>
          </cell>
          <cell r="K401">
            <v>13.5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I402">
            <v>3.65</v>
          </cell>
          <cell r="J402">
            <v>10.6</v>
          </cell>
          <cell r="K402">
            <v>14.25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I403">
            <v>3.85</v>
          </cell>
          <cell r="J403">
            <v>11.23</v>
          </cell>
          <cell r="K403">
            <v>15.08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I404">
            <v>4.0599999999999996</v>
          </cell>
          <cell r="J404">
            <v>11.66</v>
          </cell>
          <cell r="K404">
            <v>15.719999999999999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I405">
            <v>4.26</v>
          </cell>
          <cell r="J405">
            <v>12.24</v>
          </cell>
          <cell r="K405">
            <v>16.5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I406">
            <v>4.47</v>
          </cell>
          <cell r="J406">
            <v>17.54</v>
          </cell>
          <cell r="K406">
            <v>22.009999999999998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I407">
            <v>4.67</v>
          </cell>
          <cell r="J407">
            <v>18.329999999999998</v>
          </cell>
          <cell r="K407">
            <v>23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I408">
            <v>4.87</v>
          </cell>
          <cell r="J408">
            <v>19.13</v>
          </cell>
          <cell r="K408">
            <v>24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I409">
            <v>7.0000000000000007E-2</v>
          </cell>
          <cell r="K409">
            <v>7.0000000000000007E-2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I410">
            <v>7.0000000000000007E-2</v>
          </cell>
          <cell r="K410">
            <v>7.0000000000000007E-2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I411">
            <v>7.0000000000000007E-2</v>
          </cell>
          <cell r="K411">
            <v>7.0000000000000007E-2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I412">
            <v>7.0000000000000007E-2</v>
          </cell>
          <cell r="K412">
            <v>7.0000000000000007E-2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I413">
            <v>7.0000000000000007E-2</v>
          </cell>
          <cell r="K413">
            <v>7.0000000000000007E-2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I414">
            <v>7.0000000000000007E-2</v>
          </cell>
          <cell r="K414">
            <v>7.0000000000000007E-2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I415">
            <v>7.0000000000000007E-2</v>
          </cell>
          <cell r="J415">
            <v>0</v>
          </cell>
          <cell r="K415">
            <v>7.0000000000000007E-2</v>
          </cell>
          <cell r="P415">
            <v>2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I416">
            <v>7.0000000000000007E-2</v>
          </cell>
          <cell r="J416">
            <v>0</v>
          </cell>
          <cell r="K416">
            <v>7.0000000000000007E-2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I417">
            <v>7.0000000000000007E-2</v>
          </cell>
          <cell r="J417">
            <v>0</v>
          </cell>
          <cell r="K417">
            <v>7.0000000000000007E-2</v>
          </cell>
          <cell r="P417">
            <v>2</v>
          </cell>
        </row>
        <row r="418"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I418">
            <v>7.0000000000000007E-2</v>
          </cell>
          <cell r="J418">
            <v>0</v>
          </cell>
          <cell r="K418">
            <v>7.0000000000000007E-2</v>
          </cell>
          <cell r="P418">
            <v>2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I419">
            <v>7.0000000000000007E-2</v>
          </cell>
          <cell r="J419">
            <v>0</v>
          </cell>
          <cell r="K419">
            <v>7.0000000000000007E-2</v>
          </cell>
          <cell r="P419">
            <v>2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I420">
            <v>7.0000000000000007E-2</v>
          </cell>
          <cell r="J420">
            <v>0</v>
          </cell>
          <cell r="K420">
            <v>7.0000000000000007E-2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I421">
            <v>7.0000000000000007E-2</v>
          </cell>
          <cell r="J421">
            <v>0</v>
          </cell>
          <cell r="K421">
            <v>7.0000000000000007E-2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I422">
            <v>7.0000000000000007E-2</v>
          </cell>
          <cell r="J422">
            <v>0</v>
          </cell>
          <cell r="K422">
            <v>7.0000000000000007E-2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I423">
            <v>7.0000000000000007E-2</v>
          </cell>
          <cell r="J423">
            <v>0</v>
          </cell>
          <cell r="K423">
            <v>7.0000000000000007E-2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I424">
            <v>0.15</v>
          </cell>
          <cell r="J424">
            <v>0</v>
          </cell>
          <cell r="K424">
            <v>0.15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I425">
            <v>0.15</v>
          </cell>
          <cell r="J425">
            <v>0</v>
          </cell>
          <cell r="K425">
            <v>0.15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I426">
            <v>0.15</v>
          </cell>
          <cell r="J426">
            <v>0</v>
          </cell>
          <cell r="K426">
            <v>0.15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I427">
            <v>0.13</v>
          </cell>
          <cell r="J427">
            <v>0.17</v>
          </cell>
          <cell r="K427">
            <v>0.30000000000000004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I428">
            <v>0.13</v>
          </cell>
          <cell r="J428">
            <v>0.17</v>
          </cell>
          <cell r="K428">
            <v>0.30000000000000004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I429">
            <v>0.13</v>
          </cell>
          <cell r="J429">
            <v>0.17</v>
          </cell>
          <cell r="K429">
            <v>0.30000000000000004</v>
          </cell>
          <cell r="P429">
            <v>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I430">
            <v>0.15</v>
          </cell>
          <cell r="J430">
            <v>0.15</v>
          </cell>
          <cell r="K430">
            <v>0.3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I431">
            <v>0.15</v>
          </cell>
          <cell r="J431">
            <v>0.15</v>
          </cell>
          <cell r="K431">
            <v>0.3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I432">
            <v>0.15</v>
          </cell>
          <cell r="J432">
            <v>0.15</v>
          </cell>
          <cell r="K432">
            <v>0.3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I433">
            <v>0.2</v>
          </cell>
          <cell r="J433">
            <v>0.25</v>
          </cell>
          <cell r="K433">
            <v>0.45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I434">
            <v>0.2</v>
          </cell>
          <cell r="J434">
            <v>0.25</v>
          </cell>
          <cell r="K434">
            <v>0.45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I435">
            <v>0.2</v>
          </cell>
          <cell r="J435">
            <v>0.25</v>
          </cell>
          <cell r="K435">
            <v>0.45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I436">
            <v>0.25</v>
          </cell>
          <cell r="J436">
            <v>0.5</v>
          </cell>
          <cell r="K436">
            <v>0.75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I437">
            <v>0.3</v>
          </cell>
          <cell r="J437">
            <v>0.6</v>
          </cell>
          <cell r="K437">
            <v>0.89999999999999991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I438">
            <v>0.35</v>
          </cell>
          <cell r="J438">
            <v>0.85</v>
          </cell>
          <cell r="K438">
            <v>1.2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I439">
            <v>0.41</v>
          </cell>
          <cell r="J439">
            <v>0.93</v>
          </cell>
          <cell r="K439">
            <v>1.34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I440">
            <v>0.51</v>
          </cell>
          <cell r="J440">
            <v>1.59</v>
          </cell>
          <cell r="K440">
            <v>2.1</v>
          </cell>
          <cell r="P440">
            <v>4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I441">
            <v>0.61</v>
          </cell>
          <cell r="J441">
            <v>2.69</v>
          </cell>
          <cell r="K441">
            <v>3.3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I442">
            <v>0.81</v>
          </cell>
          <cell r="J442">
            <v>4.58</v>
          </cell>
          <cell r="K442">
            <v>5.3900000000000006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I443">
            <v>1.01</v>
          </cell>
          <cell r="J443">
            <v>5.74</v>
          </cell>
          <cell r="K443">
            <v>6.75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I444">
            <v>1.22</v>
          </cell>
          <cell r="J444">
            <v>6.73</v>
          </cell>
          <cell r="K444">
            <v>7.95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I445">
            <v>1.42</v>
          </cell>
          <cell r="J445">
            <v>7.28</v>
          </cell>
          <cell r="K445">
            <v>8.6999999999999993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I446">
            <v>1.62</v>
          </cell>
          <cell r="J446">
            <v>8.42</v>
          </cell>
          <cell r="K446">
            <v>10.039999999999999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I447">
            <v>1.82</v>
          </cell>
          <cell r="J447">
            <v>9.42</v>
          </cell>
          <cell r="K447">
            <v>11.24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I448">
            <v>2.0299999999999998</v>
          </cell>
          <cell r="J448">
            <v>10.42</v>
          </cell>
          <cell r="K448">
            <v>12.45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I449">
            <v>2.23</v>
          </cell>
          <cell r="J449">
            <v>11.72</v>
          </cell>
          <cell r="K449">
            <v>13.950000000000001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I450">
            <v>2.4300000000000002</v>
          </cell>
          <cell r="J450">
            <v>12.57</v>
          </cell>
          <cell r="K450">
            <v>15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I451">
            <v>2.64</v>
          </cell>
          <cell r="J451">
            <v>13.86</v>
          </cell>
          <cell r="K451">
            <v>16.5</v>
          </cell>
          <cell r="P451">
            <v>9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I452">
            <v>2.84</v>
          </cell>
          <cell r="J452">
            <v>15.16</v>
          </cell>
          <cell r="K452">
            <v>18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I453">
            <v>3.04</v>
          </cell>
          <cell r="J453">
            <v>16.45</v>
          </cell>
          <cell r="K453">
            <v>19.489999999999998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I454">
            <v>3.24</v>
          </cell>
          <cell r="J454">
            <v>17.75</v>
          </cell>
          <cell r="K454">
            <v>20.990000000000002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I455">
            <v>3.45</v>
          </cell>
          <cell r="J455">
            <v>18.54</v>
          </cell>
          <cell r="K455">
            <v>21.99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I456">
            <v>3.65</v>
          </cell>
          <cell r="J456">
            <v>18.84</v>
          </cell>
          <cell r="K456">
            <v>22.49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I457">
            <v>3.85</v>
          </cell>
          <cell r="J457">
            <v>19.89</v>
          </cell>
          <cell r="K457">
            <v>23.740000000000002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I458">
            <v>4.0599999999999996</v>
          </cell>
          <cell r="J458">
            <v>21.66</v>
          </cell>
          <cell r="K458">
            <v>25.72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I459">
            <v>4.26</v>
          </cell>
          <cell r="J459">
            <v>22.74</v>
          </cell>
          <cell r="K459">
            <v>27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I460">
            <v>4.47</v>
          </cell>
          <cell r="J460">
            <v>27.16</v>
          </cell>
          <cell r="K460">
            <v>31.63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I461">
            <v>4.67</v>
          </cell>
          <cell r="J461">
            <v>28.4</v>
          </cell>
          <cell r="K461">
            <v>33.07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I462">
            <v>4.87</v>
          </cell>
          <cell r="J462">
            <v>29.63</v>
          </cell>
          <cell r="K462">
            <v>34.5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I463">
            <v>7.0000000000000007E-2</v>
          </cell>
          <cell r="J463">
            <v>0.23</v>
          </cell>
          <cell r="K463">
            <v>0.30000000000000004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I464">
            <v>7.0000000000000007E-2</v>
          </cell>
          <cell r="J464">
            <v>0.23</v>
          </cell>
          <cell r="K464">
            <v>0.30000000000000004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I465">
            <v>7.0000000000000007E-2</v>
          </cell>
          <cell r="J465">
            <v>0.23</v>
          </cell>
          <cell r="K465">
            <v>0.30000000000000004</v>
          </cell>
          <cell r="P465">
            <v>2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I466">
            <v>0.08</v>
          </cell>
          <cell r="J466">
            <v>0.22</v>
          </cell>
          <cell r="K466">
            <v>0.3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I467">
            <v>0.08</v>
          </cell>
          <cell r="J467">
            <v>0.22</v>
          </cell>
          <cell r="K467">
            <v>0.3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I468">
            <v>0.08</v>
          </cell>
          <cell r="J468">
            <v>0.22</v>
          </cell>
          <cell r="K468">
            <v>0.3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I469">
            <v>0.1</v>
          </cell>
          <cell r="J469">
            <v>0.5</v>
          </cell>
          <cell r="K469">
            <v>0.6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I470">
            <v>0.1</v>
          </cell>
          <cell r="J470">
            <v>0.5</v>
          </cell>
          <cell r="K470">
            <v>0.6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I471">
            <v>0.1</v>
          </cell>
          <cell r="J471">
            <v>0.5</v>
          </cell>
          <cell r="K471">
            <v>0.6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I472">
            <v>0.13</v>
          </cell>
          <cell r="J472">
            <v>0.67</v>
          </cell>
          <cell r="K472">
            <v>0.8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I473">
            <v>0.13</v>
          </cell>
          <cell r="J473">
            <v>0.67</v>
          </cell>
          <cell r="K473">
            <v>0.8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I474">
            <v>0.13</v>
          </cell>
          <cell r="J474">
            <v>0.67</v>
          </cell>
          <cell r="K474">
            <v>0.8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I475">
            <v>0.15</v>
          </cell>
          <cell r="J475">
            <v>0.75</v>
          </cell>
          <cell r="K475">
            <v>0.9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I476">
            <v>0.15</v>
          </cell>
          <cell r="J476">
            <v>0.75</v>
          </cell>
          <cell r="K476">
            <v>0.9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I477">
            <v>0.15</v>
          </cell>
          <cell r="J477">
            <v>0.75</v>
          </cell>
          <cell r="K477">
            <v>0.9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I478">
            <v>0.2</v>
          </cell>
          <cell r="J478">
            <v>1</v>
          </cell>
          <cell r="K478">
            <v>1.2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I479">
            <v>0.2</v>
          </cell>
          <cell r="J479">
            <v>1</v>
          </cell>
          <cell r="K479">
            <v>1.2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I480">
            <v>0.2</v>
          </cell>
          <cell r="J480">
            <v>1</v>
          </cell>
          <cell r="K480">
            <v>1.2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I481">
            <v>0.25</v>
          </cell>
          <cell r="J481">
            <v>1.7</v>
          </cell>
          <cell r="K481">
            <v>1.95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I482">
            <v>0.3</v>
          </cell>
          <cell r="J482">
            <v>2.39</v>
          </cell>
          <cell r="K482">
            <v>2.69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I483">
            <v>0.41</v>
          </cell>
          <cell r="J483">
            <v>4.09</v>
          </cell>
          <cell r="K483">
            <v>4.5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I484">
            <v>0.51</v>
          </cell>
          <cell r="J484">
            <v>4.43</v>
          </cell>
          <cell r="K484">
            <v>4.9399999999999995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I485">
            <v>0.61</v>
          </cell>
          <cell r="J485">
            <v>8.09</v>
          </cell>
          <cell r="K485">
            <v>8.6999999999999993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I486">
            <v>0.81</v>
          </cell>
          <cell r="J486">
            <v>11.49</v>
          </cell>
          <cell r="K486">
            <v>12.3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I487">
            <v>1.01</v>
          </cell>
          <cell r="J487">
            <v>18.489999999999998</v>
          </cell>
          <cell r="K487">
            <v>19.5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I488">
            <v>1.22</v>
          </cell>
          <cell r="J488">
            <v>21.27</v>
          </cell>
          <cell r="K488">
            <v>22.49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I489">
            <v>6.49</v>
          </cell>
          <cell r="J489">
            <v>20.29</v>
          </cell>
          <cell r="K489">
            <v>26.78</v>
          </cell>
          <cell r="P489">
            <v>21</v>
          </cell>
        </row>
      </sheetData>
      <sheetData sheetId="1" refreshError="1"/>
      <sheetData sheetId="2" refreshError="1"/>
      <sheetData sheetId="3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BREAK DOWN-0615-cn"/>
      <sheetName val="BREAK DOWN-0615"/>
      <sheetName val="BREAK DOWN"/>
      <sheetName val="BREAK DOWN_PQ"/>
      <sheetName val="Sheet1"/>
      <sheetName val="Sheet2"/>
      <sheetName val="Sheet3"/>
    </sheetNames>
    <sheetDataSet>
      <sheetData sheetId="0" refreshError="1">
        <row r="16">
          <cell r="I16">
            <v>31.945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GDT huu Lung - LS"/>
      <sheetName val="THDT Yen Son"/>
      <sheetName val="D.lg Yen Son"/>
      <sheetName val="THDT Huu Lien"/>
      <sheetName val="D.lg Huu Lien"/>
      <sheetName val="THDT Yen Thinh"/>
      <sheetName val="D.lg Yen Thinh"/>
      <sheetName val="Chi tiet"/>
      <sheetName val="CTBT"/>
      <sheetName val="XL4Poppy"/>
      <sheetName val="Sheet1"/>
      <sheetName val="DUONG"/>
      <sheetName val="KHANH"/>
      <sheetName val="PHONG"/>
      <sheetName val="XXXXXXX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A"/>
      <sheetName val="DGchitiet"/>
      <sheetName val="Gia vat tu"/>
      <sheetName val="XL4Poppy"/>
      <sheetName val="00000000"/>
      <sheetName val="2002"/>
      <sheetName val="2003"/>
      <sheetName val="2004"/>
      <sheetName val="NL 2002"/>
      <sheetName val="HC"/>
      <sheetName val="Sheet3"/>
      <sheetName val="NL"/>
      <sheetName val="NL 2003"/>
      <sheetName val="khong dat"/>
      <sheetName val="TD PKN"/>
      <sheetName val="10000000"/>
      <sheetName val="20000000"/>
      <sheetName val="XKTHANG0104"/>
      <sheetName val="NKTHANG0104"/>
      <sheetName val="Sheet1"/>
      <sheetName val="KPVC-BD "/>
      <sheetName val="CH3-TBA"/>
      <sheetName val="CH3-DZ"/>
      <sheetName val="SHIFT1102"/>
      <sheetName val="SHIFT1202"/>
      <sheetName val="Shift0103 (2)"/>
      <sheetName val="15-05-2003"/>
      <sheetName val="XXXXXXXX"/>
      <sheetName val="Ma KH"/>
      <sheetName val="chitiet"/>
      <sheetName val="tonghop"/>
      <sheetName val="XL4Test5"/>
      <sheetName val="CaMay"/>
      <sheetName val="DGiaT"/>
      <sheetName val="DGiaTN"/>
      <sheetName val="TT"/>
      <sheetName val="Gia thanh"/>
      <sheetName val="DGchitiet "/>
      <sheetName val="Gia VLNCMTC"/>
      <sheetName val="KL CT Goc"/>
      <sheetName val="dutoannhalk"/>
      <sheetName val="klt"/>
      <sheetName val="ncc"/>
      <sheetName val="KLNC Con Lai"/>
      <sheetName val="#REF"/>
      <sheetName val="Chi tiet"/>
      <sheetName val="LACK"/>
      <sheetName val="PLIST"/>
      <sheetName val="Sheet2"/>
      <sheetName val="FAB. 602M"/>
      <sheetName val="TH"/>
      <sheetName val="B-Q1"/>
      <sheetName val="B-Q2"/>
      <sheetName val="N-Q1"/>
      <sheetName val="N-Q2"/>
      <sheetName val="tonghd"/>
      <sheetName val="hoadon"/>
      <sheetName val="CHUYEN"/>
      <sheetName val="NOIDUNG"/>
      <sheetName val="KH"/>
      <sheetName val="Thang9"/>
      <sheetName val="CUOC"/>
      <sheetName val="PHI"/>
      <sheetName val="ctct"/>
      <sheetName val="ctyc"/>
      <sheetName val="chuyentien"/>
      <sheetName val="phichuyen"/>
      <sheetName val="luong"/>
      <sheetName val="PVC.T1"/>
      <sheetName val="PVC.T2"/>
      <sheetName val="PVC.T3"/>
      <sheetName val="parker"/>
      <sheetName val="DGduong"/>
      <sheetName val="chiettinh"/>
      <sheetName val="Kphi"/>
      <sheetName val="H13"/>
      <sheetName val="H6-7"/>
      <sheetName val="H6-3"/>
      <sheetName val="Sheet4"/>
      <sheetName val="Sum"/>
      <sheetName val="KPVC_BD "/>
      <sheetName val="PTVT (MAU)"/>
      <sheetName val="Dchinh(chinhthuc)"/>
      <sheetName val="DZ 22KV"/>
      <sheetName val="Bang chiet tinh TBA"/>
      <sheetName val="List of Purchase orders"/>
      <sheetName val="FORM"/>
      <sheetName val="TNHCHINH"/>
      <sheetName val="Sheet5"/>
      <sheetName val="KL"/>
      <sheetName val="CTDG"/>
      <sheetName val="CPTT"/>
      <sheetName val="TDT"/>
      <sheetName val="Dinh nghia"/>
      <sheetName val="Gia V1L"/>
      <sheetName val="CTGT"/>
      <sheetName val="data. invoice"/>
      <sheetName val="KQKD_05"/>
      <sheetName val="th2005"/>
      <sheetName val="MTO REV.2(ARMOR)"/>
      <sheetName val="_x0000__x0000__x0000__x0000__x0000__x0000__x0000__x0000_"/>
      <sheetName val="TDTKP"/>
      <sheetName val="DK-KH"/>
      <sheetName val="bdkdt"/>
      <sheetName val="Giathanh1m3BT"/>
      <sheetName val="ESTI."/>
      <sheetName val="DI-ESTI"/>
      <sheetName val="LKVL-CK-HT-GD1"/>
      <sheetName val="TONGKE-HT"/>
      <sheetName val="Giavattu"/>
      <sheetName val="TT35"/>
      <sheetName val="?????"/>
      <sheetName val="Xuat NHap Ton"/>
      <sheetName val="Nhap VT"/>
      <sheetName val="Xuat VT"/>
      <sheetName val="BB&amp;DD"/>
      <sheetName val="Carton"/>
      <sheetName val="Cantin &amp; Vesinh"/>
      <sheetName val="Kho Nhom"/>
      <sheetName val="DBDB"/>
      <sheetName val="DBCQ"/>
      <sheetName val="MC&amp;LX"/>
      <sheetName val="Lan"/>
      <sheetName val="CKSX"/>
      <sheetName val="Lo Xi"/>
      <sheetName val="Nau mang"/>
      <sheetName val="Nau Cuc"/>
      <sheetName val="Son Nhiet"/>
      <sheetName val="Chi Nhanh"/>
      <sheetName val="QC"/>
      <sheetName val="CKKM"/>
      <sheetName val="Kho Moc"/>
      <sheetName val="Thuy Dai"/>
      <sheetName val="KVT, VP,  KCS"/>
      <sheetName val="General"/>
      <sheetName val="VL"/>
      <sheetName val="TTHBCMT"/>
      <sheetName val="CDTK"/>
      <sheetName val="CC"/>
      <sheetName val="________"/>
      <sheetName val="Bang Du Tinh Luong NV"/>
      <sheetName val="Dulieu"/>
      <sheetName val="V.lieu"/>
      <sheetName val="REGION"/>
      <sheetName val="OFFGRID"/>
      <sheetName val="Shift01030(2)"/>
      <sheetName val="Gia_vat_tu"/>
      <sheetName val="Shift0103_(2)"/>
      <sheetName val="phuluc1"/>
      <sheetName val="_____"/>
      <sheetName val="Ti Gia"/>
      <sheetName val="FAB__602M"/>
      <sheetName val="kinh phí X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 refreshError="1"/>
      <sheetData sheetId="95"/>
      <sheetData sheetId="96"/>
      <sheetData sheetId="97" refreshError="1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KL XK"/>
      <sheetName val="INV"/>
      <sheetName val="PLK"/>
      <sheetName val="AGREEMENT (ACC)"/>
      <sheetName val="CR"/>
      <sheetName val="invoice "/>
      <sheetName val="PACKING  "/>
      <sheetName val="BILL EXCHANGE"/>
      <sheetName val="CARGO RECEIPT"/>
    </sheetNames>
    <sheetDataSet>
      <sheetData sheetId="0"/>
      <sheetData sheetId="1">
        <row r="20">
          <cell r="D20" t="str">
            <v>JAKARTA,INDONESIA</v>
          </cell>
        </row>
        <row r="26">
          <cell r="B26" t="str">
            <v xml:space="preserve">KNITTED  FABRIC                                                                    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tel:(82)2-5460066%20%20%20FAX:(82)2-5404106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tel:(82)2-5460066%20%20%20FAX:(82)2-5404106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tel:(82)2-5460066%20%20%20FAX:(82)2-5404106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tel:(82)2-5460066%20%20%20FAX:(82)2-5404106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tel:(82)2-5460066%20%20%20FAX:(82)2-5404106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tel:(82)2-5460066%20%20%20FAX:(82)2-5404106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tel:(82)2-5460066%20%20%20FAX:(82)2-5404106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tel:(82)2-5460066%20%20%20FAX:(82)2-5404106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tel:(82)2-5460066%20%20%20FAX:(82)2-5404106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tel:(82)2-5460066%20%20%20FAX:(82)2-5404106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tel:(82)2-5460066%20%20%20FAX:(82)2-5404106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tel:(82)2-5460066%20%20%20FAX:(82)2-5404106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tel:(82)2-5460066%20%20%20FAX:(82)2-54041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N74"/>
  <sheetViews>
    <sheetView tabSelected="1" topLeftCell="A33" zoomScale="85" zoomScaleNormal="85" zoomScaleSheetLayoutView="115" workbookViewId="0">
      <selection activeCell="M36" sqref="M36"/>
    </sheetView>
  </sheetViews>
  <sheetFormatPr defaultColWidth="7.88671875" defaultRowHeight="15"/>
  <cols>
    <col min="1" max="1" width="2.88671875" style="361" customWidth="1"/>
    <col min="2" max="2" width="5.44140625" style="361" customWidth="1"/>
    <col min="3" max="3" width="29.77734375" style="361" bestFit="1" customWidth="1"/>
    <col min="4" max="4" width="11.33203125" style="361" bestFit="1" customWidth="1"/>
    <col min="5" max="5" width="18.44140625" style="361" customWidth="1"/>
    <col min="6" max="6" width="7.88671875" style="361" customWidth="1"/>
    <col min="7" max="7" width="8.33203125" style="361" customWidth="1"/>
    <col min="8" max="8" width="8.109375" style="361" customWidth="1"/>
    <col min="9" max="9" width="8.33203125" style="361" customWidth="1"/>
    <col min="10" max="10" width="10.6640625" style="361" bestFit="1" customWidth="1"/>
    <col min="11" max="11" width="8.109375" style="361" customWidth="1"/>
    <col min="12" max="12" width="8" style="361" customWidth="1"/>
    <col min="13" max="13" width="11.33203125" style="361" customWidth="1"/>
    <col min="14" max="14" width="4.44140625" style="359" customWidth="1"/>
    <col min="15" max="47" width="7.88671875" style="359"/>
    <col min="48" max="48" width="2.88671875" style="359" customWidth="1"/>
    <col min="49" max="49" width="27.21875" style="359" customWidth="1"/>
    <col min="50" max="50" width="11" style="359" customWidth="1"/>
    <col min="51" max="51" width="11.6640625" style="359" customWidth="1"/>
    <col min="52" max="52" width="8.88671875" style="359" customWidth="1"/>
    <col min="53" max="53" width="9.6640625" style="359" customWidth="1"/>
    <col min="54" max="54" width="9.21875" style="359" customWidth="1"/>
    <col min="55" max="56" width="0" style="359" hidden="1" customWidth="1"/>
    <col min="57" max="57" width="8" style="359" customWidth="1"/>
    <col min="58" max="58" width="10.44140625" style="359" customWidth="1"/>
    <col min="59" max="303" width="7.88671875" style="359"/>
    <col min="304" max="304" width="2.88671875" style="359" customWidth="1"/>
    <col min="305" max="305" width="27.21875" style="359" customWidth="1"/>
    <col min="306" max="306" width="11" style="359" customWidth="1"/>
    <col min="307" max="307" width="11.6640625" style="359" customWidth="1"/>
    <col min="308" max="308" width="8.88671875" style="359" customWidth="1"/>
    <col min="309" max="309" width="9.6640625" style="359" customWidth="1"/>
    <col min="310" max="310" width="9.21875" style="359" customWidth="1"/>
    <col min="311" max="312" width="0" style="359" hidden="1" customWidth="1"/>
    <col min="313" max="313" width="8" style="359" customWidth="1"/>
    <col min="314" max="314" width="10.44140625" style="359" customWidth="1"/>
    <col min="315" max="559" width="7.88671875" style="359"/>
    <col min="560" max="560" width="2.88671875" style="359" customWidth="1"/>
    <col min="561" max="561" width="27.21875" style="359" customWidth="1"/>
    <col min="562" max="562" width="11" style="359" customWidth="1"/>
    <col min="563" max="563" width="11.6640625" style="359" customWidth="1"/>
    <col min="564" max="564" width="8.88671875" style="359" customWidth="1"/>
    <col min="565" max="565" width="9.6640625" style="359" customWidth="1"/>
    <col min="566" max="566" width="9.21875" style="359" customWidth="1"/>
    <col min="567" max="568" width="0" style="359" hidden="1" customWidth="1"/>
    <col min="569" max="569" width="8" style="359" customWidth="1"/>
    <col min="570" max="570" width="10.44140625" style="359" customWidth="1"/>
    <col min="571" max="815" width="7.88671875" style="359"/>
    <col min="816" max="816" width="2.88671875" style="359" customWidth="1"/>
    <col min="817" max="817" width="27.21875" style="359" customWidth="1"/>
    <col min="818" max="818" width="11" style="359" customWidth="1"/>
    <col min="819" max="819" width="11.6640625" style="359" customWidth="1"/>
    <col min="820" max="820" width="8.88671875" style="359" customWidth="1"/>
    <col min="821" max="821" width="9.6640625" style="359" customWidth="1"/>
    <col min="822" max="822" width="9.21875" style="359" customWidth="1"/>
    <col min="823" max="824" width="0" style="359" hidden="1" customWidth="1"/>
    <col min="825" max="825" width="8" style="359" customWidth="1"/>
    <col min="826" max="826" width="10.44140625" style="359" customWidth="1"/>
    <col min="827" max="1071" width="7.88671875" style="359"/>
    <col min="1072" max="1072" width="2.88671875" style="359" customWidth="1"/>
    <col min="1073" max="1073" width="27.21875" style="359" customWidth="1"/>
    <col min="1074" max="1074" width="11" style="359" customWidth="1"/>
    <col min="1075" max="1075" width="11.6640625" style="359" customWidth="1"/>
    <col min="1076" max="1076" width="8.88671875" style="359" customWidth="1"/>
    <col min="1077" max="1077" width="9.6640625" style="359" customWidth="1"/>
    <col min="1078" max="1078" width="9.21875" style="359" customWidth="1"/>
    <col min="1079" max="1080" width="0" style="359" hidden="1" customWidth="1"/>
    <col min="1081" max="1081" width="8" style="359" customWidth="1"/>
    <col min="1082" max="1082" width="10.44140625" style="359" customWidth="1"/>
    <col min="1083" max="1327" width="7.88671875" style="359"/>
    <col min="1328" max="1328" width="2.88671875" style="359" customWidth="1"/>
    <col min="1329" max="1329" width="27.21875" style="359" customWidth="1"/>
    <col min="1330" max="1330" width="11" style="359" customWidth="1"/>
    <col min="1331" max="1331" width="11.6640625" style="359" customWidth="1"/>
    <col min="1332" max="1332" width="8.88671875" style="359" customWidth="1"/>
    <col min="1333" max="1333" width="9.6640625" style="359" customWidth="1"/>
    <col min="1334" max="1334" width="9.21875" style="359" customWidth="1"/>
    <col min="1335" max="1336" width="0" style="359" hidden="1" customWidth="1"/>
    <col min="1337" max="1337" width="8" style="359" customWidth="1"/>
    <col min="1338" max="1338" width="10.44140625" style="359" customWidth="1"/>
    <col min="1339" max="1583" width="7.88671875" style="359"/>
    <col min="1584" max="1584" width="2.88671875" style="359" customWidth="1"/>
    <col min="1585" max="1585" width="27.21875" style="359" customWidth="1"/>
    <col min="1586" max="1586" width="11" style="359" customWidth="1"/>
    <col min="1587" max="1587" width="11.6640625" style="359" customWidth="1"/>
    <col min="1588" max="1588" width="8.88671875" style="359" customWidth="1"/>
    <col min="1589" max="1589" width="9.6640625" style="359" customWidth="1"/>
    <col min="1590" max="1590" width="9.21875" style="359" customWidth="1"/>
    <col min="1591" max="1592" width="0" style="359" hidden="1" customWidth="1"/>
    <col min="1593" max="1593" width="8" style="359" customWidth="1"/>
    <col min="1594" max="1594" width="10.44140625" style="359" customWidth="1"/>
    <col min="1595" max="1839" width="7.88671875" style="359"/>
    <col min="1840" max="1840" width="2.88671875" style="359" customWidth="1"/>
    <col min="1841" max="1841" width="27.21875" style="359" customWidth="1"/>
    <col min="1842" max="1842" width="11" style="359" customWidth="1"/>
    <col min="1843" max="1843" width="11.6640625" style="359" customWidth="1"/>
    <col min="1844" max="1844" width="8.88671875" style="359" customWidth="1"/>
    <col min="1845" max="1845" width="9.6640625" style="359" customWidth="1"/>
    <col min="1846" max="1846" width="9.21875" style="359" customWidth="1"/>
    <col min="1847" max="1848" width="0" style="359" hidden="1" customWidth="1"/>
    <col min="1849" max="1849" width="8" style="359" customWidth="1"/>
    <col min="1850" max="1850" width="10.44140625" style="359" customWidth="1"/>
    <col min="1851" max="2095" width="7.88671875" style="359"/>
    <col min="2096" max="2096" width="2.88671875" style="359" customWidth="1"/>
    <col min="2097" max="2097" width="27.21875" style="359" customWidth="1"/>
    <col min="2098" max="2098" width="11" style="359" customWidth="1"/>
    <col min="2099" max="2099" width="11.6640625" style="359" customWidth="1"/>
    <col min="2100" max="2100" width="8.88671875" style="359" customWidth="1"/>
    <col min="2101" max="2101" width="9.6640625" style="359" customWidth="1"/>
    <col min="2102" max="2102" width="9.21875" style="359" customWidth="1"/>
    <col min="2103" max="2104" width="0" style="359" hidden="1" customWidth="1"/>
    <col min="2105" max="2105" width="8" style="359" customWidth="1"/>
    <col min="2106" max="2106" width="10.44140625" style="359" customWidth="1"/>
    <col min="2107" max="2351" width="7.88671875" style="359"/>
    <col min="2352" max="2352" width="2.88671875" style="359" customWidth="1"/>
    <col min="2353" max="2353" width="27.21875" style="359" customWidth="1"/>
    <col min="2354" max="2354" width="11" style="359" customWidth="1"/>
    <col min="2355" max="2355" width="11.6640625" style="359" customWidth="1"/>
    <col min="2356" max="2356" width="8.88671875" style="359" customWidth="1"/>
    <col min="2357" max="2357" width="9.6640625" style="359" customWidth="1"/>
    <col min="2358" max="2358" width="9.21875" style="359" customWidth="1"/>
    <col min="2359" max="2360" width="0" style="359" hidden="1" customWidth="1"/>
    <col min="2361" max="2361" width="8" style="359" customWidth="1"/>
    <col min="2362" max="2362" width="10.44140625" style="359" customWidth="1"/>
    <col min="2363" max="2607" width="7.88671875" style="359"/>
    <col min="2608" max="2608" width="2.88671875" style="359" customWidth="1"/>
    <col min="2609" max="2609" width="27.21875" style="359" customWidth="1"/>
    <col min="2610" max="2610" width="11" style="359" customWidth="1"/>
    <col min="2611" max="2611" width="11.6640625" style="359" customWidth="1"/>
    <col min="2612" max="2612" width="8.88671875" style="359" customWidth="1"/>
    <col min="2613" max="2613" width="9.6640625" style="359" customWidth="1"/>
    <col min="2614" max="2614" width="9.21875" style="359" customWidth="1"/>
    <col min="2615" max="2616" width="0" style="359" hidden="1" customWidth="1"/>
    <col min="2617" max="2617" width="8" style="359" customWidth="1"/>
    <col min="2618" max="2618" width="10.44140625" style="359" customWidth="1"/>
    <col min="2619" max="2863" width="7.88671875" style="359"/>
    <col min="2864" max="2864" width="2.88671875" style="359" customWidth="1"/>
    <col min="2865" max="2865" width="27.21875" style="359" customWidth="1"/>
    <col min="2866" max="2866" width="11" style="359" customWidth="1"/>
    <col min="2867" max="2867" width="11.6640625" style="359" customWidth="1"/>
    <col min="2868" max="2868" width="8.88671875" style="359" customWidth="1"/>
    <col min="2869" max="2869" width="9.6640625" style="359" customWidth="1"/>
    <col min="2870" max="2870" width="9.21875" style="359" customWidth="1"/>
    <col min="2871" max="2872" width="0" style="359" hidden="1" customWidth="1"/>
    <col min="2873" max="2873" width="8" style="359" customWidth="1"/>
    <col min="2874" max="2874" width="10.44140625" style="359" customWidth="1"/>
    <col min="2875" max="3119" width="7.88671875" style="359"/>
    <col min="3120" max="3120" width="2.88671875" style="359" customWidth="1"/>
    <col min="3121" max="3121" width="27.21875" style="359" customWidth="1"/>
    <col min="3122" max="3122" width="11" style="359" customWidth="1"/>
    <col min="3123" max="3123" width="11.6640625" style="359" customWidth="1"/>
    <col min="3124" max="3124" width="8.88671875" style="359" customWidth="1"/>
    <col min="3125" max="3125" width="9.6640625" style="359" customWidth="1"/>
    <col min="3126" max="3126" width="9.21875" style="359" customWidth="1"/>
    <col min="3127" max="3128" width="0" style="359" hidden="1" customWidth="1"/>
    <col min="3129" max="3129" width="8" style="359" customWidth="1"/>
    <col min="3130" max="3130" width="10.44140625" style="359" customWidth="1"/>
    <col min="3131" max="3375" width="7.88671875" style="359"/>
    <col min="3376" max="3376" width="2.88671875" style="359" customWidth="1"/>
    <col min="3377" max="3377" width="27.21875" style="359" customWidth="1"/>
    <col min="3378" max="3378" width="11" style="359" customWidth="1"/>
    <col min="3379" max="3379" width="11.6640625" style="359" customWidth="1"/>
    <col min="3380" max="3380" width="8.88671875" style="359" customWidth="1"/>
    <col min="3381" max="3381" width="9.6640625" style="359" customWidth="1"/>
    <col min="3382" max="3382" width="9.21875" style="359" customWidth="1"/>
    <col min="3383" max="3384" width="0" style="359" hidden="1" customWidth="1"/>
    <col min="3385" max="3385" width="8" style="359" customWidth="1"/>
    <col min="3386" max="3386" width="10.44140625" style="359" customWidth="1"/>
    <col min="3387" max="3631" width="7.88671875" style="359"/>
    <col min="3632" max="3632" width="2.88671875" style="359" customWidth="1"/>
    <col min="3633" max="3633" width="27.21875" style="359" customWidth="1"/>
    <col min="3634" max="3634" width="11" style="359" customWidth="1"/>
    <col min="3635" max="3635" width="11.6640625" style="359" customWidth="1"/>
    <col min="3636" max="3636" width="8.88671875" style="359" customWidth="1"/>
    <col min="3637" max="3637" width="9.6640625" style="359" customWidth="1"/>
    <col min="3638" max="3638" width="9.21875" style="359" customWidth="1"/>
    <col min="3639" max="3640" width="0" style="359" hidden="1" customWidth="1"/>
    <col min="3641" max="3641" width="8" style="359" customWidth="1"/>
    <col min="3642" max="3642" width="10.44140625" style="359" customWidth="1"/>
    <col min="3643" max="3887" width="7.88671875" style="359"/>
    <col min="3888" max="3888" width="2.88671875" style="359" customWidth="1"/>
    <col min="3889" max="3889" width="27.21875" style="359" customWidth="1"/>
    <col min="3890" max="3890" width="11" style="359" customWidth="1"/>
    <col min="3891" max="3891" width="11.6640625" style="359" customWidth="1"/>
    <col min="3892" max="3892" width="8.88671875" style="359" customWidth="1"/>
    <col min="3893" max="3893" width="9.6640625" style="359" customWidth="1"/>
    <col min="3894" max="3894" width="9.21875" style="359" customWidth="1"/>
    <col min="3895" max="3896" width="0" style="359" hidden="1" customWidth="1"/>
    <col min="3897" max="3897" width="8" style="359" customWidth="1"/>
    <col min="3898" max="3898" width="10.44140625" style="359" customWidth="1"/>
    <col min="3899" max="4143" width="7.88671875" style="359"/>
    <col min="4144" max="4144" width="2.88671875" style="359" customWidth="1"/>
    <col min="4145" max="4145" width="27.21875" style="359" customWidth="1"/>
    <col min="4146" max="4146" width="11" style="359" customWidth="1"/>
    <col min="4147" max="4147" width="11.6640625" style="359" customWidth="1"/>
    <col min="4148" max="4148" width="8.88671875" style="359" customWidth="1"/>
    <col min="4149" max="4149" width="9.6640625" style="359" customWidth="1"/>
    <col min="4150" max="4150" width="9.21875" style="359" customWidth="1"/>
    <col min="4151" max="4152" width="0" style="359" hidden="1" customWidth="1"/>
    <col min="4153" max="4153" width="8" style="359" customWidth="1"/>
    <col min="4154" max="4154" width="10.44140625" style="359" customWidth="1"/>
    <col min="4155" max="4399" width="7.88671875" style="359"/>
    <col min="4400" max="4400" width="2.88671875" style="359" customWidth="1"/>
    <col min="4401" max="4401" width="27.21875" style="359" customWidth="1"/>
    <col min="4402" max="4402" width="11" style="359" customWidth="1"/>
    <col min="4403" max="4403" width="11.6640625" style="359" customWidth="1"/>
    <col min="4404" max="4404" width="8.88671875" style="359" customWidth="1"/>
    <col min="4405" max="4405" width="9.6640625" style="359" customWidth="1"/>
    <col min="4406" max="4406" width="9.21875" style="359" customWidth="1"/>
    <col min="4407" max="4408" width="0" style="359" hidden="1" customWidth="1"/>
    <col min="4409" max="4409" width="8" style="359" customWidth="1"/>
    <col min="4410" max="4410" width="10.44140625" style="359" customWidth="1"/>
    <col min="4411" max="4655" width="7.88671875" style="359"/>
    <col min="4656" max="4656" width="2.88671875" style="359" customWidth="1"/>
    <col min="4657" max="4657" width="27.21875" style="359" customWidth="1"/>
    <col min="4658" max="4658" width="11" style="359" customWidth="1"/>
    <col min="4659" max="4659" width="11.6640625" style="359" customWidth="1"/>
    <col min="4660" max="4660" width="8.88671875" style="359" customWidth="1"/>
    <col min="4661" max="4661" width="9.6640625" style="359" customWidth="1"/>
    <col min="4662" max="4662" width="9.21875" style="359" customWidth="1"/>
    <col min="4663" max="4664" width="0" style="359" hidden="1" customWidth="1"/>
    <col min="4665" max="4665" width="8" style="359" customWidth="1"/>
    <col min="4666" max="4666" width="10.44140625" style="359" customWidth="1"/>
    <col min="4667" max="4911" width="7.88671875" style="359"/>
    <col min="4912" max="4912" width="2.88671875" style="359" customWidth="1"/>
    <col min="4913" max="4913" width="27.21875" style="359" customWidth="1"/>
    <col min="4914" max="4914" width="11" style="359" customWidth="1"/>
    <col min="4915" max="4915" width="11.6640625" style="359" customWidth="1"/>
    <col min="4916" max="4916" width="8.88671875" style="359" customWidth="1"/>
    <col min="4917" max="4917" width="9.6640625" style="359" customWidth="1"/>
    <col min="4918" max="4918" width="9.21875" style="359" customWidth="1"/>
    <col min="4919" max="4920" width="0" style="359" hidden="1" customWidth="1"/>
    <col min="4921" max="4921" width="8" style="359" customWidth="1"/>
    <col min="4922" max="4922" width="10.44140625" style="359" customWidth="1"/>
    <col min="4923" max="5167" width="7.88671875" style="359"/>
    <col min="5168" max="5168" width="2.88671875" style="359" customWidth="1"/>
    <col min="5169" max="5169" width="27.21875" style="359" customWidth="1"/>
    <col min="5170" max="5170" width="11" style="359" customWidth="1"/>
    <col min="5171" max="5171" width="11.6640625" style="359" customWidth="1"/>
    <col min="5172" max="5172" width="8.88671875" style="359" customWidth="1"/>
    <col min="5173" max="5173" width="9.6640625" style="359" customWidth="1"/>
    <col min="5174" max="5174" width="9.21875" style="359" customWidth="1"/>
    <col min="5175" max="5176" width="0" style="359" hidden="1" customWidth="1"/>
    <col min="5177" max="5177" width="8" style="359" customWidth="1"/>
    <col min="5178" max="5178" width="10.44140625" style="359" customWidth="1"/>
    <col min="5179" max="5423" width="7.88671875" style="359"/>
    <col min="5424" max="5424" width="2.88671875" style="359" customWidth="1"/>
    <col min="5425" max="5425" width="27.21875" style="359" customWidth="1"/>
    <col min="5426" max="5426" width="11" style="359" customWidth="1"/>
    <col min="5427" max="5427" width="11.6640625" style="359" customWidth="1"/>
    <col min="5428" max="5428" width="8.88671875" style="359" customWidth="1"/>
    <col min="5429" max="5429" width="9.6640625" style="359" customWidth="1"/>
    <col min="5430" max="5430" width="9.21875" style="359" customWidth="1"/>
    <col min="5431" max="5432" width="0" style="359" hidden="1" customWidth="1"/>
    <col min="5433" max="5433" width="8" style="359" customWidth="1"/>
    <col min="5434" max="5434" width="10.44140625" style="359" customWidth="1"/>
    <col min="5435" max="5679" width="7.88671875" style="359"/>
    <col min="5680" max="5680" width="2.88671875" style="359" customWidth="1"/>
    <col min="5681" max="5681" width="27.21875" style="359" customWidth="1"/>
    <col min="5682" max="5682" width="11" style="359" customWidth="1"/>
    <col min="5683" max="5683" width="11.6640625" style="359" customWidth="1"/>
    <col min="5684" max="5684" width="8.88671875" style="359" customWidth="1"/>
    <col min="5685" max="5685" width="9.6640625" style="359" customWidth="1"/>
    <col min="5686" max="5686" width="9.21875" style="359" customWidth="1"/>
    <col min="5687" max="5688" width="0" style="359" hidden="1" customWidth="1"/>
    <col min="5689" max="5689" width="8" style="359" customWidth="1"/>
    <col min="5690" max="5690" width="10.44140625" style="359" customWidth="1"/>
    <col min="5691" max="5935" width="7.88671875" style="359"/>
    <col min="5936" max="5936" width="2.88671875" style="359" customWidth="1"/>
    <col min="5937" max="5937" width="27.21875" style="359" customWidth="1"/>
    <col min="5938" max="5938" width="11" style="359" customWidth="1"/>
    <col min="5939" max="5939" width="11.6640625" style="359" customWidth="1"/>
    <col min="5940" max="5940" width="8.88671875" style="359" customWidth="1"/>
    <col min="5941" max="5941" width="9.6640625" style="359" customWidth="1"/>
    <col min="5942" max="5942" width="9.21875" style="359" customWidth="1"/>
    <col min="5943" max="5944" width="0" style="359" hidden="1" customWidth="1"/>
    <col min="5945" max="5945" width="8" style="359" customWidth="1"/>
    <col min="5946" max="5946" width="10.44140625" style="359" customWidth="1"/>
    <col min="5947" max="6191" width="7.88671875" style="359"/>
    <col min="6192" max="6192" width="2.88671875" style="359" customWidth="1"/>
    <col min="6193" max="6193" width="27.21875" style="359" customWidth="1"/>
    <col min="6194" max="6194" width="11" style="359" customWidth="1"/>
    <col min="6195" max="6195" width="11.6640625" style="359" customWidth="1"/>
    <col min="6196" max="6196" width="8.88671875" style="359" customWidth="1"/>
    <col min="6197" max="6197" width="9.6640625" style="359" customWidth="1"/>
    <col min="6198" max="6198" width="9.21875" style="359" customWidth="1"/>
    <col min="6199" max="6200" width="0" style="359" hidden="1" customWidth="1"/>
    <col min="6201" max="6201" width="8" style="359" customWidth="1"/>
    <col min="6202" max="6202" width="10.44140625" style="359" customWidth="1"/>
    <col min="6203" max="6447" width="7.88671875" style="359"/>
    <col min="6448" max="6448" width="2.88671875" style="359" customWidth="1"/>
    <col min="6449" max="6449" width="27.21875" style="359" customWidth="1"/>
    <col min="6450" max="6450" width="11" style="359" customWidth="1"/>
    <col min="6451" max="6451" width="11.6640625" style="359" customWidth="1"/>
    <col min="6452" max="6452" width="8.88671875" style="359" customWidth="1"/>
    <col min="6453" max="6453" width="9.6640625" style="359" customWidth="1"/>
    <col min="6454" max="6454" width="9.21875" style="359" customWidth="1"/>
    <col min="6455" max="6456" width="0" style="359" hidden="1" customWidth="1"/>
    <col min="6457" max="6457" width="8" style="359" customWidth="1"/>
    <col min="6458" max="6458" width="10.44140625" style="359" customWidth="1"/>
    <col min="6459" max="6703" width="7.88671875" style="359"/>
    <col min="6704" max="6704" width="2.88671875" style="359" customWidth="1"/>
    <col min="6705" max="6705" width="27.21875" style="359" customWidth="1"/>
    <col min="6706" max="6706" width="11" style="359" customWidth="1"/>
    <col min="6707" max="6707" width="11.6640625" style="359" customWidth="1"/>
    <col min="6708" max="6708" width="8.88671875" style="359" customWidth="1"/>
    <col min="6709" max="6709" width="9.6640625" style="359" customWidth="1"/>
    <col min="6710" max="6710" width="9.21875" style="359" customWidth="1"/>
    <col min="6711" max="6712" width="0" style="359" hidden="1" customWidth="1"/>
    <col min="6713" max="6713" width="8" style="359" customWidth="1"/>
    <col min="6714" max="6714" width="10.44140625" style="359" customWidth="1"/>
    <col min="6715" max="6959" width="7.88671875" style="359"/>
    <col min="6960" max="6960" width="2.88671875" style="359" customWidth="1"/>
    <col min="6961" max="6961" width="27.21875" style="359" customWidth="1"/>
    <col min="6962" max="6962" width="11" style="359" customWidth="1"/>
    <col min="6963" max="6963" width="11.6640625" style="359" customWidth="1"/>
    <col min="6964" max="6964" width="8.88671875" style="359" customWidth="1"/>
    <col min="6965" max="6965" width="9.6640625" style="359" customWidth="1"/>
    <col min="6966" max="6966" width="9.21875" style="359" customWidth="1"/>
    <col min="6967" max="6968" width="0" style="359" hidden="1" customWidth="1"/>
    <col min="6969" max="6969" width="8" style="359" customWidth="1"/>
    <col min="6970" max="6970" width="10.44140625" style="359" customWidth="1"/>
    <col min="6971" max="7215" width="7.88671875" style="359"/>
    <col min="7216" max="7216" width="2.88671875" style="359" customWidth="1"/>
    <col min="7217" max="7217" width="27.21875" style="359" customWidth="1"/>
    <col min="7218" max="7218" width="11" style="359" customWidth="1"/>
    <col min="7219" max="7219" width="11.6640625" style="359" customWidth="1"/>
    <col min="7220" max="7220" width="8.88671875" style="359" customWidth="1"/>
    <col min="7221" max="7221" width="9.6640625" style="359" customWidth="1"/>
    <col min="7222" max="7222" width="9.21875" style="359" customWidth="1"/>
    <col min="7223" max="7224" width="0" style="359" hidden="1" customWidth="1"/>
    <col min="7225" max="7225" width="8" style="359" customWidth="1"/>
    <col min="7226" max="7226" width="10.44140625" style="359" customWidth="1"/>
    <col min="7227" max="7471" width="7.88671875" style="359"/>
    <col min="7472" max="7472" width="2.88671875" style="359" customWidth="1"/>
    <col min="7473" max="7473" width="27.21875" style="359" customWidth="1"/>
    <col min="7474" max="7474" width="11" style="359" customWidth="1"/>
    <col min="7475" max="7475" width="11.6640625" style="359" customWidth="1"/>
    <col min="7476" max="7476" width="8.88671875" style="359" customWidth="1"/>
    <col min="7477" max="7477" width="9.6640625" style="359" customWidth="1"/>
    <col min="7478" max="7478" width="9.21875" style="359" customWidth="1"/>
    <col min="7479" max="7480" width="0" style="359" hidden="1" customWidth="1"/>
    <col min="7481" max="7481" width="8" style="359" customWidth="1"/>
    <col min="7482" max="7482" width="10.44140625" style="359" customWidth="1"/>
    <col min="7483" max="7727" width="7.88671875" style="359"/>
    <col min="7728" max="7728" width="2.88671875" style="359" customWidth="1"/>
    <col min="7729" max="7729" width="27.21875" style="359" customWidth="1"/>
    <col min="7730" max="7730" width="11" style="359" customWidth="1"/>
    <col min="7731" max="7731" width="11.6640625" style="359" customWidth="1"/>
    <col min="7732" max="7732" width="8.88671875" style="359" customWidth="1"/>
    <col min="7733" max="7733" width="9.6640625" style="359" customWidth="1"/>
    <col min="7734" max="7734" width="9.21875" style="359" customWidth="1"/>
    <col min="7735" max="7736" width="0" style="359" hidden="1" customWidth="1"/>
    <col min="7737" max="7737" width="8" style="359" customWidth="1"/>
    <col min="7738" max="7738" width="10.44140625" style="359" customWidth="1"/>
    <col min="7739" max="7983" width="7.88671875" style="359"/>
    <col min="7984" max="7984" width="2.88671875" style="359" customWidth="1"/>
    <col min="7985" max="7985" width="27.21875" style="359" customWidth="1"/>
    <col min="7986" max="7986" width="11" style="359" customWidth="1"/>
    <col min="7987" max="7987" width="11.6640625" style="359" customWidth="1"/>
    <col min="7988" max="7988" width="8.88671875" style="359" customWidth="1"/>
    <col min="7989" max="7989" width="9.6640625" style="359" customWidth="1"/>
    <col min="7990" max="7990" width="9.21875" style="359" customWidth="1"/>
    <col min="7991" max="7992" width="0" style="359" hidden="1" customWidth="1"/>
    <col min="7993" max="7993" width="8" style="359" customWidth="1"/>
    <col min="7994" max="7994" width="10.44140625" style="359" customWidth="1"/>
    <col min="7995" max="8239" width="7.88671875" style="359"/>
    <col min="8240" max="8240" width="2.88671875" style="359" customWidth="1"/>
    <col min="8241" max="8241" width="27.21875" style="359" customWidth="1"/>
    <col min="8242" max="8242" width="11" style="359" customWidth="1"/>
    <col min="8243" max="8243" width="11.6640625" style="359" customWidth="1"/>
    <col min="8244" max="8244" width="8.88671875" style="359" customWidth="1"/>
    <col min="8245" max="8245" width="9.6640625" style="359" customWidth="1"/>
    <col min="8246" max="8246" width="9.21875" style="359" customWidth="1"/>
    <col min="8247" max="8248" width="0" style="359" hidden="1" customWidth="1"/>
    <col min="8249" max="8249" width="8" style="359" customWidth="1"/>
    <col min="8250" max="8250" width="10.44140625" style="359" customWidth="1"/>
    <col min="8251" max="8495" width="7.88671875" style="359"/>
    <col min="8496" max="8496" width="2.88671875" style="359" customWidth="1"/>
    <col min="8497" max="8497" width="27.21875" style="359" customWidth="1"/>
    <col min="8498" max="8498" width="11" style="359" customWidth="1"/>
    <col min="8499" max="8499" width="11.6640625" style="359" customWidth="1"/>
    <col min="8500" max="8500" width="8.88671875" style="359" customWidth="1"/>
    <col min="8501" max="8501" width="9.6640625" style="359" customWidth="1"/>
    <col min="8502" max="8502" width="9.21875" style="359" customWidth="1"/>
    <col min="8503" max="8504" width="0" style="359" hidden="1" customWidth="1"/>
    <col min="8505" max="8505" width="8" style="359" customWidth="1"/>
    <col min="8506" max="8506" width="10.44140625" style="359" customWidth="1"/>
    <col min="8507" max="8751" width="7.88671875" style="359"/>
    <col min="8752" max="8752" width="2.88671875" style="359" customWidth="1"/>
    <col min="8753" max="8753" width="27.21875" style="359" customWidth="1"/>
    <col min="8754" max="8754" width="11" style="359" customWidth="1"/>
    <col min="8755" max="8755" width="11.6640625" style="359" customWidth="1"/>
    <col min="8756" max="8756" width="8.88671875" style="359" customWidth="1"/>
    <col min="8757" max="8757" width="9.6640625" style="359" customWidth="1"/>
    <col min="8758" max="8758" width="9.21875" style="359" customWidth="1"/>
    <col min="8759" max="8760" width="0" style="359" hidden="1" customWidth="1"/>
    <col min="8761" max="8761" width="8" style="359" customWidth="1"/>
    <col min="8762" max="8762" width="10.44140625" style="359" customWidth="1"/>
    <col min="8763" max="9007" width="7.88671875" style="359"/>
    <col min="9008" max="9008" width="2.88671875" style="359" customWidth="1"/>
    <col min="9009" max="9009" width="27.21875" style="359" customWidth="1"/>
    <col min="9010" max="9010" width="11" style="359" customWidth="1"/>
    <col min="9011" max="9011" width="11.6640625" style="359" customWidth="1"/>
    <col min="9012" max="9012" width="8.88671875" style="359" customWidth="1"/>
    <col min="9013" max="9013" width="9.6640625" style="359" customWidth="1"/>
    <col min="9014" max="9014" width="9.21875" style="359" customWidth="1"/>
    <col min="9015" max="9016" width="0" style="359" hidden="1" customWidth="1"/>
    <col min="9017" max="9017" width="8" style="359" customWidth="1"/>
    <col min="9018" max="9018" width="10.44140625" style="359" customWidth="1"/>
    <col min="9019" max="9263" width="7.88671875" style="359"/>
    <col min="9264" max="9264" width="2.88671875" style="359" customWidth="1"/>
    <col min="9265" max="9265" width="27.21875" style="359" customWidth="1"/>
    <col min="9266" max="9266" width="11" style="359" customWidth="1"/>
    <col min="9267" max="9267" width="11.6640625" style="359" customWidth="1"/>
    <col min="9268" max="9268" width="8.88671875" style="359" customWidth="1"/>
    <col min="9269" max="9269" width="9.6640625" style="359" customWidth="1"/>
    <col min="9270" max="9270" width="9.21875" style="359" customWidth="1"/>
    <col min="9271" max="9272" width="0" style="359" hidden="1" customWidth="1"/>
    <col min="9273" max="9273" width="8" style="359" customWidth="1"/>
    <col min="9274" max="9274" width="10.44140625" style="359" customWidth="1"/>
    <col min="9275" max="9519" width="7.88671875" style="359"/>
    <col min="9520" max="9520" width="2.88671875" style="359" customWidth="1"/>
    <col min="9521" max="9521" width="27.21875" style="359" customWidth="1"/>
    <col min="9522" max="9522" width="11" style="359" customWidth="1"/>
    <col min="9523" max="9523" width="11.6640625" style="359" customWidth="1"/>
    <col min="9524" max="9524" width="8.88671875" style="359" customWidth="1"/>
    <col min="9525" max="9525" width="9.6640625" style="359" customWidth="1"/>
    <col min="9526" max="9526" width="9.21875" style="359" customWidth="1"/>
    <col min="9527" max="9528" width="0" style="359" hidden="1" customWidth="1"/>
    <col min="9529" max="9529" width="8" style="359" customWidth="1"/>
    <col min="9530" max="9530" width="10.44140625" style="359" customWidth="1"/>
    <col min="9531" max="9775" width="7.88671875" style="359"/>
    <col min="9776" max="9776" width="2.88671875" style="359" customWidth="1"/>
    <col min="9777" max="9777" width="27.21875" style="359" customWidth="1"/>
    <col min="9778" max="9778" width="11" style="359" customWidth="1"/>
    <col min="9779" max="9779" width="11.6640625" style="359" customWidth="1"/>
    <col min="9780" max="9780" width="8.88671875" style="359" customWidth="1"/>
    <col min="9781" max="9781" width="9.6640625" style="359" customWidth="1"/>
    <col min="9782" max="9782" width="9.21875" style="359" customWidth="1"/>
    <col min="9783" max="9784" width="0" style="359" hidden="1" customWidth="1"/>
    <col min="9785" max="9785" width="8" style="359" customWidth="1"/>
    <col min="9786" max="9786" width="10.44140625" style="359" customWidth="1"/>
    <col min="9787" max="10031" width="7.88671875" style="359"/>
    <col min="10032" max="10032" width="2.88671875" style="359" customWidth="1"/>
    <col min="10033" max="10033" width="27.21875" style="359" customWidth="1"/>
    <col min="10034" max="10034" width="11" style="359" customWidth="1"/>
    <col min="10035" max="10035" width="11.6640625" style="359" customWidth="1"/>
    <col min="10036" max="10036" width="8.88671875" style="359" customWidth="1"/>
    <col min="10037" max="10037" width="9.6640625" style="359" customWidth="1"/>
    <col min="10038" max="10038" width="9.21875" style="359" customWidth="1"/>
    <col min="10039" max="10040" width="0" style="359" hidden="1" customWidth="1"/>
    <col min="10041" max="10041" width="8" style="359" customWidth="1"/>
    <col min="10042" max="10042" width="10.44140625" style="359" customWidth="1"/>
    <col min="10043" max="10287" width="7.88671875" style="359"/>
    <col min="10288" max="10288" width="2.88671875" style="359" customWidth="1"/>
    <col min="10289" max="10289" width="27.21875" style="359" customWidth="1"/>
    <col min="10290" max="10290" width="11" style="359" customWidth="1"/>
    <col min="10291" max="10291" width="11.6640625" style="359" customWidth="1"/>
    <col min="10292" max="10292" width="8.88671875" style="359" customWidth="1"/>
    <col min="10293" max="10293" width="9.6640625" style="359" customWidth="1"/>
    <col min="10294" max="10294" width="9.21875" style="359" customWidth="1"/>
    <col min="10295" max="10296" width="0" style="359" hidden="1" customWidth="1"/>
    <col min="10297" max="10297" width="8" style="359" customWidth="1"/>
    <col min="10298" max="10298" width="10.44140625" style="359" customWidth="1"/>
    <col min="10299" max="10543" width="7.88671875" style="359"/>
    <col min="10544" max="10544" width="2.88671875" style="359" customWidth="1"/>
    <col min="10545" max="10545" width="27.21875" style="359" customWidth="1"/>
    <col min="10546" max="10546" width="11" style="359" customWidth="1"/>
    <col min="10547" max="10547" width="11.6640625" style="359" customWidth="1"/>
    <col min="10548" max="10548" width="8.88671875" style="359" customWidth="1"/>
    <col min="10549" max="10549" width="9.6640625" style="359" customWidth="1"/>
    <col min="10550" max="10550" width="9.21875" style="359" customWidth="1"/>
    <col min="10551" max="10552" width="0" style="359" hidden="1" customWidth="1"/>
    <col min="10553" max="10553" width="8" style="359" customWidth="1"/>
    <col min="10554" max="10554" width="10.44140625" style="359" customWidth="1"/>
    <col min="10555" max="10799" width="7.88671875" style="359"/>
    <col min="10800" max="10800" width="2.88671875" style="359" customWidth="1"/>
    <col min="10801" max="10801" width="27.21875" style="359" customWidth="1"/>
    <col min="10802" max="10802" width="11" style="359" customWidth="1"/>
    <col min="10803" max="10803" width="11.6640625" style="359" customWidth="1"/>
    <col min="10804" max="10804" width="8.88671875" style="359" customWidth="1"/>
    <col min="10805" max="10805" width="9.6640625" style="359" customWidth="1"/>
    <col min="10806" max="10806" width="9.21875" style="359" customWidth="1"/>
    <col min="10807" max="10808" width="0" style="359" hidden="1" customWidth="1"/>
    <col min="10809" max="10809" width="8" style="359" customWidth="1"/>
    <col min="10810" max="10810" width="10.44140625" style="359" customWidth="1"/>
    <col min="10811" max="11055" width="7.88671875" style="359"/>
    <col min="11056" max="11056" width="2.88671875" style="359" customWidth="1"/>
    <col min="11057" max="11057" width="27.21875" style="359" customWidth="1"/>
    <col min="11058" max="11058" width="11" style="359" customWidth="1"/>
    <col min="11059" max="11059" width="11.6640625" style="359" customWidth="1"/>
    <col min="11060" max="11060" width="8.88671875" style="359" customWidth="1"/>
    <col min="11061" max="11061" width="9.6640625" style="359" customWidth="1"/>
    <col min="11062" max="11062" width="9.21875" style="359" customWidth="1"/>
    <col min="11063" max="11064" width="0" style="359" hidden="1" customWidth="1"/>
    <col min="11065" max="11065" width="8" style="359" customWidth="1"/>
    <col min="11066" max="11066" width="10.44140625" style="359" customWidth="1"/>
    <col min="11067" max="11311" width="7.88671875" style="359"/>
    <col min="11312" max="11312" width="2.88671875" style="359" customWidth="1"/>
    <col min="11313" max="11313" width="27.21875" style="359" customWidth="1"/>
    <col min="11314" max="11314" width="11" style="359" customWidth="1"/>
    <col min="11315" max="11315" width="11.6640625" style="359" customWidth="1"/>
    <col min="11316" max="11316" width="8.88671875" style="359" customWidth="1"/>
    <col min="11317" max="11317" width="9.6640625" style="359" customWidth="1"/>
    <col min="11318" max="11318" width="9.21875" style="359" customWidth="1"/>
    <col min="11319" max="11320" width="0" style="359" hidden="1" customWidth="1"/>
    <col min="11321" max="11321" width="8" style="359" customWidth="1"/>
    <col min="11322" max="11322" width="10.44140625" style="359" customWidth="1"/>
    <col min="11323" max="11567" width="7.88671875" style="359"/>
    <col min="11568" max="11568" width="2.88671875" style="359" customWidth="1"/>
    <col min="11569" max="11569" width="27.21875" style="359" customWidth="1"/>
    <col min="11570" max="11570" width="11" style="359" customWidth="1"/>
    <col min="11571" max="11571" width="11.6640625" style="359" customWidth="1"/>
    <col min="11572" max="11572" width="8.88671875" style="359" customWidth="1"/>
    <col min="11573" max="11573" width="9.6640625" style="359" customWidth="1"/>
    <col min="11574" max="11574" width="9.21875" style="359" customWidth="1"/>
    <col min="11575" max="11576" width="0" style="359" hidden="1" customWidth="1"/>
    <col min="11577" max="11577" width="8" style="359" customWidth="1"/>
    <col min="11578" max="11578" width="10.44140625" style="359" customWidth="1"/>
    <col min="11579" max="11823" width="7.88671875" style="359"/>
    <col min="11824" max="11824" width="2.88671875" style="359" customWidth="1"/>
    <col min="11825" max="11825" width="27.21875" style="359" customWidth="1"/>
    <col min="11826" max="11826" width="11" style="359" customWidth="1"/>
    <col min="11827" max="11827" width="11.6640625" style="359" customWidth="1"/>
    <col min="11828" max="11828" width="8.88671875" style="359" customWidth="1"/>
    <col min="11829" max="11829" width="9.6640625" style="359" customWidth="1"/>
    <col min="11830" max="11830" width="9.21875" style="359" customWidth="1"/>
    <col min="11831" max="11832" width="0" style="359" hidden="1" customWidth="1"/>
    <col min="11833" max="11833" width="8" style="359" customWidth="1"/>
    <col min="11834" max="11834" width="10.44140625" style="359" customWidth="1"/>
    <col min="11835" max="12079" width="7.88671875" style="359"/>
    <col min="12080" max="12080" width="2.88671875" style="359" customWidth="1"/>
    <col min="12081" max="12081" width="27.21875" style="359" customWidth="1"/>
    <col min="12082" max="12082" width="11" style="359" customWidth="1"/>
    <col min="12083" max="12083" width="11.6640625" style="359" customWidth="1"/>
    <col min="12084" max="12084" width="8.88671875" style="359" customWidth="1"/>
    <col min="12085" max="12085" width="9.6640625" style="359" customWidth="1"/>
    <col min="12086" max="12086" width="9.21875" style="359" customWidth="1"/>
    <col min="12087" max="12088" width="0" style="359" hidden="1" customWidth="1"/>
    <col min="12089" max="12089" width="8" style="359" customWidth="1"/>
    <col min="12090" max="12090" width="10.44140625" style="359" customWidth="1"/>
    <col min="12091" max="12335" width="7.88671875" style="359"/>
    <col min="12336" max="12336" width="2.88671875" style="359" customWidth="1"/>
    <col min="12337" max="12337" width="27.21875" style="359" customWidth="1"/>
    <col min="12338" max="12338" width="11" style="359" customWidth="1"/>
    <col min="12339" max="12339" width="11.6640625" style="359" customWidth="1"/>
    <col min="12340" max="12340" width="8.88671875" style="359" customWidth="1"/>
    <col min="12341" max="12341" width="9.6640625" style="359" customWidth="1"/>
    <col min="12342" max="12342" width="9.21875" style="359" customWidth="1"/>
    <col min="12343" max="12344" width="0" style="359" hidden="1" customWidth="1"/>
    <col min="12345" max="12345" width="8" style="359" customWidth="1"/>
    <col min="12346" max="12346" width="10.44140625" style="359" customWidth="1"/>
    <col min="12347" max="12591" width="7.88671875" style="359"/>
    <col min="12592" max="12592" width="2.88671875" style="359" customWidth="1"/>
    <col min="12593" max="12593" width="27.21875" style="359" customWidth="1"/>
    <col min="12594" max="12594" width="11" style="359" customWidth="1"/>
    <col min="12595" max="12595" width="11.6640625" style="359" customWidth="1"/>
    <col min="12596" max="12596" width="8.88671875" style="359" customWidth="1"/>
    <col min="12597" max="12597" width="9.6640625" style="359" customWidth="1"/>
    <col min="12598" max="12598" width="9.21875" style="359" customWidth="1"/>
    <col min="12599" max="12600" width="0" style="359" hidden="1" customWidth="1"/>
    <col min="12601" max="12601" width="8" style="359" customWidth="1"/>
    <col min="12602" max="12602" width="10.44140625" style="359" customWidth="1"/>
    <col min="12603" max="12847" width="7.88671875" style="359"/>
    <col min="12848" max="12848" width="2.88671875" style="359" customWidth="1"/>
    <col min="12849" max="12849" width="27.21875" style="359" customWidth="1"/>
    <col min="12850" max="12850" width="11" style="359" customWidth="1"/>
    <col min="12851" max="12851" width="11.6640625" style="359" customWidth="1"/>
    <col min="12852" max="12852" width="8.88671875" style="359" customWidth="1"/>
    <col min="12853" max="12853" width="9.6640625" style="359" customWidth="1"/>
    <col min="12854" max="12854" width="9.21875" style="359" customWidth="1"/>
    <col min="12855" max="12856" width="0" style="359" hidden="1" customWidth="1"/>
    <col min="12857" max="12857" width="8" style="359" customWidth="1"/>
    <col min="12858" max="12858" width="10.44140625" style="359" customWidth="1"/>
    <col min="12859" max="13103" width="7.88671875" style="359"/>
    <col min="13104" max="13104" width="2.88671875" style="359" customWidth="1"/>
    <col min="13105" max="13105" width="27.21875" style="359" customWidth="1"/>
    <col min="13106" max="13106" width="11" style="359" customWidth="1"/>
    <col min="13107" max="13107" width="11.6640625" style="359" customWidth="1"/>
    <col min="13108" max="13108" width="8.88671875" style="359" customWidth="1"/>
    <col min="13109" max="13109" width="9.6640625" style="359" customWidth="1"/>
    <col min="13110" max="13110" width="9.21875" style="359" customWidth="1"/>
    <col min="13111" max="13112" width="0" style="359" hidden="1" customWidth="1"/>
    <col min="13113" max="13113" width="8" style="359" customWidth="1"/>
    <col min="13114" max="13114" width="10.44140625" style="359" customWidth="1"/>
    <col min="13115" max="13359" width="7.88671875" style="359"/>
    <col min="13360" max="13360" width="2.88671875" style="359" customWidth="1"/>
    <col min="13361" max="13361" width="27.21875" style="359" customWidth="1"/>
    <col min="13362" max="13362" width="11" style="359" customWidth="1"/>
    <col min="13363" max="13363" width="11.6640625" style="359" customWidth="1"/>
    <col min="13364" max="13364" width="8.88671875" style="359" customWidth="1"/>
    <col min="13365" max="13365" width="9.6640625" style="359" customWidth="1"/>
    <col min="13366" max="13366" width="9.21875" style="359" customWidth="1"/>
    <col min="13367" max="13368" width="0" style="359" hidden="1" customWidth="1"/>
    <col min="13369" max="13369" width="8" style="359" customWidth="1"/>
    <col min="13370" max="13370" width="10.44140625" style="359" customWidth="1"/>
    <col min="13371" max="13615" width="7.88671875" style="359"/>
    <col min="13616" max="13616" width="2.88671875" style="359" customWidth="1"/>
    <col min="13617" max="13617" width="27.21875" style="359" customWidth="1"/>
    <col min="13618" max="13618" width="11" style="359" customWidth="1"/>
    <col min="13619" max="13619" width="11.6640625" style="359" customWidth="1"/>
    <col min="13620" max="13620" width="8.88671875" style="359" customWidth="1"/>
    <col min="13621" max="13621" width="9.6640625" style="359" customWidth="1"/>
    <col min="13622" max="13622" width="9.21875" style="359" customWidth="1"/>
    <col min="13623" max="13624" width="0" style="359" hidden="1" customWidth="1"/>
    <col min="13625" max="13625" width="8" style="359" customWidth="1"/>
    <col min="13626" max="13626" width="10.44140625" style="359" customWidth="1"/>
    <col min="13627" max="13871" width="7.88671875" style="359"/>
    <col min="13872" max="13872" width="2.88671875" style="359" customWidth="1"/>
    <col min="13873" max="13873" width="27.21875" style="359" customWidth="1"/>
    <col min="13874" max="13874" width="11" style="359" customWidth="1"/>
    <col min="13875" max="13875" width="11.6640625" style="359" customWidth="1"/>
    <col min="13876" max="13876" width="8.88671875" style="359" customWidth="1"/>
    <col min="13877" max="13877" width="9.6640625" style="359" customWidth="1"/>
    <col min="13878" max="13878" width="9.21875" style="359" customWidth="1"/>
    <col min="13879" max="13880" width="0" style="359" hidden="1" customWidth="1"/>
    <col min="13881" max="13881" width="8" style="359" customWidth="1"/>
    <col min="13882" max="13882" width="10.44140625" style="359" customWidth="1"/>
    <col min="13883" max="14127" width="7.88671875" style="359"/>
    <col min="14128" max="14128" width="2.88671875" style="359" customWidth="1"/>
    <col min="14129" max="14129" width="27.21875" style="359" customWidth="1"/>
    <col min="14130" max="14130" width="11" style="359" customWidth="1"/>
    <col min="14131" max="14131" width="11.6640625" style="359" customWidth="1"/>
    <col min="14132" max="14132" width="8.88671875" style="359" customWidth="1"/>
    <col min="14133" max="14133" width="9.6640625" style="359" customWidth="1"/>
    <col min="14134" max="14134" width="9.21875" style="359" customWidth="1"/>
    <col min="14135" max="14136" width="0" style="359" hidden="1" customWidth="1"/>
    <col min="14137" max="14137" width="8" style="359" customWidth="1"/>
    <col min="14138" max="14138" width="10.44140625" style="359" customWidth="1"/>
    <col min="14139" max="14383" width="7.88671875" style="359"/>
    <col min="14384" max="14384" width="2.88671875" style="359" customWidth="1"/>
    <col min="14385" max="14385" width="27.21875" style="359" customWidth="1"/>
    <col min="14386" max="14386" width="11" style="359" customWidth="1"/>
    <col min="14387" max="14387" width="11.6640625" style="359" customWidth="1"/>
    <col min="14388" max="14388" width="8.88671875" style="359" customWidth="1"/>
    <col min="14389" max="14389" width="9.6640625" style="359" customWidth="1"/>
    <col min="14390" max="14390" width="9.21875" style="359" customWidth="1"/>
    <col min="14391" max="14392" width="0" style="359" hidden="1" customWidth="1"/>
    <col min="14393" max="14393" width="8" style="359" customWidth="1"/>
    <col min="14394" max="14394" width="10.44140625" style="359" customWidth="1"/>
    <col min="14395" max="14639" width="7.88671875" style="359"/>
    <col min="14640" max="14640" width="2.88671875" style="359" customWidth="1"/>
    <col min="14641" max="14641" width="27.21875" style="359" customWidth="1"/>
    <col min="14642" max="14642" width="11" style="359" customWidth="1"/>
    <col min="14643" max="14643" width="11.6640625" style="359" customWidth="1"/>
    <col min="14644" max="14644" width="8.88671875" style="359" customWidth="1"/>
    <col min="14645" max="14645" width="9.6640625" style="359" customWidth="1"/>
    <col min="14646" max="14646" width="9.21875" style="359" customWidth="1"/>
    <col min="14647" max="14648" width="0" style="359" hidden="1" customWidth="1"/>
    <col min="14649" max="14649" width="8" style="359" customWidth="1"/>
    <col min="14650" max="14650" width="10.44140625" style="359" customWidth="1"/>
    <col min="14651" max="14895" width="7.88671875" style="359"/>
    <col min="14896" max="14896" width="2.88671875" style="359" customWidth="1"/>
    <col min="14897" max="14897" width="27.21875" style="359" customWidth="1"/>
    <col min="14898" max="14898" width="11" style="359" customWidth="1"/>
    <col min="14899" max="14899" width="11.6640625" style="359" customWidth="1"/>
    <col min="14900" max="14900" width="8.88671875" style="359" customWidth="1"/>
    <col min="14901" max="14901" width="9.6640625" style="359" customWidth="1"/>
    <col min="14902" max="14902" width="9.21875" style="359" customWidth="1"/>
    <col min="14903" max="14904" width="0" style="359" hidden="1" customWidth="1"/>
    <col min="14905" max="14905" width="8" style="359" customWidth="1"/>
    <col min="14906" max="14906" width="10.44140625" style="359" customWidth="1"/>
    <col min="14907" max="15151" width="7.88671875" style="359"/>
    <col min="15152" max="15152" width="2.88671875" style="359" customWidth="1"/>
    <col min="15153" max="15153" width="27.21875" style="359" customWidth="1"/>
    <col min="15154" max="15154" width="11" style="359" customWidth="1"/>
    <col min="15155" max="15155" width="11.6640625" style="359" customWidth="1"/>
    <col min="15156" max="15156" width="8.88671875" style="359" customWidth="1"/>
    <col min="15157" max="15157" width="9.6640625" style="359" customWidth="1"/>
    <col min="15158" max="15158" width="9.21875" style="359" customWidth="1"/>
    <col min="15159" max="15160" width="0" style="359" hidden="1" customWidth="1"/>
    <col min="15161" max="15161" width="8" style="359" customWidth="1"/>
    <col min="15162" max="15162" width="10.44140625" style="359" customWidth="1"/>
    <col min="15163" max="15407" width="7.88671875" style="359"/>
    <col min="15408" max="15408" width="2.88671875" style="359" customWidth="1"/>
    <col min="15409" max="15409" width="27.21875" style="359" customWidth="1"/>
    <col min="15410" max="15410" width="11" style="359" customWidth="1"/>
    <col min="15411" max="15411" width="11.6640625" style="359" customWidth="1"/>
    <col min="15412" max="15412" width="8.88671875" style="359" customWidth="1"/>
    <col min="15413" max="15413" width="9.6640625" style="359" customWidth="1"/>
    <col min="15414" max="15414" width="9.21875" style="359" customWidth="1"/>
    <col min="15415" max="15416" width="0" style="359" hidden="1" customWidth="1"/>
    <col min="15417" max="15417" width="8" style="359" customWidth="1"/>
    <col min="15418" max="15418" width="10.44140625" style="359" customWidth="1"/>
    <col min="15419" max="15663" width="7.88671875" style="359"/>
    <col min="15664" max="15664" width="2.88671875" style="359" customWidth="1"/>
    <col min="15665" max="15665" width="27.21875" style="359" customWidth="1"/>
    <col min="15666" max="15666" width="11" style="359" customWidth="1"/>
    <col min="15667" max="15667" width="11.6640625" style="359" customWidth="1"/>
    <col min="15668" max="15668" width="8.88671875" style="359" customWidth="1"/>
    <col min="15669" max="15669" width="9.6640625" style="359" customWidth="1"/>
    <col min="15670" max="15670" width="9.21875" style="359" customWidth="1"/>
    <col min="15671" max="15672" width="0" style="359" hidden="1" customWidth="1"/>
    <col min="15673" max="15673" width="8" style="359" customWidth="1"/>
    <col min="15674" max="15674" width="10.44140625" style="359" customWidth="1"/>
    <col min="15675" max="15919" width="7.88671875" style="359"/>
    <col min="15920" max="15920" width="2.88671875" style="359" customWidth="1"/>
    <col min="15921" max="15921" width="27.21875" style="359" customWidth="1"/>
    <col min="15922" max="15922" width="11" style="359" customWidth="1"/>
    <col min="15923" max="15923" width="11.6640625" style="359" customWidth="1"/>
    <col min="15924" max="15924" width="8.88671875" style="359" customWidth="1"/>
    <col min="15925" max="15925" width="9.6640625" style="359" customWidth="1"/>
    <col min="15926" max="15926" width="9.21875" style="359" customWidth="1"/>
    <col min="15927" max="15928" width="0" style="359" hidden="1" customWidth="1"/>
    <col min="15929" max="15929" width="8" style="359" customWidth="1"/>
    <col min="15930" max="15930" width="10.44140625" style="359" customWidth="1"/>
    <col min="15931" max="16384" width="7.88671875" style="359"/>
  </cols>
  <sheetData>
    <row r="1" spans="1:13" ht="16.899999999999999" customHeight="1">
      <c r="A1" s="357"/>
      <c r="B1" s="358"/>
      <c r="C1" s="358"/>
      <c r="D1" s="358"/>
      <c r="E1" s="358"/>
      <c r="F1" s="636" t="s">
        <v>439</v>
      </c>
      <c r="G1" s="636"/>
      <c r="H1" s="636"/>
      <c r="I1" s="636"/>
      <c r="J1" s="636"/>
      <c r="K1" s="636"/>
      <c r="L1" s="636"/>
      <c r="M1" s="637"/>
    </row>
    <row r="2" spans="1:13" ht="16.899999999999999" customHeight="1">
      <c r="A2" s="360"/>
      <c r="F2" s="638"/>
      <c r="G2" s="638"/>
      <c r="H2" s="638"/>
      <c r="I2" s="638"/>
      <c r="J2" s="638"/>
      <c r="K2" s="638"/>
      <c r="L2" s="638"/>
      <c r="M2" s="639"/>
    </row>
    <row r="3" spans="1:13" ht="16.899999999999999" customHeight="1">
      <c r="A3" s="421"/>
      <c r="B3" s="362"/>
      <c r="C3" s="362"/>
      <c r="D3" s="362"/>
      <c r="E3" s="362"/>
      <c r="F3" s="640"/>
      <c r="G3" s="640"/>
      <c r="H3" s="640"/>
      <c r="I3" s="640"/>
      <c r="J3" s="640"/>
      <c r="K3" s="640"/>
      <c r="L3" s="640"/>
      <c r="M3" s="641"/>
    </row>
    <row r="4" spans="1:13" ht="15" customHeight="1">
      <c r="A4" s="553" t="s">
        <v>644</v>
      </c>
      <c r="B4" s="625"/>
      <c r="C4" s="604"/>
      <c r="D4" s="554"/>
      <c r="E4" s="554"/>
      <c r="F4" s="443" t="s">
        <v>440</v>
      </c>
      <c r="G4" s="364"/>
      <c r="H4" s="364"/>
      <c r="I4" s="364"/>
      <c r="J4" s="364"/>
      <c r="K4" s="364"/>
      <c r="L4" s="364"/>
      <c r="M4" s="365"/>
    </row>
    <row r="5" spans="1:13" ht="15" customHeight="1">
      <c r="A5" s="555" t="s">
        <v>645</v>
      </c>
      <c r="B5" s="626"/>
      <c r="C5" s="380"/>
      <c r="D5" s="340"/>
      <c r="E5" s="340"/>
      <c r="F5" s="444" t="s">
        <v>697</v>
      </c>
      <c r="G5" s="369"/>
      <c r="H5" s="369"/>
      <c r="I5" s="369"/>
      <c r="J5" s="369"/>
      <c r="K5" s="369"/>
      <c r="L5" s="369"/>
      <c r="M5" s="445">
        <v>46262</v>
      </c>
    </row>
    <row r="6" spans="1:13" ht="15" customHeight="1">
      <c r="A6" s="556" t="s">
        <v>668</v>
      </c>
      <c r="B6" s="340"/>
      <c r="C6" s="380"/>
      <c r="D6" s="340"/>
      <c r="E6" s="340"/>
      <c r="F6" s="443" t="s">
        <v>575</v>
      </c>
      <c r="G6" s="364"/>
      <c r="H6" s="364"/>
      <c r="I6" s="364"/>
      <c r="J6" s="364"/>
      <c r="K6" s="364"/>
      <c r="L6" s="364"/>
      <c r="M6" s="446"/>
    </row>
    <row r="7" spans="1:13" ht="15" customHeight="1">
      <c r="A7" s="556" t="s">
        <v>669</v>
      </c>
      <c r="B7" s="340"/>
      <c r="C7" s="380"/>
      <c r="D7" s="340"/>
      <c r="E7" s="340"/>
      <c r="F7" s="447" t="s">
        <v>663</v>
      </c>
      <c r="G7" s="368"/>
      <c r="H7" s="368"/>
      <c r="I7" s="368"/>
      <c r="J7" s="368"/>
      <c r="K7" s="368"/>
      <c r="L7" s="372"/>
      <c r="M7" s="448"/>
    </row>
    <row r="8" spans="1:13" ht="15" customHeight="1">
      <c r="A8" s="556" t="s">
        <v>646</v>
      </c>
      <c r="B8" s="340"/>
      <c r="C8" s="380"/>
      <c r="D8" s="340"/>
      <c r="E8" s="340"/>
      <c r="F8" s="449"/>
      <c r="G8" s="369"/>
      <c r="H8" s="369"/>
      <c r="I8" s="369"/>
      <c r="J8" s="369"/>
      <c r="K8" s="369"/>
      <c r="L8" s="369"/>
      <c r="M8" s="463"/>
    </row>
    <row r="9" spans="1:13" ht="15" customHeight="1">
      <c r="A9" s="553" t="s">
        <v>648</v>
      </c>
      <c r="B9" s="625"/>
      <c r="C9" s="604"/>
      <c r="D9" s="364"/>
      <c r="E9" s="364"/>
      <c r="F9" s="451" t="s">
        <v>442</v>
      </c>
      <c r="G9" s="368" t="s">
        <v>707</v>
      </c>
      <c r="H9" s="450"/>
      <c r="I9" s="368"/>
      <c r="J9" s="368"/>
      <c r="K9" s="450"/>
      <c r="L9" s="450"/>
      <c r="M9" s="375"/>
    </row>
    <row r="10" spans="1:13" ht="16.5" customHeight="1">
      <c r="A10" s="622" t="s">
        <v>687</v>
      </c>
      <c r="B10" s="622"/>
      <c r="C10" s="623"/>
      <c r="D10" s="368"/>
      <c r="E10" s="368"/>
      <c r="F10" s="451" t="s">
        <v>670</v>
      </c>
      <c r="G10" s="612" t="s">
        <v>709</v>
      </c>
      <c r="H10" s="612"/>
      <c r="I10" s="612"/>
      <c r="J10" s="612"/>
      <c r="K10" s="612"/>
      <c r="L10" s="612"/>
      <c r="M10" s="613"/>
    </row>
    <row r="11" spans="1:13">
      <c r="A11" s="619" t="s">
        <v>688</v>
      </c>
      <c r="B11" s="405"/>
      <c r="C11" s="620"/>
      <c r="D11" s="405"/>
      <c r="E11" s="368"/>
      <c r="F11" s="451" t="s">
        <v>671</v>
      </c>
      <c r="G11" s="450" t="s">
        <v>708</v>
      </c>
      <c r="H11" s="368"/>
      <c r="K11" s="368"/>
      <c r="L11" s="450"/>
      <c r="M11" s="375"/>
    </row>
    <row r="12" spans="1:13" ht="15" customHeight="1">
      <c r="A12" s="619" t="s">
        <v>689</v>
      </c>
      <c r="B12" s="405"/>
      <c r="C12" s="620"/>
      <c r="D12" s="405"/>
      <c r="E12" s="558"/>
      <c r="F12" s="451"/>
      <c r="G12" s="368"/>
      <c r="H12" s="450"/>
      <c r="I12" s="368"/>
      <c r="J12" s="368"/>
      <c r="K12" s="450"/>
      <c r="L12" s="368"/>
      <c r="M12" s="375"/>
    </row>
    <row r="13" spans="1:13" ht="15" customHeight="1">
      <c r="A13" s="619" t="s">
        <v>690</v>
      </c>
      <c r="B13" s="405"/>
      <c r="C13" s="620"/>
      <c r="D13" s="405"/>
      <c r="E13" s="558"/>
      <c r="F13" s="621"/>
      <c r="G13" s="368"/>
      <c r="H13" s="450"/>
      <c r="I13" s="368"/>
      <c r="J13" s="368"/>
      <c r="K13" s="450"/>
      <c r="L13" s="368"/>
      <c r="M13" s="375"/>
    </row>
    <row r="14" spans="1:13" ht="15" customHeight="1">
      <c r="A14" s="553" t="s">
        <v>653</v>
      </c>
      <c r="B14" s="625"/>
      <c r="C14" s="604"/>
      <c r="D14" s="554"/>
      <c r="E14" s="563"/>
      <c r="F14" s="562" t="s">
        <v>649</v>
      </c>
      <c r="G14" s="364"/>
      <c r="H14" s="364"/>
      <c r="I14" s="364"/>
      <c r="J14" s="364"/>
      <c r="K14" s="364"/>
      <c r="L14" s="364"/>
      <c r="M14" s="365"/>
    </row>
    <row r="15" spans="1:13" ht="15" customHeight="1">
      <c r="A15" s="557" t="s">
        <v>647</v>
      </c>
      <c r="B15" s="627"/>
      <c r="C15" s="618"/>
      <c r="D15" s="340"/>
      <c r="F15" s="624" t="s">
        <v>681</v>
      </c>
      <c r="G15" s="405"/>
      <c r="H15" s="405"/>
      <c r="I15" s="368"/>
      <c r="J15" s="368"/>
      <c r="K15" s="368"/>
      <c r="L15" s="368"/>
      <c r="M15" s="375"/>
    </row>
    <row r="16" spans="1:13" ht="15" customHeight="1">
      <c r="A16" s="615" t="s">
        <v>679</v>
      </c>
      <c r="B16" s="628"/>
      <c r="C16" s="450"/>
      <c r="D16" s="340"/>
      <c r="F16" s="453" t="s">
        <v>682</v>
      </c>
      <c r="G16" s="368"/>
      <c r="H16" s="368"/>
      <c r="I16" s="368"/>
      <c r="J16" s="368"/>
      <c r="K16" s="368"/>
      <c r="L16" s="368"/>
      <c r="M16" s="375"/>
    </row>
    <row r="17" spans="1:14" ht="15" customHeight="1">
      <c r="A17" s="615" t="s">
        <v>680</v>
      </c>
      <c r="B17" s="628"/>
      <c r="C17" s="450"/>
      <c r="D17" s="340"/>
      <c r="F17" s="447" t="s">
        <v>683</v>
      </c>
      <c r="G17" s="454"/>
      <c r="H17" s="454"/>
      <c r="I17" s="454"/>
      <c r="J17" s="454"/>
      <c r="K17" s="454"/>
      <c r="L17" s="454"/>
      <c r="M17" s="455"/>
    </row>
    <row r="18" spans="1:14" ht="15" customHeight="1">
      <c r="A18" s="616" t="s">
        <v>441</v>
      </c>
      <c r="B18" s="450"/>
      <c r="C18" s="450"/>
      <c r="D18" s="340"/>
      <c r="F18" s="456" t="s">
        <v>684</v>
      </c>
      <c r="G18" s="368"/>
      <c r="H18" s="368"/>
      <c r="I18" s="368"/>
      <c r="J18" s="368"/>
      <c r="K18" s="368"/>
      <c r="L18" s="368"/>
      <c r="M18" s="375"/>
    </row>
    <row r="19" spans="1:14" ht="15" customHeight="1">
      <c r="A19" s="526"/>
      <c r="B19" s="629"/>
      <c r="C19" s="450"/>
      <c r="D19" s="368"/>
      <c r="E19" s="368"/>
      <c r="F19" s="457" t="s">
        <v>685</v>
      </c>
      <c r="G19" s="368"/>
      <c r="H19" s="368"/>
      <c r="I19" s="368"/>
      <c r="J19" s="368"/>
      <c r="K19" s="368"/>
      <c r="L19" s="368"/>
      <c r="M19" s="375"/>
    </row>
    <row r="20" spans="1:14" ht="15" customHeight="1">
      <c r="A20" s="363" t="s">
        <v>20</v>
      </c>
      <c r="B20" s="577"/>
      <c r="C20" s="605"/>
      <c r="D20" s="342" t="s">
        <v>21</v>
      </c>
      <c r="E20" s="364"/>
      <c r="F20" s="447" t="s">
        <v>686</v>
      </c>
      <c r="G20" s="368"/>
      <c r="H20" s="368"/>
      <c r="I20" s="368"/>
      <c r="J20" s="368"/>
      <c r="K20" s="368"/>
      <c r="L20" s="368"/>
      <c r="M20" s="377"/>
    </row>
    <row r="21" spans="1:14" ht="15" customHeight="1">
      <c r="A21" s="651" t="s">
        <v>676</v>
      </c>
      <c r="B21" s="652"/>
      <c r="C21" s="653"/>
      <c r="D21" s="654" t="s">
        <v>654</v>
      </c>
      <c r="E21" s="652"/>
      <c r="F21" s="452"/>
      <c r="G21" s="368"/>
      <c r="H21" s="368"/>
      <c r="I21" s="368"/>
      <c r="J21" s="368"/>
      <c r="K21" s="368"/>
      <c r="L21" s="368"/>
      <c r="M21" s="377"/>
    </row>
    <row r="22" spans="1:14" ht="15" customHeight="1">
      <c r="A22" s="363" t="s">
        <v>44</v>
      </c>
      <c r="B22" s="368"/>
      <c r="C22" s="450"/>
      <c r="D22" s="342" t="s">
        <v>576</v>
      </c>
      <c r="E22" s="368"/>
      <c r="F22" s="452"/>
      <c r="G22" s="368"/>
      <c r="H22" s="368"/>
      <c r="I22" s="368"/>
      <c r="J22" s="368"/>
      <c r="K22" s="368"/>
      <c r="L22" s="368"/>
      <c r="M22" s="377"/>
    </row>
    <row r="23" spans="1:14" ht="15" customHeight="1">
      <c r="A23" s="655" t="s">
        <v>698</v>
      </c>
      <c r="B23" s="656"/>
      <c r="C23" s="657"/>
      <c r="D23" s="658">
        <f>+M5+7</f>
        <v>46269</v>
      </c>
      <c r="E23" s="658"/>
      <c r="F23" s="452" t="s">
        <v>659</v>
      </c>
      <c r="G23" s="368"/>
      <c r="H23" s="368"/>
      <c r="I23" s="368"/>
      <c r="J23" s="368"/>
      <c r="K23" s="368"/>
      <c r="L23" s="368"/>
      <c r="M23" s="377"/>
    </row>
    <row r="24" spans="1:14" ht="29.25" customHeight="1">
      <c r="A24" s="659" t="s">
        <v>711</v>
      </c>
      <c r="B24" s="660"/>
      <c r="C24" s="661"/>
      <c r="D24" s="661"/>
      <c r="E24" s="662"/>
      <c r="F24" s="452"/>
      <c r="G24" s="368"/>
      <c r="H24" s="368"/>
      <c r="I24" s="368"/>
      <c r="J24" s="368"/>
      <c r="K24" s="368"/>
      <c r="L24" s="368"/>
      <c r="M24" s="377"/>
    </row>
    <row r="25" spans="1:14" ht="20.25" customHeight="1">
      <c r="A25" s="642" t="s">
        <v>443</v>
      </c>
      <c r="B25" s="643"/>
      <c r="C25" s="644"/>
      <c r="D25" s="644"/>
      <c r="E25" s="645"/>
      <c r="F25" s="646" t="s">
        <v>675</v>
      </c>
      <c r="G25" s="647"/>
      <c r="H25" s="648"/>
      <c r="I25" s="647"/>
      <c r="J25" s="647"/>
      <c r="K25" s="647"/>
      <c r="L25" s="647"/>
      <c r="M25" s="649"/>
    </row>
    <row r="26" spans="1:14" ht="39.75" customHeight="1">
      <c r="A26" s="356" t="s">
        <v>444</v>
      </c>
      <c r="B26" s="630" t="s">
        <v>695</v>
      </c>
      <c r="C26" s="606" t="s">
        <v>445</v>
      </c>
      <c r="D26" s="527" t="s">
        <v>35</v>
      </c>
      <c r="E26" s="527" t="s">
        <v>446</v>
      </c>
      <c r="F26" s="528" t="s">
        <v>616</v>
      </c>
      <c r="G26" s="528" t="s">
        <v>447</v>
      </c>
      <c r="H26" s="528" t="s">
        <v>448</v>
      </c>
      <c r="I26" s="528" t="s">
        <v>655</v>
      </c>
      <c r="J26" s="528" t="s">
        <v>656</v>
      </c>
      <c r="K26" s="528" t="s">
        <v>657</v>
      </c>
      <c r="L26" s="528" t="s">
        <v>449</v>
      </c>
      <c r="M26" s="341" t="s">
        <v>450</v>
      </c>
    </row>
    <row r="27" spans="1:14" ht="68.25" customHeight="1">
      <c r="A27" s="458">
        <v>1</v>
      </c>
      <c r="B27" s="633" t="s">
        <v>704</v>
      </c>
      <c r="C27" s="617" t="s">
        <v>719</v>
      </c>
      <c r="D27" s="529" t="s">
        <v>699</v>
      </c>
      <c r="E27" s="529" t="s">
        <v>706</v>
      </c>
      <c r="F27" s="530">
        <v>128</v>
      </c>
      <c r="G27" s="531">
        <v>2461.6</v>
      </c>
      <c r="H27" s="531">
        <v>7700</v>
      </c>
      <c r="I27" s="532">
        <v>1.93</v>
      </c>
      <c r="J27" s="462">
        <f t="shared" ref="J27:J30" si="0">ROUND((I27*G27),2)</f>
        <v>4750.8900000000003</v>
      </c>
      <c r="K27" s="531">
        <f t="shared" ref="K27:K29" si="1">ROUND((H27*0.9144),2)</f>
        <v>7040.88</v>
      </c>
      <c r="L27" s="533">
        <v>1.94</v>
      </c>
      <c r="M27" s="459">
        <f t="shared" ref="M27:M29" si="2">+ROUND(L27*H27,2)</f>
        <v>14938</v>
      </c>
    </row>
    <row r="28" spans="1:14" ht="68.25" customHeight="1">
      <c r="A28" s="458">
        <v>2</v>
      </c>
      <c r="B28" s="633" t="s">
        <v>704</v>
      </c>
      <c r="C28" s="617" t="s">
        <v>705</v>
      </c>
      <c r="D28" s="529" t="s">
        <v>700</v>
      </c>
      <c r="E28" s="529" t="s">
        <v>703</v>
      </c>
      <c r="F28" s="530">
        <v>46</v>
      </c>
      <c r="G28" s="531">
        <v>884.56000000000006</v>
      </c>
      <c r="H28" s="531">
        <v>2790</v>
      </c>
      <c r="I28" s="532">
        <v>1.93</v>
      </c>
      <c r="J28" s="462">
        <f t="shared" si="0"/>
        <v>1707.2</v>
      </c>
      <c r="K28" s="531">
        <f t="shared" si="1"/>
        <v>2551.1799999999998</v>
      </c>
      <c r="L28" s="533">
        <v>1.94</v>
      </c>
      <c r="M28" s="459">
        <f t="shared" si="2"/>
        <v>5412.6</v>
      </c>
    </row>
    <row r="29" spans="1:14" ht="68.25" customHeight="1">
      <c r="A29" s="458">
        <v>3</v>
      </c>
      <c r="B29" s="633" t="s">
        <v>704</v>
      </c>
      <c r="C29" s="617" t="s">
        <v>705</v>
      </c>
      <c r="D29" s="529" t="s">
        <v>701</v>
      </c>
      <c r="E29" s="529" t="s">
        <v>703</v>
      </c>
      <c r="F29" s="530">
        <v>105</v>
      </c>
      <c r="G29" s="531">
        <v>2012.9999999999998</v>
      </c>
      <c r="H29" s="531">
        <v>6315</v>
      </c>
      <c r="I29" s="532">
        <v>1.93</v>
      </c>
      <c r="J29" s="462">
        <f t="shared" si="0"/>
        <v>3885.09</v>
      </c>
      <c r="K29" s="531">
        <f t="shared" si="1"/>
        <v>5774.44</v>
      </c>
      <c r="L29" s="533">
        <v>1.94</v>
      </c>
      <c r="M29" s="459">
        <f t="shared" si="2"/>
        <v>12251.1</v>
      </c>
    </row>
    <row r="30" spans="1:14" ht="68.25" customHeight="1">
      <c r="A30" s="458">
        <v>4</v>
      </c>
      <c r="B30" s="633" t="s">
        <v>704</v>
      </c>
      <c r="C30" s="617" t="s">
        <v>705</v>
      </c>
      <c r="D30" s="529" t="s">
        <v>702</v>
      </c>
      <c r="E30" s="529" t="s">
        <v>703</v>
      </c>
      <c r="F30" s="530">
        <v>7</v>
      </c>
      <c r="G30" s="531">
        <v>140.51999999999998</v>
      </c>
      <c r="H30" s="531">
        <v>440</v>
      </c>
      <c r="I30" s="532">
        <v>1.93</v>
      </c>
      <c r="J30" s="462">
        <f t="shared" si="0"/>
        <v>271.2</v>
      </c>
      <c r="K30" s="531">
        <f t="shared" ref="K30" si="3">ROUND((H30*0.9144),2)</f>
        <v>402.34</v>
      </c>
      <c r="L30" s="533">
        <v>1.94</v>
      </c>
      <c r="M30" s="459">
        <f t="shared" ref="M30" si="4">+ROUND(L30*H30,2)</f>
        <v>853.6</v>
      </c>
      <c r="N30" s="634"/>
    </row>
    <row r="31" spans="1:14" ht="68.25" customHeight="1">
      <c r="A31" s="458">
        <v>5</v>
      </c>
      <c r="B31" s="633" t="s">
        <v>704</v>
      </c>
      <c r="C31" s="617" t="s">
        <v>705</v>
      </c>
      <c r="D31" s="529" t="s">
        <v>699</v>
      </c>
      <c r="E31" s="529" t="s">
        <v>703</v>
      </c>
      <c r="F31" s="530">
        <v>1</v>
      </c>
      <c r="G31" s="531">
        <v>19.2</v>
      </c>
      <c r="H31" s="531">
        <v>61</v>
      </c>
      <c r="I31" s="532">
        <v>1.93</v>
      </c>
      <c r="J31" s="462">
        <f t="shared" ref="J31:J33" si="5">ROUND((I31*G31),2)</f>
        <v>37.06</v>
      </c>
      <c r="K31" s="531">
        <f t="shared" ref="K31:K33" si="6">ROUND((H31*0.9144),2)</f>
        <v>55.78</v>
      </c>
      <c r="L31" s="533">
        <v>1.94</v>
      </c>
      <c r="M31" s="459">
        <f t="shared" ref="M31:M33" si="7">+ROUND(L31*H31,2)</f>
        <v>118.34</v>
      </c>
      <c r="N31" s="635" t="s">
        <v>696</v>
      </c>
    </row>
    <row r="32" spans="1:14" ht="68.25" customHeight="1">
      <c r="A32" s="458">
        <v>6</v>
      </c>
      <c r="B32" s="633" t="s">
        <v>704</v>
      </c>
      <c r="C32" s="617" t="s">
        <v>705</v>
      </c>
      <c r="D32" s="529" t="s">
        <v>700</v>
      </c>
      <c r="E32" s="529" t="s">
        <v>703</v>
      </c>
      <c r="F32" s="530">
        <v>1</v>
      </c>
      <c r="G32" s="531">
        <v>22.94</v>
      </c>
      <c r="H32" s="531">
        <v>72</v>
      </c>
      <c r="I32" s="532">
        <v>1.93</v>
      </c>
      <c r="J32" s="462">
        <f t="shared" ref="J32" si="8">ROUND((I32*G32),2)</f>
        <v>44.27</v>
      </c>
      <c r="K32" s="531">
        <f t="shared" ref="K32" si="9">ROUND((H32*0.9144),2)</f>
        <v>65.84</v>
      </c>
      <c r="L32" s="533">
        <v>1.94</v>
      </c>
      <c r="M32" s="459">
        <f t="shared" ref="M32" si="10">+ROUND(L32*H32,2)</f>
        <v>139.68</v>
      </c>
      <c r="N32" s="635" t="s">
        <v>696</v>
      </c>
    </row>
    <row r="33" spans="1:14" ht="68.25" customHeight="1">
      <c r="A33" s="458">
        <v>7</v>
      </c>
      <c r="B33" s="633" t="s">
        <v>704</v>
      </c>
      <c r="C33" s="617" t="s">
        <v>719</v>
      </c>
      <c r="D33" s="529" t="s">
        <v>701</v>
      </c>
      <c r="E33" s="529" t="s">
        <v>703</v>
      </c>
      <c r="F33" s="530">
        <v>2</v>
      </c>
      <c r="G33" s="531">
        <v>46.6</v>
      </c>
      <c r="H33" s="531">
        <v>143</v>
      </c>
      <c r="I33" s="532">
        <v>1.93</v>
      </c>
      <c r="J33" s="462">
        <f t="shared" si="5"/>
        <v>89.94</v>
      </c>
      <c r="K33" s="531">
        <f t="shared" si="6"/>
        <v>130.76</v>
      </c>
      <c r="L33" s="533">
        <v>1.94</v>
      </c>
      <c r="M33" s="459">
        <f t="shared" si="7"/>
        <v>277.42</v>
      </c>
      <c r="N33" s="635" t="s">
        <v>696</v>
      </c>
    </row>
    <row r="34" spans="1:14" ht="68.25" customHeight="1">
      <c r="A34" s="458">
        <v>8</v>
      </c>
      <c r="B34" s="633" t="s">
        <v>704</v>
      </c>
      <c r="C34" s="617" t="s">
        <v>705</v>
      </c>
      <c r="D34" s="529" t="s">
        <v>702</v>
      </c>
      <c r="E34" s="529" t="s">
        <v>703</v>
      </c>
      <c r="F34" s="530">
        <v>1</v>
      </c>
      <c r="G34" s="531">
        <v>14.08</v>
      </c>
      <c r="H34" s="531">
        <v>44</v>
      </c>
      <c r="I34" s="532">
        <v>1.93</v>
      </c>
      <c r="J34" s="462">
        <f t="shared" ref="J34" si="11">ROUND((I34*G34),2)</f>
        <v>27.17</v>
      </c>
      <c r="K34" s="531">
        <f t="shared" ref="K34" si="12">ROUND((H34*0.9144),2)</f>
        <v>40.229999999999997</v>
      </c>
      <c r="L34" s="533">
        <v>1.94</v>
      </c>
      <c r="M34" s="459">
        <f t="shared" ref="M34" si="13">+ROUND(L34*H34,2)</f>
        <v>85.36</v>
      </c>
      <c r="N34" s="635" t="s">
        <v>696</v>
      </c>
    </row>
    <row r="35" spans="1:14" s="422" customFormat="1" ht="21" customHeight="1">
      <c r="A35" s="460"/>
      <c r="B35" s="631"/>
      <c r="C35" s="607" t="s">
        <v>87</v>
      </c>
      <c r="D35" s="534"/>
      <c r="E35" s="534"/>
      <c r="F35" s="535">
        <f>SUM(F27:F34)</f>
        <v>291</v>
      </c>
      <c r="G35" s="535">
        <f>SUM(G27:G34)</f>
        <v>5602.5</v>
      </c>
      <c r="H35" s="535">
        <f>SUM(H27:H34)</f>
        <v>17565</v>
      </c>
      <c r="I35" s="535"/>
      <c r="J35" s="535">
        <f>SUM(J27:J34)</f>
        <v>10812.820000000002</v>
      </c>
      <c r="K35" s="535">
        <f>SUM(K27:K34)</f>
        <v>16061.45</v>
      </c>
      <c r="L35" s="535"/>
      <c r="M35" s="535">
        <f>SUM(M27:M34)</f>
        <v>34076.099999999991</v>
      </c>
    </row>
    <row r="36" spans="1:14" s="422" customFormat="1" ht="13.9" customHeight="1">
      <c r="A36" s="423"/>
      <c r="B36" s="608"/>
      <c r="C36" s="608"/>
      <c r="D36" s="368"/>
      <c r="E36" s="368"/>
      <c r="F36" s="368"/>
      <c r="G36" s="424"/>
      <c r="H36" s="368"/>
      <c r="I36" s="424"/>
      <c r="J36" s="424"/>
      <c r="K36" s="368"/>
      <c r="L36" s="525"/>
      <c r="M36" s="425"/>
    </row>
    <row r="37" spans="1:14" s="422" customFormat="1" ht="13.9" customHeight="1">
      <c r="A37" s="388" t="s">
        <v>577</v>
      </c>
      <c r="B37" s="397"/>
      <c r="C37" s="609"/>
      <c r="D37" s="368"/>
      <c r="E37" s="368"/>
      <c r="F37" s="368"/>
      <c r="G37" s="424"/>
      <c r="H37" s="368"/>
      <c r="I37" s="424"/>
      <c r="J37" s="424"/>
      <c r="K37" s="368"/>
      <c r="L37" s="525"/>
      <c r="M37" s="425"/>
    </row>
    <row r="38" spans="1:14" s="422" customFormat="1" ht="13.9" customHeight="1">
      <c r="A38" s="388" t="s">
        <v>578</v>
      </c>
      <c r="B38" s="397"/>
      <c r="C38" s="609"/>
      <c r="D38" s="394"/>
      <c r="E38" s="361"/>
      <c r="F38" s="391" t="s">
        <v>451</v>
      </c>
      <c r="G38" s="391"/>
      <c r="H38" s="391"/>
      <c r="I38" s="391"/>
      <c r="J38" s="391"/>
      <c r="K38" s="391"/>
      <c r="L38" s="361"/>
      <c r="M38" s="392"/>
    </row>
    <row r="39" spans="1:14" s="422" customFormat="1" ht="13.9" customHeight="1">
      <c r="A39" s="388" t="s">
        <v>579</v>
      </c>
      <c r="B39" s="397"/>
      <c r="C39" s="609"/>
      <c r="D39" s="416"/>
      <c r="E39" s="361"/>
      <c r="F39" s="361"/>
      <c r="G39" s="361"/>
      <c r="H39" s="361"/>
      <c r="I39" s="361"/>
      <c r="J39" s="361"/>
      <c r="K39" s="361"/>
      <c r="L39" s="361"/>
      <c r="M39" s="392"/>
    </row>
    <row r="40" spans="1:14" s="422" customFormat="1" ht="13.9" customHeight="1">
      <c r="A40" s="388" t="s">
        <v>580</v>
      </c>
      <c r="B40" s="397"/>
      <c r="C40" s="609"/>
      <c r="D40" s="393"/>
      <c r="E40" s="361"/>
      <c r="F40" s="361"/>
      <c r="G40" s="361"/>
      <c r="H40" s="361"/>
      <c r="I40" s="361"/>
      <c r="J40" s="361"/>
      <c r="K40" s="361"/>
      <c r="L40" s="361"/>
      <c r="M40" s="392"/>
    </row>
    <row r="41" spans="1:14" s="422" customFormat="1" ht="13.9" customHeight="1">
      <c r="A41" s="388" t="s">
        <v>581</v>
      </c>
      <c r="B41" s="397"/>
      <c r="C41" s="609"/>
      <c r="D41" s="368"/>
      <c r="E41" s="361"/>
      <c r="F41" s="417"/>
      <c r="G41" s="426"/>
      <c r="H41" s="427"/>
      <c r="I41" s="426"/>
      <c r="J41" s="426"/>
      <c r="K41" s="427"/>
      <c r="L41" s="394"/>
      <c r="M41" s="428"/>
    </row>
    <row r="42" spans="1:14" s="422" customFormat="1" ht="13.9" customHeight="1">
      <c r="A42" s="388" t="s">
        <v>582</v>
      </c>
      <c r="B42" s="397"/>
      <c r="C42" s="609"/>
      <c r="D42" s="368"/>
      <c r="E42" s="394"/>
      <c r="F42" s="417"/>
      <c r="G42" s="426"/>
      <c r="H42" s="429"/>
      <c r="I42" s="426"/>
      <c r="J42" s="426"/>
      <c r="K42" s="429"/>
      <c r="L42" s="405"/>
      <c r="M42" s="430"/>
    </row>
    <row r="43" spans="1:14" s="422" customFormat="1" ht="13.9" customHeight="1">
      <c r="A43" s="388" t="s">
        <v>583</v>
      </c>
      <c r="B43" s="397"/>
      <c r="C43" s="609"/>
      <c r="D43" s="395"/>
      <c r="E43" s="431"/>
      <c r="F43" s="650"/>
      <c r="G43" s="650"/>
      <c r="H43" s="432"/>
      <c r="I43" s="524"/>
      <c r="J43" s="524"/>
      <c r="K43" s="432"/>
      <c r="L43" s="405"/>
      <c r="M43" s="430"/>
    </row>
    <row r="44" spans="1:14" s="422" customFormat="1" ht="13.9" customHeight="1">
      <c r="A44" s="388" t="s">
        <v>584</v>
      </c>
      <c r="B44" s="397"/>
      <c r="C44" s="609"/>
      <c r="D44" s="433"/>
      <c r="E44" s="384"/>
      <c r="F44" s="384"/>
      <c r="G44" s="426"/>
      <c r="H44" s="434"/>
      <c r="I44" s="426"/>
      <c r="J44" s="426"/>
      <c r="K44" s="434"/>
      <c r="L44" s="435"/>
      <c r="M44" s="428"/>
    </row>
    <row r="45" spans="1:14" s="422" customFormat="1" ht="13.9" customHeight="1">
      <c r="A45" s="388" t="s">
        <v>585</v>
      </c>
      <c r="B45" s="397"/>
      <c r="C45" s="609"/>
      <c r="D45" s="433"/>
      <c r="E45" s="384"/>
      <c r="F45" s="383"/>
      <c r="G45" s="426"/>
      <c r="H45" s="434"/>
      <c r="I45" s="426"/>
      <c r="J45" s="426"/>
      <c r="K45" s="434"/>
      <c r="L45" s="435"/>
      <c r="M45" s="428"/>
    </row>
    <row r="46" spans="1:14" s="422" customFormat="1" ht="62.25" customHeight="1" thickBot="1">
      <c r="A46" s="536"/>
      <c r="B46" s="632"/>
      <c r="C46" s="537"/>
      <c r="D46" s="538"/>
      <c r="E46" s="539"/>
      <c r="F46" s="540" t="s">
        <v>567</v>
      </c>
      <c r="G46" s="541" t="s">
        <v>664</v>
      </c>
      <c r="H46" s="543"/>
      <c r="I46" s="542"/>
      <c r="J46" s="542"/>
      <c r="K46" s="543"/>
      <c r="L46" s="544"/>
      <c r="M46" s="545"/>
    </row>
    <row r="47" spans="1:14" s="422" customFormat="1" ht="13.9" hidden="1" customHeight="1">
      <c r="A47" s="380"/>
      <c r="B47" s="380"/>
      <c r="C47" s="436"/>
      <c r="D47" s="390"/>
      <c r="E47" s="384"/>
      <c r="F47" s="437"/>
      <c r="G47" s="426"/>
      <c r="H47" s="434"/>
      <c r="I47" s="426"/>
      <c r="J47" s="426"/>
      <c r="K47" s="434"/>
      <c r="L47" s="435"/>
      <c r="M47" s="438"/>
    </row>
    <row r="48" spans="1:14" s="440" customFormat="1" ht="13.9" hidden="1" customHeight="1">
      <c r="A48" s="380"/>
      <c r="B48" s="380"/>
      <c r="C48" s="436"/>
      <c r="D48" s="390"/>
      <c r="E48" s="384"/>
      <c r="F48" s="439"/>
      <c r="G48" s="426"/>
      <c r="H48" s="434"/>
      <c r="I48" s="426"/>
      <c r="J48" s="426"/>
      <c r="K48" s="434"/>
      <c r="L48" s="435"/>
      <c r="M48" s="438"/>
    </row>
    <row r="49" spans="1:13" s="440" customFormat="1" ht="13.9" hidden="1" customHeight="1">
      <c r="A49" s="380"/>
      <c r="B49" s="380"/>
      <c r="C49" s="436"/>
      <c r="D49" s="390"/>
      <c r="E49" s="384"/>
      <c r="F49" s="384"/>
      <c r="G49" s="426"/>
      <c r="H49" s="434"/>
      <c r="I49" s="426"/>
      <c r="J49" s="426"/>
      <c r="K49" s="434"/>
      <c r="L49" s="435"/>
      <c r="M49" s="438"/>
    </row>
    <row r="50" spans="1:13" s="440" customFormat="1" ht="13.9" hidden="1" customHeight="1">
      <c r="A50" s="380"/>
      <c r="B50" s="380"/>
      <c r="C50" s="436"/>
      <c r="D50" s="390"/>
      <c r="E50" s="384"/>
      <c r="F50" s="384"/>
      <c r="G50" s="426"/>
      <c r="H50" s="434"/>
      <c r="I50" s="426"/>
      <c r="J50" s="426"/>
      <c r="K50" s="434"/>
      <c r="L50" s="435"/>
      <c r="M50" s="438"/>
    </row>
    <row r="51" spans="1:13" s="440" customFormat="1" ht="13.9" customHeight="1">
      <c r="A51" s="361"/>
      <c r="B51" s="361"/>
      <c r="C51" s="361"/>
      <c r="D51" s="361"/>
      <c r="E51" s="361"/>
      <c r="F51" s="361"/>
      <c r="H51" s="442"/>
      <c r="K51" s="441"/>
    </row>
    <row r="52" spans="1:13" s="440" customFormat="1" ht="13.9" customHeight="1">
      <c r="A52" s="361"/>
      <c r="B52" s="361"/>
      <c r="C52" s="361"/>
      <c r="D52" s="361"/>
      <c r="E52" s="361"/>
      <c r="F52" s="361"/>
      <c r="G52" s="361"/>
      <c r="H52" s="361"/>
      <c r="I52" s="361"/>
      <c r="J52" s="361"/>
      <c r="K52" s="361"/>
    </row>
    <row r="53" spans="1:13" s="440" customFormat="1" ht="13.9" customHeight="1">
      <c r="A53" s="361"/>
      <c r="B53" s="361"/>
      <c r="C53" s="361"/>
      <c r="D53" s="361"/>
      <c r="E53" s="361"/>
      <c r="F53" s="361"/>
      <c r="G53" s="361"/>
      <c r="H53" s="361"/>
      <c r="I53" s="361"/>
      <c r="J53" s="361"/>
      <c r="K53" s="361"/>
      <c r="L53" s="418"/>
      <c r="M53" s="419"/>
    </row>
    <row r="54" spans="1:13" s="440" customFormat="1" ht="13.9" customHeight="1">
      <c r="A54" s="361"/>
      <c r="B54" s="361"/>
      <c r="C54" s="361"/>
      <c r="D54" s="361"/>
      <c r="E54" s="361"/>
      <c r="F54" s="361"/>
      <c r="G54" s="361"/>
      <c r="H54" s="361"/>
      <c r="I54" s="361"/>
      <c r="J54" s="361"/>
      <c r="K54" s="361"/>
      <c r="L54" s="361"/>
      <c r="M54" s="361"/>
    </row>
    <row r="55" spans="1:13" s="440" customFormat="1" ht="13.9" customHeight="1">
      <c r="A55" s="361"/>
      <c r="B55" s="361"/>
      <c r="C55" s="361"/>
      <c r="D55" s="361"/>
      <c r="E55" s="361"/>
      <c r="F55" s="361"/>
      <c r="G55" s="361"/>
      <c r="H55" s="361"/>
      <c r="I55" s="361"/>
      <c r="J55" s="361"/>
      <c r="K55" s="361"/>
      <c r="L55" s="361"/>
      <c r="M55" s="361"/>
    </row>
    <row r="56" spans="1:13" s="440" customFormat="1" ht="13.9" customHeight="1">
      <c r="A56" s="361"/>
      <c r="B56" s="361"/>
      <c r="C56" s="361"/>
      <c r="D56" s="361"/>
      <c r="E56" s="361"/>
      <c r="F56" s="361"/>
      <c r="G56" s="361"/>
      <c r="H56" s="361"/>
      <c r="I56" s="361"/>
      <c r="J56" s="361"/>
      <c r="K56" s="361"/>
      <c r="L56" s="361"/>
      <c r="M56" s="361"/>
    </row>
    <row r="57" spans="1:13" s="440" customFormat="1" ht="13.9" customHeight="1">
      <c r="A57" s="361"/>
      <c r="B57" s="361"/>
      <c r="C57" s="361"/>
      <c r="D57" s="361"/>
      <c r="E57" s="361"/>
      <c r="F57" s="361"/>
      <c r="G57" s="361"/>
      <c r="H57" s="361"/>
      <c r="I57" s="361"/>
      <c r="J57" s="361"/>
      <c r="K57" s="361"/>
      <c r="L57" s="361"/>
      <c r="M57" s="361"/>
    </row>
    <row r="58" spans="1:13" s="440" customFormat="1" ht="13.9" customHeight="1">
      <c r="A58" s="361"/>
      <c r="B58" s="361"/>
      <c r="C58" s="361"/>
      <c r="D58" s="361"/>
      <c r="E58" s="361"/>
      <c r="F58" s="361"/>
      <c r="G58" s="361"/>
      <c r="H58" s="361"/>
      <c r="I58" s="361"/>
      <c r="J58" s="361"/>
      <c r="K58" s="361"/>
      <c r="L58" s="361"/>
      <c r="M58" s="361"/>
    </row>
    <row r="59" spans="1:13" s="440" customFormat="1" ht="13.9" customHeight="1">
      <c r="A59" s="361"/>
      <c r="B59" s="361"/>
      <c r="C59" s="361"/>
      <c r="D59" s="361"/>
      <c r="E59" s="361"/>
      <c r="F59" s="361"/>
      <c r="G59" s="361"/>
      <c r="H59" s="361"/>
      <c r="I59" s="361"/>
      <c r="J59" s="361"/>
      <c r="K59" s="361"/>
      <c r="L59" s="361"/>
      <c r="M59" s="361"/>
    </row>
    <row r="60" spans="1:13" s="440" customFormat="1" ht="13.9" customHeight="1">
      <c r="A60" s="361"/>
      <c r="B60" s="361"/>
      <c r="C60" s="361"/>
      <c r="D60" s="361"/>
      <c r="E60" s="361"/>
      <c r="F60" s="361"/>
      <c r="G60" s="361"/>
      <c r="H60" s="361"/>
      <c r="I60" s="361"/>
      <c r="J60" s="361"/>
      <c r="K60" s="361"/>
      <c r="L60" s="361"/>
      <c r="M60" s="361"/>
    </row>
    <row r="61" spans="1:13" ht="13.9" customHeight="1"/>
    <row r="62" spans="1:13" ht="13.9" customHeight="1"/>
    <row r="63" spans="1:13" ht="13.9" customHeight="1"/>
    <row r="64" spans="1:13" ht="13.9" customHeight="1"/>
    <row r="65" ht="13.9" customHeight="1"/>
    <row r="66" ht="13.9" customHeight="1"/>
    <row r="67" ht="13.9" customHeight="1"/>
    <row r="68" ht="13.9" customHeight="1"/>
    <row r="69" ht="13.9" customHeight="1"/>
    <row r="70" ht="13.9" customHeight="1"/>
    <row r="71" ht="13.9" customHeight="1"/>
    <row r="72" ht="13.9" customHeight="1"/>
    <row r="73" ht="13.9" customHeight="1"/>
    <row r="74" ht="13.9" customHeight="1"/>
  </sheetData>
  <autoFilter ref="A26:M35" xr:uid="{00000000-0009-0000-0000-000000000000}"/>
  <mergeCells count="9">
    <mergeCell ref="F1:M3"/>
    <mergeCell ref="A25:E25"/>
    <mergeCell ref="F25:M25"/>
    <mergeCell ref="F43:G43"/>
    <mergeCell ref="A21:C21"/>
    <mergeCell ref="D21:E21"/>
    <mergeCell ref="A23:C23"/>
    <mergeCell ref="D23:E23"/>
    <mergeCell ref="A24:E24"/>
  </mergeCells>
  <phoneticPr fontId="2" type="noConversion"/>
  <printOptions horizontalCentered="1"/>
  <pageMargins left="0.25" right="0.25" top="0.16" bottom="0.16" header="0.16" footer="0.16"/>
  <pageSetup paperSize="9" scale="62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O226"/>
  <sheetViews>
    <sheetView view="pageBreakPreview" topLeftCell="A16" zoomScaleNormal="100" zoomScaleSheetLayoutView="100" workbookViewId="0">
      <selection activeCell="E24" sqref="E24:E31"/>
    </sheetView>
  </sheetViews>
  <sheetFormatPr defaultColWidth="7.88671875" defaultRowHeight="15"/>
  <cols>
    <col min="1" max="1" width="3.6640625" style="361" customWidth="1"/>
    <col min="2" max="2" width="31.88671875" style="361" customWidth="1"/>
    <col min="3" max="3" width="11.33203125" style="361" customWidth="1"/>
    <col min="4" max="4" width="15.44140625" style="361" customWidth="1"/>
    <col min="5" max="5" width="18.33203125" style="348" customWidth="1"/>
    <col min="6" max="6" width="6.88671875" style="361" customWidth="1"/>
    <col min="7" max="8" width="8.88671875" style="361" customWidth="1"/>
    <col min="9" max="9" width="9.44140625" style="361" customWidth="1"/>
    <col min="10" max="10" width="12.109375" style="361" customWidth="1"/>
    <col min="11" max="11" width="8.109375" style="359" bestFit="1" customWidth="1"/>
    <col min="12" max="12" width="7.88671875" style="359"/>
    <col min="13" max="15" width="8" style="359" bestFit="1" customWidth="1"/>
    <col min="16" max="256" width="7.88671875" style="359"/>
    <col min="257" max="257" width="3.6640625" style="359" customWidth="1"/>
    <col min="258" max="258" width="25.88671875" style="359" customWidth="1"/>
    <col min="259" max="259" width="11.33203125" style="359" customWidth="1"/>
    <col min="260" max="260" width="15.44140625" style="359" customWidth="1"/>
    <col min="261" max="261" width="0" style="359" hidden="1" customWidth="1"/>
    <col min="262" max="262" width="9" style="359" customWidth="1"/>
    <col min="263" max="263" width="7.33203125" style="359" customWidth="1"/>
    <col min="264" max="264" width="11.44140625" style="359" customWidth="1"/>
    <col min="265" max="265" width="9.44140625" style="359" customWidth="1"/>
    <col min="266" max="266" width="13.21875" style="359" customWidth="1"/>
    <col min="267" max="512" width="7.88671875" style="359"/>
    <col min="513" max="513" width="3.6640625" style="359" customWidth="1"/>
    <col min="514" max="514" width="25.88671875" style="359" customWidth="1"/>
    <col min="515" max="515" width="11.33203125" style="359" customWidth="1"/>
    <col min="516" max="516" width="15.44140625" style="359" customWidth="1"/>
    <col min="517" max="517" width="0" style="359" hidden="1" customWidth="1"/>
    <col min="518" max="518" width="9" style="359" customWidth="1"/>
    <col min="519" max="519" width="7.33203125" style="359" customWidth="1"/>
    <col min="520" max="520" width="11.44140625" style="359" customWidth="1"/>
    <col min="521" max="521" width="9.44140625" style="359" customWidth="1"/>
    <col min="522" max="522" width="13.21875" style="359" customWidth="1"/>
    <col min="523" max="768" width="7.88671875" style="359"/>
    <col min="769" max="769" width="3.6640625" style="359" customWidth="1"/>
    <col min="770" max="770" width="25.88671875" style="359" customWidth="1"/>
    <col min="771" max="771" width="11.33203125" style="359" customWidth="1"/>
    <col min="772" max="772" width="15.44140625" style="359" customWidth="1"/>
    <col min="773" max="773" width="0" style="359" hidden="1" customWidth="1"/>
    <col min="774" max="774" width="9" style="359" customWidth="1"/>
    <col min="775" max="775" width="7.33203125" style="359" customWidth="1"/>
    <col min="776" max="776" width="11.44140625" style="359" customWidth="1"/>
    <col min="777" max="777" width="9.44140625" style="359" customWidth="1"/>
    <col min="778" max="778" width="13.21875" style="359" customWidth="1"/>
    <col min="779" max="1024" width="7.88671875" style="359"/>
    <col min="1025" max="1025" width="3.6640625" style="359" customWidth="1"/>
    <col min="1026" max="1026" width="25.88671875" style="359" customWidth="1"/>
    <col min="1027" max="1027" width="11.33203125" style="359" customWidth="1"/>
    <col min="1028" max="1028" width="15.44140625" style="359" customWidth="1"/>
    <col min="1029" max="1029" width="0" style="359" hidden="1" customWidth="1"/>
    <col min="1030" max="1030" width="9" style="359" customWidth="1"/>
    <col min="1031" max="1031" width="7.33203125" style="359" customWidth="1"/>
    <col min="1032" max="1032" width="11.44140625" style="359" customWidth="1"/>
    <col min="1033" max="1033" width="9.44140625" style="359" customWidth="1"/>
    <col min="1034" max="1034" width="13.21875" style="359" customWidth="1"/>
    <col min="1035" max="1280" width="7.88671875" style="359"/>
    <col min="1281" max="1281" width="3.6640625" style="359" customWidth="1"/>
    <col min="1282" max="1282" width="25.88671875" style="359" customWidth="1"/>
    <col min="1283" max="1283" width="11.33203125" style="359" customWidth="1"/>
    <col min="1284" max="1284" width="15.44140625" style="359" customWidth="1"/>
    <col min="1285" max="1285" width="0" style="359" hidden="1" customWidth="1"/>
    <col min="1286" max="1286" width="9" style="359" customWidth="1"/>
    <col min="1287" max="1287" width="7.33203125" style="359" customWidth="1"/>
    <col min="1288" max="1288" width="11.44140625" style="359" customWidth="1"/>
    <col min="1289" max="1289" width="9.44140625" style="359" customWidth="1"/>
    <col min="1290" max="1290" width="13.21875" style="359" customWidth="1"/>
    <col min="1291" max="1536" width="7.88671875" style="359"/>
    <col min="1537" max="1537" width="3.6640625" style="359" customWidth="1"/>
    <col min="1538" max="1538" width="25.88671875" style="359" customWidth="1"/>
    <col min="1539" max="1539" width="11.33203125" style="359" customWidth="1"/>
    <col min="1540" max="1540" width="15.44140625" style="359" customWidth="1"/>
    <col min="1541" max="1541" width="0" style="359" hidden="1" customWidth="1"/>
    <col min="1542" max="1542" width="9" style="359" customWidth="1"/>
    <col min="1543" max="1543" width="7.33203125" style="359" customWidth="1"/>
    <col min="1544" max="1544" width="11.44140625" style="359" customWidth="1"/>
    <col min="1545" max="1545" width="9.44140625" style="359" customWidth="1"/>
    <col min="1546" max="1546" width="13.21875" style="359" customWidth="1"/>
    <col min="1547" max="1792" width="7.88671875" style="359"/>
    <col min="1793" max="1793" width="3.6640625" style="359" customWidth="1"/>
    <col min="1794" max="1794" width="25.88671875" style="359" customWidth="1"/>
    <col min="1795" max="1795" width="11.33203125" style="359" customWidth="1"/>
    <col min="1796" max="1796" width="15.44140625" style="359" customWidth="1"/>
    <col min="1797" max="1797" width="0" style="359" hidden="1" customWidth="1"/>
    <col min="1798" max="1798" width="9" style="359" customWidth="1"/>
    <col min="1799" max="1799" width="7.33203125" style="359" customWidth="1"/>
    <col min="1800" max="1800" width="11.44140625" style="359" customWidth="1"/>
    <col min="1801" max="1801" width="9.44140625" style="359" customWidth="1"/>
    <col min="1802" max="1802" width="13.21875" style="359" customWidth="1"/>
    <col min="1803" max="2048" width="7.88671875" style="359"/>
    <col min="2049" max="2049" width="3.6640625" style="359" customWidth="1"/>
    <col min="2050" max="2050" width="25.88671875" style="359" customWidth="1"/>
    <col min="2051" max="2051" width="11.33203125" style="359" customWidth="1"/>
    <col min="2052" max="2052" width="15.44140625" style="359" customWidth="1"/>
    <col min="2053" max="2053" width="0" style="359" hidden="1" customWidth="1"/>
    <col min="2054" max="2054" width="9" style="359" customWidth="1"/>
    <col min="2055" max="2055" width="7.33203125" style="359" customWidth="1"/>
    <col min="2056" max="2056" width="11.44140625" style="359" customWidth="1"/>
    <col min="2057" max="2057" width="9.44140625" style="359" customWidth="1"/>
    <col min="2058" max="2058" width="13.21875" style="359" customWidth="1"/>
    <col min="2059" max="2304" width="7.88671875" style="359"/>
    <col min="2305" max="2305" width="3.6640625" style="359" customWidth="1"/>
    <col min="2306" max="2306" width="25.88671875" style="359" customWidth="1"/>
    <col min="2307" max="2307" width="11.33203125" style="359" customWidth="1"/>
    <col min="2308" max="2308" width="15.44140625" style="359" customWidth="1"/>
    <col min="2309" max="2309" width="0" style="359" hidden="1" customWidth="1"/>
    <col min="2310" max="2310" width="9" style="359" customWidth="1"/>
    <col min="2311" max="2311" width="7.33203125" style="359" customWidth="1"/>
    <col min="2312" max="2312" width="11.44140625" style="359" customWidth="1"/>
    <col min="2313" max="2313" width="9.44140625" style="359" customWidth="1"/>
    <col min="2314" max="2314" width="13.21875" style="359" customWidth="1"/>
    <col min="2315" max="2560" width="7.88671875" style="359"/>
    <col min="2561" max="2561" width="3.6640625" style="359" customWidth="1"/>
    <col min="2562" max="2562" width="25.88671875" style="359" customWidth="1"/>
    <col min="2563" max="2563" width="11.33203125" style="359" customWidth="1"/>
    <col min="2564" max="2564" width="15.44140625" style="359" customWidth="1"/>
    <col min="2565" max="2565" width="0" style="359" hidden="1" customWidth="1"/>
    <col min="2566" max="2566" width="9" style="359" customWidth="1"/>
    <col min="2567" max="2567" width="7.33203125" style="359" customWidth="1"/>
    <col min="2568" max="2568" width="11.44140625" style="359" customWidth="1"/>
    <col min="2569" max="2569" width="9.44140625" style="359" customWidth="1"/>
    <col min="2570" max="2570" width="13.21875" style="359" customWidth="1"/>
    <col min="2571" max="2816" width="7.88671875" style="359"/>
    <col min="2817" max="2817" width="3.6640625" style="359" customWidth="1"/>
    <col min="2818" max="2818" width="25.88671875" style="359" customWidth="1"/>
    <col min="2819" max="2819" width="11.33203125" style="359" customWidth="1"/>
    <col min="2820" max="2820" width="15.44140625" style="359" customWidth="1"/>
    <col min="2821" max="2821" width="0" style="359" hidden="1" customWidth="1"/>
    <col min="2822" max="2822" width="9" style="359" customWidth="1"/>
    <col min="2823" max="2823" width="7.33203125" style="359" customWidth="1"/>
    <col min="2824" max="2824" width="11.44140625" style="359" customWidth="1"/>
    <col min="2825" max="2825" width="9.44140625" style="359" customWidth="1"/>
    <col min="2826" max="2826" width="13.21875" style="359" customWidth="1"/>
    <col min="2827" max="3072" width="7.88671875" style="359"/>
    <col min="3073" max="3073" width="3.6640625" style="359" customWidth="1"/>
    <col min="3074" max="3074" width="25.88671875" style="359" customWidth="1"/>
    <col min="3075" max="3075" width="11.33203125" style="359" customWidth="1"/>
    <col min="3076" max="3076" width="15.44140625" style="359" customWidth="1"/>
    <col min="3077" max="3077" width="0" style="359" hidden="1" customWidth="1"/>
    <col min="3078" max="3078" width="9" style="359" customWidth="1"/>
    <col min="3079" max="3079" width="7.33203125" style="359" customWidth="1"/>
    <col min="3080" max="3080" width="11.44140625" style="359" customWidth="1"/>
    <col min="3081" max="3081" width="9.44140625" style="359" customWidth="1"/>
    <col min="3082" max="3082" width="13.21875" style="359" customWidth="1"/>
    <col min="3083" max="3328" width="7.88671875" style="359"/>
    <col min="3329" max="3329" width="3.6640625" style="359" customWidth="1"/>
    <col min="3330" max="3330" width="25.88671875" style="359" customWidth="1"/>
    <col min="3331" max="3331" width="11.33203125" style="359" customWidth="1"/>
    <col min="3332" max="3332" width="15.44140625" style="359" customWidth="1"/>
    <col min="3333" max="3333" width="0" style="359" hidden="1" customWidth="1"/>
    <col min="3334" max="3334" width="9" style="359" customWidth="1"/>
    <col min="3335" max="3335" width="7.33203125" style="359" customWidth="1"/>
    <col min="3336" max="3336" width="11.44140625" style="359" customWidth="1"/>
    <col min="3337" max="3337" width="9.44140625" style="359" customWidth="1"/>
    <col min="3338" max="3338" width="13.21875" style="359" customWidth="1"/>
    <col min="3339" max="3584" width="7.88671875" style="359"/>
    <col min="3585" max="3585" width="3.6640625" style="359" customWidth="1"/>
    <col min="3586" max="3586" width="25.88671875" style="359" customWidth="1"/>
    <col min="3587" max="3587" width="11.33203125" style="359" customWidth="1"/>
    <col min="3588" max="3588" width="15.44140625" style="359" customWidth="1"/>
    <col min="3589" max="3589" width="0" style="359" hidden="1" customWidth="1"/>
    <col min="3590" max="3590" width="9" style="359" customWidth="1"/>
    <col min="3591" max="3591" width="7.33203125" style="359" customWidth="1"/>
    <col min="3592" max="3592" width="11.44140625" style="359" customWidth="1"/>
    <col min="3593" max="3593" width="9.44140625" style="359" customWidth="1"/>
    <col min="3594" max="3594" width="13.21875" style="359" customWidth="1"/>
    <col min="3595" max="3840" width="7.88671875" style="359"/>
    <col min="3841" max="3841" width="3.6640625" style="359" customWidth="1"/>
    <col min="3842" max="3842" width="25.88671875" style="359" customWidth="1"/>
    <col min="3843" max="3843" width="11.33203125" style="359" customWidth="1"/>
    <col min="3844" max="3844" width="15.44140625" style="359" customWidth="1"/>
    <col min="3845" max="3845" width="0" style="359" hidden="1" customWidth="1"/>
    <col min="3846" max="3846" width="9" style="359" customWidth="1"/>
    <col min="3847" max="3847" width="7.33203125" style="359" customWidth="1"/>
    <col min="3848" max="3848" width="11.44140625" style="359" customWidth="1"/>
    <col min="3849" max="3849" width="9.44140625" style="359" customWidth="1"/>
    <col min="3850" max="3850" width="13.21875" style="359" customWidth="1"/>
    <col min="3851" max="4096" width="7.88671875" style="359"/>
    <col min="4097" max="4097" width="3.6640625" style="359" customWidth="1"/>
    <col min="4098" max="4098" width="25.88671875" style="359" customWidth="1"/>
    <col min="4099" max="4099" width="11.33203125" style="359" customWidth="1"/>
    <col min="4100" max="4100" width="15.44140625" style="359" customWidth="1"/>
    <col min="4101" max="4101" width="0" style="359" hidden="1" customWidth="1"/>
    <col min="4102" max="4102" width="9" style="359" customWidth="1"/>
    <col min="4103" max="4103" width="7.33203125" style="359" customWidth="1"/>
    <col min="4104" max="4104" width="11.44140625" style="359" customWidth="1"/>
    <col min="4105" max="4105" width="9.44140625" style="359" customWidth="1"/>
    <col min="4106" max="4106" width="13.21875" style="359" customWidth="1"/>
    <col min="4107" max="4352" width="7.88671875" style="359"/>
    <col min="4353" max="4353" width="3.6640625" style="359" customWidth="1"/>
    <col min="4354" max="4354" width="25.88671875" style="359" customWidth="1"/>
    <col min="4355" max="4355" width="11.33203125" style="359" customWidth="1"/>
    <col min="4356" max="4356" width="15.44140625" style="359" customWidth="1"/>
    <col min="4357" max="4357" width="0" style="359" hidden="1" customWidth="1"/>
    <col min="4358" max="4358" width="9" style="359" customWidth="1"/>
    <col min="4359" max="4359" width="7.33203125" style="359" customWidth="1"/>
    <col min="4360" max="4360" width="11.44140625" style="359" customWidth="1"/>
    <col min="4361" max="4361" width="9.44140625" style="359" customWidth="1"/>
    <col min="4362" max="4362" width="13.21875" style="359" customWidth="1"/>
    <col min="4363" max="4608" width="7.88671875" style="359"/>
    <col min="4609" max="4609" width="3.6640625" style="359" customWidth="1"/>
    <col min="4610" max="4610" width="25.88671875" style="359" customWidth="1"/>
    <col min="4611" max="4611" width="11.33203125" style="359" customWidth="1"/>
    <col min="4612" max="4612" width="15.44140625" style="359" customWidth="1"/>
    <col min="4613" max="4613" width="0" style="359" hidden="1" customWidth="1"/>
    <col min="4614" max="4614" width="9" style="359" customWidth="1"/>
    <col min="4615" max="4615" width="7.33203125" style="359" customWidth="1"/>
    <col min="4616" max="4616" width="11.44140625" style="359" customWidth="1"/>
    <col min="4617" max="4617" width="9.44140625" style="359" customWidth="1"/>
    <col min="4618" max="4618" width="13.21875" style="359" customWidth="1"/>
    <col min="4619" max="4864" width="7.88671875" style="359"/>
    <col min="4865" max="4865" width="3.6640625" style="359" customWidth="1"/>
    <col min="4866" max="4866" width="25.88671875" style="359" customWidth="1"/>
    <col min="4867" max="4867" width="11.33203125" style="359" customWidth="1"/>
    <col min="4868" max="4868" width="15.44140625" style="359" customWidth="1"/>
    <col min="4869" max="4869" width="0" style="359" hidden="1" customWidth="1"/>
    <col min="4870" max="4870" width="9" style="359" customWidth="1"/>
    <col min="4871" max="4871" width="7.33203125" style="359" customWidth="1"/>
    <col min="4872" max="4872" width="11.44140625" style="359" customWidth="1"/>
    <col min="4873" max="4873" width="9.44140625" style="359" customWidth="1"/>
    <col min="4874" max="4874" width="13.21875" style="359" customWidth="1"/>
    <col min="4875" max="5120" width="7.88671875" style="359"/>
    <col min="5121" max="5121" width="3.6640625" style="359" customWidth="1"/>
    <col min="5122" max="5122" width="25.88671875" style="359" customWidth="1"/>
    <col min="5123" max="5123" width="11.33203125" style="359" customWidth="1"/>
    <col min="5124" max="5124" width="15.44140625" style="359" customWidth="1"/>
    <col min="5125" max="5125" width="0" style="359" hidden="1" customWidth="1"/>
    <col min="5126" max="5126" width="9" style="359" customWidth="1"/>
    <col min="5127" max="5127" width="7.33203125" style="359" customWidth="1"/>
    <col min="5128" max="5128" width="11.44140625" style="359" customWidth="1"/>
    <col min="5129" max="5129" width="9.44140625" style="359" customWidth="1"/>
    <col min="5130" max="5130" width="13.21875" style="359" customWidth="1"/>
    <col min="5131" max="5376" width="7.88671875" style="359"/>
    <col min="5377" max="5377" width="3.6640625" style="359" customWidth="1"/>
    <col min="5378" max="5378" width="25.88671875" style="359" customWidth="1"/>
    <col min="5379" max="5379" width="11.33203125" style="359" customWidth="1"/>
    <col min="5380" max="5380" width="15.44140625" style="359" customWidth="1"/>
    <col min="5381" max="5381" width="0" style="359" hidden="1" customWidth="1"/>
    <col min="5382" max="5382" width="9" style="359" customWidth="1"/>
    <col min="5383" max="5383" width="7.33203125" style="359" customWidth="1"/>
    <col min="5384" max="5384" width="11.44140625" style="359" customWidth="1"/>
    <col min="5385" max="5385" width="9.44140625" style="359" customWidth="1"/>
    <col min="5386" max="5386" width="13.21875" style="359" customWidth="1"/>
    <col min="5387" max="5632" width="7.88671875" style="359"/>
    <col min="5633" max="5633" width="3.6640625" style="359" customWidth="1"/>
    <col min="5634" max="5634" width="25.88671875" style="359" customWidth="1"/>
    <col min="5635" max="5635" width="11.33203125" style="359" customWidth="1"/>
    <col min="5636" max="5636" width="15.44140625" style="359" customWidth="1"/>
    <col min="5637" max="5637" width="0" style="359" hidden="1" customWidth="1"/>
    <col min="5638" max="5638" width="9" style="359" customWidth="1"/>
    <col min="5639" max="5639" width="7.33203125" style="359" customWidth="1"/>
    <col min="5640" max="5640" width="11.44140625" style="359" customWidth="1"/>
    <col min="5641" max="5641" width="9.44140625" style="359" customWidth="1"/>
    <col min="5642" max="5642" width="13.21875" style="359" customWidth="1"/>
    <col min="5643" max="5888" width="7.88671875" style="359"/>
    <col min="5889" max="5889" width="3.6640625" style="359" customWidth="1"/>
    <col min="5890" max="5890" width="25.88671875" style="359" customWidth="1"/>
    <col min="5891" max="5891" width="11.33203125" style="359" customWidth="1"/>
    <col min="5892" max="5892" width="15.44140625" style="359" customWidth="1"/>
    <col min="5893" max="5893" width="0" style="359" hidden="1" customWidth="1"/>
    <col min="5894" max="5894" width="9" style="359" customWidth="1"/>
    <col min="5895" max="5895" width="7.33203125" style="359" customWidth="1"/>
    <col min="5896" max="5896" width="11.44140625" style="359" customWidth="1"/>
    <col min="5897" max="5897" width="9.44140625" style="359" customWidth="1"/>
    <col min="5898" max="5898" width="13.21875" style="359" customWidth="1"/>
    <col min="5899" max="6144" width="7.88671875" style="359"/>
    <col min="6145" max="6145" width="3.6640625" style="359" customWidth="1"/>
    <col min="6146" max="6146" width="25.88671875" style="359" customWidth="1"/>
    <col min="6147" max="6147" width="11.33203125" style="359" customWidth="1"/>
    <col min="6148" max="6148" width="15.44140625" style="359" customWidth="1"/>
    <col min="6149" max="6149" width="0" style="359" hidden="1" customWidth="1"/>
    <col min="6150" max="6150" width="9" style="359" customWidth="1"/>
    <col min="6151" max="6151" width="7.33203125" style="359" customWidth="1"/>
    <col min="6152" max="6152" width="11.44140625" style="359" customWidth="1"/>
    <col min="6153" max="6153" width="9.44140625" style="359" customWidth="1"/>
    <col min="6154" max="6154" width="13.21875" style="359" customWidth="1"/>
    <col min="6155" max="6400" width="7.88671875" style="359"/>
    <col min="6401" max="6401" width="3.6640625" style="359" customWidth="1"/>
    <col min="6402" max="6402" width="25.88671875" style="359" customWidth="1"/>
    <col min="6403" max="6403" width="11.33203125" style="359" customWidth="1"/>
    <col min="6404" max="6404" width="15.44140625" style="359" customWidth="1"/>
    <col min="6405" max="6405" width="0" style="359" hidden="1" customWidth="1"/>
    <col min="6406" max="6406" width="9" style="359" customWidth="1"/>
    <col min="6407" max="6407" width="7.33203125" style="359" customWidth="1"/>
    <col min="6408" max="6408" width="11.44140625" style="359" customWidth="1"/>
    <col min="6409" max="6409" width="9.44140625" style="359" customWidth="1"/>
    <col min="6410" max="6410" width="13.21875" style="359" customWidth="1"/>
    <col min="6411" max="6656" width="7.88671875" style="359"/>
    <col min="6657" max="6657" width="3.6640625" style="359" customWidth="1"/>
    <col min="6658" max="6658" width="25.88671875" style="359" customWidth="1"/>
    <col min="6659" max="6659" width="11.33203125" style="359" customWidth="1"/>
    <col min="6660" max="6660" width="15.44140625" style="359" customWidth="1"/>
    <col min="6661" max="6661" width="0" style="359" hidden="1" customWidth="1"/>
    <col min="6662" max="6662" width="9" style="359" customWidth="1"/>
    <col min="6663" max="6663" width="7.33203125" style="359" customWidth="1"/>
    <col min="6664" max="6664" width="11.44140625" style="359" customWidth="1"/>
    <col min="6665" max="6665" width="9.44140625" style="359" customWidth="1"/>
    <col min="6666" max="6666" width="13.21875" style="359" customWidth="1"/>
    <col min="6667" max="6912" width="7.88671875" style="359"/>
    <col min="6913" max="6913" width="3.6640625" style="359" customWidth="1"/>
    <col min="6914" max="6914" width="25.88671875" style="359" customWidth="1"/>
    <col min="6915" max="6915" width="11.33203125" style="359" customWidth="1"/>
    <col min="6916" max="6916" width="15.44140625" style="359" customWidth="1"/>
    <col min="6917" max="6917" width="0" style="359" hidden="1" customWidth="1"/>
    <col min="6918" max="6918" width="9" style="359" customWidth="1"/>
    <col min="6919" max="6919" width="7.33203125" style="359" customWidth="1"/>
    <col min="6920" max="6920" width="11.44140625" style="359" customWidth="1"/>
    <col min="6921" max="6921" width="9.44140625" style="359" customWidth="1"/>
    <col min="6922" max="6922" width="13.21875" style="359" customWidth="1"/>
    <col min="6923" max="7168" width="7.88671875" style="359"/>
    <col min="7169" max="7169" width="3.6640625" style="359" customWidth="1"/>
    <col min="7170" max="7170" width="25.88671875" style="359" customWidth="1"/>
    <col min="7171" max="7171" width="11.33203125" style="359" customWidth="1"/>
    <col min="7172" max="7172" width="15.44140625" style="359" customWidth="1"/>
    <col min="7173" max="7173" width="0" style="359" hidden="1" customWidth="1"/>
    <col min="7174" max="7174" width="9" style="359" customWidth="1"/>
    <col min="7175" max="7175" width="7.33203125" style="359" customWidth="1"/>
    <col min="7176" max="7176" width="11.44140625" style="359" customWidth="1"/>
    <col min="7177" max="7177" width="9.44140625" style="359" customWidth="1"/>
    <col min="7178" max="7178" width="13.21875" style="359" customWidth="1"/>
    <col min="7179" max="7424" width="7.88671875" style="359"/>
    <col min="7425" max="7425" width="3.6640625" style="359" customWidth="1"/>
    <col min="7426" max="7426" width="25.88671875" style="359" customWidth="1"/>
    <col min="7427" max="7427" width="11.33203125" style="359" customWidth="1"/>
    <col min="7428" max="7428" width="15.44140625" style="359" customWidth="1"/>
    <col min="7429" max="7429" width="0" style="359" hidden="1" customWidth="1"/>
    <col min="7430" max="7430" width="9" style="359" customWidth="1"/>
    <col min="7431" max="7431" width="7.33203125" style="359" customWidth="1"/>
    <col min="7432" max="7432" width="11.44140625" style="359" customWidth="1"/>
    <col min="7433" max="7433" width="9.44140625" style="359" customWidth="1"/>
    <col min="7434" max="7434" width="13.21875" style="359" customWidth="1"/>
    <col min="7435" max="7680" width="7.88671875" style="359"/>
    <col min="7681" max="7681" width="3.6640625" style="359" customWidth="1"/>
    <col min="7682" max="7682" width="25.88671875" style="359" customWidth="1"/>
    <col min="7683" max="7683" width="11.33203125" style="359" customWidth="1"/>
    <col min="7684" max="7684" width="15.44140625" style="359" customWidth="1"/>
    <col min="7685" max="7685" width="0" style="359" hidden="1" customWidth="1"/>
    <col min="7686" max="7686" width="9" style="359" customWidth="1"/>
    <col min="7687" max="7687" width="7.33203125" style="359" customWidth="1"/>
    <col min="7688" max="7688" width="11.44140625" style="359" customWidth="1"/>
    <col min="7689" max="7689" width="9.44140625" style="359" customWidth="1"/>
    <col min="7690" max="7690" width="13.21875" style="359" customWidth="1"/>
    <col min="7691" max="7936" width="7.88671875" style="359"/>
    <col min="7937" max="7937" width="3.6640625" style="359" customWidth="1"/>
    <col min="7938" max="7938" width="25.88671875" style="359" customWidth="1"/>
    <col min="7939" max="7939" width="11.33203125" style="359" customWidth="1"/>
    <col min="7940" max="7940" width="15.44140625" style="359" customWidth="1"/>
    <col min="7941" max="7941" width="0" style="359" hidden="1" customWidth="1"/>
    <col min="7942" max="7942" width="9" style="359" customWidth="1"/>
    <col min="7943" max="7943" width="7.33203125" style="359" customWidth="1"/>
    <col min="7944" max="7944" width="11.44140625" style="359" customWidth="1"/>
    <col min="7945" max="7945" width="9.44140625" style="359" customWidth="1"/>
    <col min="7946" max="7946" width="13.21875" style="359" customWidth="1"/>
    <col min="7947" max="8192" width="7.88671875" style="359"/>
    <col min="8193" max="8193" width="3.6640625" style="359" customWidth="1"/>
    <col min="8194" max="8194" width="25.88671875" style="359" customWidth="1"/>
    <col min="8195" max="8195" width="11.33203125" style="359" customWidth="1"/>
    <col min="8196" max="8196" width="15.44140625" style="359" customWidth="1"/>
    <col min="8197" max="8197" width="0" style="359" hidden="1" customWidth="1"/>
    <col min="8198" max="8198" width="9" style="359" customWidth="1"/>
    <col min="8199" max="8199" width="7.33203125" style="359" customWidth="1"/>
    <col min="8200" max="8200" width="11.44140625" style="359" customWidth="1"/>
    <col min="8201" max="8201" width="9.44140625" style="359" customWidth="1"/>
    <col min="8202" max="8202" width="13.21875" style="359" customWidth="1"/>
    <col min="8203" max="8448" width="7.88671875" style="359"/>
    <col min="8449" max="8449" width="3.6640625" style="359" customWidth="1"/>
    <col min="8450" max="8450" width="25.88671875" style="359" customWidth="1"/>
    <col min="8451" max="8451" width="11.33203125" style="359" customWidth="1"/>
    <col min="8452" max="8452" width="15.44140625" style="359" customWidth="1"/>
    <col min="8453" max="8453" width="0" style="359" hidden="1" customWidth="1"/>
    <col min="8454" max="8454" width="9" style="359" customWidth="1"/>
    <col min="8455" max="8455" width="7.33203125" style="359" customWidth="1"/>
    <col min="8456" max="8456" width="11.44140625" style="359" customWidth="1"/>
    <col min="8457" max="8457" width="9.44140625" style="359" customWidth="1"/>
    <col min="8458" max="8458" width="13.21875" style="359" customWidth="1"/>
    <col min="8459" max="8704" width="7.88671875" style="359"/>
    <col min="8705" max="8705" width="3.6640625" style="359" customWidth="1"/>
    <col min="8706" max="8706" width="25.88671875" style="359" customWidth="1"/>
    <col min="8707" max="8707" width="11.33203125" style="359" customWidth="1"/>
    <col min="8708" max="8708" width="15.44140625" style="359" customWidth="1"/>
    <col min="8709" max="8709" width="0" style="359" hidden="1" customWidth="1"/>
    <col min="8710" max="8710" width="9" style="359" customWidth="1"/>
    <col min="8711" max="8711" width="7.33203125" style="359" customWidth="1"/>
    <col min="8712" max="8712" width="11.44140625" style="359" customWidth="1"/>
    <col min="8713" max="8713" width="9.44140625" style="359" customWidth="1"/>
    <col min="8714" max="8714" width="13.21875" style="359" customWidth="1"/>
    <col min="8715" max="8960" width="7.88671875" style="359"/>
    <col min="8961" max="8961" width="3.6640625" style="359" customWidth="1"/>
    <col min="8962" max="8962" width="25.88671875" style="359" customWidth="1"/>
    <col min="8963" max="8963" width="11.33203125" style="359" customWidth="1"/>
    <col min="8964" max="8964" width="15.44140625" style="359" customWidth="1"/>
    <col min="8965" max="8965" width="0" style="359" hidden="1" customWidth="1"/>
    <col min="8966" max="8966" width="9" style="359" customWidth="1"/>
    <col min="8967" max="8967" width="7.33203125" style="359" customWidth="1"/>
    <col min="8968" max="8968" width="11.44140625" style="359" customWidth="1"/>
    <col min="8969" max="8969" width="9.44140625" style="359" customWidth="1"/>
    <col min="8970" max="8970" width="13.21875" style="359" customWidth="1"/>
    <col min="8971" max="9216" width="7.88671875" style="359"/>
    <col min="9217" max="9217" width="3.6640625" style="359" customWidth="1"/>
    <col min="9218" max="9218" width="25.88671875" style="359" customWidth="1"/>
    <col min="9219" max="9219" width="11.33203125" style="359" customWidth="1"/>
    <col min="9220" max="9220" width="15.44140625" style="359" customWidth="1"/>
    <col min="9221" max="9221" width="0" style="359" hidden="1" customWidth="1"/>
    <col min="9222" max="9222" width="9" style="359" customWidth="1"/>
    <col min="9223" max="9223" width="7.33203125" style="359" customWidth="1"/>
    <col min="9224" max="9224" width="11.44140625" style="359" customWidth="1"/>
    <col min="9225" max="9225" width="9.44140625" style="359" customWidth="1"/>
    <col min="9226" max="9226" width="13.21875" style="359" customWidth="1"/>
    <col min="9227" max="9472" width="7.88671875" style="359"/>
    <col min="9473" max="9473" width="3.6640625" style="359" customWidth="1"/>
    <col min="9474" max="9474" width="25.88671875" style="359" customWidth="1"/>
    <col min="9475" max="9475" width="11.33203125" style="359" customWidth="1"/>
    <col min="9476" max="9476" width="15.44140625" style="359" customWidth="1"/>
    <col min="9477" max="9477" width="0" style="359" hidden="1" customWidth="1"/>
    <col min="9478" max="9478" width="9" style="359" customWidth="1"/>
    <col min="9479" max="9479" width="7.33203125" style="359" customWidth="1"/>
    <col min="9480" max="9480" width="11.44140625" style="359" customWidth="1"/>
    <col min="9481" max="9481" width="9.44140625" style="359" customWidth="1"/>
    <col min="9482" max="9482" width="13.21875" style="359" customWidth="1"/>
    <col min="9483" max="9728" width="7.88671875" style="359"/>
    <col min="9729" max="9729" width="3.6640625" style="359" customWidth="1"/>
    <col min="9730" max="9730" width="25.88671875" style="359" customWidth="1"/>
    <col min="9731" max="9731" width="11.33203125" style="359" customWidth="1"/>
    <col min="9732" max="9732" width="15.44140625" style="359" customWidth="1"/>
    <col min="9733" max="9733" width="0" style="359" hidden="1" customWidth="1"/>
    <col min="9734" max="9734" width="9" style="359" customWidth="1"/>
    <col min="9735" max="9735" width="7.33203125" style="359" customWidth="1"/>
    <col min="9736" max="9736" width="11.44140625" style="359" customWidth="1"/>
    <col min="9737" max="9737" width="9.44140625" style="359" customWidth="1"/>
    <col min="9738" max="9738" width="13.21875" style="359" customWidth="1"/>
    <col min="9739" max="9984" width="7.88671875" style="359"/>
    <col min="9985" max="9985" width="3.6640625" style="359" customWidth="1"/>
    <col min="9986" max="9986" width="25.88671875" style="359" customWidth="1"/>
    <col min="9987" max="9987" width="11.33203125" style="359" customWidth="1"/>
    <col min="9988" max="9988" width="15.44140625" style="359" customWidth="1"/>
    <col min="9989" max="9989" width="0" style="359" hidden="1" customWidth="1"/>
    <col min="9990" max="9990" width="9" style="359" customWidth="1"/>
    <col min="9991" max="9991" width="7.33203125" style="359" customWidth="1"/>
    <col min="9992" max="9992" width="11.44140625" style="359" customWidth="1"/>
    <col min="9993" max="9993" width="9.44140625" style="359" customWidth="1"/>
    <col min="9994" max="9994" width="13.21875" style="359" customWidth="1"/>
    <col min="9995" max="10240" width="7.88671875" style="359"/>
    <col min="10241" max="10241" width="3.6640625" style="359" customWidth="1"/>
    <col min="10242" max="10242" width="25.88671875" style="359" customWidth="1"/>
    <col min="10243" max="10243" width="11.33203125" style="359" customWidth="1"/>
    <col min="10244" max="10244" width="15.44140625" style="359" customWidth="1"/>
    <col min="10245" max="10245" width="0" style="359" hidden="1" customWidth="1"/>
    <col min="10246" max="10246" width="9" style="359" customWidth="1"/>
    <col min="10247" max="10247" width="7.33203125" style="359" customWidth="1"/>
    <col min="10248" max="10248" width="11.44140625" style="359" customWidth="1"/>
    <col min="10249" max="10249" width="9.44140625" style="359" customWidth="1"/>
    <col min="10250" max="10250" width="13.21875" style="359" customWidth="1"/>
    <col min="10251" max="10496" width="7.88671875" style="359"/>
    <col min="10497" max="10497" width="3.6640625" style="359" customWidth="1"/>
    <col min="10498" max="10498" width="25.88671875" style="359" customWidth="1"/>
    <col min="10499" max="10499" width="11.33203125" style="359" customWidth="1"/>
    <col min="10500" max="10500" width="15.44140625" style="359" customWidth="1"/>
    <col min="10501" max="10501" width="0" style="359" hidden="1" customWidth="1"/>
    <col min="10502" max="10502" width="9" style="359" customWidth="1"/>
    <col min="10503" max="10503" width="7.33203125" style="359" customWidth="1"/>
    <col min="10504" max="10504" width="11.44140625" style="359" customWidth="1"/>
    <col min="10505" max="10505" width="9.44140625" style="359" customWidth="1"/>
    <col min="10506" max="10506" width="13.21875" style="359" customWidth="1"/>
    <col min="10507" max="10752" width="7.88671875" style="359"/>
    <col min="10753" max="10753" width="3.6640625" style="359" customWidth="1"/>
    <col min="10754" max="10754" width="25.88671875" style="359" customWidth="1"/>
    <col min="10755" max="10755" width="11.33203125" style="359" customWidth="1"/>
    <col min="10756" max="10756" width="15.44140625" style="359" customWidth="1"/>
    <col min="10757" max="10757" width="0" style="359" hidden="1" customWidth="1"/>
    <col min="10758" max="10758" width="9" style="359" customWidth="1"/>
    <col min="10759" max="10759" width="7.33203125" style="359" customWidth="1"/>
    <col min="10760" max="10760" width="11.44140625" style="359" customWidth="1"/>
    <col min="10761" max="10761" width="9.44140625" style="359" customWidth="1"/>
    <col min="10762" max="10762" width="13.21875" style="359" customWidth="1"/>
    <col min="10763" max="11008" width="7.88671875" style="359"/>
    <col min="11009" max="11009" width="3.6640625" style="359" customWidth="1"/>
    <col min="11010" max="11010" width="25.88671875" style="359" customWidth="1"/>
    <col min="11011" max="11011" width="11.33203125" style="359" customWidth="1"/>
    <col min="11012" max="11012" width="15.44140625" style="359" customWidth="1"/>
    <col min="11013" max="11013" width="0" style="359" hidden="1" customWidth="1"/>
    <col min="11014" max="11014" width="9" style="359" customWidth="1"/>
    <col min="11015" max="11015" width="7.33203125" style="359" customWidth="1"/>
    <col min="11016" max="11016" width="11.44140625" style="359" customWidth="1"/>
    <col min="11017" max="11017" width="9.44140625" style="359" customWidth="1"/>
    <col min="11018" max="11018" width="13.21875" style="359" customWidth="1"/>
    <col min="11019" max="11264" width="7.88671875" style="359"/>
    <col min="11265" max="11265" width="3.6640625" style="359" customWidth="1"/>
    <col min="11266" max="11266" width="25.88671875" style="359" customWidth="1"/>
    <col min="11267" max="11267" width="11.33203125" style="359" customWidth="1"/>
    <col min="11268" max="11268" width="15.44140625" style="359" customWidth="1"/>
    <col min="11269" max="11269" width="0" style="359" hidden="1" customWidth="1"/>
    <col min="11270" max="11270" width="9" style="359" customWidth="1"/>
    <col min="11271" max="11271" width="7.33203125" style="359" customWidth="1"/>
    <col min="11272" max="11272" width="11.44140625" style="359" customWidth="1"/>
    <col min="11273" max="11273" width="9.44140625" style="359" customWidth="1"/>
    <col min="11274" max="11274" width="13.21875" style="359" customWidth="1"/>
    <col min="11275" max="11520" width="7.88671875" style="359"/>
    <col min="11521" max="11521" width="3.6640625" style="359" customWidth="1"/>
    <col min="11522" max="11522" width="25.88671875" style="359" customWidth="1"/>
    <col min="11523" max="11523" width="11.33203125" style="359" customWidth="1"/>
    <col min="11524" max="11524" width="15.44140625" style="359" customWidth="1"/>
    <col min="11525" max="11525" width="0" style="359" hidden="1" customWidth="1"/>
    <col min="11526" max="11526" width="9" style="359" customWidth="1"/>
    <col min="11527" max="11527" width="7.33203125" style="359" customWidth="1"/>
    <col min="11528" max="11528" width="11.44140625" style="359" customWidth="1"/>
    <col min="11529" max="11529" width="9.44140625" style="359" customWidth="1"/>
    <col min="11530" max="11530" width="13.21875" style="359" customWidth="1"/>
    <col min="11531" max="11776" width="7.88671875" style="359"/>
    <col min="11777" max="11777" width="3.6640625" style="359" customWidth="1"/>
    <col min="11778" max="11778" width="25.88671875" style="359" customWidth="1"/>
    <col min="11779" max="11779" width="11.33203125" style="359" customWidth="1"/>
    <col min="11780" max="11780" width="15.44140625" style="359" customWidth="1"/>
    <col min="11781" max="11781" width="0" style="359" hidden="1" customWidth="1"/>
    <col min="11782" max="11782" width="9" style="359" customWidth="1"/>
    <col min="11783" max="11783" width="7.33203125" style="359" customWidth="1"/>
    <col min="11784" max="11784" width="11.44140625" style="359" customWidth="1"/>
    <col min="11785" max="11785" width="9.44140625" style="359" customWidth="1"/>
    <col min="11786" max="11786" width="13.21875" style="359" customWidth="1"/>
    <col min="11787" max="12032" width="7.88671875" style="359"/>
    <col min="12033" max="12033" width="3.6640625" style="359" customWidth="1"/>
    <col min="12034" max="12034" width="25.88671875" style="359" customWidth="1"/>
    <col min="12035" max="12035" width="11.33203125" style="359" customWidth="1"/>
    <col min="12036" max="12036" width="15.44140625" style="359" customWidth="1"/>
    <col min="12037" max="12037" width="0" style="359" hidden="1" customWidth="1"/>
    <col min="12038" max="12038" width="9" style="359" customWidth="1"/>
    <col min="12039" max="12039" width="7.33203125" style="359" customWidth="1"/>
    <col min="12040" max="12040" width="11.44140625" style="359" customWidth="1"/>
    <col min="12041" max="12041" width="9.44140625" style="359" customWidth="1"/>
    <col min="12042" max="12042" width="13.21875" style="359" customWidth="1"/>
    <col min="12043" max="12288" width="7.88671875" style="359"/>
    <col min="12289" max="12289" width="3.6640625" style="359" customWidth="1"/>
    <col min="12290" max="12290" width="25.88671875" style="359" customWidth="1"/>
    <col min="12291" max="12291" width="11.33203125" style="359" customWidth="1"/>
    <col min="12292" max="12292" width="15.44140625" style="359" customWidth="1"/>
    <col min="12293" max="12293" width="0" style="359" hidden="1" customWidth="1"/>
    <col min="12294" max="12294" width="9" style="359" customWidth="1"/>
    <col min="12295" max="12295" width="7.33203125" style="359" customWidth="1"/>
    <col min="12296" max="12296" width="11.44140625" style="359" customWidth="1"/>
    <col min="12297" max="12297" width="9.44140625" style="359" customWidth="1"/>
    <col min="12298" max="12298" width="13.21875" style="359" customWidth="1"/>
    <col min="12299" max="12544" width="7.88671875" style="359"/>
    <col min="12545" max="12545" width="3.6640625" style="359" customWidth="1"/>
    <col min="12546" max="12546" width="25.88671875" style="359" customWidth="1"/>
    <col min="12547" max="12547" width="11.33203125" style="359" customWidth="1"/>
    <col min="12548" max="12548" width="15.44140625" style="359" customWidth="1"/>
    <col min="12549" max="12549" width="0" style="359" hidden="1" customWidth="1"/>
    <col min="12550" max="12550" width="9" style="359" customWidth="1"/>
    <col min="12551" max="12551" width="7.33203125" style="359" customWidth="1"/>
    <col min="12552" max="12552" width="11.44140625" style="359" customWidth="1"/>
    <col min="12553" max="12553" width="9.44140625" style="359" customWidth="1"/>
    <col min="12554" max="12554" width="13.21875" style="359" customWidth="1"/>
    <col min="12555" max="12800" width="7.88671875" style="359"/>
    <col min="12801" max="12801" width="3.6640625" style="359" customWidth="1"/>
    <col min="12802" max="12802" width="25.88671875" style="359" customWidth="1"/>
    <col min="12803" max="12803" width="11.33203125" style="359" customWidth="1"/>
    <col min="12804" max="12804" width="15.44140625" style="359" customWidth="1"/>
    <col min="12805" max="12805" width="0" style="359" hidden="1" customWidth="1"/>
    <col min="12806" max="12806" width="9" style="359" customWidth="1"/>
    <col min="12807" max="12807" width="7.33203125" style="359" customWidth="1"/>
    <col min="12808" max="12808" width="11.44140625" style="359" customWidth="1"/>
    <col min="12809" max="12809" width="9.44140625" style="359" customWidth="1"/>
    <col min="12810" max="12810" width="13.21875" style="359" customWidth="1"/>
    <col min="12811" max="13056" width="7.88671875" style="359"/>
    <col min="13057" max="13057" width="3.6640625" style="359" customWidth="1"/>
    <col min="13058" max="13058" width="25.88671875" style="359" customWidth="1"/>
    <col min="13059" max="13059" width="11.33203125" style="359" customWidth="1"/>
    <col min="13060" max="13060" width="15.44140625" style="359" customWidth="1"/>
    <col min="13061" max="13061" width="0" style="359" hidden="1" customWidth="1"/>
    <col min="13062" max="13062" width="9" style="359" customWidth="1"/>
    <col min="13063" max="13063" width="7.33203125" style="359" customWidth="1"/>
    <col min="13064" max="13064" width="11.44140625" style="359" customWidth="1"/>
    <col min="13065" max="13065" width="9.44140625" style="359" customWidth="1"/>
    <col min="13066" max="13066" width="13.21875" style="359" customWidth="1"/>
    <col min="13067" max="13312" width="7.88671875" style="359"/>
    <col min="13313" max="13313" width="3.6640625" style="359" customWidth="1"/>
    <col min="13314" max="13314" width="25.88671875" style="359" customWidth="1"/>
    <col min="13315" max="13315" width="11.33203125" style="359" customWidth="1"/>
    <col min="13316" max="13316" width="15.44140625" style="359" customWidth="1"/>
    <col min="13317" max="13317" width="0" style="359" hidden="1" customWidth="1"/>
    <col min="13318" max="13318" width="9" style="359" customWidth="1"/>
    <col min="13319" max="13319" width="7.33203125" style="359" customWidth="1"/>
    <col min="13320" max="13320" width="11.44140625" style="359" customWidth="1"/>
    <col min="13321" max="13321" width="9.44140625" style="359" customWidth="1"/>
    <col min="13322" max="13322" width="13.21875" style="359" customWidth="1"/>
    <col min="13323" max="13568" width="7.88671875" style="359"/>
    <col min="13569" max="13569" width="3.6640625" style="359" customWidth="1"/>
    <col min="13570" max="13570" width="25.88671875" style="359" customWidth="1"/>
    <col min="13571" max="13571" width="11.33203125" style="359" customWidth="1"/>
    <col min="13572" max="13572" width="15.44140625" style="359" customWidth="1"/>
    <col min="13573" max="13573" width="0" style="359" hidden="1" customWidth="1"/>
    <col min="13574" max="13574" width="9" style="359" customWidth="1"/>
    <col min="13575" max="13575" width="7.33203125" style="359" customWidth="1"/>
    <col min="13576" max="13576" width="11.44140625" style="359" customWidth="1"/>
    <col min="13577" max="13577" width="9.44140625" style="359" customWidth="1"/>
    <col min="13578" max="13578" width="13.21875" style="359" customWidth="1"/>
    <col min="13579" max="13824" width="7.88671875" style="359"/>
    <col min="13825" max="13825" width="3.6640625" style="359" customWidth="1"/>
    <col min="13826" max="13826" width="25.88671875" style="359" customWidth="1"/>
    <col min="13827" max="13827" width="11.33203125" style="359" customWidth="1"/>
    <col min="13828" max="13828" width="15.44140625" style="359" customWidth="1"/>
    <col min="13829" max="13829" width="0" style="359" hidden="1" customWidth="1"/>
    <col min="13830" max="13830" width="9" style="359" customWidth="1"/>
    <col min="13831" max="13831" width="7.33203125" style="359" customWidth="1"/>
    <col min="13832" max="13832" width="11.44140625" style="359" customWidth="1"/>
    <col min="13833" max="13833" width="9.44140625" style="359" customWidth="1"/>
    <col min="13834" max="13834" width="13.21875" style="359" customWidth="1"/>
    <col min="13835" max="14080" width="7.88671875" style="359"/>
    <col min="14081" max="14081" width="3.6640625" style="359" customWidth="1"/>
    <col min="14082" max="14082" width="25.88671875" style="359" customWidth="1"/>
    <col min="14083" max="14083" width="11.33203125" style="359" customWidth="1"/>
    <col min="14084" max="14084" width="15.44140625" style="359" customWidth="1"/>
    <col min="14085" max="14085" width="0" style="359" hidden="1" customWidth="1"/>
    <col min="14086" max="14086" width="9" style="359" customWidth="1"/>
    <col min="14087" max="14087" width="7.33203125" style="359" customWidth="1"/>
    <col min="14088" max="14088" width="11.44140625" style="359" customWidth="1"/>
    <col min="14089" max="14089" width="9.44140625" style="359" customWidth="1"/>
    <col min="14090" max="14090" width="13.21875" style="359" customWidth="1"/>
    <col min="14091" max="14336" width="7.88671875" style="359"/>
    <col min="14337" max="14337" width="3.6640625" style="359" customWidth="1"/>
    <col min="14338" max="14338" width="25.88671875" style="359" customWidth="1"/>
    <col min="14339" max="14339" width="11.33203125" style="359" customWidth="1"/>
    <col min="14340" max="14340" width="15.44140625" style="359" customWidth="1"/>
    <col min="14341" max="14341" width="0" style="359" hidden="1" customWidth="1"/>
    <col min="14342" max="14342" width="9" style="359" customWidth="1"/>
    <col min="14343" max="14343" width="7.33203125" style="359" customWidth="1"/>
    <col min="14344" max="14344" width="11.44140625" style="359" customWidth="1"/>
    <col min="14345" max="14345" width="9.44140625" style="359" customWidth="1"/>
    <col min="14346" max="14346" width="13.21875" style="359" customWidth="1"/>
    <col min="14347" max="14592" width="7.88671875" style="359"/>
    <col min="14593" max="14593" width="3.6640625" style="359" customWidth="1"/>
    <col min="14594" max="14594" width="25.88671875" style="359" customWidth="1"/>
    <col min="14595" max="14595" width="11.33203125" style="359" customWidth="1"/>
    <col min="14596" max="14596" width="15.44140625" style="359" customWidth="1"/>
    <col min="14597" max="14597" width="0" style="359" hidden="1" customWidth="1"/>
    <col min="14598" max="14598" width="9" style="359" customWidth="1"/>
    <col min="14599" max="14599" width="7.33203125" style="359" customWidth="1"/>
    <col min="14600" max="14600" width="11.44140625" style="359" customWidth="1"/>
    <col min="14601" max="14601" width="9.44140625" style="359" customWidth="1"/>
    <col min="14602" max="14602" width="13.21875" style="359" customWidth="1"/>
    <col min="14603" max="14848" width="7.88671875" style="359"/>
    <col min="14849" max="14849" width="3.6640625" style="359" customWidth="1"/>
    <col min="14850" max="14850" width="25.88671875" style="359" customWidth="1"/>
    <col min="14851" max="14851" width="11.33203125" style="359" customWidth="1"/>
    <col min="14852" max="14852" width="15.44140625" style="359" customWidth="1"/>
    <col min="14853" max="14853" width="0" style="359" hidden="1" customWidth="1"/>
    <col min="14854" max="14854" width="9" style="359" customWidth="1"/>
    <col min="14855" max="14855" width="7.33203125" style="359" customWidth="1"/>
    <col min="14856" max="14856" width="11.44140625" style="359" customWidth="1"/>
    <col min="14857" max="14857" width="9.44140625" style="359" customWidth="1"/>
    <col min="14858" max="14858" width="13.21875" style="359" customWidth="1"/>
    <col min="14859" max="15104" width="7.88671875" style="359"/>
    <col min="15105" max="15105" width="3.6640625" style="359" customWidth="1"/>
    <col min="15106" max="15106" width="25.88671875" style="359" customWidth="1"/>
    <col min="15107" max="15107" width="11.33203125" style="359" customWidth="1"/>
    <col min="15108" max="15108" width="15.44140625" style="359" customWidth="1"/>
    <col min="15109" max="15109" width="0" style="359" hidden="1" customWidth="1"/>
    <col min="15110" max="15110" width="9" style="359" customWidth="1"/>
    <col min="15111" max="15111" width="7.33203125" style="359" customWidth="1"/>
    <col min="15112" max="15112" width="11.44140625" style="359" customWidth="1"/>
    <col min="15113" max="15113" width="9.44140625" style="359" customWidth="1"/>
    <col min="15114" max="15114" width="13.21875" style="359" customWidth="1"/>
    <col min="15115" max="15360" width="7.88671875" style="359"/>
    <col min="15361" max="15361" width="3.6640625" style="359" customWidth="1"/>
    <col min="15362" max="15362" width="25.88671875" style="359" customWidth="1"/>
    <col min="15363" max="15363" width="11.33203125" style="359" customWidth="1"/>
    <col min="15364" max="15364" width="15.44140625" style="359" customWidth="1"/>
    <col min="15365" max="15365" width="0" style="359" hidden="1" customWidth="1"/>
    <col min="15366" max="15366" width="9" style="359" customWidth="1"/>
    <col min="15367" max="15367" width="7.33203125" style="359" customWidth="1"/>
    <col min="15368" max="15368" width="11.44140625" style="359" customWidth="1"/>
    <col min="15369" max="15369" width="9.44140625" style="359" customWidth="1"/>
    <col min="15370" max="15370" width="13.21875" style="359" customWidth="1"/>
    <col min="15371" max="15616" width="7.88671875" style="359"/>
    <col min="15617" max="15617" width="3.6640625" style="359" customWidth="1"/>
    <col min="15618" max="15618" width="25.88671875" style="359" customWidth="1"/>
    <col min="15619" max="15619" width="11.33203125" style="359" customWidth="1"/>
    <col min="15620" max="15620" width="15.44140625" style="359" customWidth="1"/>
    <col min="15621" max="15621" width="0" style="359" hidden="1" customWidth="1"/>
    <col min="15622" max="15622" width="9" style="359" customWidth="1"/>
    <col min="15623" max="15623" width="7.33203125" style="359" customWidth="1"/>
    <col min="15624" max="15624" width="11.44140625" style="359" customWidth="1"/>
    <col min="15625" max="15625" width="9.44140625" style="359" customWidth="1"/>
    <col min="15626" max="15626" width="13.21875" style="359" customWidth="1"/>
    <col min="15627" max="15872" width="7.88671875" style="359"/>
    <col min="15873" max="15873" width="3.6640625" style="359" customWidth="1"/>
    <col min="15874" max="15874" width="25.88671875" style="359" customWidth="1"/>
    <col min="15875" max="15875" width="11.33203125" style="359" customWidth="1"/>
    <col min="15876" max="15876" width="15.44140625" style="359" customWidth="1"/>
    <col min="15877" max="15877" width="0" style="359" hidden="1" customWidth="1"/>
    <col min="15878" max="15878" width="9" style="359" customWidth="1"/>
    <col min="15879" max="15879" width="7.33203125" style="359" customWidth="1"/>
    <col min="15880" max="15880" width="11.44140625" style="359" customWidth="1"/>
    <col min="15881" max="15881" width="9.44140625" style="359" customWidth="1"/>
    <col min="15882" max="15882" width="13.21875" style="359" customWidth="1"/>
    <col min="15883" max="16128" width="7.88671875" style="359"/>
    <col min="16129" max="16129" width="3.6640625" style="359" customWidth="1"/>
    <col min="16130" max="16130" width="25.88671875" style="359" customWidth="1"/>
    <col min="16131" max="16131" width="11.33203125" style="359" customWidth="1"/>
    <col min="16132" max="16132" width="15.44140625" style="359" customWidth="1"/>
    <col min="16133" max="16133" width="0" style="359" hidden="1" customWidth="1"/>
    <col min="16134" max="16134" width="9" style="359" customWidth="1"/>
    <col min="16135" max="16135" width="7.33203125" style="359" customWidth="1"/>
    <col min="16136" max="16136" width="11.44140625" style="359" customWidth="1"/>
    <col min="16137" max="16137" width="9.44140625" style="359" customWidth="1"/>
    <col min="16138" max="16138" width="13.21875" style="359" customWidth="1"/>
    <col min="16139" max="16384" width="7.88671875" style="359"/>
  </cols>
  <sheetData>
    <row r="1" spans="1:11" ht="19.899999999999999" customHeight="1">
      <c r="A1" s="357"/>
      <c r="B1" s="358"/>
      <c r="C1" s="358"/>
      <c r="D1" s="358"/>
      <c r="E1" s="666" t="s">
        <v>453</v>
      </c>
      <c r="F1" s="666"/>
      <c r="G1" s="666"/>
      <c r="H1" s="666"/>
      <c r="I1" s="666"/>
      <c r="J1" s="667"/>
    </row>
    <row r="2" spans="1:11" ht="19.899999999999999" customHeight="1">
      <c r="A2" s="360"/>
      <c r="E2" s="668"/>
      <c r="F2" s="668"/>
      <c r="G2" s="668"/>
      <c r="H2" s="668"/>
      <c r="I2" s="668"/>
      <c r="J2" s="669"/>
    </row>
    <row r="3" spans="1:11" ht="19.899999999999999" customHeight="1">
      <c r="A3" s="360"/>
      <c r="C3" s="362"/>
      <c r="D3" s="362"/>
      <c r="E3" s="670"/>
      <c r="F3" s="670"/>
      <c r="G3" s="670"/>
      <c r="H3" s="670"/>
      <c r="I3" s="670"/>
      <c r="J3" s="671"/>
    </row>
    <row r="4" spans="1:11" ht="13.9" customHeight="1">
      <c r="A4" s="581" t="str">
        <f>'INV '!A4</f>
        <v>1.Seller</v>
      </c>
      <c r="B4" s="577"/>
      <c r="C4" s="577"/>
      <c r="D4" s="577"/>
      <c r="E4" s="578" t="s">
        <v>611</v>
      </c>
      <c r="F4" s="577"/>
      <c r="G4" s="577"/>
      <c r="H4" s="577"/>
      <c r="I4" s="577"/>
      <c r="J4" s="580"/>
    </row>
    <row r="5" spans="1:11" ht="13.9" customHeight="1">
      <c r="A5" s="366" t="str">
        <f>'INV '!A5</f>
        <v xml:space="preserve">  SEWANG TEXTILE CO., LTD.</v>
      </c>
      <c r="B5" s="566"/>
      <c r="C5" s="368"/>
      <c r="D5" s="368"/>
      <c r="E5" s="344" t="str">
        <f>'INV '!F5</f>
        <v>SW-PTNI-260828-P</v>
      </c>
      <c r="F5" s="369"/>
      <c r="G5" s="369"/>
      <c r="H5" s="369"/>
      <c r="I5" s="672">
        <f>'INV '!M5</f>
        <v>46262</v>
      </c>
      <c r="J5" s="673"/>
      <c r="K5" s="370"/>
    </row>
    <row r="6" spans="1:11" ht="13.9" customHeight="1">
      <c r="A6" s="371" t="str">
        <f>'INV '!A6</f>
        <v>DAEHWA B/D, 10,YEONGDONG-DAERO 112-GIL,</v>
      </c>
      <c r="B6" s="367"/>
      <c r="C6" s="368"/>
      <c r="D6" s="368"/>
      <c r="E6" s="578" t="str">
        <f>'INV '!F6</f>
        <v>9.Term of payment</v>
      </c>
      <c r="F6" s="577"/>
      <c r="G6" s="577"/>
      <c r="H6" s="577"/>
      <c r="I6" s="582"/>
      <c r="J6" s="583"/>
    </row>
    <row r="7" spans="1:11" ht="13.9" customHeight="1">
      <c r="A7" s="371" t="str">
        <f>'INV '!A7</f>
        <v>GANGNAM-GU, SEOUL, 06083, KOREA</v>
      </c>
      <c r="B7" s="367"/>
      <c r="C7" s="368"/>
      <c r="D7" s="368"/>
      <c r="E7" s="343" t="str">
        <f>'INV '!F7</f>
        <v>TT</v>
      </c>
      <c r="F7" s="368"/>
      <c r="G7" s="372"/>
      <c r="H7" s="372"/>
      <c r="I7" s="674"/>
      <c r="J7" s="675"/>
    </row>
    <row r="8" spans="1:11" ht="13.9" customHeight="1">
      <c r="A8" s="371" t="str">
        <f>'INV '!A8</f>
        <v xml:space="preserve">  TEL: 82 2 546 6066  FAX: 82 2 546 1134</v>
      </c>
      <c r="B8" s="368"/>
      <c r="C8" s="368"/>
      <c r="D8" s="368"/>
      <c r="E8" s="343"/>
      <c r="F8" s="368"/>
      <c r="G8" s="372"/>
      <c r="H8" s="372"/>
      <c r="I8" s="372"/>
      <c r="J8" s="373"/>
    </row>
    <row r="9" spans="1:11" ht="13.9" customHeight="1">
      <c r="A9" s="581" t="s">
        <v>612</v>
      </c>
      <c r="B9" s="577"/>
      <c r="C9" s="577"/>
      <c r="D9" s="577"/>
      <c r="E9" s="578" t="str">
        <f>'INV '!F9</f>
        <v>FILE VN  :</v>
      </c>
      <c r="F9" s="577" t="str">
        <f>'INV '!G9</f>
        <v>SW26-2-0008-029</v>
      </c>
      <c r="G9" s="577"/>
      <c r="H9" s="577"/>
      <c r="I9" s="577"/>
      <c r="J9" s="580"/>
    </row>
    <row r="10" spans="1:11" ht="36" customHeight="1">
      <c r="A10" s="366" t="str">
        <f>'INV '!A10:C10</f>
        <v>EPOCH LAY ENTERPRISE LTD</v>
      </c>
      <c r="B10" s="368"/>
      <c r="C10" s="368"/>
      <c r="D10" s="368"/>
      <c r="E10" s="343" t="str">
        <f>'INV '!F10</f>
        <v>STYLE  :</v>
      </c>
      <c r="F10" s="677" t="str">
        <f>'INV '!G10</f>
        <v>265E0123/0124 WC7SK033RS/PS(2-8-29)</v>
      </c>
      <c r="G10" s="677"/>
      <c r="H10" s="677"/>
      <c r="I10" s="677"/>
      <c r="J10" s="678"/>
    </row>
    <row r="11" spans="1:11" ht="13.9" customHeight="1">
      <c r="A11" s="371" t="str">
        <f>'INV '!A11:C11</f>
        <v>6A, JALAN HARMONIUM 35/2, TAMAN DESA TERBAU</v>
      </c>
      <c r="B11" s="368"/>
      <c r="C11" s="368"/>
      <c r="D11" s="368"/>
      <c r="E11" s="343" t="str">
        <f>'INV '!F11</f>
        <v>FILE NO  :</v>
      </c>
      <c r="F11" s="368" t="str">
        <f>'INV '!G11</f>
        <v>SW2620008029</v>
      </c>
      <c r="G11" s="374"/>
      <c r="H11" s="374"/>
      <c r="I11" s="368"/>
      <c r="J11" s="375"/>
    </row>
    <row r="12" spans="1:11" ht="13.9" customHeight="1">
      <c r="A12" s="371" t="str">
        <f>'INV '!A12:C12</f>
        <v>81100 JOHOR BAHRU, JOHOR, MALAYSIA</v>
      </c>
      <c r="B12" s="368"/>
      <c r="C12" s="368"/>
      <c r="D12" s="368"/>
      <c r="E12" s="343"/>
      <c r="F12" s="346"/>
      <c r="G12" s="374"/>
      <c r="H12" s="374"/>
      <c r="I12" s="368"/>
      <c r="J12" s="375"/>
    </row>
    <row r="13" spans="1:11" ht="16.5" customHeight="1">
      <c r="A13" s="581" t="str">
        <f>'INV '!A14</f>
        <v>3.Processer of Seller/ Exporter</v>
      </c>
      <c r="B13" s="577"/>
      <c r="C13" s="577"/>
      <c r="D13" s="577"/>
      <c r="E13" s="578" t="str">
        <f>'INV '!F14</f>
        <v>4.Consignee &amp; Notity</v>
      </c>
      <c r="F13" s="579"/>
      <c r="G13" s="577"/>
      <c r="H13" s="577"/>
      <c r="I13" s="577"/>
      <c r="J13" s="580"/>
    </row>
    <row r="14" spans="1:11" ht="16.5" customHeight="1">
      <c r="A14" s="366" t="str">
        <f>'INV '!A15</f>
        <v xml:space="preserve"> SEWANG VINA CO. LTD.</v>
      </c>
      <c r="B14" s="368"/>
      <c r="C14" s="368"/>
      <c r="D14" s="368"/>
      <c r="E14" s="344" t="str">
        <f>'INV '!F15</f>
        <v xml:space="preserve">PT NIRWANA ALABARE GARMENT </v>
      </c>
      <c r="F14" s="346"/>
      <c r="G14" s="368"/>
      <c r="H14" s="368"/>
      <c r="I14" s="368"/>
      <c r="J14" s="375"/>
    </row>
    <row r="15" spans="1:11" ht="16.5" customHeight="1">
      <c r="A15" s="371" t="str">
        <f>'INV '!A16</f>
        <v xml:space="preserve"> LOT B_3A_CN, LOT B_2B_CN,LOT B_1C_CN, BAU BANG INDUSTRIAL PARK, </v>
      </c>
      <c r="B15" s="368"/>
      <c r="C15" s="368"/>
      <c r="D15" s="368"/>
      <c r="E15" s="343" t="str">
        <f>'INV '!F16</f>
        <v>JL. RAYA RANCAEKEK-MAJALAYA NO.289, DESA SOLOKAN JERUK,</v>
      </c>
      <c r="F15" s="346"/>
      <c r="G15" s="368"/>
      <c r="H15" s="368"/>
      <c r="I15" s="368"/>
      <c r="J15" s="375"/>
    </row>
    <row r="16" spans="1:11" ht="16.5" customHeight="1">
      <c r="A16" s="371" t="str">
        <f>'INV '!A17</f>
        <v>BAU BANG COMMUNE, HOCHIMINH CITY, VIETNAM</v>
      </c>
      <c r="B16" s="368"/>
      <c r="C16" s="368"/>
      <c r="D16" s="368"/>
      <c r="E16" s="343" t="str">
        <f>'INV '!F17</f>
        <v>KECAMATAN SOLOKAN JERUK,</v>
      </c>
      <c r="F16" s="346"/>
      <c r="G16" s="368"/>
      <c r="H16" s="368"/>
      <c r="I16" s="368"/>
      <c r="J16" s="375"/>
    </row>
    <row r="17" spans="1:11" ht="16.5" customHeight="1">
      <c r="A17" s="371" t="str">
        <f>'INV '!A18</f>
        <v xml:space="preserve"> TEL: +84-274-2221982-83  FAX: +84-274-2221984  </v>
      </c>
      <c r="B17" s="368"/>
      <c r="C17" s="368"/>
      <c r="D17" s="368"/>
      <c r="E17" s="343" t="str">
        <f>'INV '!F18</f>
        <v>KABUPATEN BANDUNG JAWA BARAT 40382, INDONESIA</v>
      </c>
      <c r="F17" s="346"/>
      <c r="G17" s="368"/>
      <c r="H17" s="368"/>
      <c r="I17" s="368"/>
      <c r="J17" s="375"/>
    </row>
    <row r="18" spans="1:11" ht="13.9" customHeight="1">
      <c r="A18" s="581" t="str">
        <f>'INV '!A20</f>
        <v>4.Port of loading</v>
      </c>
      <c r="B18" s="577"/>
      <c r="C18" s="576" t="str">
        <f>'INV '!D20</f>
        <v>5.Final destination</v>
      </c>
      <c r="D18" s="577"/>
      <c r="E18" s="343" t="str">
        <f>'INV '!F19</f>
        <v>NPWP.74.540.692.6-444.000</v>
      </c>
      <c r="F18" s="368"/>
      <c r="G18" s="368"/>
      <c r="H18" s="368"/>
      <c r="I18" s="368"/>
      <c r="J18" s="375"/>
    </row>
    <row r="19" spans="1:11" ht="20.25" customHeight="1">
      <c r="A19" s="651" t="str">
        <f>'INV '!A21</f>
        <v>HOCHIMINH , VIETNAM</v>
      </c>
      <c r="B19" s="652"/>
      <c r="C19" s="654" t="str">
        <f>'INV '!D21</f>
        <v>JAKARTA, INDONESIA</v>
      </c>
      <c r="D19" s="652"/>
      <c r="E19" s="343" t="str">
        <f>'INV '!F20</f>
        <v>Tel 6222-85962076</v>
      </c>
      <c r="F19" s="368"/>
      <c r="G19" s="368"/>
      <c r="H19" s="368"/>
      <c r="I19" s="368"/>
      <c r="J19" s="375"/>
    </row>
    <row r="20" spans="1:11" ht="13.9" customHeight="1">
      <c r="A20" s="581" t="str">
        <f>'INV '!A22</f>
        <v>6.Carrier</v>
      </c>
      <c r="B20" s="577"/>
      <c r="C20" s="576" t="str">
        <f>'INV '!D22</f>
        <v xml:space="preserve">7.Sailing on boat </v>
      </c>
      <c r="D20" s="577"/>
      <c r="E20" s="343"/>
      <c r="F20" s="376"/>
      <c r="G20" s="376"/>
      <c r="H20" s="376"/>
      <c r="I20" s="376"/>
      <c r="J20" s="375"/>
    </row>
    <row r="21" spans="1:11" ht="20.25" customHeight="1">
      <c r="A21" s="651" t="str">
        <f>'INV '!A23</f>
        <v>GREEN PACIFIC 2624S</v>
      </c>
      <c r="B21" s="652"/>
      <c r="C21" s="663" t="e">
        <f>'INV '!D23:E23</f>
        <v>#VALUE!</v>
      </c>
      <c r="D21" s="664"/>
      <c r="E21" s="343"/>
      <c r="F21" s="368"/>
      <c r="G21" s="368"/>
      <c r="H21" s="368"/>
      <c r="I21" s="368"/>
      <c r="J21" s="375"/>
    </row>
    <row r="22" spans="1:11" ht="20.25" customHeight="1">
      <c r="A22" s="603"/>
      <c r="B22" s="584"/>
      <c r="C22" s="584"/>
      <c r="D22" s="584"/>
      <c r="E22" s="585"/>
      <c r="F22" s="584"/>
      <c r="G22" s="584" t="str">
        <f>'INV '!F25</f>
        <v xml:space="preserve">FOB HO CHI MINH </v>
      </c>
      <c r="H22" s="584"/>
      <c r="I22" s="584"/>
      <c r="J22" s="586"/>
      <c r="K22" s="380"/>
    </row>
    <row r="23" spans="1:11" s="565" customFormat="1" ht="36" customHeight="1">
      <c r="A23" s="564" t="s">
        <v>444</v>
      </c>
      <c r="B23" s="587" t="str">
        <f>'INV '!C26</f>
        <v>KNITTED FABRIC</v>
      </c>
      <c r="C23" s="588" t="str">
        <f>'INV '!D26</f>
        <v>COLOR</v>
      </c>
      <c r="D23" s="588" t="str">
        <f>'INV '!E26</f>
        <v xml:space="preserve">STYLE </v>
      </c>
      <c r="E23" s="589" t="s">
        <v>587</v>
      </c>
      <c r="F23" s="590" t="str">
        <f>'INV '!F26</f>
        <v>Quantity 
(Bale)</v>
      </c>
      <c r="G23" s="589" t="str">
        <f>+'INV '!H26</f>
        <v>Quantity 
(Yard)</v>
      </c>
      <c r="H23" s="589" t="s">
        <v>658</v>
      </c>
      <c r="I23" s="590" t="s">
        <v>455</v>
      </c>
      <c r="J23" s="354" t="s">
        <v>586</v>
      </c>
      <c r="K23" s="524"/>
    </row>
    <row r="24" spans="1:11" ht="74.25" customHeight="1">
      <c r="A24" s="458">
        <f>'INV '!A27</f>
        <v>1</v>
      </c>
      <c r="B24" s="567" t="str">
        <f>'INV '!C27</f>
        <v>100% COTTON BCI CM 40/1  INTERLOCK, WIDTH: 66/68", WEIGHT: 195G/M2</v>
      </c>
      <c r="C24" s="568" t="str">
        <f>'INV '!D27</f>
        <v>PARROT CORAL(265E0123 A/A4/AA RS)</v>
      </c>
      <c r="D24" s="567" t="str">
        <f>'INV '!E27</f>
        <v>265E0123/0124 WC7SK033RS/PS(2-8-29)</v>
      </c>
      <c r="E24" s="569" t="s">
        <v>712</v>
      </c>
      <c r="F24" s="610">
        <f>'INV '!F27</f>
        <v>128</v>
      </c>
      <c r="G24" s="610">
        <f>+'INV '!H27</f>
        <v>7700</v>
      </c>
      <c r="H24" s="610">
        <f>'INV '!K27</f>
        <v>7040.88</v>
      </c>
      <c r="I24" s="610">
        <f>'INV '!G27</f>
        <v>2461.6</v>
      </c>
      <c r="J24" s="611">
        <f t="shared" ref="J24:J26" si="0">F24*0.1+I24</f>
        <v>2474.4</v>
      </c>
      <c r="K24" s="380"/>
    </row>
    <row r="25" spans="1:11" ht="74.25" customHeight="1">
      <c r="A25" s="458">
        <f>'INV '!A28</f>
        <v>2</v>
      </c>
      <c r="B25" s="567" t="str">
        <f>'INV '!C28</f>
        <v>100% COTTON BCI CM 40/1  INTERLOCK, WIDTH: 66/68", WEIGHT: 195G/M2</v>
      </c>
      <c r="C25" s="568" t="str">
        <f>'INV '!D28</f>
        <v>PARROT CORAL(265E0123 B/B4/BA RS)</v>
      </c>
      <c r="D25" s="567" t="str">
        <f>'INV '!E28</f>
        <v>265E0123/0124 WC7SK033RS/PS(2-8-29)</v>
      </c>
      <c r="E25" s="569" t="s">
        <v>713</v>
      </c>
      <c r="F25" s="610">
        <f>'INV '!F28</f>
        <v>46</v>
      </c>
      <c r="G25" s="610">
        <f>+'INV '!H28</f>
        <v>2790</v>
      </c>
      <c r="H25" s="610">
        <f>'INV '!K28</f>
        <v>2551.1799999999998</v>
      </c>
      <c r="I25" s="610">
        <f>'INV '!G28</f>
        <v>884.56000000000006</v>
      </c>
      <c r="J25" s="611">
        <f t="shared" si="0"/>
        <v>889.16000000000008</v>
      </c>
      <c r="K25" s="380"/>
    </row>
    <row r="26" spans="1:11" ht="74.25" customHeight="1">
      <c r="A26" s="458">
        <f>'INV '!A29</f>
        <v>3</v>
      </c>
      <c r="B26" s="567" t="str">
        <f>'INV '!C29</f>
        <v>100% COTTON BCI CM 40/1  INTERLOCK, WIDTH: 66/68", WEIGHT: 195G/M2</v>
      </c>
      <c r="C26" s="568" t="str">
        <f>'INV '!D29</f>
        <v>PARROT CORAL(265E0124 A/A4 PS)</v>
      </c>
      <c r="D26" s="567" t="str">
        <f>'INV '!E29</f>
        <v>265E0123/0124 WC7SK033RS/PS(2-8-29)</v>
      </c>
      <c r="E26" s="569" t="s">
        <v>714</v>
      </c>
      <c r="F26" s="610">
        <f>'INV '!F29</f>
        <v>105</v>
      </c>
      <c r="G26" s="610">
        <f>+'INV '!H29</f>
        <v>6315</v>
      </c>
      <c r="H26" s="610">
        <f>'INV '!K29</f>
        <v>5774.44</v>
      </c>
      <c r="I26" s="610">
        <f>'INV '!G29</f>
        <v>2012.9999999999998</v>
      </c>
      <c r="J26" s="611">
        <f t="shared" si="0"/>
        <v>2023.4999999999998</v>
      </c>
      <c r="K26" s="380"/>
    </row>
    <row r="27" spans="1:11" ht="74.25" customHeight="1">
      <c r="A27" s="458">
        <f>'INV '!A30</f>
        <v>4</v>
      </c>
      <c r="B27" s="567" t="str">
        <f>'INV '!C30</f>
        <v>100% COTTON BCI CM 40/1  INTERLOCK, WIDTH: 66/68", WEIGHT: 195G/M2</v>
      </c>
      <c r="C27" s="568" t="str">
        <f>'INV '!D30</f>
        <v>PARROT CORAL(265E0124 B4 PS)</v>
      </c>
      <c r="D27" s="567" t="str">
        <f>'INV '!E30</f>
        <v>265E0123/0124 WC7SK033RS/PS(2-8-29)</v>
      </c>
      <c r="E27" s="569" t="s">
        <v>715</v>
      </c>
      <c r="F27" s="610">
        <f>'INV '!F30</f>
        <v>7</v>
      </c>
      <c r="G27" s="610">
        <f>+'INV '!H30</f>
        <v>440</v>
      </c>
      <c r="H27" s="610">
        <f>'INV '!K30</f>
        <v>402.34</v>
      </c>
      <c r="I27" s="610">
        <f>'INV '!G30</f>
        <v>140.51999999999998</v>
      </c>
      <c r="J27" s="611">
        <f t="shared" ref="J27" si="1">F27*0.1+I27</f>
        <v>141.21999999999997</v>
      </c>
      <c r="K27" s="380"/>
    </row>
    <row r="28" spans="1:11" ht="74.25" customHeight="1">
      <c r="A28" s="458">
        <f>'INV '!A31</f>
        <v>5</v>
      </c>
      <c r="B28" s="567" t="str">
        <f>'INV '!C31</f>
        <v>100% COTTON BCI CM 40/1  INTERLOCK, WIDTH: 66/68", WEIGHT: 195G/M2</v>
      </c>
      <c r="C28" s="568" t="str">
        <f>'INV '!D31</f>
        <v>PARROT CORAL(265E0123 A/A4/AA RS)</v>
      </c>
      <c r="D28" s="567" t="str">
        <f>'INV '!E31</f>
        <v>265E0123/0124 WC7SK033RS/PS(2-8-29)</v>
      </c>
      <c r="E28" s="569" t="s">
        <v>468</v>
      </c>
      <c r="F28" s="610">
        <f>'INV '!F31</f>
        <v>1</v>
      </c>
      <c r="G28" s="610">
        <f>+'INV '!H31</f>
        <v>61</v>
      </c>
      <c r="H28" s="610">
        <f>'INV '!K31</f>
        <v>55.78</v>
      </c>
      <c r="I28" s="610">
        <f>'INV '!G31</f>
        <v>19.2</v>
      </c>
      <c r="J28" s="611">
        <f t="shared" ref="J28:J30" si="2">F28*0.1+I28</f>
        <v>19.3</v>
      </c>
      <c r="K28" s="380"/>
    </row>
    <row r="29" spans="1:11" ht="74.25" customHeight="1">
      <c r="A29" s="458">
        <f>'INV '!A32</f>
        <v>6</v>
      </c>
      <c r="B29" s="567" t="str">
        <f>'INV '!C32</f>
        <v>100% COTTON BCI CM 40/1  INTERLOCK, WIDTH: 66/68", WEIGHT: 195G/M2</v>
      </c>
      <c r="C29" s="568" t="str">
        <f>'INV '!D32</f>
        <v>PARROT CORAL(265E0123 B/B4/BA RS)</v>
      </c>
      <c r="D29" s="567" t="str">
        <f>'INV '!E32</f>
        <v>265E0123/0124 WC7SK033RS/PS(2-8-29)</v>
      </c>
      <c r="E29" s="569" t="s">
        <v>716</v>
      </c>
      <c r="F29" s="610">
        <f>'INV '!F32</f>
        <v>1</v>
      </c>
      <c r="G29" s="610">
        <f>+'INV '!H32</f>
        <v>72</v>
      </c>
      <c r="H29" s="610">
        <f>'INV '!K32</f>
        <v>65.84</v>
      </c>
      <c r="I29" s="610">
        <f>'INV '!G32</f>
        <v>22.94</v>
      </c>
      <c r="J29" s="611">
        <f t="shared" ref="J29" si="3">F29*0.1+I29</f>
        <v>23.040000000000003</v>
      </c>
      <c r="K29" s="380"/>
    </row>
    <row r="30" spans="1:11" ht="74.25" customHeight="1">
      <c r="A30" s="458">
        <f>'INV '!A33</f>
        <v>7</v>
      </c>
      <c r="B30" s="567" t="str">
        <f>'INV '!C33</f>
        <v>100% COTTON BCI CM 40/1  INTERLOCK, WIDTH: 66/68", WEIGHT: 195G/M2</v>
      </c>
      <c r="C30" s="568" t="str">
        <f>'INV '!D33</f>
        <v>PARROT CORAL(265E0124 A/A4 PS)</v>
      </c>
      <c r="D30" s="567" t="str">
        <f>'INV '!E33</f>
        <v>265E0123/0124 WC7SK033RS/PS(2-8-29)</v>
      </c>
      <c r="E30" s="569" t="s">
        <v>717</v>
      </c>
      <c r="F30" s="610">
        <f>'INV '!F33</f>
        <v>2</v>
      </c>
      <c r="G30" s="610">
        <f>+'INV '!H33</f>
        <v>143</v>
      </c>
      <c r="H30" s="610">
        <f>'INV '!K33</f>
        <v>130.76</v>
      </c>
      <c r="I30" s="610">
        <f>'INV '!G33</f>
        <v>46.6</v>
      </c>
      <c r="J30" s="611">
        <f t="shared" si="2"/>
        <v>46.800000000000004</v>
      </c>
      <c r="K30" s="380"/>
    </row>
    <row r="31" spans="1:11" ht="74.25" customHeight="1">
      <c r="A31" s="458">
        <f>'INV '!A34</f>
        <v>8</v>
      </c>
      <c r="B31" s="567" t="str">
        <f>'INV '!C34</f>
        <v>100% COTTON BCI CM 40/1  INTERLOCK, WIDTH: 66/68", WEIGHT: 195G/M2</v>
      </c>
      <c r="C31" s="568" t="str">
        <f>'INV '!D34</f>
        <v>PARROT CORAL(265E0124 B4 PS)</v>
      </c>
      <c r="D31" s="567" t="str">
        <f>'INV '!E34</f>
        <v>265E0123/0124 WC7SK033RS/PS(2-8-29)</v>
      </c>
      <c r="E31" s="569" t="s">
        <v>718</v>
      </c>
      <c r="F31" s="610">
        <f>'INV '!F34</f>
        <v>1</v>
      </c>
      <c r="G31" s="610">
        <f>+'INV '!H34</f>
        <v>44</v>
      </c>
      <c r="H31" s="610">
        <f>'INV '!K34</f>
        <v>40.229999999999997</v>
      </c>
      <c r="I31" s="610">
        <f>'INV '!G34</f>
        <v>14.08</v>
      </c>
      <c r="J31" s="611">
        <f t="shared" ref="J31" si="4">F31*0.1+I31</f>
        <v>14.18</v>
      </c>
      <c r="K31" s="380"/>
    </row>
    <row r="32" spans="1:11" ht="36" customHeight="1">
      <c r="A32" s="461"/>
      <c r="B32" s="591" t="s">
        <v>87</v>
      </c>
      <c r="C32" s="592"/>
      <c r="D32" s="593"/>
      <c r="E32" s="594"/>
      <c r="F32" s="595">
        <f>SUM(F24:F31)</f>
        <v>291</v>
      </c>
      <c r="G32" s="595">
        <f>SUM(G24:G31)</f>
        <v>17565</v>
      </c>
      <c r="H32" s="595">
        <f>SUM(H24:H31)</f>
        <v>16061.45</v>
      </c>
      <c r="I32" s="595">
        <f>SUM(I24:I31)</f>
        <v>5602.5</v>
      </c>
      <c r="J32" s="595">
        <f>SUM(J24:J31)</f>
        <v>5631.6000000000013</v>
      </c>
      <c r="K32" s="380"/>
    </row>
    <row r="33" spans="1:11" ht="13.9" customHeight="1">
      <c r="A33" s="355"/>
      <c r="B33" s="381"/>
      <c r="C33" s="368"/>
      <c r="D33" s="382"/>
      <c r="E33" s="345"/>
      <c r="F33" s="384"/>
      <c r="G33" s="385"/>
      <c r="H33" s="385"/>
      <c r="I33" s="386"/>
      <c r="J33" s="387"/>
      <c r="K33" s="380"/>
    </row>
    <row r="34" spans="1:11" ht="13.9" customHeight="1">
      <c r="A34" s="388" t="s">
        <v>577</v>
      </c>
      <c r="B34" s="389"/>
      <c r="C34" s="368"/>
      <c r="D34" s="390"/>
      <c r="E34" s="346"/>
      <c r="F34" s="386"/>
      <c r="G34" s="385"/>
      <c r="H34" s="385"/>
      <c r="I34" s="386"/>
      <c r="J34" s="387"/>
      <c r="K34" s="380"/>
    </row>
    <row r="35" spans="1:11" ht="13.9" customHeight="1">
      <c r="A35" s="388" t="s">
        <v>578</v>
      </c>
      <c r="B35" s="389"/>
      <c r="C35" s="368"/>
      <c r="D35" s="368"/>
      <c r="E35" s="346"/>
      <c r="F35" s="391" t="s">
        <v>451</v>
      </c>
      <c r="G35" s="391"/>
      <c r="H35" s="391"/>
      <c r="I35" s="391"/>
      <c r="J35" s="392"/>
      <c r="K35" s="380"/>
    </row>
    <row r="36" spans="1:11" ht="13.9" customHeight="1">
      <c r="A36" s="388" t="s">
        <v>579</v>
      </c>
      <c r="B36" s="389"/>
      <c r="C36" s="376"/>
      <c r="D36" s="368"/>
      <c r="E36" s="346"/>
      <c r="J36" s="392"/>
      <c r="K36" s="380"/>
    </row>
    <row r="37" spans="1:11" ht="13.9" customHeight="1">
      <c r="A37" s="388" t="s">
        <v>580</v>
      </c>
      <c r="B37" s="389"/>
      <c r="C37" s="368"/>
      <c r="D37" s="393"/>
      <c r="E37" s="347"/>
      <c r="J37" s="392"/>
      <c r="K37" s="380"/>
    </row>
    <row r="38" spans="1:11" ht="13.9" customHeight="1">
      <c r="A38" s="388" t="s">
        <v>581</v>
      </c>
      <c r="B38" s="389"/>
      <c r="C38" s="368"/>
      <c r="D38" s="368"/>
      <c r="E38" s="346"/>
      <c r="J38" s="392"/>
      <c r="K38" s="380"/>
    </row>
    <row r="39" spans="1:11" ht="13.9" customHeight="1">
      <c r="A39" s="388" t="s">
        <v>582</v>
      </c>
      <c r="B39" s="389"/>
      <c r="C39" s="368"/>
      <c r="D39" s="368"/>
      <c r="E39" s="347"/>
      <c r="J39" s="392"/>
      <c r="K39" s="380"/>
    </row>
    <row r="40" spans="1:11" ht="15" customHeight="1">
      <c r="A40" s="388" t="s">
        <v>583</v>
      </c>
      <c r="B40" s="389"/>
      <c r="C40" s="395"/>
      <c r="D40" s="396"/>
      <c r="E40" s="349"/>
      <c r="F40" s="650"/>
      <c r="G40" s="650"/>
      <c r="H40" s="524"/>
      <c r="I40" s="650"/>
      <c r="J40" s="676"/>
      <c r="K40" s="380"/>
    </row>
    <row r="41" spans="1:11" ht="17.25" customHeight="1">
      <c r="A41" s="388" t="s">
        <v>584</v>
      </c>
      <c r="B41" s="389"/>
      <c r="C41" s="368"/>
      <c r="D41" s="382"/>
      <c r="E41" s="345"/>
      <c r="F41" s="384"/>
      <c r="G41" s="385"/>
      <c r="H41" s="385"/>
      <c r="I41" s="386"/>
      <c r="J41" s="387"/>
      <c r="K41" s="380"/>
    </row>
    <row r="42" spans="1:11" ht="17.25" customHeight="1">
      <c r="A42" s="388" t="s">
        <v>585</v>
      </c>
      <c r="B42" s="389"/>
      <c r="C42" s="368"/>
      <c r="D42" s="382"/>
      <c r="E42" s="345"/>
      <c r="F42" s="384"/>
      <c r="G42" s="385"/>
      <c r="H42" s="385"/>
      <c r="I42" s="386"/>
      <c r="J42" s="387"/>
      <c r="K42" s="380"/>
    </row>
    <row r="43" spans="1:11" ht="17.25" customHeight="1">
      <c r="A43" s="388"/>
      <c r="B43" s="389"/>
      <c r="C43" s="368"/>
      <c r="D43" s="382"/>
      <c r="E43" s="345"/>
      <c r="F43" s="384"/>
      <c r="G43" s="385"/>
      <c r="H43" s="385"/>
      <c r="I43" s="386"/>
      <c r="J43" s="387"/>
      <c r="K43" s="380"/>
    </row>
    <row r="44" spans="1:11" ht="52.5" customHeight="1" thickBot="1">
      <c r="A44" s="596"/>
      <c r="B44" s="597"/>
      <c r="C44" s="598"/>
      <c r="D44" s="599"/>
      <c r="E44" s="600"/>
      <c r="F44" s="665" t="s">
        <v>664</v>
      </c>
      <c r="G44" s="665"/>
      <c r="H44" s="601"/>
      <c r="I44" s="598"/>
      <c r="J44" s="602"/>
      <c r="K44" s="380"/>
    </row>
    <row r="45" spans="1:11" ht="13.9" customHeight="1">
      <c r="A45" s="397"/>
      <c r="B45" s="389"/>
      <c r="C45" s="368"/>
      <c r="D45" s="382"/>
      <c r="E45" s="345"/>
      <c r="F45" s="398"/>
      <c r="G45" s="399"/>
      <c r="H45" s="399"/>
      <c r="I45" s="368"/>
      <c r="J45" s="368"/>
      <c r="K45" s="380"/>
    </row>
    <row r="46" spans="1:11" ht="13.9" customHeight="1">
      <c r="A46" s="397"/>
      <c r="B46" s="389"/>
      <c r="C46" s="368"/>
      <c r="D46" s="382"/>
      <c r="E46" s="345"/>
      <c r="F46" s="384"/>
      <c r="G46" s="385"/>
      <c r="H46" s="385"/>
      <c r="I46" s="386"/>
      <c r="J46" s="385"/>
      <c r="K46" s="380"/>
    </row>
    <row r="47" spans="1:11" ht="13.9" customHeight="1">
      <c r="A47" s="380"/>
      <c r="B47" s="381"/>
      <c r="C47" s="368"/>
      <c r="D47" s="382"/>
      <c r="E47" s="345"/>
      <c r="F47" s="384"/>
      <c r="G47" s="385"/>
      <c r="H47" s="385"/>
      <c r="I47" s="386"/>
      <c r="J47" s="385"/>
      <c r="K47" s="380"/>
    </row>
    <row r="48" spans="1:11" ht="13.9" customHeight="1">
      <c r="A48" s="380"/>
      <c r="B48" s="381"/>
      <c r="C48" s="400"/>
      <c r="D48" s="401"/>
      <c r="E48" s="350"/>
      <c r="F48" s="402"/>
      <c r="G48" s="403"/>
      <c r="H48" s="403"/>
      <c r="I48" s="402"/>
      <c r="J48" s="403"/>
      <c r="K48" s="380"/>
    </row>
    <row r="49" spans="1:15" ht="13.9" customHeight="1">
      <c r="A49" s="380"/>
      <c r="B49" s="381"/>
      <c r="C49" s="368"/>
      <c r="D49" s="390"/>
      <c r="E49" s="346"/>
      <c r="F49" s="386"/>
      <c r="G49" s="385"/>
      <c r="H49" s="385"/>
      <c r="I49" s="386"/>
      <c r="J49" s="385"/>
      <c r="K49" s="380"/>
    </row>
    <row r="50" spans="1:15" ht="13.9" customHeight="1">
      <c r="A50" s="380"/>
      <c r="B50" s="378"/>
      <c r="C50" s="376"/>
      <c r="D50" s="390"/>
      <c r="E50" s="346"/>
      <c r="F50" s="386"/>
      <c r="G50" s="385"/>
      <c r="H50" s="385"/>
      <c r="I50" s="386"/>
      <c r="J50" s="385"/>
      <c r="K50" s="380"/>
    </row>
    <row r="51" spans="1:15" ht="13.9" customHeight="1">
      <c r="A51" s="380"/>
      <c r="B51" s="378"/>
      <c r="C51" s="368"/>
      <c r="D51" s="390"/>
      <c r="E51" s="346"/>
      <c r="F51" s="386"/>
      <c r="G51" s="385"/>
      <c r="H51" s="385"/>
      <c r="I51" s="386"/>
      <c r="J51" s="385"/>
      <c r="K51" s="380"/>
    </row>
    <row r="52" spans="1:15" ht="13.9" customHeight="1">
      <c r="A52" s="380"/>
      <c r="B52" s="378"/>
      <c r="C52" s="368"/>
      <c r="D52" s="390"/>
      <c r="E52" s="346"/>
      <c r="F52" s="386"/>
      <c r="G52" s="385"/>
      <c r="H52" s="385"/>
      <c r="I52" s="386"/>
      <c r="J52" s="385"/>
      <c r="K52" s="380"/>
    </row>
    <row r="53" spans="1:15" ht="13.9" customHeight="1">
      <c r="A53" s="380"/>
      <c r="B53" s="378"/>
      <c r="C53" s="368"/>
      <c r="D53" s="390"/>
      <c r="E53" s="346"/>
      <c r="F53" s="386"/>
      <c r="G53" s="385"/>
      <c r="H53" s="385"/>
      <c r="I53" s="386"/>
      <c r="J53" s="385"/>
      <c r="K53" s="380"/>
    </row>
    <row r="54" spans="1:15" ht="13.9" customHeight="1">
      <c r="A54" s="380"/>
      <c r="B54" s="378"/>
      <c r="C54" s="368"/>
      <c r="D54" s="404"/>
      <c r="E54" s="345"/>
      <c r="F54" s="384"/>
      <c r="G54" s="385"/>
      <c r="H54" s="385"/>
      <c r="I54" s="386"/>
      <c r="J54" s="385"/>
      <c r="K54" s="380"/>
    </row>
    <row r="55" spans="1:15" ht="13.9" customHeight="1">
      <c r="A55" s="380"/>
      <c r="B55" s="378"/>
      <c r="C55" s="368"/>
      <c r="D55" s="382"/>
      <c r="E55" s="345"/>
      <c r="F55" s="384"/>
      <c r="G55" s="385"/>
      <c r="H55" s="385"/>
      <c r="I55" s="386"/>
      <c r="J55" s="385"/>
      <c r="K55" s="380"/>
    </row>
    <row r="56" spans="1:15" ht="13.9" customHeight="1">
      <c r="A56" s="380"/>
      <c r="B56" s="378"/>
      <c r="C56" s="368"/>
      <c r="D56" s="382"/>
      <c r="E56" s="345"/>
      <c r="F56" s="384"/>
      <c r="G56" s="385"/>
      <c r="H56" s="385"/>
      <c r="I56" s="386"/>
      <c r="J56" s="385"/>
      <c r="K56" s="380"/>
    </row>
    <row r="57" spans="1:15" ht="13.9" hidden="1" customHeight="1">
      <c r="A57" s="380"/>
      <c r="B57" s="378"/>
      <c r="C57" s="368" t="s">
        <v>456</v>
      </c>
      <c r="D57" s="382">
        <v>253</v>
      </c>
      <c r="E57" s="345">
        <v>1138</v>
      </c>
      <c r="F57" s="384">
        <v>262.2</v>
      </c>
      <c r="G57" s="385" t="s">
        <v>457</v>
      </c>
      <c r="H57" s="385"/>
      <c r="I57" s="386" t="e">
        <f>F57+0.1*#REF!</f>
        <v>#REF!</v>
      </c>
      <c r="J57" s="385" t="s">
        <v>458</v>
      </c>
      <c r="K57" s="380"/>
    </row>
    <row r="58" spans="1:15" ht="13.9" hidden="1" customHeight="1">
      <c r="A58" s="380"/>
      <c r="B58" s="378"/>
      <c r="C58" s="368" t="s">
        <v>456</v>
      </c>
      <c r="D58" s="382">
        <v>254</v>
      </c>
      <c r="E58" s="345">
        <v>895</v>
      </c>
      <c r="F58" s="384">
        <v>198.7</v>
      </c>
      <c r="G58" s="385" t="s">
        <v>458</v>
      </c>
      <c r="H58" s="385"/>
      <c r="I58" s="386" t="e">
        <f>F58+0.1*#REF!</f>
        <v>#REF!</v>
      </c>
      <c r="J58" s="385" t="s">
        <v>459</v>
      </c>
      <c r="K58" s="380"/>
      <c r="M58" s="359">
        <v>1</v>
      </c>
      <c r="N58" s="359">
        <v>73</v>
      </c>
      <c r="O58" s="359">
        <v>16.8</v>
      </c>
    </row>
    <row r="59" spans="1:15" ht="13.9" hidden="1" customHeight="1">
      <c r="A59" s="380"/>
      <c r="B59" s="378"/>
      <c r="C59" s="400"/>
      <c r="D59" s="401"/>
      <c r="E59" s="350">
        <f>SUM(E54:E58)</f>
        <v>2033</v>
      </c>
      <c r="F59" s="402">
        <f>SUM(F54:F58)</f>
        <v>460.9</v>
      </c>
      <c r="G59" s="403" t="s">
        <v>460</v>
      </c>
      <c r="H59" s="403"/>
      <c r="I59" s="402" t="e">
        <f>SUM(I54:I58)</f>
        <v>#REF!</v>
      </c>
      <c r="J59" s="403" t="s">
        <v>460</v>
      </c>
      <c r="K59" s="380"/>
    </row>
    <row r="60" spans="1:15" ht="13.9" hidden="1" customHeight="1">
      <c r="A60" s="380"/>
      <c r="B60" s="378"/>
      <c r="C60" s="405"/>
      <c r="D60" s="406"/>
      <c r="E60" s="351"/>
      <c r="F60" s="407"/>
      <c r="G60" s="408"/>
      <c r="H60" s="408"/>
      <c r="I60" s="407"/>
      <c r="J60" s="408"/>
      <c r="K60" s="380"/>
    </row>
    <row r="61" spans="1:15" ht="13.9" hidden="1" customHeight="1">
      <c r="A61" s="380"/>
      <c r="B61" s="378"/>
      <c r="C61" s="405"/>
      <c r="D61" s="406"/>
      <c r="E61" s="351"/>
      <c r="F61" s="407"/>
      <c r="G61" s="408"/>
      <c r="H61" s="408"/>
      <c r="I61" s="407"/>
      <c r="J61" s="408"/>
      <c r="K61" s="380"/>
    </row>
    <row r="62" spans="1:15" ht="13.9" hidden="1" customHeight="1">
      <c r="A62" s="380"/>
      <c r="B62" s="378" t="s">
        <v>461</v>
      </c>
      <c r="C62" s="376">
        <v>0</v>
      </c>
      <c r="D62" s="368"/>
      <c r="E62" s="346"/>
      <c r="K62" s="380"/>
      <c r="M62" s="359">
        <v>1</v>
      </c>
      <c r="N62" s="359">
        <v>10</v>
      </c>
      <c r="O62" s="359">
        <v>23.02</v>
      </c>
    </row>
    <row r="63" spans="1:15" ht="13.9" hidden="1" customHeight="1">
      <c r="A63" s="380"/>
      <c r="B63" s="378"/>
      <c r="C63" s="368">
        <v>0</v>
      </c>
      <c r="D63" s="393"/>
      <c r="E63" s="347"/>
      <c r="K63" s="380"/>
      <c r="M63" s="359">
        <v>2</v>
      </c>
      <c r="N63" s="359">
        <v>136</v>
      </c>
      <c r="O63" s="359">
        <v>31.31</v>
      </c>
    </row>
    <row r="64" spans="1:15" ht="13.9" hidden="1" customHeight="1">
      <c r="A64" s="380"/>
      <c r="B64" s="378"/>
      <c r="C64" s="368">
        <v>0</v>
      </c>
      <c r="D64" s="368"/>
      <c r="E64" s="346"/>
      <c r="K64" s="380"/>
      <c r="M64" s="359">
        <v>2</v>
      </c>
      <c r="N64" s="359">
        <v>144</v>
      </c>
      <c r="O64" s="359">
        <v>33.15</v>
      </c>
    </row>
    <row r="65" spans="1:15" ht="13.9" hidden="1" customHeight="1">
      <c r="A65" s="380"/>
      <c r="B65" s="378"/>
      <c r="C65" s="368">
        <v>0</v>
      </c>
      <c r="D65" s="368"/>
      <c r="K65" s="380"/>
      <c r="M65" s="359">
        <v>2</v>
      </c>
      <c r="N65" s="359">
        <v>195</v>
      </c>
      <c r="O65" s="359">
        <v>44.89</v>
      </c>
    </row>
    <row r="66" spans="1:15" ht="13.9" hidden="1" customHeight="1">
      <c r="A66" s="380"/>
      <c r="B66" s="378"/>
      <c r="C66" s="395" t="s">
        <v>462</v>
      </c>
      <c r="D66" s="396" t="s">
        <v>454</v>
      </c>
      <c r="E66" s="349" t="s">
        <v>463</v>
      </c>
      <c r="F66" s="650" t="s">
        <v>464</v>
      </c>
      <c r="G66" s="650"/>
      <c r="H66" s="524"/>
      <c r="I66" s="650" t="s">
        <v>465</v>
      </c>
      <c r="J66" s="650"/>
      <c r="K66" s="380"/>
      <c r="M66" s="359">
        <v>1</v>
      </c>
      <c r="N66" s="359">
        <v>120</v>
      </c>
      <c r="O66" s="359">
        <v>6.95</v>
      </c>
    </row>
    <row r="67" spans="1:15" ht="13.9" hidden="1" customHeight="1">
      <c r="A67" s="380"/>
      <c r="B67" s="378"/>
      <c r="C67" s="368" t="s">
        <v>466</v>
      </c>
      <c r="D67" s="382">
        <v>1</v>
      </c>
      <c r="E67" s="345">
        <v>1781</v>
      </c>
      <c r="F67" s="384">
        <v>408.9</v>
      </c>
      <c r="G67" s="385" t="s">
        <v>467</v>
      </c>
      <c r="H67" s="385"/>
      <c r="I67" s="386" t="e">
        <f>F67+0.1*#REF!</f>
        <v>#REF!</v>
      </c>
      <c r="J67" s="385" t="s">
        <v>457</v>
      </c>
      <c r="K67" s="380"/>
    </row>
    <row r="68" spans="1:15" ht="13.9" hidden="1" customHeight="1">
      <c r="A68" s="380"/>
      <c r="B68" s="378"/>
      <c r="C68" s="368" t="s">
        <v>466</v>
      </c>
      <c r="D68" s="404" t="s">
        <v>468</v>
      </c>
      <c r="E68" s="345">
        <v>1803</v>
      </c>
      <c r="F68" s="384">
        <v>414.8</v>
      </c>
      <c r="G68" s="385" t="s">
        <v>469</v>
      </c>
      <c r="H68" s="385"/>
      <c r="I68" s="386" t="e">
        <f>F68+0.1*#REF!</f>
        <v>#REF!</v>
      </c>
      <c r="J68" s="385" t="s">
        <v>457</v>
      </c>
      <c r="K68" s="380"/>
    </row>
    <row r="69" spans="1:15" ht="13.9" hidden="1" customHeight="1">
      <c r="A69" s="380"/>
      <c r="B69" s="378"/>
      <c r="C69" s="368" t="s">
        <v>466</v>
      </c>
      <c r="D69" s="382" t="s">
        <v>470</v>
      </c>
      <c r="E69" s="345">
        <v>1700</v>
      </c>
      <c r="F69" s="384">
        <v>391.2</v>
      </c>
      <c r="G69" s="385" t="s">
        <v>457</v>
      </c>
      <c r="H69" s="385"/>
      <c r="I69" s="386" t="e">
        <f>F69+0.1*#REF!</f>
        <v>#REF!</v>
      </c>
      <c r="J69" s="385" t="s">
        <v>471</v>
      </c>
      <c r="K69" s="380"/>
    </row>
    <row r="70" spans="1:15" ht="13.9" hidden="1" customHeight="1">
      <c r="A70" s="380"/>
      <c r="B70" s="378"/>
      <c r="C70" s="368" t="s">
        <v>466</v>
      </c>
      <c r="D70" s="382" t="s">
        <v>472</v>
      </c>
      <c r="E70" s="345">
        <v>1767</v>
      </c>
      <c r="F70" s="384">
        <v>406.6</v>
      </c>
      <c r="G70" s="385" t="s">
        <v>469</v>
      </c>
      <c r="H70" s="385"/>
      <c r="I70" s="386" t="e">
        <f>F70+0.1*#REF!</f>
        <v>#REF!</v>
      </c>
      <c r="J70" s="385" t="s">
        <v>469</v>
      </c>
      <c r="K70" s="380"/>
    </row>
    <row r="71" spans="1:15" ht="13.9" hidden="1" customHeight="1">
      <c r="A71" s="380"/>
      <c r="B71" s="378"/>
      <c r="C71" s="400"/>
      <c r="D71" s="401"/>
      <c r="E71" s="352">
        <f>SUM(E67:E70)</f>
        <v>7051</v>
      </c>
      <c r="F71" s="410">
        <f>SUM(F67:F70)</f>
        <v>1621.5</v>
      </c>
      <c r="G71" s="403" t="s">
        <v>457</v>
      </c>
      <c r="H71" s="403"/>
      <c r="I71" s="409" t="e">
        <f>SUM(I67:I70)</f>
        <v>#REF!</v>
      </c>
      <c r="J71" s="403" t="s">
        <v>457</v>
      </c>
      <c r="K71" s="380"/>
    </row>
    <row r="72" spans="1:15" ht="13.9" hidden="1" customHeight="1">
      <c r="A72" s="380"/>
      <c r="B72" s="378"/>
      <c r="C72" s="368"/>
      <c r="D72" s="406"/>
      <c r="E72" s="353"/>
      <c r="F72" s="412"/>
      <c r="G72" s="408"/>
      <c r="H72" s="408"/>
      <c r="I72" s="411"/>
      <c r="J72" s="408"/>
      <c r="K72" s="380"/>
    </row>
    <row r="73" spans="1:15" ht="13.9" hidden="1" customHeight="1">
      <c r="A73" s="380"/>
      <c r="B73" s="378" t="s">
        <v>473</v>
      </c>
      <c r="C73" s="413">
        <v>0</v>
      </c>
      <c r="D73" s="406"/>
      <c r="E73" s="353"/>
      <c r="F73" s="412"/>
      <c r="G73" s="408"/>
      <c r="H73" s="408"/>
      <c r="I73" s="411"/>
      <c r="J73" s="408"/>
      <c r="K73" s="380"/>
    </row>
    <row r="74" spans="1:15" ht="13.9" hidden="1" customHeight="1">
      <c r="A74" s="380"/>
      <c r="B74" s="378"/>
      <c r="C74" s="405">
        <v>0</v>
      </c>
      <c r="D74" s="406"/>
      <c r="E74" s="353"/>
      <c r="F74" s="412"/>
      <c r="G74" s="408"/>
      <c r="H74" s="408"/>
      <c r="I74" s="411"/>
      <c r="J74" s="408"/>
      <c r="K74" s="380"/>
    </row>
    <row r="75" spans="1:15" ht="13.9" hidden="1" customHeight="1">
      <c r="A75" s="380"/>
      <c r="B75" s="378"/>
      <c r="C75" s="405">
        <v>0</v>
      </c>
      <c r="D75" s="406"/>
      <c r="E75" s="353"/>
      <c r="F75" s="412"/>
      <c r="G75" s="408"/>
      <c r="H75" s="408"/>
      <c r="I75" s="411"/>
      <c r="J75" s="408"/>
      <c r="K75" s="380"/>
    </row>
    <row r="76" spans="1:15" ht="13.9" hidden="1" customHeight="1">
      <c r="A76" s="380"/>
      <c r="B76" s="378"/>
      <c r="C76" s="405">
        <v>0</v>
      </c>
      <c r="D76" s="393"/>
      <c r="E76" s="347"/>
      <c r="K76" s="380"/>
    </row>
    <row r="77" spans="1:15" ht="13.9" hidden="1" customHeight="1">
      <c r="A77" s="380"/>
      <c r="B77" s="378"/>
      <c r="C77" s="395" t="s">
        <v>474</v>
      </c>
      <c r="D77" s="396" t="s">
        <v>454</v>
      </c>
      <c r="E77" s="349" t="s">
        <v>475</v>
      </c>
      <c r="F77" s="650" t="s">
        <v>476</v>
      </c>
      <c r="G77" s="650"/>
      <c r="H77" s="524"/>
      <c r="I77" s="650" t="s">
        <v>477</v>
      </c>
      <c r="J77" s="650"/>
      <c r="K77" s="380"/>
    </row>
    <row r="78" spans="1:15" ht="13.9" hidden="1" customHeight="1">
      <c r="A78" s="380"/>
      <c r="B78" s="378"/>
      <c r="C78" s="395" t="s">
        <v>478</v>
      </c>
      <c r="D78" s="396" t="s">
        <v>454</v>
      </c>
      <c r="E78" s="349" t="s">
        <v>479</v>
      </c>
      <c r="F78" s="650" t="s">
        <v>480</v>
      </c>
      <c r="G78" s="650"/>
      <c r="H78" s="524"/>
      <c r="I78" s="650" t="s">
        <v>465</v>
      </c>
      <c r="J78" s="650"/>
      <c r="K78" s="380"/>
    </row>
    <row r="79" spans="1:15" ht="13.9" hidden="1" customHeight="1">
      <c r="A79" s="380"/>
      <c r="B79" s="378"/>
      <c r="C79" s="368" t="s">
        <v>481</v>
      </c>
      <c r="D79" s="414">
        <v>1</v>
      </c>
      <c r="E79" s="346">
        <v>1633</v>
      </c>
      <c r="F79" s="386">
        <v>392.1</v>
      </c>
      <c r="G79" s="385" t="s">
        <v>482</v>
      </c>
      <c r="H79" s="385"/>
      <c r="I79" s="386" t="e">
        <f>F79+0.1*#REF!</f>
        <v>#REF!</v>
      </c>
      <c r="J79" s="385" t="s">
        <v>469</v>
      </c>
      <c r="K79" s="380"/>
    </row>
    <row r="80" spans="1:15" ht="13.9" hidden="1" customHeight="1">
      <c r="A80" s="380"/>
      <c r="B80" s="378"/>
      <c r="C80" s="400"/>
      <c r="D80" s="401"/>
      <c r="E80" s="350">
        <f>SUM(E79:E79)</f>
        <v>1633</v>
      </c>
      <c r="F80" s="402">
        <f>SUM(F79:F79)</f>
        <v>392.1</v>
      </c>
      <c r="G80" s="403" t="s">
        <v>460</v>
      </c>
      <c r="H80" s="403"/>
      <c r="I80" s="402" t="e">
        <f>SUM(I79:I79)</f>
        <v>#REF!</v>
      </c>
      <c r="J80" s="403"/>
      <c r="K80" s="380"/>
    </row>
    <row r="81" spans="1:11" ht="13.9" hidden="1" customHeight="1">
      <c r="A81" s="380"/>
      <c r="B81" s="378" t="s">
        <v>483</v>
      </c>
      <c r="C81" s="376">
        <v>0</v>
      </c>
      <c r="D81" s="406"/>
      <c r="E81" s="351"/>
      <c r="F81" s="407"/>
      <c r="G81" s="408"/>
      <c r="H81" s="408"/>
      <c r="I81" s="407"/>
      <c r="J81" s="408"/>
      <c r="K81" s="380"/>
    </row>
    <row r="82" spans="1:11" ht="13.9" hidden="1" customHeight="1">
      <c r="A82" s="380"/>
      <c r="B82" s="378"/>
      <c r="C82" s="368">
        <v>0</v>
      </c>
      <c r="D82" s="406"/>
      <c r="E82" s="351"/>
      <c r="F82" s="407"/>
      <c r="G82" s="408"/>
      <c r="H82" s="408"/>
      <c r="I82" s="407"/>
      <c r="J82" s="408"/>
      <c r="K82" s="380"/>
    </row>
    <row r="83" spans="1:11" ht="13.9" hidden="1" customHeight="1">
      <c r="A83" s="380"/>
      <c r="B83" s="378"/>
      <c r="C83" s="368">
        <v>0</v>
      </c>
      <c r="D83" s="406"/>
      <c r="E83" s="351"/>
      <c r="F83" s="407"/>
      <c r="G83" s="408"/>
      <c r="H83" s="408"/>
      <c r="I83" s="407"/>
      <c r="J83" s="408"/>
      <c r="K83" s="380"/>
    </row>
    <row r="84" spans="1:11" ht="13.9" hidden="1" customHeight="1">
      <c r="A84" s="380"/>
      <c r="B84" s="378"/>
      <c r="C84" s="368">
        <v>0</v>
      </c>
      <c r="D84" s="406"/>
      <c r="E84" s="351"/>
      <c r="F84" s="407"/>
      <c r="G84" s="408"/>
      <c r="H84" s="408"/>
      <c r="I84" s="407"/>
      <c r="J84" s="408"/>
      <c r="K84" s="380"/>
    </row>
    <row r="85" spans="1:11" ht="13.9" hidden="1" customHeight="1">
      <c r="A85" s="380"/>
      <c r="B85" s="378"/>
      <c r="C85" s="368">
        <v>0</v>
      </c>
      <c r="D85" s="390"/>
      <c r="E85" s="346"/>
      <c r="F85" s="386"/>
      <c r="G85" s="385"/>
      <c r="H85" s="385"/>
      <c r="I85" s="386"/>
      <c r="J85" s="385"/>
      <c r="K85" s="380"/>
    </row>
    <row r="86" spans="1:11" ht="13.9" hidden="1" customHeight="1">
      <c r="A86" s="380"/>
      <c r="B86" s="378"/>
      <c r="C86" s="395" t="s">
        <v>484</v>
      </c>
      <c r="D86" s="396" t="s">
        <v>454</v>
      </c>
      <c r="E86" s="349" t="s">
        <v>479</v>
      </c>
      <c r="F86" s="650" t="s">
        <v>464</v>
      </c>
      <c r="G86" s="650"/>
      <c r="H86" s="524"/>
      <c r="I86" s="650" t="s">
        <v>485</v>
      </c>
      <c r="J86" s="650"/>
      <c r="K86" s="380"/>
    </row>
    <row r="87" spans="1:11" ht="13.9" hidden="1" customHeight="1">
      <c r="A87" s="380"/>
      <c r="B87" s="378"/>
      <c r="C87" s="368" t="s">
        <v>486</v>
      </c>
      <c r="D87" s="414">
        <v>1</v>
      </c>
      <c r="E87" s="346">
        <v>1644</v>
      </c>
      <c r="F87" s="386">
        <v>411.1</v>
      </c>
      <c r="G87" s="385" t="s">
        <v>469</v>
      </c>
      <c r="H87" s="385"/>
      <c r="I87" s="386" t="e">
        <f>F87+0.1*#REF!</f>
        <v>#REF!</v>
      </c>
      <c r="J87" s="385" t="s">
        <v>469</v>
      </c>
      <c r="K87" s="380"/>
    </row>
    <row r="88" spans="1:11" ht="13.9" hidden="1" customHeight="1">
      <c r="A88" s="380"/>
      <c r="B88" s="378"/>
      <c r="C88" s="368" t="s">
        <v>487</v>
      </c>
      <c r="D88" s="414" t="s">
        <v>488</v>
      </c>
      <c r="E88" s="346">
        <v>1615</v>
      </c>
      <c r="F88" s="386">
        <v>379</v>
      </c>
      <c r="G88" s="385" t="s">
        <v>467</v>
      </c>
      <c r="H88" s="385"/>
      <c r="I88" s="386" t="e">
        <f>F88+0.1*#REF!</f>
        <v>#REF!</v>
      </c>
      <c r="J88" s="385" t="s">
        <v>458</v>
      </c>
      <c r="K88" s="380"/>
    </row>
    <row r="89" spans="1:11" ht="13.9" hidden="1" customHeight="1">
      <c r="A89" s="380"/>
      <c r="B89" s="378"/>
      <c r="C89" s="400"/>
      <c r="D89" s="415"/>
      <c r="E89" s="350">
        <f>+E87</f>
        <v>1644</v>
      </c>
      <c r="F89" s="402">
        <f>+F87</f>
        <v>411.1</v>
      </c>
      <c r="G89" s="403" t="s">
        <v>460</v>
      </c>
      <c r="H89" s="403"/>
      <c r="I89" s="402" t="e">
        <f>+I87</f>
        <v>#REF!</v>
      </c>
      <c r="J89" s="403" t="s">
        <v>460</v>
      </c>
      <c r="K89" s="380"/>
    </row>
    <row r="90" spans="1:11" ht="13.9" hidden="1" customHeight="1">
      <c r="A90" s="380"/>
      <c r="B90" s="378"/>
      <c r="C90" s="368"/>
      <c r="D90" s="368"/>
      <c r="E90" s="346"/>
      <c r="K90" s="380"/>
    </row>
    <row r="91" spans="1:11" ht="13.9" hidden="1" customHeight="1">
      <c r="A91" s="380"/>
      <c r="B91" s="378"/>
      <c r="C91" s="393" t="s">
        <v>489</v>
      </c>
      <c r="D91" s="393"/>
      <c r="E91" s="347"/>
      <c r="K91" s="380"/>
    </row>
    <row r="92" spans="1:11" ht="13.9" hidden="1" customHeight="1">
      <c r="A92" s="380"/>
      <c r="B92" s="378"/>
      <c r="C92" s="368" t="s">
        <v>490</v>
      </c>
      <c r="D92" s="368"/>
      <c r="E92" s="346"/>
      <c r="K92" s="380"/>
    </row>
    <row r="93" spans="1:11" ht="13.9" hidden="1" customHeight="1">
      <c r="A93" s="380"/>
      <c r="B93" s="378"/>
      <c r="C93" s="368" t="s">
        <v>491</v>
      </c>
      <c r="D93" s="368"/>
      <c r="K93" s="380"/>
    </row>
    <row r="94" spans="1:11" ht="13.9" hidden="1" customHeight="1">
      <c r="A94" s="380"/>
      <c r="B94" s="378"/>
      <c r="C94" s="395" t="s">
        <v>492</v>
      </c>
      <c r="D94" s="396" t="s">
        <v>454</v>
      </c>
      <c r="E94" s="349" t="s">
        <v>463</v>
      </c>
      <c r="F94" s="650" t="s">
        <v>493</v>
      </c>
      <c r="G94" s="650"/>
      <c r="H94" s="524"/>
      <c r="I94" s="650" t="s">
        <v>494</v>
      </c>
      <c r="J94" s="650"/>
      <c r="K94" s="380"/>
    </row>
    <row r="95" spans="1:11" ht="13.9" hidden="1" customHeight="1">
      <c r="A95" s="380"/>
      <c r="B95" s="378"/>
      <c r="C95" s="368" t="s">
        <v>495</v>
      </c>
      <c r="D95" s="414" t="s">
        <v>496</v>
      </c>
      <c r="E95" s="346">
        <v>10</v>
      </c>
      <c r="F95" s="386">
        <v>23.02</v>
      </c>
      <c r="G95" s="385" t="s">
        <v>497</v>
      </c>
      <c r="H95" s="385"/>
      <c r="I95" s="386" t="e">
        <f>F95+0.1*#REF!</f>
        <v>#REF!</v>
      </c>
      <c r="J95" s="385" t="s">
        <v>457</v>
      </c>
      <c r="K95" s="380"/>
    </row>
    <row r="96" spans="1:11" ht="13.9" hidden="1" customHeight="1">
      <c r="A96" s="380"/>
      <c r="B96" s="378"/>
      <c r="C96" s="400"/>
      <c r="D96" s="415"/>
      <c r="E96" s="350">
        <f>SUM(E95)</f>
        <v>10</v>
      </c>
      <c r="F96" s="402">
        <f>SUM(F95)</f>
        <v>23.02</v>
      </c>
      <c r="G96" s="403" t="s">
        <v>460</v>
      </c>
      <c r="H96" s="403"/>
      <c r="I96" s="402" t="e">
        <f>SUM(I95)</f>
        <v>#REF!</v>
      </c>
      <c r="J96" s="403" t="s">
        <v>460</v>
      </c>
      <c r="K96" s="380"/>
    </row>
    <row r="97" spans="1:11" ht="13.9" hidden="1" customHeight="1">
      <c r="A97" s="380"/>
      <c r="B97" s="378"/>
      <c r="C97" s="368"/>
      <c r="D97" s="414"/>
      <c r="E97" s="346"/>
      <c r="F97" s="386"/>
      <c r="G97" s="385"/>
      <c r="H97" s="385"/>
      <c r="I97" s="386"/>
      <c r="J97" s="385"/>
      <c r="K97" s="380"/>
    </row>
    <row r="98" spans="1:11" ht="13.9" hidden="1" customHeight="1">
      <c r="A98" s="380"/>
      <c r="B98" s="378"/>
      <c r="C98" s="393" t="s">
        <v>498</v>
      </c>
      <c r="D98" s="393"/>
      <c r="E98" s="347"/>
      <c r="K98" s="380"/>
    </row>
    <row r="99" spans="1:11" ht="13.9" hidden="1" customHeight="1">
      <c r="A99" s="380"/>
      <c r="B99" s="378"/>
      <c r="C99" s="368" t="s">
        <v>499</v>
      </c>
      <c r="D99" s="368"/>
      <c r="E99" s="346"/>
      <c r="K99" s="380"/>
    </row>
    <row r="100" spans="1:11" ht="13.9" hidden="1" customHeight="1">
      <c r="A100" s="380"/>
      <c r="B100" s="378"/>
      <c r="C100" s="368" t="s">
        <v>500</v>
      </c>
      <c r="D100" s="368"/>
      <c r="K100" s="380"/>
    </row>
    <row r="101" spans="1:11" ht="13.9" hidden="1" customHeight="1">
      <c r="A101" s="380"/>
      <c r="B101" s="378"/>
      <c r="C101" s="395" t="s">
        <v>492</v>
      </c>
      <c r="D101" s="396" t="s">
        <v>454</v>
      </c>
      <c r="E101" s="349" t="s">
        <v>479</v>
      </c>
      <c r="F101" s="650" t="s">
        <v>501</v>
      </c>
      <c r="G101" s="650"/>
      <c r="H101" s="524"/>
      <c r="I101" s="650" t="s">
        <v>502</v>
      </c>
      <c r="J101" s="650"/>
      <c r="K101" s="380"/>
    </row>
    <row r="102" spans="1:11" ht="13.9" hidden="1" customHeight="1">
      <c r="A102" s="380"/>
      <c r="B102" s="378"/>
      <c r="C102" s="368" t="s">
        <v>503</v>
      </c>
      <c r="D102" s="414" t="s">
        <v>496</v>
      </c>
      <c r="E102" s="346">
        <v>136</v>
      </c>
      <c r="F102" s="386">
        <v>31.31</v>
      </c>
      <c r="G102" s="385" t="s">
        <v>458</v>
      </c>
      <c r="H102" s="385"/>
      <c r="I102" s="386" t="e">
        <f>F102+0.1*#REF!</f>
        <v>#REF!</v>
      </c>
      <c r="J102" s="385" t="s">
        <v>469</v>
      </c>
      <c r="K102" s="380"/>
    </row>
    <row r="103" spans="1:11" ht="13.9" hidden="1" customHeight="1">
      <c r="A103" s="380"/>
      <c r="B103" s="378"/>
      <c r="C103" s="400"/>
      <c r="D103" s="415"/>
      <c r="E103" s="350">
        <f>SUM(E102)</f>
        <v>136</v>
      </c>
      <c r="F103" s="402">
        <f>SUM(F102)</f>
        <v>31.31</v>
      </c>
      <c r="G103" s="403" t="s">
        <v>460</v>
      </c>
      <c r="H103" s="403"/>
      <c r="I103" s="402" t="e">
        <f>SUM(I102)</f>
        <v>#REF!</v>
      </c>
      <c r="J103" s="403" t="s">
        <v>460</v>
      </c>
      <c r="K103" s="380"/>
    </row>
    <row r="104" spans="1:11" ht="13.9" hidden="1" customHeight="1">
      <c r="A104" s="380"/>
      <c r="B104" s="378"/>
      <c r="C104" s="368"/>
      <c r="D104" s="414"/>
      <c r="E104" s="346"/>
      <c r="F104" s="386"/>
      <c r="G104" s="385"/>
      <c r="H104" s="385"/>
      <c r="I104" s="386"/>
      <c r="J104" s="385"/>
      <c r="K104" s="380"/>
    </row>
    <row r="105" spans="1:11" ht="13.9" hidden="1" customHeight="1">
      <c r="A105" s="380"/>
      <c r="B105" s="378"/>
      <c r="C105" s="368"/>
      <c r="D105" s="368"/>
      <c r="E105" s="346"/>
      <c r="K105" s="380"/>
    </row>
    <row r="106" spans="1:11" ht="13.9" hidden="1" customHeight="1">
      <c r="A106" s="380"/>
      <c r="B106" s="378"/>
      <c r="C106" s="393" t="s">
        <v>504</v>
      </c>
      <c r="D106" s="393"/>
      <c r="E106" s="347"/>
      <c r="K106" s="380"/>
    </row>
    <row r="107" spans="1:11" ht="13.9" hidden="1" customHeight="1">
      <c r="A107" s="380"/>
      <c r="B107" s="378"/>
      <c r="C107" s="368" t="s">
        <v>490</v>
      </c>
      <c r="D107" s="368"/>
      <c r="E107" s="346"/>
      <c r="K107" s="380"/>
    </row>
    <row r="108" spans="1:11" ht="13.9" hidden="1" customHeight="1">
      <c r="A108" s="380"/>
      <c r="B108" s="378"/>
      <c r="C108" s="368" t="s">
        <v>505</v>
      </c>
      <c r="D108" s="368"/>
      <c r="K108" s="380"/>
    </row>
    <row r="109" spans="1:11" ht="13.9" hidden="1" customHeight="1">
      <c r="A109" s="380"/>
      <c r="B109" s="378"/>
      <c r="C109" s="395" t="s">
        <v>478</v>
      </c>
      <c r="D109" s="396" t="s">
        <v>454</v>
      </c>
      <c r="E109" s="349" t="s">
        <v>463</v>
      </c>
      <c r="F109" s="650" t="s">
        <v>501</v>
      </c>
      <c r="G109" s="650"/>
      <c r="H109" s="524"/>
      <c r="I109" s="650" t="s">
        <v>465</v>
      </c>
      <c r="J109" s="650"/>
      <c r="K109" s="380"/>
    </row>
    <row r="110" spans="1:11" ht="13.9" hidden="1" customHeight="1">
      <c r="A110" s="380"/>
      <c r="B110" s="378"/>
      <c r="C110" s="368" t="s">
        <v>503</v>
      </c>
      <c r="D110" s="414" t="s">
        <v>496</v>
      </c>
      <c r="E110" s="346">
        <v>144</v>
      </c>
      <c r="F110" s="386">
        <v>33.15</v>
      </c>
      <c r="G110" s="385" t="s">
        <v>467</v>
      </c>
      <c r="H110" s="385"/>
      <c r="I110" s="386" t="e">
        <f>F110+0.1*#REF!</f>
        <v>#REF!</v>
      </c>
      <c r="J110" s="385" t="s">
        <v>457</v>
      </c>
      <c r="K110" s="380"/>
    </row>
    <row r="111" spans="1:11" ht="13.9" hidden="1" customHeight="1">
      <c r="A111" s="380"/>
      <c r="B111" s="378"/>
      <c r="C111" s="400"/>
      <c r="D111" s="401"/>
      <c r="E111" s="350">
        <f>SUM(E110)</f>
        <v>144</v>
      </c>
      <c r="F111" s="402">
        <f>SUM(F110)</f>
        <v>33.15</v>
      </c>
      <c r="G111" s="403" t="s">
        <v>460</v>
      </c>
      <c r="H111" s="403"/>
      <c r="I111" s="402" t="e">
        <f>SUM(I110)</f>
        <v>#REF!</v>
      </c>
      <c r="J111" s="403" t="s">
        <v>460</v>
      </c>
      <c r="K111" s="380"/>
    </row>
    <row r="112" spans="1:11" ht="13.9" hidden="1" customHeight="1">
      <c r="A112" s="380"/>
      <c r="B112" s="378"/>
      <c r="C112" s="368"/>
      <c r="D112" s="368"/>
      <c r="E112" s="346"/>
      <c r="K112" s="380"/>
    </row>
    <row r="113" spans="1:11" ht="13.9" hidden="1" customHeight="1">
      <c r="A113" s="380" t="s">
        <v>452</v>
      </c>
      <c r="B113" s="378"/>
      <c r="C113" s="368"/>
      <c r="D113" s="368"/>
      <c r="E113" s="346"/>
      <c r="K113" s="380"/>
    </row>
    <row r="114" spans="1:11" ht="13.9" hidden="1" customHeight="1">
      <c r="A114" s="380"/>
      <c r="B114" s="378"/>
      <c r="C114" s="416" t="s">
        <v>506</v>
      </c>
      <c r="D114" s="393"/>
      <c r="E114" s="346"/>
      <c r="K114" s="380"/>
    </row>
    <row r="115" spans="1:11" ht="13.9" hidden="1" customHeight="1">
      <c r="A115" s="380"/>
      <c r="B115" s="378"/>
      <c r="C115" s="393" t="s">
        <v>507</v>
      </c>
      <c r="D115" s="393"/>
      <c r="E115" s="346"/>
      <c r="K115" s="380"/>
    </row>
    <row r="116" spans="1:11" ht="13.9" hidden="1" customHeight="1">
      <c r="A116" s="380"/>
      <c r="B116" s="378"/>
      <c r="C116" s="368" t="s">
        <v>499</v>
      </c>
      <c r="D116" s="394"/>
      <c r="E116" s="346"/>
      <c r="K116" s="380"/>
    </row>
    <row r="117" spans="1:11" ht="13.9" hidden="1" customHeight="1">
      <c r="A117" s="380" t="s">
        <v>452</v>
      </c>
      <c r="B117" s="378"/>
      <c r="C117" s="368" t="s">
        <v>491</v>
      </c>
      <c r="K117" s="380"/>
    </row>
    <row r="118" spans="1:11" ht="13.9" hidden="1" customHeight="1">
      <c r="A118" s="380"/>
      <c r="B118" s="378"/>
      <c r="C118" s="395" t="s">
        <v>478</v>
      </c>
      <c r="D118" s="396" t="s">
        <v>454</v>
      </c>
      <c r="E118" s="349" t="s">
        <v>463</v>
      </c>
      <c r="F118" s="650" t="s">
        <v>476</v>
      </c>
      <c r="G118" s="650"/>
      <c r="H118" s="524"/>
      <c r="I118" s="650" t="s">
        <v>465</v>
      </c>
      <c r="J118" s="650"/>
      <c r="K118" s="380"/>
    </row>
    <row r="119" spans="1:11" ht="13.9" hidden="1" customHeight="1">
      <c r="A119" s="380"/>
      <c r="B119" s="378"/>
      <c r="C119" s="368" t="s">
        <v>503</v>
      </c>
      <c r="D119" s="414" t="s">
        <v>496</v>
      </c>
      <c r="E119" s="346">
        <v>195</v>
      </c>
      <c r="F119" s="386">
        <v>44.89</v>
      </c>
      <c r="G119" s="385" t="s">
        <v>459</v>
      </c>
      <c r="H119" s="385"/>
      <c r="I119" s="386" t="e">
        <f>F119+0.1*#REF!</f>
        <v>#REF!</v>
      </c>
      <c r="J119" s="385" t="s">
        <v>459</v>
      </c>
      <c r="K119" s="380"/>
    </row>
    <row r="120" spans="1:11" ht="13.9" hidden="1" customHeight="1">
      <c r="A120" s="380"/>
      <c r="B120" s="378"/>
      <c r="C120" s="400"/>
      <c r="D120" s="401"/>
      <c r="E120" s="350">
        <f>SUM(E119)</f>
        <v>195</v>
      </c>
      <c r="F120" s="402">
        <f>SUM(F119)</f>
        <v>44.89</v>
      </c>
      <c r="G120" s="403" t="s">
        <v>460</v>
      </c>
      <c r="H120" s="403"/>
      <c r="I120" s="402" t="e">
        <f>SUM(I119)</f>
        <v>#REF!</v>
      </c>
      <c r="J120" s="403" t="s">
        <v>460</v>
      </c>
      <c r="K120" s="380"/>
    </row>
    <row r="121" spans="1:11" ht="13.9" hidden="1" customHeight="1">
      <c r="A121" s="380"/>
      <c r="B121" s="378"/>
      <c r="C121" s="368"/>
      <c r="D121" s="368"/>
      <c r="E121" s="346"/>
      <c r="K121" s="380"/>
    </row>
    <row r="122" spans="1:11" ht="13.9" hidden="1" customHeight="1">
      <c r="A122" s="380"/>
      <c r="B122" s="378"/>
      <c r="C122" s="368"/>
      <c r="D122" s="368"/>
      <c r="E122" s="346"/>
      <c r="K122" s="380"/>
    </row>
    <row r="123" spans="1:11" ht="13.9" hidden="1" customHeight="1">
      <c r="A123" s="380"/>
      <c r="B123" s="378"/>
      <c r="C123" s="393" t="s">
        <v>508</v>
      </c>
      <c r="D123" s="393"/>
      <c r="E123" s="346"/>
      <c r="K123" s="380"/>
    </row>
    <row r="124" spans="1:11" ht="13.9" hidden="1" customHeight="1">
      <c r="A124" s="380"/>
      <c r="B124" s="378"/>
      <c r="C124" s="368" t="s">
        <v>509</v>
      </c>
      <c r="D124" s="394"/>
      <c r="E124" s="346"/>
      <c r="K124" s="380"/>
    </row>
    <row r="125" spans="1:11" ht="13.9" hidden="1" customHeight="1">
      <c r="A125" s="380"/>
      <c r="B125" s="378"/>
      <c r="C125" s="368" t="s">
        <v>510</v>
      </c>
      <c r="K125" s="380"/>
    </row>
    <row r="126" spans="1:11" ht="13.9" hidden="1" customHeight="1">
      <c r="A126" s="380"/>
      <c r="B126" s="378"/>
      <c r="C126" s="395" t="s">
        <v>478</v>
      </c>
      <c r="D126" s="396" t="s">
        <v>454</v>
      </c>
      <c r="E126" s="349" t="s">
        <v>511</v>
      </c>
      <c r="F126" s="650" t="s">
        <v>512</v>
      </c>
      <c r="G126" s="650"/>
      <c r="H126" s="524"/>
      <c r="I126" s="650" t="s">
        <v>513</v>
      </c>
      <c r="J126" s="650"/>
      <c r="K126" s="380"/>
    </row>
    <row r="127" spans="1:11" ht="13.9" hidden="1" customHeight="1">
      <c r="A127" s="380"/>
      <c r="B127" s="378"/>
      <c r="C127" s="368" t="s">
        <v>503</v>
      </c>
      <c r="D127" s="414" t="s">
        <v>496</v>
      </c>
      <c r="E127" s="346">
        <v>120</v>
      </c>
      <c r="F127" s="386">
        <v>6.95</v>
      </c>
      <c r="G127" s="385" t="s">
        <v>514</v>
      </c>
      <c r="H127" s="385"/>
      <c r="I127" s="386" t="e">
        <f>F127+0.1*#REF!</f>
        <v>#REF!</v>
      </c>
      <c r="J127" s="385" t="s">
        <v>514</v>
      </c>
      <c r="K127" s="380"/>
    </row>
    <row r="128" spans="1:11" ht="13.9" hidden="1" customHeight="1">
      <c r="A128" s="380" t="s">
        <v>452</v>
      </c>
      <c r="B128" s="378"/>
      <c r="C128" s="400"/>
      <c r="D128" s="401"/>
      <c r="E128" s="350">
        <f>SUM(E127)</f>
        <v>120</v>
      </c>
      <c r="F128" s="402">
        <f>SUM(F127)</f>
        <v>6.95</v>
      </c>
      <c r="G128" s="403" t="s">
        <v>460</v>
      </c>
      <c r="H128" s="403"/>
      <c r="I128" s="402" t="e">
        <f>SUM(I127)</f>
        <v>#REF!</v>
      </c>
      <c r="J128" s="403" t="s">
        <v>460</v>
      </c>
      <c r="K128" s="380"/>
    </row>
    <row r="129" spans="1:11" ht="13.9" hidden="1" customHeight="1">
      <c r="A129" s="380"/>
      <c r="B129" s="378"/>
      <c r="C129" s="368"/>
      <c r="D129" s="368"/>
      <c r="E129" s="346"/>
      <c r="K129" s="380"/>
    </row>
    <row r="130" spans="1:11" ht="13.9" hidden="1" customHeight="1">
      <c r="A130" s="380"/>
      <c r="B130" s="378"/>
      <c r="C130" s="395" t="s">
        <v>478</v>
      </c>
      <c r="D130" s="396" t="s">
        <v>454</v>
      </c>
      <c r="E130" s="349" t="s">
        <v>515</v>
      </c>
      <c r="F130" s="650" t="s">
        <v>516</v>
      </c>
      <c r="G130" s="650"/>
      <c r="H130" s="524"/>
      <c r="I130" s="650" t="s">
        <v>517</v>
      </c>
      <c r="J130" s="650"/>
      <c r="K130" s="380"/>
    </row>
    <row r="131" spans="1:11" ht="13.9" hidden="1" customHeight="1">
      <c r="A131" s="380"/>
      <c r="B131" s="378"/>
      <c r="C131" s="368" t="s">
        <v>518</v>
      </c>
      <c r="D131" s="414" t="s">
        <v>519</v>
      </c>
      <c r="E131" s="346">
        <v>132</v>
      </c>
      <c r="F131" s="386">
        <v>30.42</v>
      </c>
      <c r="G131" s="385" t="s">
        <v>469</v>
      </c>
      <c r="H131" s="385"/>
      <c r="I131" s="386" t="e">
        <f>F131+0.1*#REF!</f>
        <v>#REF!</v>
      </c>
      <c r="J131" s="385" t="s">
        <v>520</v>
      </c>
      <c r="K131" s="380"/>
    </row>
    <row r="132" spans="1:11" ht="13.9" hidden="1" customHeight="1">
      <c r="A132" s="380"/>
      <c r="B132" s="378"/>
      <c r="C132" s="400"/>
      <c r="D132" s="401"/>
      <c r="E132" s="350">
        <f>SUM(E131:E131)</f>
        <v>132</v>
      </c>
      <c r="F132" s="402">
        <f>SUM(F131:F131)</f>
        <v>30.42</v>
      </c>
      <c r="G132" s="403" t="s">
        <v>460</v>
      </c>
      <c r="H132" s="403"/>
      <c r="I132" s="402" t="e">
        <f>SUM(I131:I131)</f>
        <v>#REF!</v>
      </c>
      <c r="J132" s="403" t="s">
        <v>460</v>
      </c>
      <c r="K132" s="380"/>
    </row>
    <row r="133" spans="1:11" ht="13.9" hidden="1" customHeight="1">
      <c r="A133" s="380"/>
      <c r="B133" s="378"/>
      <c r="C133" s="368"/>
      <c r="D133" s="368"/>
      <c r="E133" s="346"/>
      <c r="K133" s="380"/>
    </row>
    <row r="134" spans="1:11" ht="13.9" hidden="1" customHeight="1">
      <c r="A134" s="380"/>
      <c r="B134" s="378"/>
      <c r="C134" s="368"/>
      <c r="D134" s="368"/>
      <c r="E134" s="346"/>
      <c r="K134" s="380"/>
    </row>
    <row r="135" spans="1:11" ht="13.9" hidden="1" customHeight="1">
      <c r="A135" s="380"/>
      <c r="B135" s="378"/>
      <c r="C135" s="416" t="s">
        <v>521</v>
      </c>
      <c r="D135" s="393"/>
      <c r="E135" s="346"/>
      <c r="K135" s="380"/>
    </row>
    <row r="136" spans="1:11" ht="13.9" hidden="1" customHeight="1">
      <c r="A136" s="380"/>
      <c r="B136" s="378"/>
      <c r="C136" s="393" t="s">
        <v>522</v>
      </c>
      <c r="D136" s="393"/>
      <c r="E136" s="346"/>
      <c r="K136" s="380"/>
    </row>
    <row r="137" spans="1:11" ht="13.9" hidden="1" customHeight="1">
      <c r="A137" s="380"/>
      <c r="B137" s="378"/>
      <c r="C137" s="368" t="s">
        <v>523</v>
      </c>
      <c r="D137" s="394"/>
      <c r="E137" s="346"/>
      <c r="K137" s="380"/>
    </row>
    <row r="138" spans="1:11" ht="13.9" hidden="1" customHeight="1">
      <c r="A138" s="380"/>
      <c r="B138" s="378"/>
      <c r="C138" s="368" t="s">
        <v>524</v>
      </c>
      <c r="K138" s="380"/>
    </row>
    <row r="139" spans="1:11" ht="13.9" hidden="1" customHeight="1">
      <c r="A139" s="380"/>
      <c r="B139" s="378"/>
      <c r="C139" s="395" t="s">
        <v>525</v>
      </c>
      <c r="D139" s="396" t="s">
        <v>454</v>
      </c>
      <c r="E139" s="349" t="s">
        <v>463</v>
      </c>
      <c r="F139" s="650" t="s">
        <v>476</v>
      </c>
      <c r="G139" s="650"/>
      <c r="H139" s="524"/>
      <c r="I139" s="650" t="s">
        <v>517</v>
      </c>
      <c r="J139" s="650"/>
      <c r="K139" s="380"/>
    </row>
    <row r="140" spans="1:11" ht="13.9" hidden="1" customHeight="1">
      <c r="A140" s="380"/>
      <c r="B140" s="378"/>
      <c r="C140" s="368" t="s">
        <v>526</v>
      </c>
      <c r="D140" s="414" t="s">
        <v>527</v>
      </c>
      <c r="E140" s="346">
        <v>2587</v>
      </c>
      <c r="F140" s="386">
        <v>595.08000000000004</v>
      </c>
      <c r="G140" s="385" t="s">
        <v>457</v>
      </c>
      <c r="H140" s="385"/>
      <c r="I140" s="386" t="e">
        <f>F140+0.1*#REF!</f>
        <v>#REF!</v>
      </c>
      <c r="J140" s="385" t="s">
        <v>457</v>
      </c>
      <c r="K140" s="380"/>
    </row>
    <row r="141" spans="1:11" ht="13.9" hidden="1" customHeight="1">
      <c r="A141" s="380"/>
      <c r="B141" s="378"/>
      <c r="C141" s="400"/>
      <c r="D141" s="401"/>
      <c r="E141" s="350">
        <f>SUM(E140:E140)</f>
        <v>2587</v>
      </c>
      <c r="F141" s="402">
        <f>SUM(F140:F140)</f>
        <v>595.08000000000004</v>
      </c>
      <c r="G141" s="403" t="s">
        <v>460</v>
      </c>
      <c r="H141" s="403"/>
      <c r="I141" s="402" t="e">
        <f>SUM(I140:I140)</f>
        <v>#REF!</v>
      </c>
      <c r="J141" s="403" t="s">
        <v>460</v>
      </c>
      <c r="K141" s="380"/>
    </row>
    <row r="142" spans="1:11" ht="13.9" hidden="1" customHeight="1">
      <c r="A142" s="380"/>
      <c r="B142" s="378"/>
      <c r="C142" s="368"/>
      <c r="D142" s="368"/>
      <c r="E142" s="346"/>
      <c r="K142" s="380"/>
    </row>
    <row r="143" spans="1:11" ht="13.9" hidden="1" customHeight="1">
      <c r="A143" s="380" t="s">
        <v>452</v>
      </c>
      <c r="B143" s="378"/>
      <c r="C143" s="368" t="s">
        <v>518</v>
      </c>
      <c r="D143" s="414" t="s">
        <v>528</v>
      </c>
      <c r="E143" s="346">
        <v>874</v>
      </c>
      <c r="F143" s="386">
        <v>205.5</v>
      </c>
      <c r="G143" s="385" t="s">
        <v>457</v>
      </c>
      <c r="H143" s="385"/>
      <c r="I143" s="386" t="e">
        <f>F143+0.1*#REF!</f>
        <v>#REF!</v>
      </c>
      <c r="J143" s="385" t="s">
        <v>529</v>
      </c>
      <c r="K143" s="380"/>
    </row>
    <row r="144" spans="1:11" ht="13.9" hidden="1" customHeight="1">
      <c r="A144" s="380"/>
      <c r="B144" s="378"/>
      <c r="C144" s="400"/>
      <c r="D144" s="401"/>
      <c r="E144" s="350">
        <f>SUM(E143:E143)</f>
        <v>874</v>
      </c>
      <c r="F144" s="402">
        <f>SUM(F143:F143)</f>
        <v>205.5</v>
      </c>
      <c r="G144" s="403" t="s">
        <v>460</v>
      </c>
      <c r="H144" s="403"/>
      <c r="I144" s="402" t="e">
        <f>SUM(I143:I143)</f>
        <v>#REF!</v>
      </c>
      <c r="J144" s="403" t="s">
        <v>460</v>
      </c>
      <c r="K144" s="380"/>
    </row>
    <row r="145" spans="1:15" ht="13.9" hidden="1" customHeight="1">
      <c r="A145" s="380"/>
      <c r="B145" s="378"/>
      <c r="C145" s="368"/>
      <c r="D145" s="368"/>
      <c r="E145" s="346"/>
      <c r="K145" s="380"/>
    </row>
    <row r="146" spans="1:15" ht="13.9" hidden="1" customHeight="1">
      <c r="A146" s="380"/>
      <c r="B146" s="378"/>
      <c r="C146" s="368"/>
      <c r="D146" s="368"/>
      <c r="E146" s="346"/>
      <c r="K146" s="380"/>
    </row>
    <row r="147" spans="1:15" ht="13.9" hidden="1" customHeight="1">
      <c r="A147" s="380"/>
      <c r="B147" s="378"/>
      <c r="C147" s="368"/>
      <c r="D147" s="368"/>
      <c r="E147" s="346"/>
      <c r="K147" s="380"/>
    </row>
    <row r="148" spans="1:15" ht="13.9" hidden="1" customHeight="1">
      <c r="A148" s="380"/>
      <c r="B148" s="378"/>
      <c r="C148" s="393" t="s">
        <v>530</v>
      </c>
      <c r="D148" s="393"/>
      <c r="E148" s="346"/>
      <c r="F148" s="385"/>
      <c r="G148" s="386"/>
      <c r="H148" s="386"/>
      <c r="I148" s="385"/>
      <c r="K148" s="380"/>
    </row>
    <row r="149" spans="1:15" ht="13.9" hidden="1" customHeight="1">
      <c r="A149" s="380"/>
      <c r="B149" s="378"/>
      <c r="C149" s="368" t="s">
        <v>531</v>
      </c>
      <c r="D149" s="394"/>
      <c r="E149" s="346"/>
      <c r="F149" s="385"/>
      <c r="G149" s="386"/>
      <c r="H149" s="386"/>
      <c r="I149" s="385"/>
      <c r="K149" s="380"/>
    </row>
    <row r="150" spans="1:15" ht="13.9" hidden="1" customHeight="1">
      <c r="A150" s="380"/>
      <c r="B150" s="378"/>
      <c r="C150" s="368" t="s">
        <v>532</v>
      </c>
      <c r="F150" s="385"/>
      <c r="G150" s="386"/>
      <c r="H150" s="386"/>
      <c r="I150" s="385"/>
      <c r="K150" s="380"/>
    </row>
    <row r="151" spans="1:15" ht="13.9" hidden="1" customHeight="1">
      <c r="A151" s="380"/>
      <c r="B151" s="378"/>
      <c r="C151" s="395" t="s">
        <v>478</v>
      </c>
      <c r="D151" s="396" t="s">
        <v>454</v>
      </c>
      <c r="E151" s="349" t="s">
        <v>463</v>
      </c>
      <c r="F151" s="650" t="s">
        <v>476</v>
      </c>
      <c r="G151" s="650"/>
      <c r="H151" s="524"/>
      <c r="I151" s="650" t="s">
        <v>465</v>
      </c>
      <c r="J151" s="650"/>
      <c r="K151" s="380"/>
    </row>
    <row r="152" spans="1:15" ht="13.9" hidden="1" customHeight="1">
      <c r="A152" s="380"/>
      <c r="B152" s="378"/>
      <c r="C152" s="368" t="s">
        <v>526</v>
      </c>
      <c r="D152" s="414" t="s">
        <v>533</v>
      </c>
      <c r="E152" s="346">
        <v>676</v>
      </c>
      <c r="F152" s="386">
        <v>155.69999999999999</v>
      </c>
      <c r="G152" s="385" t="s">
        <v>534</v>
      </c>
      <c r="H152" s="385"/>
      <c r="I152" s="386" t="e">
        <f>F152+0.1*#REF!</f>
        <v>#REF!</v>
      </c>
      <c r="J152" s="385" t="s">
        <v>529</v>
      </c>
      <c r="K152" s="380"/>
    </row>
    <row r="153" spans="1:15" ht="13.9" hidden="1" customHeight="1">
      <c r="A153" s="380"/>
      <c r="B153" s="378"/>
      <c r="C153" s="368" t="s">
        <v>526</v>
      </c>
      <c r="D153" s="414" t="s">
        <v>535</v>
      </c>
      <c r="E153" s="346">
        <v>3486</v>
      </c>
      <c r="F153" s="386">
        <v>819.8</v>
      </c>
      <c r="G153" s="385" t="s">
        <v>520</v>
      </c>
      <c r="H153" s="385"/>
      <c r="I153" s="386" t="e">
        <f>F153+0.1*#REF!</f>
        <v>#REF!</v>
      </c>
      <c r="J153" s="385" t="s">
        <v>536</v>
      </c>
      <c r="K153" s="380"/>
    </row>
    <row r="154" spans="1:15" ht="13.9" hidden="1" customHeight="1">
      <c r="A154" s="380"/>
      <c r="B154" s="378"/>
      <c r="C154" s="368" t="s">
        <v>526</v>
      </c>
      <c r="D154" s="414" t="s">
        <v>527</v>
      </c>
      <c r="E154" s="346">
        <v>1080</v>
      </c>
      <c r="F154" s="386">
        <v>248.42</v>
      </c>
      <c r="G154" s="385" t="s">
        <v>537</v>
      </c>
      <c r="H154" s="385"/>
      <c r="I154" s="386" t="e">
        <f>F154+0.1*#REF!</f>
        <v>#REF!</v>
      </c>
      <c r="J154" s="385" t="s">
        <v>529</v>
      </c>
      <c r="K154" s="380"/>
    </row>
    <row r="155" spans="1:15" ht="13.9" hidden="1" customHeight="1">
      <c r="A155" s="380"/>
      <c r="B155" s="378"/>
      <c r="C155" s="400"/>
      <c r="D155" s="401"/>
      <c r="E155" s="350">
        <f>SUM(E152:E154)</f>
        <v>5242</v>
      </c>
      <c r="F155" s="402">
        <f>SUM(F152:F154)</f>
        <v>1223.92</v>
      </c>
      <c r="G155" s="403" t="s">
        <v>460</v>
      </c>
      <c r="H155" s="403"/>
      <c r="I155" s="402" t="e">
        <f>SUM(I152:I154)</f>
        <v>#REF!</v>
      </c>
      <c r="J155" s="403" t="s">
        <v>460</v>
      </c>
      <c r="K155" s="380"/>
    </row>
    <row r="156" spans="1:15" ht="13.9" hidden="1" customHeight="1">
      <c r="A156" s="380"/>
      <c r="B156" s="378"/>
      <c r="C156" s="368"/>
      <c r="D156" s="368"/>
      <c r="E156" s="346"/>
      <c r="K156" s="380"/>
      <c r="M156" s="359">
        <v>6</v>
      </c>
      <c r="N156" s="359">
        <v>517</v>
      </c>
      <c r="O156" s="359">
        <v>119.05</v>
      </c>
    </row>
    <row r="157" spans="1:15" ht="13.9" hidden="1" customHeight="1">
      <c r="A157" s="380"/>
      <c r="B157" s="378"/>
      <c r="C157" s="368" t="s">
        <v>518</v>
      </c>
      <c r="D157" s="414" t="s">
        <v>528</v>
      </c>
      <c r="E157" s="346">
        <v>865</v>
      </c>
      <c r="F157" s="386">
        <v>203.4</v>
      </c>
      <c r="G157" s="385" t="s">
        <v>538</v>
      </c>
      <c r="H157" s="385"/>
      <c r="I157" s="386" t="e">
        <f>F157+0.1*#REF!</f>
        <v>#REF!</v>
      </c>
      <c r="J157" s="385" t="s">
        <v>539</v>
      </c>
      <c r="K157" s="380"/>
      <c r="M157" s="359">
        <v>1</v>
      </c>
      <c r="N157" s="359">
        <v>48</v>
      </c>
      <c r="O157" s="359">
        <v>11.05</v>
      </c>
    </row>
    <row r="158" spans="1:15" ht="13.9" hidden="1" customHeight="1">
      <c r="A158" s="380"/>
      <c r="B158" s="378"/>
      <c r="C158" s="368" t="s">
        <v>518</v>
      </c>
      <c r="D158" s="414" t="s">
        <v>540</v>
      </c>
      <c r="E158" s="346">
        <v>1818</v>
      </c>
      <c r="F158" s="386">
        <v>418.6</v>
      </c>
      <c r="G158" s="385" t="s">
        <v>457</v>
      </c>
      <c r="H158" s="385"/>
      <c r="I158" s="386" t="e">
        <f>F158+0.1*#REF!</f>
        <v>#REF!</v>
      </c>
      <c r="J158" s="385" t="s">
        <v>529</v>
      </c>
      <c r="K158" s="380"/>
      <c r="M158" s="359">
        <v>1</v>
      </c>
      <c r="N158" s="359">
        <v>69</v>
      </c>
      <c r="O158" s="359">
        <v>15.88</v>
      </c>
    </row>
    <row r="159" spans="1:15" ht="13.9" hidden="1" customHeight="1">
      <c r="A159" s="380"/>
      <c r="B159" s="378"/>
      <c r="C159" s="368" t="s">
        <v>518</v>
      </c>
      <c r="D159" s="414" t="s">
        <v>541</v>
      </c>
      <c r="E159" s="346">
        <v>1790</v>
      </c>
      <c r="F159" s="386">
        <v>411.3</v>
      </c>
      <c r="G159" s="385" t="s">
        <v>542</v>
      </c>
      <c r="H159" s="385"/>
      <c r="I159" s="386" t="e">
        <f>F159+0.1*#REF!</f>
        <v>#REF!</v>
      </c>
      <c r="J159" s="385" t="s">
        <v>543</v>
      </c>
      <c r="K159" s="380"/>
      <c r="M159" s="359">
        <v>4</v>
      </c>
      <c r="N159" s="359">
        <v>437</v>
      </c>
      <c r="O159" s="359">
        <v>100.62</v>
      </c>
    </row>
    <row r="160" spans="1:15" ht="13.9" hidden="1" customHeight="1">
      <c r="A160" s="380"/>
      <c r="B160" s="378"/>
      <c r="C160" s="368" t="s">
        <v>518</v>
      </c>
      <c r="D160" s="414">
        <v>17</v>
      </c>
      <c r="E160" s="346">
        <v>517</v>
      </c>
      <c r="F160" s="386">
        <v>119.05</v>
      </c>
      <c r="G160" s="385" t="s">
        <v>539</v>
      </c>
      <c r="H160" s="385"/>
      <c r="I160" s="386" t="e">
        <f>F160+0.1*#REF!</f>
        <v>#REF!</v>
      </c>
      <c r="J160" s="385" t="s">
        <v>520</v>
      </c>
      <c r="K160" s="380"/>
      <c r="M160" s="359">
        <v>4</v>
      </c>
      <c r="N160" s="359">
        <v>442</v>
      </c>
      <c r="O160" s="359">
        <v>101.78</v>
      </c>
    </row>
    <row r="161" spans="1:15" ht="13.9" hidden="1" customHeight="1">
      <c r="A161" s="380"/>
      <c r="B161" s="378"/>
      <c r="C161" s="400"/>
      <c r="D161" s="401"/>
      <c r="E161" s="350">
        <f>SUM(E157:E160)</f>
        <v>4990</v>
      </c>
      <c r="F161" s="402">
        <f>SUM(F157:F160)</f>
        <v>1152.3499999999999</v>
      </c>
      <c r="G161" s="403" t="s">
        <v>460</v>
      </c>
      <c r="H161" s="403"/>
      <c r="I161" s="402" t="e">
        <f>SUM(I157:I160)</f>
        <v>#REF!</v>
      </c>
      <c r="J161" s="403" t="s">
        <v>460</v>
      </c>
      <c r="K161" s="380"/>
      <c r="M161" s="359">
        <v>2</v>
      </c>
      <c r="N161" s="359">
        <v>132</v>
      </c>
      <c r="O161" s="359">
        <v>30.42</v>
      </c>
    </row>
    <row r="162" spans="1:15" ht="13.9" hidden="1" customHeight="1">
      <c r="A162" s="380"/>
      <c r="B162" s="378"/>
      <c r="C162" s="368"/>
      <c r="D162" s="368"/>
      <c r="E162" s="346"/>
      <c r="K162" s="380"/>
    </row>
    <row r="163" spans="1:15" ht="13.9" hidden="1" customHeight="1">
      <c r="A163" s="380"/>
      <c r="B163" s="378"/>
      <c r="C163" s="368"/>
      <c r="D163" s="368"/>
      <c r="E163" s="346"/>
      <c r="K163" s="380"/>
    </row>
    <row r="164" spans="1:15" ht="13.9" hidden="1" customHeight="1">
      <c r="A164" s="380"/>
      <c r="B164" s="378"/>
      <c r="C164" s="393" t="s">
        <v>544</v>
      </c>
      <c r="D164" s="393"/>
      <c r="E164" s="346"/>
      <c r="K164" s="380"/>
    </row>
    <row r="165" spans="1:15" ht="13.9" hidden="1" customHeight="1">
      <c r="A165" s="380"/>
      <c r="B165" s="378"/>
      <c r="C165" s="368" t="s">
        <v>545</v>
      </c>
      <c r="D165" s="394"/>
      <c r="E165" s="346"/>
      <c r="K165" s="380"/>
    </row>
    <row r="166" spans="1:15" ht="13.9" hidden="1" customHeight="1">
      <c r="A166" s="380"/>
      <c r="B166" s="378"/>
      <c r="C166" s="368" t="s">
        <v>491</v>
      </c>
      <c r="K166" s="380"/>
    </row>
    <row r="167" spans="1:15" ht="13.9" hidden="1" customHeight="1">
      <c r="A167" s="380"/>
      <c r="B167" s="378"/>
      <c r="C167" s="395" t="s">
        <v>546</v>
      </c>
      <c r="D167" s="396" t="s">
        <v>454</v>
      </c>
      <c r="E167" s="349" t="s">
        <v>547</v>
      </c>
      <c r="F167" s="650" t="s">
        <v>548</v>
      </c>
      <c r="G167" s="650"/>
      <c r="H167" s="524"/>
      <c r="I167" s="650" t="s">
        <v>549</v>
      </c>
      <c r="J167" s="650"/>
      <c r="K167" s="380"/>
    </row>
    <row r="168" spans="1:15" ht="13.9" hidden="1" customHeight="1">
      <c r="A168" s="380"/>
      <c r="B168" s="378"/>
      <c r="C168" s="368" t="s">
        <v>518</v>
      </c>
      <c r="D168" s="414" t="s">
        <v>550</v>
      </c>
      <c r="E168" s="346">
        <v>1708</v>
      </c>
      <c r="F168" s="386">
        <v>401.4</v>
      </c>
      <c r="G168" s="385" t="s">
        <v>457</v>
      </c>
      <c r="H168" s="385"/>
      <c r="I168" s="386" t="e">
        <f>F168+0.1*#REF!</f>
        <v>#REF!</v>
      </c>
      <c r="J168" s="385" t="s">
        <v>534</v>
      </c>
      <c r="K168" s="380"/>
    </row>
    <row r="169" spans="1:15" ht="13.9" hidden="1" customHeight="1">
      <c r="A169" s="380"/>
      <c r="B169" s="378"/>
      <c r="C169" s="368" t="s">
        <v>518</v>
      </c>
      <c r="D169" s="414" t="s">
        <v>519</v>
      </c>
      <c r="E169" s="346">
        <v>48</v>
      </c>
      <c r="F169" s="386">
        <v>11.05</v>
      </c>
      <c r="G169" s="385" t="s">
        <v>538</v>
      </c>
      <c r="H169" s="385"/>
      <c r="I169" s="386" t="e">
        <f>F169+0.1*#REF!</f>
        <v>#REF!</v>
      </c>
      <c r="J169" s="385" t="s">
        <v>529</v>
      </c>
      <c r="K169" s="380"/>
    </row>
    <row r="170" spans="1:15" ht="13.9" hidden="1" customHeight="1">
      <c r="A170" s="380"/>
      <c r="B170" s="378"/>
      <c r="C170" s="400"/>
      <c r="D170" s="401"/>
      <c r="E170" s="350">
        <f>SUM(E168:E169)</f>
        <v>1756</v>
      </c>
      <c r="F170" s="402">
        <f>SUM(F168:F169)</f>
        <v>412.45</v>
      </c>
      <c r="G170" s="403" t="s">
        <v>460</v>
      </c>
      <c r="H170" s="403"/>
      <c r="I170" s="402" t="e">
        <f>SUM(I168:I169)</f>
        <v>#REF!</v>
      </c>
      <c r="J170" s="403" t="s">
        <v>460</v>
      </c>
      <c r="K170" s="380"/>
    </row>
    <row r="171" spans="1:15" ht="13.9" hidden="1" customHeight="1">
      <c r="A171" s="380"/>
      <c r="B171" s="378"/>
      <c r="C171" s="368"/>
      <c r="D171" s="368"/>
      <c r="E171" s="346"/>
      <c r="K171" s="380"/>
    </row>
    <row r="172" spans="1:15" ht="13.9" hidden="1" customHeight="1">
      <c r="A172" s="380"/>
      <c r="B172" s="378"/>
      <c r="C172" s="368"/>
      <c r="D172" s="368"/>
      <c r="E172" s="346"/>
      <c r="K172" s="380"/>
    </row>
    <row r="173" spans="1:15" ht="13.9" hidden="1" customHeight="1">
      <c r="A173" s="380"/>
      <c r="B173" s="378"/>
      <c r="C173" s="393" t="s">
        <v>551</v>
      </c>
      <c r="D173" s="393"/>
      <c r="E173" s="346"/>
      <c r="K173" s="380"/>
    </row>
    <row r="174" spans="1:15" ht="13.9" hidden="1" customHeight="1">
      <c r="A174" s="380"/>
      <c r="B174" s="378"/>
      <c r="C174" s="368" t="s">
        <v>552</v>
      </c>
      <c r="D174" s="394"/>
      <c r="E174" s="346"/>
      <c r="K174" s="380"/>
    </row>
    <row r="175" spans="1:15" ht="13.9" hidden="1" customHeight="1">
      <c r="A175" s="380"/>
      <c r="B175" s="378"/>
      <c r="C175" s="368" t="s">
        <v>553</v>
      </c>
      <c r="K175" s="380"/>
    </row>
    <row r="176" spans="1:15" ht="13.9" hidden="1" customHeight="1">
      <c r="A176" s="380"/>
      <c r="B176" s="378"/>
      <c r="C176" s="395" t="s">
        <v>478</v>
      </c>
      <c r="D176" s="396" t="s">
        <v>454</v>
      </c>
      <c r="E176" s="349" t="s">
        <v>554</v>
      </c>
      <c r="F176" s="650" t="s">
        <v>548</v>
      </c>
      <c r="G176" s="650"/>
      <c r="H176" s="524"/>
      <c r="I176" s="650" t="s">
        <v>502</v>
      </c>
      <c r="J176" s="650"/>
      <c r="K176" s="380"/>
    </row>
    <row r="177" spans="1:11" ht="13.9" hidden="1" customHeight="1">
      <c r="A177" s="380"/>
      <c r="B177" s="378"/>
      <c r="C177" s="368" t="s">
        <v>518</v>
      </c>
      <c r="D177" s="414" t="s">
        <v>555</v>
      </c>
      <c r="E177" s="346">
        <v>1723</v>
      </c>
      <c r="F177" s="386">
        <v>396.2</v>
      </c>
      <c r="G177" s="385" t="s">
        <v>542</v>
      </c>
      <c r="H177" s="385"/>
      <c r="I177" s="386" t="e">
        <f>F177+0.1*#REF!</f>
        <v>#REF!</v>
      </c>
      <c r="J177" s="385" t="s">
        <v>534</v>
      </c>
      <c r="K177" s="380"/>
    </row>
    <row r="178" spans="1:11" ht="13.9" hidden="1" customHeight="1">
      <c r="A178" s="380"/>
      <c r="B178" s="378"/>
      <c r="C178" s="368" t="s">
        <v>518</v>
      </c>
      <c r="D178" s="414" t="s">
        <v>519</v>
      </c>
      <c r="E178" s="346">
        <v>69</v>
      </c>
      <c r="F178" s="386">
        <v>15.88</v>
      </c>
      <c r="G178" s="385" t="s">
        <v>536</v>
      </c>
      <c r="H178" s="385"/>
      <c r="I178" s="386" t="e">
        <f>F178+0.1*#REF!</f>
        <v>#REF!</v>
      </c>
      <c r="J178" s="385" t="s">
        <v>529</v>
      </c>
      <c r="K178" s="380"/>
    </row>
    <row r="179" spans="1:11" ht="13.9" hidden="1" customHeight="1">
      <c r="A179" s="380"/>
      <c r="B179" s="378"/>
      <c r="C179" s="400"/>
      <c r="D179" s="401"/>
      <c r="E179" s="350">
        <f>SUM(E177:E178)</f>
        <v>1792</v>
      </c>
      <c r="F179" s="402">
        <f>SUM(F177:F178)</f>
        <v>412.08</v>
      </c>
      <c r="G179" s="403" t="s">
        <v>460</v>
      </c>
      <c r="H179" s="403"/>
      <c r="I179" s="402" t="e">
        <f>SUM(I177:I178)</f>
        <v>#REF!</v>
      </c>
      <c r="J179" s="403" t="s">
        <v>460</v>
      </c>
      <c r="K179" s="380"/>
    </row>
    <row r="180" spans="1:11" ht="13.5" hidden="1" customHeight="1">
      <c r="A180" s="380"/>
      <c r="B180" s="378"/>
      <c r="C180" s="368"/>
      <c r="D180" s="368"/>
      <c r="E180" s="346"/>
      <c r="K180" s="380"/>
    </row>
    <row r="181" spans="1:11" ht="13.5" hidden="1" customHeight="1">
      <c r="A181" s="380"/>
      <c r="B181" s="378"/>
      <c r="C181" s="368"/>
      <c r="D181" s="368"/>
      <c r="E181" s="346"/>
      <c r="K181" s="380"/>
    </row>
    <row r="182" spans="1:11" ht="13.5" hidden="1" customHeight="1">
      <c r="A182" s="380"/>
      <c r="B182" s="378"/>
      <c r="C182" s="393" t="s">
        <v>556</v>
      </c>
      <c r="D182" s="368"/>
      <c r="E182" s="346"/>
      <c r="K182" s="380"/>
    </row>
    <row r="183" spans="1:11" ht="13.5" hidden="1" customHeight="1">
      <c r="A183" s="380"/>
      <c r="B183" s="378"/>
      <c r="C183" s="368" t="s">
        <v>557</v>
      </c>
      <c r="D183" s="368"/>
      <c r="E183" s="346"/>
      <c r="K183" s="380"/>
    </row>
    <row r="184" spans="1:11" ht="13.5" hidden="1" customHeight="1">
      <c r="A184" s="380"/>
      <c r="B184" s="378"/>
      <c r="C184" s="368" t="s">
        <v>558</v>
      </c>
      <c r="D184" s="368"/>
      <c r="E184" s="346"/>
      <c r="K184" s="380"/>
    </row>
    <row r="185" spans="1:11" ht="13.5" hidden="1" customHeight="1">
      <c r="A185" s="380"/>
      <c r="B185" s="378"/>
      <c r="C185" s="395" t="s">
        <v>559</v>
      </c>
      <c r="D185" s="396" t="s">
        <v>454</v>
      </c>
      <c r="E185" s="349" t="s">
        <v>560</v>
      </c>
      <c r="F185" s="650" t="s">
        <v>561</v>
      </c>
      <c r="G185" s="650"/>
      <c r="H185" s="524"/>
      <c r="I185" s="650" t="s">
        <v>465</v>
      </c>
      <c r="J185" s="650"/>
      <c r="K185" s="380"/>
    </row>
    <row r="186" spans="1:11" ht="13.5" hidden="1" customHeight="1">
      <c r="A186" s="380"/>
      <c r="B186" s="378"/>
      <c r="C186" s="368" t="s">
        <v>518</v>
      </c>
      <c r="D186" s="414" t="s">
        <v>519</v>
      </c>
      <c r="E186" s="346">
        <v>437</v>
      </c>
      <c r="F186" s="386">
        <v>100.62</v>
      </c>
      <c r="G186" s="385" t="s">
        <v>538</v>
      </c>
      <c r="H186" s="385"/>
      <c r="I186" s="386" t="e">
        <f>F186+0.1*#REF!</f>
        <v>#REF!</v>
      </c>
      <c r="J186" s="385" t="s">
        <v>520</v>
      </c>
      <c r="K186" s="380"/>
    </row>
    <row r="187" spans="1:11" ht="13.5" hidden="1" customHeight="1">
      <c r="A187" s="380"/>
      <c r="B187" s="378"/>
      <c r="C187" s="400"/>
      <c r="D187" s="401"/>
      <c r="E187" s="350">
        <f>SUM(E186)</f>
        <v>437</v>
      </c>
      <c r="F187" s="402">
        <f>SUM(F186)</f>
        <v>100.62</v>
      </c>
      <c r="G187" s="403" t="s">
        <v>460</v>
      </c>
      <c r="H187" s="403"/>
      <c r="I187" s="402" t="e">
        <f>SUM(I186)</f>
        <v>#REF!</v>
      </c>
      <c r="J187" s="403" t="s">
        <v>460</v>
      </c>
      <c r="K187" s="380"/>
    </row>
    <row r="188" spans="1:11" ht="13.5" hidden="1" customHeight="1">
      <c r="A188" s="380"/>
      <c r="B188" s="378"/>
      <c r="C188" s="368"/>
      <c r="D188" s="368"/>
      <c r="E188" s="346"/>
      <c r="K188" s="380"/>
    </row>
    <row r="189" spans="1:11" ht="13.5" hidden="1" customHeight="1">
      <c r="A189" s="380"/>
      <c r="B189" s="378"/>
      <c r="C189" s="393" t="s">
        <v>562</v>
      </c>
      <c r="D189" s="368"/>
      <c r="E189" s="346"/>
      <c r="K189" s="380"/>
    </row>
    <row r="190" spans="1:11" ht="13.5" hidden="1" customHeight="1">
      <c r="A190" s="380"/>
      <c r="B190" s="378"/>
      <c r="C190" s="368" t="s">
        <v>563</v>
      </c>
      <c r="D190" s="368"/>
      <c r="E190" s="346"/>
      <c r="K190" s="380"/>
    </row>
    <row r="191" spans="1:11" ht="13.5" hidden="1" customHeight="1">
      <c r="A191" s="380"/>
      <c r="B191" s="378"/>
      <c r="C191" s="368" t="s">
        <v>564</v>
      </c>
      <c r="D191" s="368"/>
      <c r="E191" s="346"/>
      <c r="K191" s="380"/>
    </row>
    <row r="192" spans="1:11" ht="13.9" hidden="1" customHeight="1">
      <c r="A192" s="380"/>
      <c r="B192" s="378"/>
      <c r="C192" s="395" t="s">
        <v>565</v>
      </c>
      <c r="D192" s="396" t="s">
        <v>454</v>
      </c>
      <c r="E192" s="349" t="s">
        <v>566</v>
      </c>
      <c r="F192" s="650" t="s">
        <v>476</v>
      </c>
      <c r="G192" s="650"/>
      <c r="H192" s="524"/>
      <c r="I192" s="650" t="s">
        <v>549</v>
      </c>
      <c r="J192" s="650"/>
      <c r="K192" s="380"/>
    </row>
    <row r="193" spans="1:11" ht="13.9" hidden="1" customHeight="1">
      <c r="A193" s="380"/>
      <c r="B193" s="378"/>
      <c r="C193" s="368" t="s">
        <v>518</v>
      </c>
      <c r="D193" s="414" t="s">
        <v>519</v>
      </c>
      <c r="E193" s="346">
        <v>442</v>
      </c>
      <c r="F193" s="386">
        <v>101.78</v>
      </c>
      <c r="G193" s="385" t="s">
        <v>457</v>
      </c>
      <c r="H193" s="385"/>
      <c r="I193" s="386" t="e">
        <f>F193+0.1*#REF!</f>
        <v>#REF!</v>
      </c>
      <c r="J193" s="385" t="s">
        <v>529</v>
      </c>
      <c r="K193" s="380"/>
    </row>
    <row r="194" spans="1:11" ht="13.9" hidden="1" customHeight="1">
      <c r="A194" s="380"/>
      <c r="B194" s="378"/>
      <c r="C194" s="400"/>
      <c r="D194" s="401"/>
      <c r="E194" s="350">
        <f>SUM(E193)</f>
        <v>442</v>
      </c>
      <c r="F194" s="402">
        <f>SUM(F193)</f>
        <v>101.78</v>
      </c>
      <c r="G194" s="403" t="s">
        <v>460</v>
      </c>
      <c r="H194" s="403"/>
      <c r="I194" s="402" t="e">
        <f>SUM(I193)</f>
        <v>#REF!</v>
      </c>
      <c r="J194" s="403" t="s">
        <v>460</v>
      </c>
      <c r="K194" s="380"/>
    </row>
    <row r="195" spans="1:11" ht="13.9" hidden="1" customHeight="1">
      <c r="A195" s="380"/>
      <c r="B195" s="378"/>
      <c r="C195" s="368"/>
      <c r="D195" s="368"/>
      <c r="E195" s="346"/>
      <c r="K195" s="380"/>
    </row>
    <row r="196" spans="1:11" ht="13.9" customHeight="1">
      <c r="A196" s="380"/>
      <c r="B196" s="378"/>
    </row>
    <row r="197" spans="1:11" ht="13.9" customHeight="1">
      <c r="A197" s="380"/>
      <c r="B197" s="378"/>
    </row>
    <row r="198" spans="1:11" ht="13.9" customHeight="1">
      <c r="A198" s="380"/>
      <c r="B198" s="378"/>
    </row>
    <row r="199" spans="1:11" ht="13.9" customHeight="1">
      <c r="A199" s="380"/>
      <c r="B199" s="378"/>
    </row>
    <row r="200" spans="1:11" ht="13.9" customHeight="1">
      <c r="A200" s="379"/>
      <c r="B200" s="379"/>
      <c r="C200" s="368"/>
      <c r="D200" s="368"/>
      <c r="E200" s="346"/>
      <c r="F200" s="368"/>
      <c r="G200" s="368"/>
      <c r="H200" s="368"/>
      <c r="I200" s="420"/>
      <c r="J200" s="420"/>
    </row>
    <row r="201" spans="1:11" ht="13.9" customHeight="1">
      <c r="A201" s="378"/>
      <c r="B201" s="379"/>
      <c r="C201" s="368"/>
      <c r="D201" s="368"/>
      <c r="E201" s="346"/>
      <c r="F201" s="368"/>
      <c r="G201" s="368"/>
      <c r="H201" s="368"/>
      <c r="I201" s="368"/>
      <c r="J201" s="368"/>
    </row>
    <row r="202" spans="1:11" ht="13.9" customHeight="1">
      <c r="E202" s="347"/>
    </row>
    <row r="203" spans="1:11" ht="13.9" customHeight="1">
      <c r="E203" s="347"/>
    </row>
    <row r="204" spans="1:11" ht="13.9" customHeight="1"/>
    <row r="205" spans="1:11" ht="13.9" customHeight="1"/>
    <row r="206" spans="1:11" ht="13.9" customHeight="1"/>
    <row r="207" spans="1:11" ht="13.9" customHeight="1"/>
    <row r="208" spans="1:11" ht="13.9" customHeight="1"/>
    <row r="209" spans="5:11" s="361" customFormat="1" ht="13.9" customHeight="1">
      <c r="E209" s="348"/>
      <c r="K209" s="359"/>
    </row>
    <row r="210" spans="5:11" s="361" customFormat="1" ht="13.9" customHeight="1">
      <c r="E210" s="348"/>
      <c r="K210" s="359"/>
    </row>
    <row r="211" spans="5:11" s="361" customFormat="1" ht="13.9" customHeight="1">
      <c r="E211" s="348"/>
      <c r="K211" s="359"/>
    </row>
    <row r="212" spans="5:11" s="361" customFormat="1" ht="13.9" customHeight="1">
      <c r="E212" s="348"/>
      <c r="K212" s="359"/>
    </row>
    <row r="213" spans="5:11" s="361" customFormat="1" ht="13.9" customHeight="1">
      <c r="E213" s="348"/>
      <c r="K213" s="359"/>
    </row>
    <row r="214" spans="5:11" s="361" customFormat="1" ht="13.9" customHeight="1">
      <c r="E214" s="348"/>
      <c r="K214" s="359"/>
    </row>
    <row r="215" spans="5:11" s="361" customFormat="1" ht="13.9" customHeight="1">
      <c r="E215" s="348"/>
      <c r="K215" s="359"/>
    </row>
    <row r="216" spans="5:11" s="361" customFormat="1" ht="13.9" customHeight="1">
      <c r="E216" s="348"/>
      <c r="K216" s="359"/>
    </row>
    <row r="217" spans="5:11" s="361" customFormat="1" ht="13.9" customHeight="1">
      <c r="E217" s="348"/>
      <c r="K217" s="359"/>
    </row>
    <row r="218" spans="5:11" s="361" customFormat="1" ht="13.9" customHeight="1">
      <c r="E218" s="348"/>
      <c r="K218" s="359"/>
    </row>
    <row r="219" spans="5:11" s="361" customFormat="1" ht="13.9" customHeight="1">
      <c r="E219" s="348"/>
      <c r="K219" s="359"/>
    </row>
    <row r="220" spans="5:11" s="361" customFormat="1" ht="13.9" customHeight="1">
      <c r="E220" s="348"/>
      <c r="K220" s="359"/>
    </row>
    <row r="221" spans="5:11" s="361" customFormat="1" ht="13.9" customHeight="1">
      <c r="E221" s="348"/>
      <c r="K221" s="359"/>
    </row>
    <row r="222" spans="5:11" s="361" customFormat="1" ht="13.9" customHeight="1">
      <c r="E222" s="348"/>
      <c r="K222" s="359"/>
    </row>
    <row r="223" spans="5:11" s="361" customFormat="1" ht="13.9" customHeight="1">
      <c r="E223" s="348"/>
      <c r="K223" s="359"/>
    </row>
    <row r="224" spans="5:11" s="361" customFormat="1" ht="13.9" customHeight="1">
      <c r="E224" s="348"/>
      <c r="K224" s="359"/>
    </row>
    <row r="225" spans="5:11" s="361" customFormat="1" ht="13.9" customHeight="1">
      <c r="E225" s="348"/>
      <c r="K225" s="359"/>
    </row>
    <row r="226" spans="5:11" s="361" customFormat="1" ht="13.9" customHeight="1">
      <c r="E226" s="348"/>
      <c r="K226" s="359"/>
    </row>
  </sheetData>
  <mergeCells count="43">
    <mergeCell ref="F139:G139"/>
    <mergeCell ref="I139:J139"/>
    <mergeCell ref="F185:G185"/>
    <mergeCell ref="I185:J185"/>
    <mergeCell ref="F192:G192"/>
    <mergeCell ref="I192:J192"/>
    <mergeCell ref="F151:G151"/>
    <mergeCell ref="I151:J151"/>
    <mergeCell ref="F167:G167"/>
    <mergeCell ref="I167:J167"/>
    <mergeCell ref="F176:G176"/>
    <mergeCell ref="I176:J176"/>
    <mergeCell ref="F118:G118"/>
    <mergeCell ref="I118:J118"/>
    <mergeCell ref="F126:G126"/>
    <mergeCell ref="I126:J126"/>
    <mergeCell ref="F130:G130"/>
    <mergeCell ref="I130:J130"/>
    <mergeCell ref="F94:G94"/>
    <mergeCell ref="I94:J94"/>
    <mergeCell ref="F101:G101"/>
    <mergeCell ref="I101:J101"/>
    <mergeCell ref="F109:G109"/>
    <mergeCell ref="I109:J109"/>
    <mergeCell ref="F78:G78"/>
    <mergeCell ref="I78:J78"/>
    <mergeCell ref="F86:G86"/>
    <mergeCell ref="I86:J86"/>
    <mergeCell ref="I77:J77"/>
    <mergeCell ref="I66:J66"/>
    <mergeCell ref="F77:G77"/>
    <mergeCell ref="F44:G44"/>
    <mergeCell ref="E1:J3"/>
    <mergeCell ref="I5:J5"/>
    <mergeCell ref="I7:J7"/>
    <mergeCell ref="F40:G40"/>
    <mergeCell ref="I40:J40"/>
    <mergeCell ref="F10:J10"/>
    <mergeCell ref="C19:D19"/>
    <mergeCell ref="A19:B19"/>
    <mergeCell ref="A21:B21"/>
    <mergeCell ref="C21:D21"/>
    <mergeCell ref="F66:G66"/>
  </mergeCells>
  <phoneticPr fontId="2" type="noConversion"/>
  <printOptions horizontalCentered="1"/>
  <pageMargins left="0.25" right="0.25" top="0.16" bottom="0.16" header="0.16" footer="0.3"/>
  <pageSetup paperSize="9" scale="68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M105"/>
  <sheetViews>
    <sheetView view="pageBreakPreview" topLeftCell="A30" zoomScale="80" zoomScaleNormal="85" zoomScaleSheetLayoutView="80" workbookViewId="0">
      <selection activeCell="J34" sqref="J34:J37"/>
    </sheetView>
  </sheetViews>
  <sheetFormatPr defaultColWidth="8.109375" defaultRowHeight="15"/>
  <cols>
    <col min="1" max="1" width="0.77734375" style="474" customWidth="1"/>
    <col min="2" max="2" width="6.33203125" style="474" customWidth="1"/>
    <col min="3" max="3" width="23.33203125" style="474" customWidth="1"/>
    <col min="4" max="4" width="10.77734375" style="474" customWidth="1"/>
    <col min="5" max="5" width="17.88671875" style="474" customWidth="1"/>
    <col min="6" max="6" width="18.6640625" style="474" customWidth="1"/>
    <col min="7" max="8" width="14.77734375" style="474" customWidth="1"/>
    <col min="9" max="9" width="17.5546875" style="474" customWidth="1"/>
    <col min="10" max="10" width="18.21875" style="474" customWidth="1"/>
    <col min="11" max="11" width="11.33203125" style="474" customWidth="1"/>
    <col min="12" max="12" width="12.21875" style="474" bestFit="1" customWidth="1"/>
    <col min="13" max="257" width="8.109375" style="474"/>
    <col min="258" max="258" width="0.77734375" style="474" customWidth="1"/>
    <col min="259" max="259" width="6.33203125" style="474" customWidth="1"/>
    <col min="260" max="260" width="23.33203125" style="474" customWidth="1"/>
    <col min="261" max="261" width="24.6640625" style="474" customWidth="1"/>
    <col min="262" max="262" width="17.88671875" style="474" customWidth="1"/>
    <col min="263" max="263" width="0" style="474" hidden="1" customWidth="1"/>
    <col min="264" max="264" width="14.77734375" style="474" customWidth="1"/>
    <col min="265" max="265" width="17.5546875" style="474" customWidth="1"/>
    <col min="266" max="266" width="18.21875" style="474" customWidth="1"/>
    <col min="267" max="267" width="8.109375" style="474"/>
    <col min="268" max="268" width="12.21875" style="474" bestFit="1" customWidth="1"/>
    <col min="269" max="513" width="8.109375" style="474"/>
    <col min="514" max="514" width="0.77734375" style="474" customWidth="1"/>
    <col min="515" max="515" width="6.33203125" style="474" customWidth="1"/>
    <col min="516" max="516" width="23.33203125" style="474" customWidth="1"/>
    <col min="517" max="517" width="24.6640625" style="474" customWidth="1"/>
    <col min="518" max="518" width="17.88671875" style="474" customWidth="1"/>
    <col min="519" max="519" width="0" style="474" hidden="1" customWidth="1"/>
    <col min="520" max="520" width="14.77734375" style="474" customWidth="1"/>
    <col min="521" max="521" width="17.5546875" style="474" customWidth="1"/>
    <col min="522" max="522" width="18.21875" style="474" customWidth="1"/>
    <col min="523" max="523" width="8.109375" style="474"/>
    <col min="524" max="524" width="12.21875" style="474" bestFit="1" customWidth="1"/>
    <col min="525" max="769" width="8.109375" style="474"/>
    <col min="770" max="770" width="0.77734375" style="474" customWidth="1"/>
    <col min="771" max="771" width="6.33203125" style="474" customWidth="1"/>
    <col min="772" max="772" width="23.33203125" style="474" customWidth="1"/>
    <col min="773" max="773" width="24.6640625" style="474" customWidth="1"/>
    <col min="774" max="774" width="17.88671875" style="474" customWidth="1"/>
    <col min="775" max="775" width="0" style="474" hidden="1" customWidth="1"/>
    <col min="776" max="776" width="14.77734375" style="474" customWidth="1"/>
    <col min="777" max="777" width="17.5546875" style="474" customWidth="1"/>
    <col min="778" max="778" width="18.21875" style="474" customWidth="1"/>
    <col min="779" max="779" width="8.109375" style="474"/>
    <col min="780" max="780" width="12.21875" style="474" bestFit="1" customWidth="1"/>
    <col min="781" max="1025" width="8.109375" style="474"/>
    <col min="1026" max="1026" width="0.77734375" style="474" customWidth="1"/>
    <col min="1027" max="1027" width="6.33203125" style="474" customWidth="1"/>
    <col min="1028" max="1028" width="23.33203125" style="474" customWidth="1"/>
    <col min="1029" max="1029" width="24.6640625" style="474" customWidth="1"/>
    <col min="1030" max="1030" width="17.88671875" style="474" customWidth="1"/>
    <col min="1031" max="1031" width="0" style="474" hidden="1" customWidth="1"/>
    <col min="1032" max="1032" width="14.77734375" style="474" customWidth="1"/>
    <col min="1033" max="1033" width="17.5546875" style="474" customWidth="1"/>
    <col min="1034" max="1034" width="18.21875" style="474" customWidth="1"/>
    <col min="1035" max="1035" width="8.109375" style="474"/>
    <col min="1036" max="1036" width="12.21875" style="474" bestFit="1" customWidth="1"/>
    <col min="1037" max="1281" width="8.109375" style="474"/>
    <col min="1282" max="1282" width="0.77734375" style="474" customWidth="1"/>
    <col min="1283" max="1283" width="6.33203125" style="474" customWidth="1"/>
    <col min="1284" max="1284" width="23.33203125" style="474" customWidth="1"/>
    <col min="1285" max="1285" width="24.6640625" style="474" customWidth="1"/>
    <col min="1286" max="1286" width="17.88671875" style="474" customWidth="1"/>
    <col min="1287" max="1287" width="0" style="474" hidden="1" customWidth="1"/>
    <col min="1288" max="1288" width="14.77734375" style="474" customWidth="1"/>
    <col min="1289" max="1289" width="17.5546875" style="474" customWidth="1"/>
    <col min="1290" max="1290" width="18.21875" style="474" customWidth="1"/>
    <col min="1291" max="1291" width="8.109375" style="474"/>
    <col min="1292" max="1292" width="12.21875" style="474" bestFit="1" customWidth="1"/>
    <col min="1293" max="1537" width="8.109375" style="474"/>
    <col min="1538" max="1538" width="0.77734375" style="474" customWidth="1"/>
    <col min="1539" max="1539" width="6.33203125" style="474" customWidth="1"/>
    <col min="1540" max="1540" width="23.33203125" style="474" customWidth="1"/>
    <col min="1541" max="1541" width="24.6640625" style="474" customWidth="1"/>
    <col min="1542" max="1542" width="17.88671875" style="474" customWidth="1"/>
    <col min="1543" max="1543" width="0" style="474" hidden="1" customWidth="1"/>
    <col min="1544" max="1544" width="14.77734375" style="474" customWidth="1"/>
    <col min="1545" max="1545" width="17.5546875" style="474" customWidth="1"/>
    <col min="1546" max="1546" width="18.21875" style="474" customWidth="1"/>
    <col min="1547" max="1547" width="8.109375" style="474"/>
    <col min="1548" max="1548" width="12.21875" style="474" bestFit="1" customWidth="1"/>
    <col min="1549" max="1793" width="8.109375" style="474"/>
    <col min="1794" max="1794" width="0.77734375" style="474" customWidth="1"/>
    <col min="1795" max="1795" width="6.33203125" style="474" customWidth="1"/>
    <col min="1796" max="1796" width="23.33203125" style="474" customWidth="1"/>
    <col min="1797" max="1797" width="24.6640625" style="474" customWidth="1"/>
    <col min="1798" max="1798" width="17.88671875" style="474" customWidth="1"/>
    <col min="1799" max="1799" width="0" style="474" hidden="1" customWidth="1"/>
    <col min="1800" max="1800" width="14.77734375" style="474" customWidth="1"/>
    <col min="1801" max="1801" width="17.5546875" style="474" customWidth="1"/>
    <col min="1802" max="1802" width="18.21875" style="474" customWidth="1"/>
    <col min="1803" max="1803" width="8.109375" style="474"/>
    <col min="1804" max="1804" width="12.21875" style="474" bestFit="1" customWidth="1"/>
    <col min="1805" max="2049" width="8.109375" style="474"/>
    <col min="2050" max="2050" width="0.77734375" style="474" customWidth="1"/>
    <col min="2051" max="2051" width="6.33203125" style="474" customWidth="1"/>
    <col min="2052" max="2052" width="23.33203125" style="474" customWidth="1"/>
    <col min="2053" max="2053" width="24.6640625" style="474" customWidth="1"/>
    <col min="2054" max="2054" width="17.88671875" style="474" customWidth="1"/>
    <col min="2055" max="2055" width="0" style="474" hidden="1" customWidth="1"/>
    <col min="2056" max="2056" width="14.77734375" style="474" customWidth="1"/>
    <col min="2057" max="2057" width="17.5546875" style="474" customWidth="1"/>
    <col min="2058" max="2058" width="18.21875" style="474" customWidth="1"/>
    <col min="2059" max="2059" width="8.109375" style="474"/>
    <col min="2060" max="2060" width="12.21875" style="474" bestFit="1" customWidth="1"/>
    <col min="2061" max="2305" width="8.109375" style="474"/>
    <col min="2306" max="2306" width="0.77734375" style="474" customWidth="1"/>
    <col min="2307" max="2307" width="6.33203125" style="474" customWidth="1"/>
    <col min="2308" max="2308" width="23.33203125" style="474" customWidth="1"/>
    <col min="2309" max="2309" width="24.6640625" style="474" customWidth="1"/>
    <col min="2310" max="2310" width="17.88671875" style="474" customWidth="1"/>
    <col min="2311" max="2311" width="0" style="474" hidden="1" customWidth="1"/>
    <col min="2312" max="2312" width="14.77734375" style="474" customWidth="1"/>
    <col min="2313" max="2313" width="17.5546875" style="474" customWidth="1"/>
    <col min="2314" max="2314" width="18.21875" style="474" customWidth="1"/>
    <col min="2315" max="2315" width="8.109375" style="474"/>
    <col min="2316" max="2316" width="12.21875" style="474" bestFit="1" customWidth="1"/>
    <col min="2317" max="2561" width="8.109375" style="474"/>
    <col min="2562" max="2562" width="0.77734375" style="474" customWidth="1"/>
    <col min="2563" max="2563" width="6.33203125" style="474" customWidth="1"/>
    <col min="2564" max="2564" width="23.33203125" style="474" customWidth="1"/>
    <col min="2565" max="2565" width="24.6640625" style="474" customWidth="1"/>
    <col min="2566" max="2566" width="17.88671875" style="474" customWidth="1"/>
    <col min="2567" max="2567" width="0" style="474" hidden="1" customWidth="1"/>
    <col min="2568" max="2568" width="14.77734375" style="474" customWidth="1"/>
    <col min="2569" max="2569" width="17.5546875" style="474" customWidth="1"/>
    <col min="2570" max="2570" width="18.21875" style="474" customWidth="1"/>
    <col min="2571" max="2571" width="8.109375" style="474"/>
    <col min="2572" max="2572" width="12.21875" style="474" bestFit="1" customWidth="1"/>
    <col min="2573" max="2817" width="8.109375" style="474"/>
    <col min="2818" max="2818" width="0.77734375" style="474" customWidth="1"/>
    <col min="2819" max="2819" width="6.33203125" style="474" customWidth="1"/>
    <col min="2820" max="2820" width="23.33203125" style="474" customWidth="1"/>
    <col min="2821" max="2821" width="24.6640625" style="474" customWidth="1"/>
    <col min="2822" max="2822" width="17.88671875" style="474" customWidth="1"/>
    <col min="2823" max="2823" width="0" style="474" hidden="1" customWidth="1"/>
    <col min="2824" max="2824" width="14.77734375" style="474" customWidth="1"/>
    <col min="2825" max="2825" width="17.5546875" style="474" customWidth="1"/>
    <col min="2826" max="2826" width="18.21875" style="474" customWidth="1"/>
    <col min="2827" max="2827" width="8.109375" style="474"/>
    <col min="2828" max="2828" width="12.21875" style="474" bestFit="1" customWidth="1"/>
    <col min="2829" max="3073" width="8.109375" style="474"/>
    <col min="3074" max="3074" width="0.77734375" style="474" customWidth="1"/>
    <col min="3075" max="3075" width="6.33203125" style="474" customWidth="1"/>
    <col min="3076" max="3076" width="23.33203125" style="474" customWidth="1"/>
    <col min="3077" max="3077" width="24.6640625" style="474" customWidth="1"/>
    <col min="3078" max="3078" width="17.88671875" style="474" customWidth="1"/>
    <col min="3079" max="3079" width="0" style="474" hidden="1" customWidth="1"/>
    <col min="3080" max="3080" width="14.77734375" style="474" customWidth="1"/>
    <col min="3081" max="3081" width="17.5546875" style="474" customWidth="1"/>
    <col min="3082" max="3082" width="18.21875" style="474" customWidth="1"/>
    <col min="3083" max="3083" width="8.109375" style="474"/>
    <col min="3084" max="3084" width="12.21875" style="474" bestFit="1" customWidth="1"/>
    <col min="3085" max="3329" width="8.109375" style="474"/>
    <col min="3330" max="3330" width="0.77734375" style="474" customWidth="1"/>
    <col min="3331" max="3331" width="6.33203125" style="474" customWidth="1"/>
    <col min="3332" max="3332" width="23.33203125" style="474" customWidth="1"/>
    <col min="3333" max="3333" width="24.6640625" style="474" customWidth="1"/>
    <col min="3334" max="3334" width="17.88671875" style="474" customWidth="1"/>
    <col min="3335" max="3335" width="0" style="474" hidden="1" customWidth="1"/>
    <col min="3336" max="3336" width="14.77734375" style="474" customWidth="1"/>
    <col min="3337" max="3337" width="17.5546875" style="474" customWidth="1"/>
    <col min="3338" max="3338" width="18.21875" style="474" customWidth="1"/>
    <col min="3339" max="3339" width="8.109375" style="474"/>
    <col min="3340" max="3340" width="12.21875" style="474" bestFit="1" customWidth="1"/>
    <col min="3341" max="3585" width="8.109375" style="474"/>
    <col min="3586" max="3586" width="0.77734375" style="474" customWidth="1"/>
    <col min="3587" max="3587" width="6.33203125" style="474" customWidth="1"/>
    <col min="3588" max="3588" width="23.33203125" style="474" customWidth="1"/>
    <col min="3589" max="3589" width="24.6640625" style="474" customWidth="1"/>
    <col min="3590" max="3590" width="17.88671875" style="474" customWidth="1"/>
    <col min="3591" max="3591" width="0" style="474" hidden="1" customWidth="1"/>
    <col min="3592" max="3592" width="14.77734375" style="474" customWidth="1"/>
    <col min="3593" max="3593" width="17.5546875" style="474" customWidth="1"/>
    <col min="3594" max="3594" width="18.21875" style="474" customWidth="1"/>
    <col min="3595" max="3595" width="8.109375" style="474"/>
    <col min="3596" max="3596" width="12.21875" style="474" bestFit="1" customWidth="1"/>
    <col min="3597" max="3841" width="8.109375" style="474"/>
    <col min="3842" max="3842" width="0.77734375" style="474" customWidth="1"/>
    <col min="3843" max="3843" width="6.33203125" style="474" customWidth="1"/>
    <col min="3844" max="3844" width="23.33203125" style="474" customWidth="1"/>
    <col min="3845" max="3845" width="24.6640625" style="474" customWidth="1"/>
    <col min="3846" max="3846" width="17.88671875" style="474" customWidth="1"/>
    <col min="3847" max="3847" width="0" style="474" hidden="1" customWidth="1"/>
    <col min="3848" max="3848" width="14.77734375" style="474" customWidth="1"/>
    <col min="3849" max="3849" width="17.5546875" style="474" customWidth="1"/>
    <col min="3850" max="3850" width="18.21875" style="474" customWidth="1"/>
    <col min="3851" max="3851" width="8.109375" style="474"/>
    <col min="3852" max="3852" width="12.21875" style="474" bestFit="1" customWidth="1"/>
    <col min="3853" max="4097" width="8.109375" style="474"/>
    <col min="4098" max="4098" width="0.77734375" style="474" customWidth="1"/>
    <col min="4099" max="4099" width="6.33203125" style="474" customWidth="1"/>
    <col min="4100" max="4100" width="23.33203125" style="474" customWidth="1"/>
    <col min="4101" max="4101" width="24.6640625" style="474" customWidth="1"/>
    <col min="4102" max="4102" width="17.88671875" style="474" customWidth="1"/>
    <col min="4103" max="4103" width="0" style="474" hidden="1" customWidth="1"/>
    <col min="4104" max="4104" width="14.77734375" style="474" customWidth="1"/>
    <col min="4105" max="4105" width="17.5546875" style="474" customWidth="1"/>
    <col min="4106" max="4106" width="18.21875" style="474" customWidth="1"/>
    <col min="4107" max="4107" width="8.109375" style="474"/>
    <col min="4108" max="4108" width="12.21875" style="474" bestFit="1" customWidth="1"/>
    <col min="4109" max="4353" width="8.109375" style="474"/>
    <col min="4354" max="4354" width="0.77734375" style="474" customWidth="1"/>
    <col min="4355" max="4355" width="6.33203125" style="474" customWidth="1"/>
    <col min="4356" max="4356" width="23.33203125" style="474" customWidth="1"/>
    <col min="4357" max="4357" width="24.6640625" style="474" customWidth="1"/>
    <col min="4358" max="4358" width="17.88671875" style="474" customWidth="1"/>
    <col min="4359" max="4359" width="0" style="474" hidden="1" customWidth="1"/>
    <col min="4360" max="4360" width="14.77734375" style="474" customWidth="1"/>
    <col min="4361" max="4361" width="17.5546875" style="474" customWidth="1"/>
    <col min="4362" max="4362" width="18.21875" style="474" customWidth="1"/>
    <col min="4363" max="4363" width="8.109375" style="474"/>
    <col min="4364" max="4364" width="12.21875" style="474" bestFit="1" customWidth="1"/>
    <col min="4365" max="4609" width="8.109375" style="474"/>
    <col min="4610" max="4610" width="0.77734375" style="474" customWidth="1"/>
    <col min="4611" max="4611" width="6.33203125" style="474" customWidth="1"/>
    <col min="4612" max="4612" width="23.33203125" style="474" customWidth="1"/>
    <col min="4613" max="4613" width="24.6640625" style="474" customWidth="1"/>
    <col min="4614" max="4614" width="17.88671875" style="474" customWidth="1"/>
    <col min="4615" max="4615" width="0" style="474" hidden="1" customWidth="1"/>
    <col min="4616" max="4616" width="14.77734375" style="474" customWidth="1"/>
    <col min="4617" max="4617" width="17.5546875" style="474" customWidth="1"/>
    <col min="4618" max="4618" width="18.21875" style="474" customWidth="1"/>
    <col min="4619" max="4619" width="8.109375" style="474"/>
    <col min="4620" max="4620" width="12.21875" style="474" bestFit="1" customWidth="1"/>
    <col min="4621" max="4865" width="8.109375" style="474"/>
    <col min="4866" max="4866" width="0.77734375" style="474" customWidth="1"/>
    <col min="4867" max="4867" width="6.33203125" style="474" customWidth="1"/>
    <col min="4868" max="4868" width="23.33203125" style="474" customWidth="1"/>
    <col min="4869" max="4869" width="24.6640625" style="474" customWidth="1"/>
    <col min="4870" max="4870" width="17.88671875" style="474" customWidth="1"/>
    <col min="4871" max="4871" width="0" style="474" hidden="1" customWidth="1"/>
    <col min="4872" max="4872" width="14.77734375" style="474" customWidth="1"/>
    <col min="4873" max="4873" width="17.5546875" style="474" customWidth="1"/>
    <col min="4874" max="4874" width="18.21875" style="474" customWidth="1"/>
    <col min="4875" max="4875" width="8.109375" style="474"/>
    <col min="4876" max="4876" width="12.21875" style="474" bestFit="1" customWidth="1"/>
    <col min="4877" max="5121" width="8.109375" style="474"/>
    <col min="5122" max="5122" width="0.77734375" style="474" customWidth="1"/>
    <col min="5123" max="5123" width="6.33203125" style="474" customWidth="1"/>
    <col min="5124" max="5124" width="23.33203125" style="474" customWidth="1"/>
    <col min="5125" max="5125" width="24.6640625" style="474" customWidth="1"/>
    <col min="5126" max="5126" width="17.88671875" style="474" customWidth="1"/>
    <col min="5127" max="5127" width="0" style="474" hidden="1" customWidth="1"/>
    <col min="5128" max="5128" width="14.77734375" style="474" customWidth="1"/>
    <col min="5129" max="5129" width="17.5546875" style="474" customWidth="1"/>
    <col min="5130" max="5130" width="18.21875" style="474" customWidth="1"/>
    <col min="5131" max="5131" width="8.109375" style="474"/>
    <col min="5132" max="5132" width="12.21875" style="474" bestFit="1" customWidth="1"/>
    <col min="5133" max="5377" width="8.109375" style="474"/>
    <col min="5378" max="5378" width="0.77734375" style="474" customWidth="1"/>
    <col min="5379" max="5379" width="6.33203125" style="474" customWidth="1"/>
    <col min="5380" max="5380" width="23.33203125" style="474" customWidth="1"/>
    <col min="5381" max="5381" width="24.6640625" style="474" customWidth="1"/>
    <col min="5382" max="5382" width="17.88671875" style="474" customWidth="1"/>
    <col min="5383" max="5383" width="0" style="474" hidden="1" customWidth="1"/>
    <col min="5384" max="5384" width="14.77734375" style="474" customWidth="1"/>
    <col min="5385" max="5385" width="17.5546875" style="474" customWidth="1"/>
    <col min="5386" max="5386" width="18.21875" style="474" customWidth="1"/>
    <col min="5387" max="5387" width="8.109375" style="474"/>
    <col min="5388" max="5388" width="12.21875" style="474" bestFit="1" customWidth="1"/>
    <col min="5389" max="5633" width="8.109375" style="474"/>
    <col min="5634" max="5634" width="0.77734375" style="474" customWidth="1"/>
    <col min="5635" max="5635" width="6.33203125" style="474" customWidth="1"/>
    <col min="5636" max="5636" width="23.33203125" style="474" customWidth="1"/>
    <col min="5637" max="5637" width="24.6640625" style="474" customWidth="1"/>
    <col min="5638" max="5638" width="17.88671875" style="474" customWidth="1"/>
    <col min="5639" max="5639" width="0" style="474" hidden="1" customWidth="1"/>
    <col min="5640" max="5640" width="14.77734375" style="474" customWidth="1"/>
    <col min="5641" max="5641" width="17.5546875" style="474" customWidth="1"/>
    <col min="5642" max="5642" width="18.21875" style="474" customWidth="1"/>
    <col min="5643" max="5643" width="8.109375" style="474"/>
    <col min="5644" max="5644" width="12.21875" style="474" bestFit="1" customWidth="1"/>
    <col min="5645" max="5889" width="8.109375" style="474"/>
    <col min="5890" max="5890" width="0.77734375" style="474" customWidth="1"/>
    <col min="5891" max="5891" width="6.33203125" style="474" customWidth="1"/>
    <col min="5892" max="5892" width="23.33203125" style="474" customWidth="1"/>
    <col min="5893" max="5893" width="24.6640625" style="474" customWidth="1"/>
    <col min="5894" max="5894" width="17.88671875" style="474" customWidth="1"/>
    <col min="5895" max="5895" width="0" style="474" hidden="1" customWidth="1"/>
    <col min="5896" max="5896" width="14.77734375" style="474" customWidth="1"/>
    <col min="5897" max="5897" width="17.5546875" style="474" customWidth="1"/>
    <col min="5898" max="5898" width="18.21875" style="474" customWidth="1"/>
    <col min="5899" max="5899" width="8.109375" style="474"/>
    <col min="5900" max="5900" width="12.21875" style="474" bestFit="1" customWidth="1"/>
    <col min="5901" max="6145" width="8.109375" style="474"/>
    <col min="6146" max="6146" width="0.77734375" style="474" customWidth="1"/>
    <col min="6147" max="6147" width="6.33203125" style="474" customWidth="1"/>
    <col min="6148" max="6148" width="23.33203125" style="474" customWidth="1"/>
    <col min="6149" max="6149" width="24.6640625" style="474" customWidth="1"/>
    <col min="6150" max="6150" width="17.88671875" style="474" customWidth="1"/>
    <col min="6151" max="6151" width="0" style="474" hidden="1" customWidth="1"/>
    <col min="6152" max="6152" width="14.77734375" style="474" customWidth="1"/>
    <col min="6153" max="6153" width="17.5546875" style="474" customWidth="1"/>
    <col min="6154" max="6154" width="18.21875" style="474" customWidth="1"/>
    <col min="6155" max="6155" width="8.109375" style="474"/>
    <col min="6156" max="6156" width="12.21875" style="474" bestFit="1" customWidth="1"/>
    <col min="6157" max="6401" width="8.109375" style="474"/>
    <col min="6402" max="6402" width="0.77734375" style="474" customWidth="1"/>
    <col min="6403" max="6403" width="6.33203125" style="474" customWidth="1"/>
    <col min="6404" max="6404" width="23.33203125" style="474" customWidth="1"/>
    <col min="6405" max="6405" width="24.6640625" style="474" customWidth="1"/>
    <col min="6406" max="6406" width="17.88671875" style="474" customWidth="1"/>
    <col min="6407" max="6407" width="0" style="474" hidden="1" customWidth="1"/>
    <col min="6408" max="6408" width="14.77734375" style="474" customWidth="1"/>
    <col min="6409" max="6409" width="17.5546875" style="474" customWidth="1"/>
    <col min="6410" max="6410" width="18.21875" style="474" customWidth="1"/>
    <col min="6411" max="6411" width="8.109375" style="474"/>
    <col min="6412" max="6412" width="12.21875" style="474" bestFit="1" customWidth="1"/>
    <col min="6413" max="6657" width="8.109375" style="474"/>
    <col min="6658" max="6658" width="0.77734375" style="474" customWidth="1"/>
    <col min="6659" max="6659" width="6.33203125" style="474" customWidth="1"/>
    <col min="6660" max="6660" width="23.33203125" style="474" customWidth="1"/>
    <col min="6661" max="6661" width="24.6640625" style="474" customWidth="1"/>
    <col min="6662" max="6662" width="17.88671875" style="474" customWidth="1"/>
    <col min="6663" max="6663" width="0" style="474" hidden="1" customWidth="1"/>
    <col min="6664" max="6664" width="14.77734375" style="474" customWidth="1"/>
    <col min="6665" max="6665" width="17.5546875" style="474" customWidth="1"/>
    <col min="6666" max="6666" width="18.21875" style="474" customWidth="1"/>
    <col min="6667" max="6667" width="8.109375" style="474"/>
    <col min="6668" max="6668" width="12.21875" style="474" bestFit="1" customWidth="1"/>
    <col min="6669" max="6913" width="8.109375" style="474"/>
    <col min="6914" max="6914" width="0.77734375" style="474" customWidth="1"/>
    <col min="6915" max="6915" width="6.33203125" style="474" customWidth="1"/>
    <col min="6916" max="6916" width="23.33203125" style="474" customWidth="1"/>
    <col min="6917" max="6917" width="24.6640625" style="474" customWidth="1"/>
    <col min="6918" max="6918" width="17.88671875" style="474" customWidth="1"/>
    <col min="6919" max="6919" width="0" style="474" hidden="1" customWidth="1"/>
    <col min="6920" max="6920" width="14.77734375" style="474" customWidth="1"/>
    <col min="6921" max="6921" width="17.5546875" style="474" customWidth="1"/>
    <col min="6922" max="6922" width="18.21875" style="474" customWidth="1"/>
    <col min="6923" max="6923" width="8.109375" style="474"/>
    <col min="6924" max="6924" width="12.21875" style="474" bestFit="1" customWidth="1"/>
    <col min="6925" max="7169" width="8.109375" style="474"/>
    <col min="7170" max="7170" width="0.77734375" style="474" customWidth="1"/>
    <col min="7171" max="7171" width="6.33203125" style="474" customWidth="1"/>
    <col min="7172" max="7172" width="23.33203125" style="474" customWidth="1"/>
    <col min="7173" max="7173" width="24.6640625" style="474" customWidth="1"/>
    <col min="7174" max="7174" width="17.88671875" style="474" customWidth="1"/>
    <col min="7175" max="7175" width="0" style="474" hidden="1" customWidth="1"/>
    <col min="7176" max="7176" width="14.77734375" style="474" customWidth="1"/>
    <col min="7177" max="7177" width="17.5546875" style="474" customWidth="1"/>
    <col min="7178" max="7178" width="18.21875" style="474" customWidth="1"/>
    <col min="7179" max="7179" width="8.109375" style="474"/>
    <col min="7180" max="7180" width="12.21875" style="474" bestFit="1" customWidth="1"/>
    <col min="7181" max="7425" width="8.109375" style="474"/>
    <col min="7426" max="7426" width="0.77734375" style="474" customWidth="1"/>
    <col min="7427" max="7427" width="6.33203125" style="474" customWidth="1"/>
    <col min="7428" max="7428" width="23.33203125" style="474" customWidth="1"/>
    <col min="7429" max="7429" width="24.6640625" style="474" customWidth="1"/>
    <col min="7430" max="7430" width="17.88671875" style="474" customWidth="1"/>
    <col min="7431" max="7431" width="0" style="474" hidden="1" customWidth="1"/>
    <col min="7432" max="7432" width="14.77734375" style="474" customWidth="1"/>
    <col min="7433" max="7433" width="17.5546875" style="474" customWidth="1"/>
    <col min="7434" max="7434" width="18.21875" style="474" customWidth="1"/>
    <col min="7435" max="7435" width="8.109375" style="474"/>
    <col min="7436" max="7436" width="12.21875" style="474" bestFit="1" customWidth="1"/>
    <col min="7437" max="7681" width="8.109375" style="474"/>
    <col min="7682" max="7682" width="0.77734375" style="474" customWidth="1"/>
    <col min="7683" max="7683" width="6.33203125" style="474" customWidth="1"/>
    <col min="7684" max="7684" width="23.33203125" style="474" customWidth="1"/>
    <col min="7685" max="7685" width="24.6640625" style="474" customWidth="1"/>
    <col min="7686" max="7686" width="17.88671875" style="474" customWidth="1"/>
    <col min="7687" max="7687" width="0" style="474" hidden="1" customWidth="1"/>
    <col min="7688" max="7688" width="14.77734375" style="474" customWidth="1"/>
    <col min="7689" max="7689" width="17.5546875" style="474" customWidth="1"/>
    <col min="7690" max="7690" width="18.21875" style="474" customWidth="1"/>
    <col min="7691" max="7691" width="8.109375" style="474"/>
    <col min="7692" max="7692" width="12.21875" style="474" bestFit="1" customWidth="1"/>
    <col min="7693" max="7937" width="8.109375" style="474"/>
    <col min="7938" max="7938" width="0.77734375" style="474" customWidth="1"/>
    <col min="7939" max="7939" width="6.33203125" style="474" customWidth="1"/>
    <col min="7940" max="7940" width="23.33203125" style="474" customWidth="1"/>
    <col min="7941" max="7941" width="24.6640625" style="474" customWidth="1"/>
    <col min="7942" max="7942" width="17.88671875" style="474" customWidth="1"/>
    <col min="7943" max="7943" width="0" style="474" hidden="1" customWidth="1"/>
    <col min="7944" max="7944" width="14.77734375" style="474" customWidth="1"/>
    <col min="7945" max="7945" width="17.5546875" style="474" customWidth="1"/>
    <col min="7946" max="7946" width="18.21875" style="474" customWidth="1"/>
    <col min="7947" max="7947" width="8.109375" style="474"/>
    <col min="7948" max="7948" width="12.21875" style="474" bestFit="1" customWidth="1"/>
    <col min="7949" max="8193" width="8.109375" style="474"/>
    <col min="8194" max="8194" width="0.77734375" style="474" customWidth="1"/>
    <col min="8195" max="8195" width="6.33203125" style="474" customWidth="1"/>
    <col min="8196" max="8196" width="23.33203125" style="474" customWidth="1"/>
    <col min="8197" max="8197" width="24.6640625" style="474" customWidth="1"/>
    <col min="8198" max="8198" width="17.88671875" style="474" customWidth="1"/>
    <col min="8199" max="8199" width="0" style="474" hidden="1" customWidth="1"/>
    <col min="8200" max="8200" width="14.77734375" style="474" customWidth="1"/>
    <col min="8201" max="8201" width="17.5546875" style="474" customWidth="1"/>
    <col min="8202" max="8202" width="18.21875" style="474" customWidth="1"/>
    <col min="8203" max="8203" width="8.109375" style="474"/>
    <col min="8204" max="8204" width="12.21875" style="474" bestFit="1" customWidth="1"/>
    <col min="8205" max="8449" width="8.109375" style="474"/>
    <col min="8450" max="8450" width="0.77734375" style="474" customWidth="1"/>
    <col min="8451" max="8451" width="6.33203125" style="474" customWidth="1"/>
    <col min="8452" max="8452" width="23.33203125" style="474" customWidth="1"/>
    <col min="8453" max="8453" width="24.6640625" style="474" customWidth="1"/>
    <col min="8454" max="8454" width="17.88671875" style="474" customWidth="1"/>
    <col min="8455" max="8455" width="0" style="474" hidden="1" customWidth="1"/>
    <col min="8456" max="8456" width="14.77734375" style="474" customWidth="1"/>
    <col min="8457" max="8457" width="17.5546875" style="474" customWidth="1"/>
    <col min="8458" max="8458" width="18.21875" style="474" customWidth="1"/>
    <col min="8459" max="8459" width="8.109375" style="474"/>
    <col min="8460" max="8460" width="12.21875" style="474" bestFit="1" customWidth="1"/>
    <col min="8461" max="8705" width="8.109375" style="474"/>
    <col min="8706" max="8706" width="0.77734375" style="474" customWidth="1"/>
    <col min="8707" max="8707" width="6.33203125" style="474" customWidth="1"/>
    <col min="8708" max="8708" width="23.33203125" style="474" customWidth="1"/>
    <col min="8709" max="8709" width="24.6640625" style="474" customWidth="1"/>
    <col min="8710" max="8710" width="17.88671875" style="474" customWidth="1"/>
    <col min="8711" max="8711" width="0" style="474" hidden="1" customWidth="1"/>
    <col min="8712" max="8712" width="14.77734375" style="474" customWidth="1"/>
    <col min="8713" max="8713" width="17.5546875" style="474" customWidth="1"/>
    <col min="8714" max="8714" width="18.21875" style="474" customWidth="1"/>
    <col min="8715" max="8715" width="8.109375" style="474"/>
    <col min="8716" max="8716" width="12.21875" style="474" bestFit="1" customWidth="1"/>
    <col min="8717" max="8961" width="8.109375" style="474"/>
    <col min="8962" max="8962" width="0.77734375" style="474" customWidth="1"/>
    <col min="8963" max="8963" width="6.33203125" style="474" customWidth="1"/>
    <col min="8964" max="8964" width="23.33203125" style="474" customWidth="1"/>
    <col min="8965" max="8965" width="24.6640625" style="474" customWidth="1"/>
    <col min="8966" max="8966" width="17.88671875" style="474" customWidth="1"/>
    <col min="8967" max="8967" width="0" style="474" hidden="1" customWidth="1"/>
    <col min="8968" max="8968" width="14.77734375" style="474" customWidth="1"/>
    <col min="8969" max="8969" width="17.5546875" style="474" customWidth="1"/>
    <col min="8970" max="8970" width="18.21875" style="474" customWidth="1"/>
    <col min="8971" max="8971" width="8.109375" style="474"/>
    <col min="8972" max="8972" width="12.21875" style="474" bestFit="1" customWidth="1"/>
    <col min="8973" max="9217" width="8.109375" style="474"/>
    <col min="9218" max="9218" width="0.77734375" style="474" customWidth="1"/>
    <col min="9219" max="9219" width="6.33203125" style="474" customWidth="1"/>
    <col min="9220" max="9220" width="23.33203125" style="474" customWidth="1"/>
    <col min="9221" max="9221" width="24.6640625" style="474" customWidth="1"/>
    <col min="9222" max="9222" width="17.88671875" style="474" customWidth="1"/>
    <col min="9223" max="9223" width="0" style="474" hidden="1" customWidth="1"/>
    <col min="9224" max="9224" width="14.77734375" style="474" customWidth="1"/>
    <col min="9225" max="9225" width="17.5546875" style="474" customWidth="1"/>
    <col min="9226" max="9226" width="18.21875" style="474" customWidth="1"/>
    <col min="9227" max="9227" width="8.109375" style="474"/>
    <col min="9228" max="9228" width="12.21875" style="474" bestFit="1" customWidth="1"/>
    <col min="9229" max="9473" width="8.109375" style="474"/>
    <col min="9474" max="9474" width="0.77734375" style="474" customWidth="1"/>
    <col min="9475" max="9475" width="6.33203125" style="474" customWidth="1"/>
    <col min="9476" max="9476" width="23.33203125" style="474" customWidth="1"/>
    <col min="9477" max="9477" width="24.6640625" style="474" customWidth="1"/>
    <col min="9478" max="9478" width="17.88671875" style="474" customWidth="1"/>
    <col min="9479" max="9479" width="0" style="474" hidden="1" customWidth="1"/>
    <col min="9480" max="9480" width="14.77734375" style="474" customWidth="1"/>
    <col min="9481" max="9481" width="17.5546875" style="474" customWidth="1"/>
    <col min="9482" max="9482" width="18.21875" style="474" customWidth="1"/>
    <col min="9483" max="9483" width="8.109375" style="474"/>
    <col min="9484" max="9484" width="12.21875" style="474" bestFit="1" customWidth="1"/>
    <col min="9485" max="9729" width="8.109375" style="474"/>
    <col min="9730" max="9730" width="0.77734375" style="474" customWidth="1"/>
    <col min="9731" max="9731" width="6.33203125" style="474" customWidth="1"/>
    <col min="9732" max="9732" width="23.33203125" style="474" customWidth="1"/>
    <col min="9733" max="9733" width="24.6640625" style="474" customWidth="1"/>
    <col min="9734" max="9734" width="17.88671875" style="474" customWidth="1"/>
    <col min="9735" max="9735" width="0" style="474" hidden="1" customWidth="1"/>
    <col min="9736" max="9736" width="14.77734375" style="474" customWidth="1"/>
    <col min="9737" max="9737" width="17.5546875" style="474" customWidth="1"/>
    <col min="9738" max="9738" width="18.21875" style="474" customWidth="1"/>
    <col min="9739" max="9739" width="8.109375" style="474"/>
    <col min="9740" max="9740" width="12.21875" style="474" bestFit="1" customWidth="1"/>
    <col min="9741" max="9985" width="8.109375" style="474"/>
    <col min="9986" max="9986" width="0.77734375" style="474" customWidth="1"/>
    <col min="9987" max="9987" width="6.33203125" style="474" customWidth="1"/>
    <col min="9988" max="9988" width="23.33203125" style="474" customWidth="1"/>
    <col min="9989" max="9989" width="24.6640625" style="474" customWidth="1"/>
    <col min="9990" max="9990" width="17.88671875" style="474" customWidth="1"/>
    <col min="9991" max="9991" width="0" style="474" hidden="1" customWidth="1"/>
    <col min="9992" max="9992" width="14.77734375" style="474" customWidth="1"/>
    <col min="9993" max="9993" width="17.5546875" style="474" customWidth="1"/>
    <col min="9994" max="9994" width="18.21875" style="474" customWidth="1"/>
    <col min="9995" max="9995" width="8.109375" style="474"/>
    <col min="9996" max="9996" width="12.21875" style="474" bestFit="1" customWidth="1"/>
    <col min="9997" max="10241" width="8.109375" style="474"/>
    <col min="10242" max="10242" width="0.77734375" style="474" customWidth="1"/>
    <col min="10243" max="10243" width="6.33203125" style="474" customWidth="1"/>
    <col min="10244" max="10244" width="23.33203125" style="474" customWidth="1"/>
    <col min="10245" max="10245" width="24.6640625" style="474" customWidth="1"/>
    <col min="10246" max="10246" width="17.88671875" style="474" customWidth="1"/>
    <col min="10247" max="10247" width="0" style="474" hidden="1" customWidth="1"/>
    <col min="10248" max="10248" width="14.77734375" style="474" customWidth="1"/>
    <col min="10249" max="10249" width="17.5546875" style="474" customWidth="1"/>
    <col min="10250" max="10250" width="18.21875" style="474" customWidth="1"/>
    <col min="10251" max="10251" width="8.109375" style="474"/>
    <col min="10252" max="10252" width="12.21875" style="474" bestFit="1" customWidth="1"/>
    <col min="10253" max="10497" width="8.109375" style="474"/>
    <col min="10498" max="10498" width="0.77734375" style="474" customWidth="1"/>
    <col min="10499" max="10499" width="6.33203125" style="474" customWidth="1"/>
    <col min="10500" max="10500" width="23.33203125" style="474" customWidth="1"/>
    <col min="10501" max="10501" width="24.6640625" style="474" customWidth="1"/>
    <col min="10502" max="10502" width="17.88671875" style="474" customWidth="1"/>
    <col min="10503" max="10503" width="0" style="474" hidden="1" customWidth="1"/>
    <col min="10504" max="10504" width="14.77734375" style="474" customWidth="1"/>
    <col min="10505" max="10505" width="17.5546875" style="474" customWidth="1"/>
    <col min="10506" max="10506" width="18.21875" style="474" customWidth="1"/>
    <col min="10507" max="10507" width="8.109375" style="474"/>
    <col min="10508" max="10508" width="12.21875" style="474" bestFit="1" customWidth="1"/>
    <col min="10509" max="10753" width="8.109375" style="474"/>
    <col min="10754" max="10754" width="0.77734375" style="474" customWidth="1"/>
    <col min="10755" max="10755" width="6.33203125" style="474" customWidth="1"/>
    <col min="10756" max="10756" width="23.33203125" style="474" customWidth="1"/>
    <col min="10757" max="10757" width="24.6640625" style="474" customWidth="1"/>
    <col min="10758" max="10758" width="17.88671875" style="474" customWidth="1"/>
    <col min="10759" max="10759" width="0" style="474" hidden="1" customWidth="1"/>
    <col min="10760" max="10760" width="14.77734375" style="474" customWidth="1"/>
    <col min="10761" max="10761" width="17.5546875" style="474" customWidth="1"/>
    <col min="10762" max="10762" width="18.21875" style="474" customWidth="1"/>
    <col min="10763" max="10763" width="8.109375" style="474"/>
    <col min="10764" max="10764" width="12.21875" style="474" bestFit="1" customWidth="1"/>
    <col min="10765" max="11009" width="8.109375" style="474"/>
    <col min="11010" max="11010" width="0.77734375" style="474" customWidth="1"/>
    <col min="11011" max="11011" width="6.33203125" style="474" customWidth="1"/>
    <col min="11012" max="11012" width="23.33203125" style="474" customWidth="1"/>
    <col min="11013" max="11013" width="24.6640625" style="474" customWidth="1"/>
    <col min="11014" max="11014" width="17.88671875" style="474" customWidth="1"/>
    <col min="11015" max="11015" width="0" style="474" hidden="1" customWidth="1"/>
    <col min="11016" max="11016" width="14.77734375" style="474" customWidth="1"/>
    <col min="11017" max="11017" width="17.5546875" style="474" customWidth="1"/>
    <col min="11018" max="11018" width="18.21875" style="474" customWidth="1"/>
    <col min="11019" max="11019" width="8.109375" style="474"/>
    <col min="11020" max="11020" width="12.21875" style="474" bestFit="1" customWidth="1"/>
    <col min="11021" max="11265" width="8.109375" style="474"/>
    <col min="11266" max="11266" width="0.77734375" style="474" customWidth="1"/>
    <col min="11267" max="11267" width="6.33203125" style="474" customWidth="1"/>
    <col min="11268" max="11268" width="23.33203125" style="474" customWidth="1"/>
    <col min="11269" max="11269" width="24.6640625" style="474" customWidth="1"/>
    <col min="11270" max="11270" width="17.88671875" style="474" customWidth="1"/>
    <col min="11271" max="11271" width="0" style="474" hidden="1" customWidth="1"/>
    <col min="11272" max="11272" width="14.77734375" style="474" customWidth="1"/>
    <col min="11273" max="11273" width="17.5546875" style="474" customWidth="1"/>
    <col min="11274" max="11274" width="18.21875" style="474" customWidth="1"/>
    <col min="11275" max="11275" width="8.109375" style="474"/>
    <col min="11276" max="11276" width="12.21875" style="474" bestFit="1" customWidth="1"/>
    <col min="11277" max="11521" width="8.109375" style="474"/>
    <col min="11522" max="11522" width="0.77734375" style="474" customWidth="1"/>
    <col min="11523" max="11523" width="6.33203125" style="474" customWidth="1"/>
    <col min="11524" max="11524" width="23.33203125" style="474" customWidth="1"/>
    <col min="11525" max="11525" width="24.6640625" style="474" customWidth="1"/>
    <col min="11526" max="11526" width="17.88671875" style="474" customWidth="1"/>
    <col min="11527" max="11527" width="0" style="474" hidden="1" customWidth="1"/>
    <col min="11528" max="11528" width="14.77734375" style="474" customWidth="1"/>
    <col min="11529" max="11529" width="17.5546875" style="474" customWidth="1"/>
    <col min="11530" max="11530" width="18.21875" style="474" customWidth="1"/>
    <col min="11531" max="11531" width="8.109375" style="474"/>
    <col min="11532" max="11532" width="12.21875" style="474" bestFit="1" customWidth="1"/>
    <col min="11533" max="11777" width="8.109375" style="474"/>
    <col min="11778" max="11778" width="0.77734375" style="474" customWidth="1"/>
    <col min="11779" max="11779" width="6.33203125" style="474" customWidth="1"/>
    <col min="11780" max="11780" width="23.33203125" style="474" customWidth="1"/>
    <col min="11781" max="11781" width="24.6640625" style="474" customWidth="1"/>
    <col min="11782" max="11782" width="17.88671875" style="474" customWidth="1"/>
    <col min="11783" max="11783" width="0" style="474" hidden="1" customWidth="1"/>
    <col min="11784" max="11784" width="14.77734375" style="474" customWidth="1"/>
    <col min="11785" max="11785" width="17.5546875" style="474" customWidth="1"/>
    <col min="11786" max="11786" width="18.21875" style="474" customWidth="1"/>
    <col min="11787" max="11787" width="8.109375" style="474"/>
    <col min="11788" max="11788" width="12.21875" style="474" bestFit="1" customWidth="1"/>
    <col min="11789" max="12033" width="8.109375" style="474"/>
    <col min="12034" max="12034" width="0.77734375" style="474" customWidth="1"/>
    <col min="12035" max="12035" width="6.33203125" style="474" customWidth="1"/>
    <col min="12036" max="12036" width="23.33203125" style="474" customWidth="1"/>
    <col min="12037" max="12037" width="24.6640625" style="474" customWidth="1"/>
    <col min="12038" max="12038" width="17.88671875" style="474" customWidth="1"/>
    <col min="12039" max="12039" width="0" style="474" hidden="1" customWidth="1"/>
    <col min="12040" max="12040" width="14.77734375" style="474" customWidth="1"/>
    <col min="12041" max="12041" width="17.5546875" style="474" customWidth="1"/>
    <col min="12042" max="12042" width="18.21875" style="474" customWidth="1"/>
    <col min="12043" max="12043" width="8.109375" style="474"/>
    <col min="12044" max="12044" width="12.21875" style="474" bestFit="1" customWidth="1"/>
    <col min="12045" max="12289" width="8.109375" style="474"/>
    <col min="12290" max="12290" width="0.77734375" style="474" customWidth="1"/>
    <col min="12291" max="12291" width="6.33203125" style="474" customWidth="1"/>
    <col min="12292" max="12292" width="23.33203125" style="474" customWidth="1"/>
    <col min="12293" max="12293" width="24.6640625" style="474" customWidth="1"/>
    <col min="12294" max="12294" width="17.88671875" style="474" customWidth="1"/>
    <col min="12295" max="12295" width="0" style="474" hidden="1" customWidth="1"/>
    <col min="12296" max="12296" width="14.77734375" style="474" customWidth="1"/>
    <col min="12297" max="12297" width="17.5546875" style="474" customWidth="1"/>
    <col min="12298" max="12298" width="18.21875" style="474" customWidth="1"/>
    <col min="12299" max="12299" width="8.109375" style="474"/>
    <col min="12300" max="12300" width="12.21875" style="474" bestFit="1" customWidth="1"/>
    <col min="12301" max="12545" width="8.109375" style="474"/>
    <col min="12546" max="12546" width="0.77734375" style="474" customWidth="1"/>
    <col min="12547" max="12547" width="6.33203125" style="474" customWidth="1"/>
    <col min="12548" max="12548" width="23.33203125" style="474" customWidth="1"/>
    <col min="12549" max="12549" width="24.6640625" style="474" customWidth="1"/>
    <col min="12550" max="12550" width="17.88671875" style="474" customWidth="1"/>
    <col min="12551" max="12551" width="0" style="474" hidden="1" customWidth="1"/>
    <col min="12552" max="12552" width="14.77734375" style="474" customWidth="1"/>
    <col min="12553" max="12553" width="17.5546875" style="474" customWidth="1"/>
    <col min="12554" max="12554" width="18.21875" style="474" customWidth="1"/>
    <col min="12555" max="12555" width="8.109375" style="474"/>
    <col min="12556" max="12556" width="12.21875" style="474" bestFit="1" customWidth="1"/>
    <col min="12557" max="12801" width="8.109375" style="474"/>
    <col min="12802" max="12802" width="0.77734375" style="474" customWidth="1"/>
    <col min="12803" max="12803" width="6.33203125" style="474" customWidth="1"/>
    <col min="12804" max="12804" width="23.33203125" style="474" customWidth="1"/>
    <col min="12805" max="12805" width="24.6640625" style="474" customWidth="1"/>
    <col min="12806" max="12806" width="17.88671875" style="474" customWidth="1"/>
    <col min="12807" max="12807" width="0" style="474" hidden="1" customWidth="1"/>
    <col min="12808" max="12808" width="14.77734375" style="474" customWidth="1"/>
    <col min="12809" max="12809" width="17.5546875" style="474" customWidth="1"/>
    <col min="12810" max="12810" width="18.21875" style="474" customWidth="1"/>
    <col min="12811" max="12811" width="8.109375" style="474"/>
    <col min="12812" max="12812" width="12.21875" style="474" bestFit="1" customWidth="1"/>
    <col min="12813" max="13057" width="8.109375" style="474"/>
    <col min="13058" max="13058" width="0.77734375" style="474" customWidth="1"/>
    <col min="13059" max="13059" width="6.33203125" style="474" customWidth="1"/>
    <col min="13060" max="13060" width="23.33203125" style="474" customWidth="1"/>
    <col min="13061" max="13061" width="24.6640625" style="474" customWidth="1"/>
    <col min="13062" max="13062" width="17.88671875" style="474" customWidth="1"/>
    <col min="13063" max="13063" width="0" style="474" hidden="1" customWidth="1"/>
    <col min="13064" max="13064" width="14.77734375" style="474" customWidth="1"/>
    <col min="13065" max="13065" width="17.5546875" style="474" customWidth="1"/>
    <col min="13066" max="13066" width="18.21875" style="474" customWidth="1"/>
    <col min="13067" max="13067" width="8.109375" style="474"/>
    <col min="13068" max="13068" width="12.21875" style="474" bestFit="1" customWidth="1"/>
    <col min="13069" max="13313" width="8.109375" style="474"/>
    <col min="13314" max="13314" width="0.77734375" style="474" customWidth="1"/>
    <col min="13315" max="13315" width="6.33203125" style="474" customWidth="1"/>
    <col min="13316" max="13316" width="23.33203125" style="474" customWidth="1"/>
    <col min="13317" max="13317" width="24.6640625" style="474" customWidth="1"/>
    <col min="13318" max="13318" width="17.88671875" style="474" customWidth="1"/>
    <col min="13319" max="13319" width="0" style="474" hidden="1" customWidth="1"/>
    <col min="13320" max="13320" width="14.77734375" style="474" customWidth="1"/>
    <col min="13321" max="13321" width="17.5546875" style="474" customWidth="1"/>
    <col min="13322" max="13322" width="18.21875" style="474" customWidth="1"/>
    <col min="13323" max="13323" width="8.109375" style="474"/>
    <col min="13324" max="13324" width="12.21875" style="474" bestFit="1" customWidth="1"/>
    <col min="13325" max="13569" width="8.109375" style="474"/>
    <col min="13570" max="13570" width="0.77734375" style="474" customWidth="1"/>
    <col min="13571" max="13571" width="6.33203125" style="474" customWidth="1"/>
    <col min="13572" max="13572" width="23.33203125" style="474" customWidth="1"/>
    <col min="13573" max="13573" width="24.6640625" style="474" customWidth="1"/>
    <col min="13574" max="13574" width="17.88671875" style="474" customWidth="1"/>
    <col min="13575" max="13575" width="0" style="474" hidden="1" customWidth="1"/>
    <col min="13576" max="13576" width="14.77734375" style="474" customWidth="1"/>
    <col min="13577" max="13577" width="17.5546875" style="474" customWidth="1"/>
    <col min="13578" max="13578" width="18.21875" style="474" customWidth="1"/>
    <col min="13579" max="13579" width="8.109375" style="474"/>
    <col min="13580" max="13580" width="12.21875" style="474" bestFit="1" customWidth="1"/>
    <col min="13581" max="13825" width="8.109375" style="474"/>
    <col min="13826" max="13826" width="0.77734375" style="474" customWidth="1"/>
    <col min="13827" max="13827" width="6.33203125" style="474" customWidth="1"/>
    <col min="13828" max="13828" width="23.33203125" style="474" customWidth="1"/>
    <col min="13829" max="13829" width="24.6640625" style="474" customWidth="1"/>
    <col min="13830" max="13830" width="17.88671875" style="474" customWidth="1"/>
    <col min="13831" max="13831" width="0" style="474" hidden="1" customWidth="1"/>
    <col min="13832" max="13832" width="14.77734375" style="474" customWidth="1"/>
    <col min="13833" max="13833" width="17.5546875" style="474" customWidth="1"/>
    <col min="13834" max="13834" width="18.21875" style="474" customWidth="1"/>
    <col min="13835" max="13835" width="8.109375" style="474"/>
    <col min="13836" max="13836" width="12.21875" style="474" bestFit="1" customWidth="1"/>
    <col min="13837" max="14081" width="8.109375" style="474"/>
    <col min="14082" max="14082" width="0.77734375" style="474" customWidth="1"/>
    <col min="14083" max="14083" width="6.33203125" style="474" customWidth="1"/>
    <col min="14084" max="14084" width="23.33203125" style="474" customWidth="1"/>
    <col min="14085" max="14085" width="24.6640625" style="474" customWidth="1"/>
    <col min="14086" max="14086" width="17.88671875" style="474" customWidth="1"/>
    <col min="14087" max="14087" width="0" style="474" hidden="1" customWidth="1"/>
    <col min="14088" max="14088" width="14.77734375" style="474" customWidth="1"/>
    <col min="14089" max="14089" width="17.5546875" style="474" customWidth="1"/>
    <col min="14090" max="14090" width="18.21875" style="474" customWidth="1"/>
    <col min="14091" max="14091" width="8.109375" style="474"/>
    <col min="14092" max="14092" width="12.21875" style="474" bestFit="1" customWidth="1"/>
    <col min="14093" max="14337" width="8.109375" style="474"/>
    <col min="14338" max="14338" width="0.77734375" style="474" customWidth="1"/>
    <col min="14339" max="14339" width="6.33203125" style="474" customWidth="1"/>
    <col min="14340" max="14340" width="23.33203125" style="474" customWidth="1"/>
    <col min="14341" max="14341" width="24.6640625" style="474" customWidth="1"/>
    <col min="14342" max="14342" width="17.88671875" style="474" customWidth="1"/>
    <col min="14343" max="14343" width="0" style="474" hidden="1" customWidth="1"/>
    <col min="14344" max="14344" width="14.77734375" style="474" customWidth="1"/>
    <col min="14345" max="14345" width="17.5546875" style="474" customWidth="1"/>
    <col min="14346" max="14346" width="18.21875" style="474" customWidth="1"/>
    <col min="14347" max="14347" width="8.109375" style="474"/>
    <col min="14348" max="14348" width="12.21875" style="474" bestFit="1" customWidth="1"/>
    <col min="14349" max="14593" width="8.109375" style="474"/>
    <col min="14594" max="14594" width="0.77734375" style="474" customWidth="1"/>
    <col min="14595" max="14595" width="6.33203125" style="474" customWidth="1"/>
    <col min="14596" max="14596" width="23.33203125" style="474" customWidth="1"/>
    <col min="14597" max="14597" width="24.6640625" style="474" customWidth="1"/>
    <col min="14598" max="14598" width="17.88671875" style="474" customWidth="1"/>
    <col min="14599" max="14599" width="0" style="474" hidden="1" customWidth="1"/>
    <col min="14600" max="14600" width="14.77734375" style="474" customWidth="1"/>
    <col min="14601" max="14601" width="17.5546875" style="474" customWidth="1"/>
    <col min="14602" max="14602" width="18.21875" style="474" customWidth="1"/>
    <col min="14603" max="14603" width="8.109375" style="474"/>
    <col min="14604" max="14604" width="12.21875" style="474" bestFit="1" customWidth="1"/>
    <col min="14605" max="14849" width="8.109375" style="474"/>
    <col min="14850" max="14850" width="0.77734375" style="474" customWidth="1"/>
    <col min="14851" max="14851" width="6.33203125" style="474" customWidth="1"/>
    <col min="14852" max="14852" width="23.33203125" style="474" customWidth="1"/>
    <col min="14853" max="14853" width="24.6640625" style="474" customWidth="1"/>
    <col min="14854" max="14854" width="17.88671875" style="474" customWidth="1"/>
    <col min="14855" max="14855" width="0" style="474" hidden="1" customWidth="1"/>
    <col min="14856" max="14856" width="14.77734375" style="474" customWidth="1"/>
    <col min="14857" max="14857" width="17.5546875" style="474" customWidth="1"/>
    <col min="14858" max="14858" width="18.21875" style="474" customWidth="1"/>
    <col min="14859" max="14859" width="8.109375" style="474"/>
    <col min="14860" max="14860" width="12.21875" style="474" bestFit="1" customWidth="1"/>
    <col min="14861" max="15105" width="8.109375" style="474"/>
    <col min="15106" max="15106" width="0.77734375" style="474" customWidth="1"/>
    <col min="15107" max="15107" width="6.33203125" style="474" customWidth="1"/>
    <col min="15108" max="15108" width="23.33203125" style="474" customWidth="1"/>
    <col min="15109" max="15109" width="24.6640625" style="474" customWidth="1"/>
    <col min="15110" max="15110" width="17.88671875" style="474" customWidth="1"/>
    <col min="15111" max="15111" width="0" style="474" hidden="1" customWidth="1"/>
    <col min="15112" max="15112" width="14.77734375" style="474" customWidth="1"/>
    <col min="15113" max="15113" width="17.5546875" style="474" customWidth="1"/>
    <col min="15114" max="15114" width="18.21875" style="474" customWidth="1"/>
    <col min="15115" max="15115" width="8.109375" style="474"/>
    <col min="15116" max="15116" width="12.21875" style="474" bestFit="1" customWidth="1"/>
    <col min="15117" max="15361" width="8.109375" style="474"/>
    <col min="15362" max="15362" width="0.77734375" style="474" customWidth="1"/>
    <col min="15363" max="15363" width="6.33203125" style="474" customWidth="1"/>
    <col min="15364" max="15364" width="23.33203125" style="474" customWidth="1"/>
    <col min="15365" max="15365" width="24.6640625" style="474" customWidth="1"/>
    <col min="15366" max="15366" width="17.88671875" style="474" customWidth="1"/>
    <col min="15367" max="15367" width="0" style="474" hidden="1" customWidth="1"/>
    <col min="15368" max="15368" width="14.77734375" style="474" customWidth="1"/>
    <col min="15369" max="15369" width="17.5546875" style="474" customWidth="1"/>
    <col min="15370" max="15370" width="18.21875" style="474" customWidth="1"/>
    <col min="15371" max="15371" width="8.109375" style="474"/>
    <col min="15372" max="15372" width="12.21875" style="474" bestFit="1" customWidth="1"/>
    <col min="15373" max="15617" width="8.109375" style="474"/>
    <col min="15618" max="15618" width="0.77734375" style="474" customWidth="1"/>
    <col min="15619" max="15619" width="6.33203125" style="474" customWidth="1"/>
    <col min="15620" max="15620" width="23.33203125" style="474" customWidth="1"/>
    <col min="15621" max="15621" width="24.6640625" style="474" customWidth="1"/>
    <col min="15622" max="15622" width="17.88671875" style="474" customWidth="1"/>
    <col min="15623" max="15623" width="0" style="474" hidden="1" customWidth="1"/>
    <col min="15624" max="15624" width="14.77734375" style="474" customWidth="1"/>
    <col min="15625" max="15625" width="17.5546875" style="474" customWidth="1"/>
    <col min="15626" max="15626" width="18.21875" style="474" customWidth="1"/>
    <col min="15627" max="15627" width="8.109375" style="474"/>
    <col min="15628" max="15628" width="12.21875" style="474" bestFit="1" customWidth="1"/>
    <col min="15629" max="15873" width="8.109375" style="474"/>
    <col min="15874" max="15874" width="0.77734375" style="474" customWidth="1"/>
    <col min="15875" max="15875" width="6.33203125" style="474" customWidth="1"/>
    <col min="15876" max="15876" width="23.33203125" style="474" customWidth="1"/>
    <col min="15877" max="15877" width="24.6640625" style="474" customWidth="1"/>
    <col min="15878" max="15878" width="17.88671875" style="474" customWidth="1"/>
    <col min="15879" max="15879" width="0" style="474" hidden="1" customWidth="1"/>
    <col min="15880" max="15880" width="14.77734375" style="474" customWidth="1"/>
    <col min="15881" max="15881" width="17.5546875" style="474" customWidth="1"/>
    <col min="15882" max="15882" width="18.21875" style="474" customWidth="1"/>
    <col min="15883" max="15883" width="8.109375" style="474"/>
    <col min="15884" max="15884" width="12.21875" style="474" bestFit="1" customWidth="1"/>
    <col min="15885" max="16129" width="8.109375" style="474"/>
    <col min="16130" max="16130" width="0.77734375" style="474" customWidth="1"/>
    <col min="16131" max="16131" width="6.33203125" style="474" customWidth="1"/>
    <col min="16132" max="16132" width="23.33203125" style="474" customWidth="1"/>
    <col min="16133" max="16133" width="24.6640625" style="474" customWidth="1"/>
    <col min="16134" max="16134" width="17.88671875" style="474" customWidth="1"/>
    <col min="16135" max="16135" width="0" style="474" hidden="1" customWidth="1"/>
    <col min="16136" max="16136" width="14.77734375" style="474" customWidth="1"/>
    <col min="16137" max="16137" width="17.5546875" style="474" customWidth="1"/>
    <col min="16138" max="16138" width="18.21875" style="474" customWidth="1"/>
    <col min="16139" max="16139" width="8.109375" style="474"/>
    <col min="16140" max="16140" width="12.21875" style="474" bestFit="1" customWidth="1"/>
    <col min="16141" max="16384" width="8.109375" style="474"/>
  </cols>
  <sheetData>
    <row r="2" spans="1:11" s="465" customFormat="1" ht="27" customHeight="1">
      <c r="B2" s="464"/>
      <c r="C2" s="464"/>
      <c r="D2" s="679" t="s">
        <v>618</v>
      </c>
      <c r="E2" s="679"/>
      <c r="F2" s="679"/>
      <c r="G2" s="679"/>
      <c r="H2" s="679"/>
      <c r="I2" s="679"/>
      <c r="J2" s="679"/>
    </row>
    <row r="3" spans="1:11" s="465" customFormat="1" ht="18" customHeight="1">
      <c r="B3" s="464"/>
      <c r="C3" s="464"/>
      <c r="D3" s="466" t="s">
        <v>588</v>
      </c>
      <c r="E3" s="466" t="str">
        <f>'INV '!F5</f>
        <v>SW-PTNI-260828-P</v>
      </c>
      <c r="F3" s="466"/>
      <c r="G3" s="466"/>
      <c r="H3" s="466"/>
      <c r="I3" s="466" t="s">
        <v>589</v>
      </c>
      <c r="J3" s="467">
        <f>'INV '!M5-14</f>
        <v>46248</v>
      </c>
    </row>
    <row r="4" spans="1:11" s="465" customFormat="1" ht="16.5">
      <c r="B4" s="464"/>
      <c r="C4" s="464"/>
      <c r="D4" s="550" t="s">
        <v>641</v>
      </c>
      <c r="E4" s="547" t="s">
        <v>710</v>
      </c>
      <c r="F4" s="551"/>
      <c r="G4" s="551"/>
      <c r="H4" s="551"/>
      <c r="I4" s="466" t="s">
        <v>589</v>
      </c>
      <c r="J4" s="467">
        <v>46113</v>
      </c>
    </row>
    <row r="5" spans="1:11" s="465" customFormat="1" ht="16.5">
      <c r="B5" s="464"/>
      <c r="C5" s="464"/>
      <c r="D5" s="468"/>
      <c r="F5" s="464"/>
      <c r="G5" s="464"/>
      <c r="H5" s="464"/>
      <c r="I5" s="551"/>
      <c r="J5" s="552"/>
    </row>
    <row r="6" spans="1:11" s="465" customFormat="1" ht="15.75">
      <c r="B6" s="470" t="s">
        <v>590</v>
      </c>
      <c r="C6" s="469">
        <f>J4</f>
        <v>46113</v>
      </c>
      <c r="D6" s="464" t="s">
        <v>591</v>
      </c>
      <c r="E6" s="464"/>
      <c r="F6" s="464"/>
      <c r="G6" s="464"/>
      <c r="H6" s="464"/>
      <c r="I6" s="464"/>
    </row>
    <row r="7" spans="1:11" s="465" customFormat="1" ht="6" customHeight="1">
      <c r="B7" s="470"/>
      <c r="C7" s="469"/>
      <c r="D7" s="464"/>
      <c r="E7" s="464"/>
      <c r="F7" s="464"/>
      <c r="G7" s="464"/>
      <c r="H7" s="464"/>
      <c r="I7" s="464"/>
    </row>
    <row r="8" spans="1:11" s="465" customFormat="1" ht="19.5" customHeight="1">
      <c r="B8" s="680" t="s">
        <v>661</v>
      </c>
      <c r="C8" s="680"/>
      <c r="D8" s="680"/>
      <c r="E8" s="680"/>
      <c r="F8" s="471"/>
      <c r="G8" s="471"/>
      <c r="H8" s="471"/>
    </row>
    <row r="9" spans="1:11" s="465" customFormat="1" ht="20.25" customHeight="1">
      <c r="B9" s="561" t="str">
        <f>'INV '!A6</f>
        <v>DAEHWA B/D, 10,YEONGDONG-DAERO 112-GIL,</v>
      </c>
      <c r="C9" s="561"/>
      <c r="D9" s="547"/>
      <c r="E9" s="547"/>
      <c r="F9" s="471"/>
      <c r="G9" s="471"/>
      <c r="H9" s="471"/>
    </row>
    <row r="10" spans="1:11" s="465" customFormat="1" ht="20.25" customHeight="1">
      <c r="B10" s="561" t="str">
        <f>'INV '!A7</f>
        <v>GANGNAM-GU, SEOUL, 06083, KOREA</v>
      </c>
      <c r="C10" s="561"/>
      <c r="D10" s="547"/>
      <c r="E10" s="547"/>
      <c r="F10" s="471"/>
      <c r="G10" s="471"/>
      <c r="H10" s="471"/>
    </row>
    <row r="11" spans="1:11" s="465" customFormat="1" ht="20.25" customHeight="1">
      <c r="B11" s="561" t="s">
        <v>651</v>
      </c>
      <c r="C11" s="561"/>
      <c r="D11" s="547"/>
      <c r="E11" s="547"/>
      <c r="F11" s="471"/>
      <c r="G11" s="471"/>
      <c r="H11" s="471"/>
    </row>
    <row r="12" spans="1:11" s="465" customFormat="1" ht="20.25" customHeight="1">
      <c r="B12" s="560" t="s">
        <v>652</v>
      </c>
      <c r="C12" s="561"/>
      <c r="D12" s="547"/>
      <c r="E12" s="547"/>
      <c r="F12" s="471"/>
      <c r="G12" s="471"/>
      <c r="H12" s="475" t="s">
        <v>592</v>
      </c>
      <c r="I12" s="465" t="s">
        <v>694</v>
      </c>
    </row>
    <row r="13" spans="1:11" s="465" customFormat="1" ht="13.5" customHeight="1">
      <c r="B13" s="473"/>
      <c r="C13" s="473"/>
      <c r="D13" s="473"/>
      <c r="E13" s="474"/>
    </row>
    <row r="14" spans="1:11" s="546" customFormat="1" ht="23.25" customHeight="1">
      <c r="B14" s="559" t="s">
        <v>650</v>
      </c>
      <c r="C14" s="559"/>
      <c r="D14" s="559"/>
      <c r="E14" s="547"/>
      <c r="F14" s="559"/>
      <c r="G14" s="559"/>
    </row>
    <row r="15" spans="1:11" s="546" customFormat="1" ht="23.25" customHeight="1">
      <c r="A15" s="472"/>
      <c r="B15" s="472" t="str">
        <f>'INV '!A16</f>
        <v xml:space="preserve"> LOT B_3A_CN, LOT B_2B_CN,LOT B_1C_CN, BAU BANG INDUSTRIAL PARK, </v>
      </c>
      <c r="C15" s="472"/>
      <c r="D15" s="472"/>
      <c r="E15" s="472"/>
      <c r="F15" s="472"/>
      <c r="G15" s="472"/>
      <c r="H15" s="472"/>
    </row>
    <row r="16" spans="1:11" s="546" customFormat="1" ht="23.25" customHeight="1">
      <c r="A16" s="472"/>
      <c r="B16" s="472" t="str">
        <f>'INV '!A17</f>
        <v>BAU BANG COMMUNE, HOCHIMINH CITY, VIETNAM</v>
      </c>
      <c r="C16" s="472"/>
      <c r="D16" s="472"/>
      <c r="E16" s="472"/>
      <c r="F16" s="472"/>
      <c r="G16" s="472"/>
      <c r="H16" s="472"/>
      <c r="I16" s="547"/>
      <c r="K16" s="547"/>
    </row>
    <row r="17" spans="1:12" s="546" customFormat="1" ht="23.25" customHeight="1">
      <c r="A17" s="472"/>
      <c r="B17" s="472" t="str">
        <f>'INV '!A18</f>
        <v xml:space="preserve"> TEL: +84-274-2221982-83  FAX: +84-274-2221984  </v>
      </c>
      <c r="C17" s="472"/>
      <c r="D17" s="472"/>
      <c r="E17" s="472"/>
      <c r="F17" s="472"/>
      <c r="G17" s="472"/>
      <c r="H17" s="472"/>
    </row>
    <row r="18" spans="1:12" s="546" customFormat="1" ht="23.25" customHeight="1">
      <c r="A18" s="472"/>
      <c r="B18" s="472" t="s">
        <v>665</v>
      </c>
      <c r="C18" s="472"/>
      <c r="D18" s="472"/>
      <c r="E18" s="472"/>
      <c r="F18" s="472"/>
      <c r="G18" s="472"/>
      <c r="H18" s="475" t="s">
        <v>592</v>
      </c>
      <c r="I18" s="546" t="s">
        <v>666</v>
      </c>
    </row>
    <row r="19" spans="1:12" s="465" customFormat="1" ht="15" customHeight="1">
      <c r="B19" s="476"/>
      <c r="C19" s="477"/>
      <c r="D19" s="477"/>
      <c r="E19" s="477"/>
      <c r="F19" s="476"/>
      <c r="G19" s="476"/>
      <c r="H19" s="476"/>
    </row>
    <row r="20" spans="1:12" s="465" customFormat="1" ht="21" hidden="1" customHeight="1">
      <c r="B20" s="478" t="s">
        <v>621</v>
      </c>
      <c r="C20" s="479"/>
      <c r="D20" s="479"/>
      <c r="E20" s="479"/>
      <c r="F20" s="476"/>
      <c r="G20" s="476"/>
      <c r="H20" s="476"/>
    </row>
    <row r="21" spans="1:12" s="465" customFormat="1" ht="21" hidden="1" customHeight="1">
      <c r="B21" s="480" t="s">
        <v>617</v>
      </c>
      <c r="C21" s="481"/>
      <c r="D21" s="481"/>
      <c r="E21" s="481"/>
      <c r="F21" s="482"/>
      <c r="G21" s="482"/>
      <c r="H21" s="482"/>
    </row>
    <row r="22" spans="1:12" s="465" customFormat="1" ht="21" hidden="1" customHeight="1">
      <c r="B22" s="483" t="s">
        <v>622</v>
      </c>
      <c r="C22" s="473"/>
      <c r="D22" s="473"/>
      <c r="E22" s="475"/>
      <c r="F22" s="473"/>
      <c r="G22" s="473"/>
      <c r="H22" s="473"/>
    </row>
    <row r="23" spans="1:12" s="465" customFormat="1" ht="15" hidden="1" customHeight="1">
      <c r="B23" s="484" t="s">
        <v>623</v>
      </c>
      <c r="C23" s="484"/>
      <c r="D23" s="484"/>
      <c r="E23" s="485"/>
      <c r="F23" s="486" t="s">
        <v>619</v>
      </c>
      <c r="G23" s="486"/>
      <c r="H23" s="486"/>
      <c r="I23" s="484" t="s">
        <v>624</v>
      </c>
    </row>
    <row r="24" spans="1:12" s="465" customFormat="1" ht="14.25" hidden="1" customHeight="1">
      <c r="B24" s="487"/>
      <c r="C24" s="488"/>
      <c r="D24" s="488"/>
      <c r="E24" s="488"/>
      <c r="F24" s="488"/>
      <c r="G24" s="488"/>
      <c r="H24" s="488"/>
      <c r="I24" s="488"/>
      <c r="J24" s="488"/>
    </row>
    <row r="25" spans="1:12" s="465" customFormat="1" ht="20.25" hidden="1" customHeight="1">
      <c r="B25" s="489" t="s">
        <v>625</v>
      </c>
      <c r="C25" s="488"/>
      <c r="D25" s="488"/>
      <c r="E25" s="488"/>
      <c r="F25" s="488"/>
      <c r="G25" s="488"/>
      <c r="H25" s="488"/>
      <c r="I25" s="488"/>
      <c r="J25" s="488"/>
    </row>
    <row r="26" spans="1:12" s="465" customFormat="1" ht="15" hidden="1" customHeight="1">
      <c r="B26" s="480" t="s">
        <v>626</v>
      </c>
      <c r="C26" s="490"/>
      <c r="D26" s="490"/>
      <c r="E26" s="490"/>
      <c r="F26" s="490"/>
      <c r="G26" s="490"/>
      <c r="H26" s="490"/>
      <c r="I26" s="490"/>
      <c r="J26" s="490"/>
    </row>
    <row r="27" spans="1:12" s="465" customFormat="1" ht="23.25" hidden="1" customHeight="1">
      <c r="B27" s="480" t="s">
        <v>627</v>
      </c>
      <c r="C27" s="487"/>
      <c r="D27" s="487"/>
      <c r="E27" s="487"/>
      <c r="F27" s="487"/>
      <c r="G27" s="487"/>
      <c r="H27" s="487"/>
      <c r="I27" s="488"/>
      <c r="J27" s="488"/>
    </row>
    <row r="28" spans="1:12" s="465" customFormat="1" ht="18.75" hidden="1" customHeight="1">
      <c r="B28" s="491" t="s">
        <v>628</v>
      </c>
      <c r="C28" s="484"/>
      <c r="D28" s="484"/>
      <c r="E28" s="485"/>
      <c r="F28" s="486" t="s">
        <v>619</v>
      </c>
      <c r="G28" s="486"/>
      <c r="H28" s="486"/>
      <c r="I28" s="484" t="s">
        <v>620</v>
      </c>
    </row>
    <row r="29" spans="1:12" s="465" customFormat="1" ht="24.75" hidden="1" customHeight="1">
      <c r="C29" s="473"/>
      <c r="D29" s="473"/>
      <c r="E29" s="475"/>
      <c r="F29" s="473"/>
      <c r="G29" s="473"/>
      <c r="H29" s="473"/>
    </row>
    <row r="30" spans="1:12" s="492" customFormat="1" ht="21" customHeight="1">
      <c r="A30" s="474"/>
      <c r="B30" s="464" t="s">
        <v>593</v>
      </c>
      <c r="C30" s="464"/>
      <c r="D30" s="464"/>
      <c r="E30" s="464"/>
      <c r="F30" s="464"/>
      <c r="G30" s="464"/>
      <c r="H30" s="464"/>
      <c r="I30" s="465"/>
      <c r="K30" s="493"/>
      <c r="L30" s="493"/>
    </row>
    <row r="31" spans="1:12" s="492" customFormat="1" ht="16.5" thickBot="1">
      <c r="A31" s="494"/>
      <c r="B31" s="495" t="s">
        <v>629</v>
      </c>
      <c r="C31" s="496"/>
      <c r="D31" s="497"/>
      <c r="E31" s="471"/>
      <c r="F31" s="471"/>
      <c r="G31" s="471"/>
      <c r="H31" s="471"/>
      <c r="I31" s="465"/>
      <c r="K31" s="493"/>
      <c r="L31" s="493"/>
    </row>
    <row r="32" spans="1:12" s="492" customFormat="1" ht="54" customHeight="1">
      <c r="A32" s="498"/>
      <c r="B32" s="499" t="s">
        <v>594</v>
      </c>
      <c r="C32" s="681" t="s">
        <v>595</v>
      </c>
      <c r="D32" s="682"/>
      <c r="E32" s="682" t="s">
        <v>596</v>
      </c>
      <c r="F32" s="682"/>
      <c r="G32" s="500" t="s">
        <v>642</v>
      </c>
      <c r="H32" s="500" t="s">
        <v>643</v>
      </c>
      <c r="I32" s="500" t="s">
        <v>630</v>
      </c>
      <c r="J32" s="501" t="s">
        <v>631</v>
      </c>
      <c r="K32" s="493"/>
      <c r="L32" s="493"/>
    </row>
    <row r="33" spans="1:13" s="492" customFormat="1" ht="15.75">
      <c r="A33" s="498"/>
      <c r="B33" s="502"/>
      <c r="C33" s="686" t="str">
        <f>[26]INV!B26</f>
        <v xml:space="preserve">KNITTED  FABRIC                                                                    </v>
      </c>
      <c r="D33" s="687"/>
      <c r="E33" s="570" t="s">
        <v>597</v>
      </c>
      <c r="F33" s="570" t="s">
        <v>598</v>
      </c>
      <c r="G33" s="571"/>
      <c r="H33" s="571"/>
      <c r="I33" s="572"/>
      <c r="J33" s="503"/>
    </row>
    <row r="34" spans="1:13" s="465" customFormat="1" ht="91.5" customHeight="1">
      <c r="A34" s="492"/>
      <c r="B34" s="504">
        <f>'INV '!A27</f>
        <v>1</v>
      </c>
      <c r="C34" s="684" t="str">
        <f>'INV '!C27</f>
        <v>100% COTTON BCI CM 40/1  INTERLOCK, WIDTH: 66/68", WEIGHT: 195G/M2</v>
      </c>
      <c r="D34" s="685"/>
      <c r="E34" s="573">
        <f>+'INV '!H27</f>
        <v>7700</v>
      </c>
      <c r="F34" s="573">
        <f>'INV '!G27</f>
        <v>2461.6</v>
      </c>
      <c r="G34" s="574">
        <f>'INV '!I27</f>
        <v>1.93</v>
      </c>
      <c r="H34" s="574">
        <f>'INV '!J27</f>
        <v>4750.8900000000003</v>
      </c>
      <c r="I34" s="575">
        <f>'INV '!L27</f>
        <v>1.94</v>
      </c>
      <c r="J34" s="505">
        <f t="shared" ref="J34:J36" si="0">ROUND(I34*E34,2)</f>
        <v>14938</v>
      </c>
    </row>
    <row r="35" spans="1:13" s="465" customFormat="1" ht="91.5" customHeight="1">
      <c r="A35" s="492"/>
      <c r="B35" s="504">
        <f>'INV '!A28</f>
        <v>2</v>
      </c>
      <c r="C35" s="684" t="str">
        <f>'INV '!C28</f>
        <v>100% COTTON BCI CM 40/1  INTERLOCK, WIDTH: 66/68", WEIGHT: 195G/M2</v>
      </c>
      <c r="D35" s="685"/>
      <c r="E35" s="573">
        <f>+'INV '!H28</f>
        <v>2790</v>
      </c>
      <c r="F35" s="573">
        <f>'INV '!G28</f>
        <v>884.56000000000006</v>
      </c>
      <c r="G35" s="574">
        <f>'INV '!I28</f>
        <v>1.93</v>
      </c>
      <c r="H35" s="574">
        <f>'INV '!J28</f>
        <v>1707.2</v>
      </c>
      <c r="I35" s="575">
        <f>'INV '!L28</f>
        <v>1.94</v>
      </c>
      <c r="J35" s="505">
        <f t="shared" si="0"/>
        <v>5412.6</v>
      </c>
    </row>
    <row r="36" spans="1:13" s="465" customFormat="1" ht="91.5" customHeight="1">
      <c r="A36" s="492"/>
      <c r="B36" s="504">
        <f>'INV '!A29</f>
        <v>3</v>
      </c>
      <c r="C36" s="684" t="str">
        <f>'INV '!C29</f>
        <v>100% COTTON BCI CM 40/1  INTERLOCK, WIDTH: 66/68", WEIGHT: 195G/M2</v>
      </c>
      <c r="D36" s="685"/>
      <c r="E36" s="573">
        <f>+'INV '!H29</f>
        <v>6315</v>
      </c>
      <c r="F36" s="573">
        <f>'INV '!G29</f>
        <v>2012.9999999999998</v>
      </c>
      <c r="G36" s="574">
        <f>'INV '!I29</f>
        <v>1.93</v>
      </c>
      <c r="H36" s="574">
        <f>'INV '!J29</f>
        <v>3885.09</v>
      </c>
      <c r="I36" s="575">
        <f>'INV '!L29</f>
        <v>1.94</v>
      </c>
      <c r="J36" s="505">
        <f t="shared" si="0"/>
        <v>12251.1</v>
      </c>
    </row>
    <row r="37" spans="1:13" s="465" customFormat="1" ht="91.5" customHeight="1">
      <c r="A37" s="492"/>
      <c r="B37" s="504">
        <f>'INV '!A30</f>
        <v>4</v>
      </c>
      <c r="C37" s="684" t="str">
        <f>'INV '!C30</f>
        <v>100% COTTON BCI CM 40/1  INTERLOCK, WIDTH: 66/68", WEIGHT: 195G/M2</v>
      </c>
      <c r="D37" s="685"/>
      <c r="E37" s="573">
        <f>+'INV '!H30</f>
        <v>440</v>
      </c>
      <c r="F37" s="573">
        <f>'INV '!G30</f>
        <v>140.51999999999998</v>
      </c>
      <c r="G37" s="574">
        <f>'INV '!I30</f>
        <v>1.93</v>
      </c>
      <c r="H37" s="574">
        <f>'INV '!J30</f>
        <v>271.2</v>
      </c>
      <c r="I37" s="575">
        <f>'INV '!L30</f>
        <v>1.94</v>
      </c>
      <c r="J37" s="505">
        <f t="shared" ref="J37" si="1">ROUND(I37*E37,2)</f>
        <v>853.6</v>
      </c>
    </row>
    <row r="38" spans="1:13" s="465" customFormat="1" ht="91.5" customHeight="1">
      <c r="A38" s="492"/>
      <c r="B38" s="504">
        <f>'INV '!A31</f>
        <v>5</v>
      </c>
      <c r="C38" s="684" t="str">
        <f>'INV '!C31</f>
        <v>100% COTTON BCI CM 40/1  INTERLOCK, WIDTH: 66/68", WEIGHT: 195G/M2</v>
      </c>
      <c r="D38" s="685"/>
      <c r="E38" s="573">
        <f>+'INV '!H31</f>
        <v>61</v>
      </c>
      <c r="F38" s="573">
        <f>'INV '!G31</f>
        <v>19.2</v>
      </c>
      <c r="G38" s="574">
        <f>'INV '!I31</f>
        <v>1.93</v>
      </c>
      <c r="H38" s="574">
        <f>'INV '!J31</f>
        <v>37.06</v>
      </c>
      <c r="I38" s="575">
        <f>'INV '!L31</f>
        <v>1.94</v>
      </c>
      <c r="J38" s="505">
        <f t="shared" ref="J38:J40" si="2">ROUND(I38*E38,2)</f>
        <v>118.34</v>
      </c>
    </row>
    <row r="39" spans="1:13" s="465" customFormat="1" ht="91.5" customHeight="1">
      <c r="A39" s="492"/>
      <c r="B39" s="504">
        <f>'INV '!A32</f>
        <v>6</v>
      </c>
      <c r="C39" s="684" t="str">
        <f>'INV '!C32</f>
        <v>100% COTTON BCI CM 40/1  INTERLOCK, WIDTH: 66/68", WEIGHT: 195G/M2</v>
      </c>
      <c r="D39" s="685"/>
      <c r="E39" s="573">
        <f>+'INV '!H32</f>
        <v>72</v>
      </c>
      <c r="F39" s="573">
        <f>'INV '!G32</f>
        <v>22.94</v>
      </c>
      <c r="G39" s="574">
        <f>'INV '!I32</f>
        <v>1.93</v>
      </c>
      <c r="H39" s="574">
        <f>'INV '!J32</f>
        <v>44.27</v>
      </c>
      <c r="I39" s="575">
        <f>'INV '!L32</f>
        <v>1.94</v>
      </c>
      <c r="J39" s="505">
        <f t="shared" ref="J39" si="3">ROUND(I39*E39,2)</f>
        <v>139.68</v>
      </c>
    </row>
    <row r="40" spans="1:13" s="465" customFormat="1" ht="91.5" customHeight="1">
      <c r="A40" s="492"/>
      <c r="B40" s="504">
        <f>'INV '!A33</f>
        <v>7</v>
      </c>
      <c r="C40" s="684" t="str">
        <f>'INV '!C33</f>
        <v>100% COTTON BCI CM 40/1  INTERLOCK, WIDTH: 66/68", WEIGHT: 195G/M2</v>
      </c>
      <c r="D40" s="685"/>
      <c r="E40" s="573">
        <f>+'INV '!H33</f>
        <v>143</v>
      </c>
      <c r="F40" s="573">
        <f>'INV '!G33</f>
        <v>46.6</v>
      </c>
      <c r="G40" s="574">
        <f>'INV '!I33</f>
        <v>1.93</v>
      </c>
      <c r="H40" s="574">
        <f>'INV '!J33</f>
        <v>89.94</v>
      </c>
      <c r="I40" s="575">
        <f>'INV '!L33</f>
        <v>1.94</v>
      </c>
      <c r="J40" s="505">
        <f t="shared" si="2"/>
        <v>277.42</v>
      </c>
    </row>
    <row r="41" spans="1:13" s="465" customFormat="1" ht="91.5" customHeight="1">
      <c r="A41" s="492"/>
      <c r="B41" s="504">
        <f>'INV '!A34</f>
        <v>8</v>
      </c>
      <c r="C41" s="684" t="str">
        <f>'INV '!C34</f>
        <v>100% COTTON BCI CM 40/1  INTERLOCK, WIDTH: 66/68", WEIGHT: 195G/M2</v>
      </c>
      <c r="D41" s="685"/>
      <c r="E41" s="573">
        <f>+'INV '!H34</f>
        <v>44</v>
      </c>
      <c r="F41" s="573">
        <f>'INV '!G34</f>
        <v>14.08</v>
      </c>
      <c r="G41" s="574">
        <f>'INV '!I34</f>
        <v>1.93</v>
      </c>
      <c r="H41" s="574">
        <f>'INV '!J34</f>
        <v>27.17</v>
      </c>
      <c r="I41" s="575">
        <f>'INV '!L34</f>
        <v>1.94</v>
      </c>
      <c r="J41" s="505">
        <f t="shared" ref="J41" si="4">ROUND(I41*E41,2)</f>
        <v>85.36</v>
      </c>
    </row>
    <row r="42" spans="1:13" s="465" customFormat="1" ht="26.25" customHeight="1" thickBot="1">
      <c r="A42" s="492"/>
      <c r="B42" s="688" t="s">
        <v>632</v>
      </c>
      <c r="C42" s="689"/>
      <c r="D42" s="690"/>
      <c r="E42" s="506">
        <f>SUM(E34:E41)</f>
        <v>17565</v>
      </c>
      <c r="F42" s="506">
        <f>SUM(F34:F41)</f>
        <v>5602.5</v>
      </c>
      <c r="G42" s="506"/>
      <c r="H42" s="506">
        <f>SUM(H34:H41)</f>
        <v>10812.820000000002</v>
      </c>
      <c r="I42" s="506"/>
      <c r="J42" s="506">
        <v>33455.300000000003</v>
      </c>
      <c r="K42" s="507"/>
    </row>
    <row r="43" spans="1:13" s="465" customFormat="1" ht="12.75" customHeight="1">
      <c r="B43" s="474"/>
      <c r="C43" s="474"/>
      <c r="D43" s="474"/>
      <c r="E43" s="474"/>
      <c r="F43" s="474"/>
      <c r="G43" s="474"/>
      <c r="H43" s="474"/>
      <c r="J43" s="507"/>
      <c r="K43" s="507"/>
    </row>
    <row r="44" spans="1:13" s="465" customFormat="1" ht="14.25" customHeight="1">
      <c r="B44" s="495" t="s">
        <v>599</v>
      </c>
      <c r="C44" s="495"/>
      <c r="D44" s="508"/>
      <c r="E44" s="508"/>
      <c r="F44" s="508"/>
      <c r="G44" s="508"/>
      <c r="H44" s="508"/>
      <c r="M44" s="509"/>
    </row>
    <row r="45" spans="1:13" s="465" customFormat="1" ht="14.25" customHeight="1">
      <c r="B45" s="495"/>
      <c r="C45" s="495"/>
      <c r="D45" s="508"/>
      <c r="E45" s="508"/>
      <c r="F45" s="508"/>
      <c r="G45" s="508"/>
      <c r="H45" s="508"/>
      <c r="M45" s="509"/>
    </row>
    <row r="46" spans="1:13" s="465" customFormat="1" ht="20.25" customHeight="1">
      <c r="B46" s="464" t="s">
        <v>672</v>
      </c>
      <c r="C46" s="547"/>
      <c r="D46" s="547"/>
      <c r="E46" s="546"/>
      <c r="F46" s="546" t="str">
        <f>+E4&amp;" "&amp;"date"</f>
        <v>SWVN-2026-10 date</v>
      </c>
      <c r="G46" s="614">
        <f>+J4</f>
        <v>46113</v>
      </c>
      <c r="H46" s="614" t="s">
        <v>673</v>
      </c>
      <c r="I46" s="546"/>
      <c r="M46" s="509"/>
    </row>
    <row r="47" spans="1:13" s="465" customFormat="1" ht="20.25" customHeight="1">
      <c r="B47" s="464" t="s">
        <v>674</v>
      </c>
      <c r="C47" s="547"/>
      <c r="D47" s="547"/>
      <c r="E47" s="546"/>
      <c r="F47" s="546"/>
      <c r="G47" s="546"/>
      <c r="H47" s="546"/>
      <c r="I47" s="546"/>
      <c r="M47" s="509"/>
    </row>
    <row r="48" spans="1:13" s="465" customFormat="1" ht="17.25" customHeight="1">
      <c r="B48" s="549" t="s">
        <v>691</v>
      </c>
      <c r="C48" s="549"/>
      <c r="D48" s="549"/>
      <c r="E48" s="549"/>
      <c r="F48" s="549"/>
      <c r="G48" s="549"/>
      <c r="H48" s="549"/>
      <c r="I48" s="549"/>
      <c r="M48" s="509"/>
    </row>
    <row r="49" spans="2:11" s="465" customFormat="1" ht="17.25" customHeight="1">
      <c r="B49" s="510" t="s">
        <v>692</v>
      </c>
      <c r="C49" s="510"/>
      <c r="D49" s="510"/>
      <c r="E49" s="510"/>
      <c r="F49" s="510"/>
      <c r="G49" s="510"/>
      <c r="H49" s="510"/>
    </row>
    <row r="50" spans="2:11" s="465" customFormat="1" ht="17.25" customHeight="1">
      <c r="B50" s="510" t="s">
        <v>684</v>
      </c>
      <c r="C50" s="510"/>
      <c r="D50" s="510"/>
      <c r="E50" s="510"/>
      <c r="F50" s="510"/>
      <c r="G50" s="510"/>
      <c r="H50" s="510"/>
    </row>
    <row r="51" spans="2:11" s="465" customFormat="1" ht="17.25" customHeight="1">
      <c r="B51" s="510" t="s">
        <v>677</v>
      </c>
      <c r="C51" s="510"/>
      <c r="D51" s="510" t="s">
        <v>678</v>
      </c>
      <c r="E51" s="510"/>
      <c r="F51" s="510"/>
      <c r="G51" s="510"/>
      <c r="H51" s="510"/>
    </row>
    <row r="52" spans="2:11" s="465" customFormat="1" ht="17.25" customHeight="1">
      <c r="B52" s="471" t="s">
        <v>600</v>
      </c>
      <c r="C52" s="474"/>
      <c r="D52" s="474"/>
      <c r="E52" s="474"/>
      <c r="F52" s="474"/>
      <c r="G52" s="474"/>
      <c r="H52" s="474"/>
    </row>
    <row r="53" spans="2:11" s="465" customFormat="1" ht="17.25" customHeight="1">
      <c r="B53" s="471" t="s">
        <v>633</v>
      </c>
      <c r="C53" s="474"/>
      <c r="D53" s="471" t="s">
        <v>601</v>
      </c>
      <c r="E53" s="471"/>
      <c r="F53" s="471"/>
      <c r="G53" s="471"/>
      <c r="H53" s="471"/>
    </row>
    <row r="54" spans="2:11" s="465" customFormat="1" ht="17.25" customHeight="1">
      <c r="B54" s="471" t="s">
        <v>602</v>
      </c>
      <c r="C54" s="474"/>
      <c r="D54" s="471" t="s">
        <v>667</v>
      </c>
      <c r="E54" s="471"/>
      <c r="F54" s="471"/>
      <c r="G54" s="471"/>
      <c r="H54" s="471"/>
      <c r="K54" s="511"/>
    </row>
    <row r="55" spans="2:11" s="465" customFormat="1" ht="17.25" customHeight="1">
      <c r="B55" s="471" t="s">
        <v>634</v>
      </c>
      <c r="C55" s="474"/>
      <c r="D55" s="512" t="str">
        <f>[26]INV!D20</f>
        <v>JAKARTA,INDONESIA</v>
      </c>
      <c r="E55" s="471"/>
      <c r="F55" s="471"/>
      <c r="G55" s="471"/>
      <c r="H55" s="471"/>
      <c r="K55" s="511"/>
    </row>
    <row r="56" spans="2:11" s="465" customFormat="1" ht="27.75" customHeight="1">
      <c r="B56" s="495" t="s">
        <v>603</v>
      </c>
      <c r="C56" s="513"/>
      <c r="D56" s="514"/>
      <c r="E56" s="514"/>
      <c r="F56" s="471"/>
      <c r="G56" s="471"/>
      <c r="H56" s="471"/>
      <c r="K56" s="511"/>
    </row>
    <row r="57" spans="2:11" s="465" customFormat="1" ht="18" customHeight="1">
      <c r="B57" s="547" t="s">
        <v>604</v>
      </c>
      <c r="C57" s="547"/>
      <c r="D57" s="547" t="s">
        <v>375</v>
      </c>
      <c r="E57" s="546"/>
      <c r="F57" s="546"/>
      <c r="G57" s="546"/>
      <c r="H57" s="546"/>
      <c r="I57" s="546"/>
      <c r="J57" s="548"/>
      <c r="K57" s="548"/>
    </row>
    <row r="58" spans="2:11" s="465" customFormat="1" ht="18" customHeight="1">
      <c r="B58" s="547" t="s">
        <v>605</v>
      </c>
      <c r="C58" s="547"/>
      <c r="D58" s="547"/>
      <c r="E58" s="546"/>
      <c r="F58" s="546"/>
      <c r="G58" s="546"/>
      <c r="H58" s="546"/>
      <c r="I58" s="546"/>
      <c r="J58" s="548"/>
      <c r="K58" s="548"/>
    </row>
    <row r="59" spans="2:11" s="465" customFormat="1" ht="18" customHeight="1">
      <c r="B59" s="547" t="s">
        <v>693</v>
      </c>
      <c r="C59" s="547"/>
      <c r="D59" s="547"/>
      <c r="E59" s="546"/>
      <c r="F59" s="546"/>
      <c r="G59" s="546"/>
      <c r="H59" s="546"/>
      <c r="I59" s="546"/>
      <c r="J59" s="548"/>
      <c r="K59" s="548"/>
    </row>
    <row r="60" spans="2:11" s="465" customFormat="1" ht="18" customHeight="1">
      <c r="B60" s="547" t="s">
        <v>637</v>
      </c>
      <c r="C60" s="547"/>
      <c r="D60" s="547"/>
      <c r="E60" s="546"/>
      <c r="F60" s="546"/>
      <c r="G60" s="546"/>
      <c r="H60" s="546"/>
      <c r="I60" s="546"/>
      <c r="J60" s="548"/>
      <c r="K60" s="548"/>
    </row>
    <row r="61" spans="2:11" s="465" customFormat="1" ht="18" customHeight="1">
      <c r="B61" s="547" t="s">
        <v>638</v>
      </c>
      <c r="C61" s="547"/>
      <c r="D61" s="547"/>
      <c r="E61" s="546"/>
      <c r="F61" s="546"/>
      <c r="G61" s="546"/>
      <c r="H61" s="546"/>
      <c r="I61" s="546"/>
      <c r="J61" s="548"/>
      <c r="K61" s="548"/>
    </row>
    <row r="62" spans="2:11" s="465" customFormat="1" ht="18" customHeight="1">
      <c r="B62" s="547"/>
      <c r="C62" s="547" t="s">
        <v>606</v>
      </c>
      <c r="D62" s="547" t="s">
        <v>451</v>
      </c>
      <c r="E62" s="546"/>
      <c r="F62" s="546"/>
      <c r="G62" s="546"/>
      <c r="H62" s="546"/>
      <c r="I62" s="546"/>
      <c r="J62" s="548"/>
      <c r="K62" s="548"/>
    </row>
    <row r="63" spans="2:11" s="465" customFormat="1" ht="18" customHeight="1">
      <c r="B63" s="547"/>
      <c r="C63" s="547" t="s">
        <v>607</v>
      </c>
      <c r="D63" s="547" t="s">
        <v>639</v>
      </c>
      <c r="E63" s="546"/>
      <c r="F63" s="546"/>
      <c r="G63" s="546"/>
      <c r="H63" s="546"/>
      <c r="I63" s="546"/>
      <c r="J63" s="548"/>
      <c r="K63" s="548"/>
    </row>
    <row r="64" spans="2:11" s="465" customFormat="1" ht="18" customHeight="1">
      <c r="B64" s="547"/>
      <c r="C64" s="547" t="s">
        <v>608</v>
      </c>
      <c r="D64" s="547" t="s">
        <v>640</v>
      </c>
      <c r="E64" s="546"/>
      <c r="F64" s="546"/>
      <c r="G64" s="546"/>
      <c r="H64" s="546"/>
      <c r="I64" s="546"/>
      <c r="J64" s="548"/>
      <c r="K64" s="548"/>
    </row>
    <row r="65" spans="1:11" s="465" customFormat="1" ht="18" customHeight="1">
      <c r="B65" s="547"/>
      <c r="C65" s="547" t="s">
        <v>609</v>
      </c>
      <c r="D65" s="547" t="s">
        <v>610</v>
      </c>
      <c r="E65" s="546"/>
      <c r="F65" s="546"/>
      <c r="G65" s="546"/>
      <c r="H65" s="546"/>
      <c r="I65" s="546"/>
      <c r="J65" s="548"/>
      <c r="K65" s="548"/>
    </row>
    <row r="66" spans="1:11" s="465" customFormat="1" ht="18" customHeight="1">
      <c r="B66" s="471"/>
      <c r="C66" s="473"/>
      <c r="D66" s="471"/>
      <c r="E66" s="474"/>
      <c r="F66" s="471"/>
      <c r="G66" s="471"/>
      <c r="H66" s="471"/>
    </row>
    <row r="67" spans="1:11" s="465" customFormat="1" ht="15.75">
      <c r="B67" s="471"/>
      <c r="C67" s="473"/>
      <c r="D67" s="471"/>
      <c r="E67" s="474"/>
      <c r="F67" s="471"/>
      <c r="G67" s="471"/>
      <c r="H67" s="471"/>
    </row>
    <row r="68" spans="1:11" s="465" customFormat="1" ht="19.5" customHeight="1">
      <c r="B68" s="471"/>
      <c r="C68" s="473"/>
      <c r="D68" s="471"/>
      <c r="F68" s="471"/>
      <c r="G68" s="471"/>
      <c r="H68" s="471"/>
    </row>
    <row r="69" spans="1:11" s="465" customFormat="1" ht="15.75">
      <c r="B69" s="683" t="s">
        <v>660</v>
      </c>
      <c r="C69" s="683"/>
      <c r="D69" s="516"/>
      <c r="G69" s="516"/>
      <c r="H69" s="691" t="s">
        <v>635</v>
      </c>
      <c r="I69" s="691"/>
    </row>
    <row r="70" spans="1:11" s="465" customFormat="1" ht="15.75">
      <c r="B70" s="683" t="s">
        <v>662</v>
      </c>
      <c r="C70" s="683"/>
      <c r="D70" s="474"/>
      <c r="G70" s="495"/>
      <c r="H70" s="683" t="s">
        <v>636</v>
      </c>
      <c r="I70" s="683"/>
    </row>
    <row r="71" spans="1:11" s="465" customFormat="1" ht="15.75"/>
    <row r="72" spans="1:11" s="465" customFormat="1" ht="15.75"/>
    <row r="73" spans="1:11" s="465" customFormat="1" ht="27.75" customHeight="1"/>
    <row r="74" spans="1:11" s="465" customFormat="1" ht="27.75" customHeight="1"/>
    <row r="75" spans="1:11" s="465" customFormat="1" ht="33.75" customHeight="1"/>
    <row r="76" spans="1:11" ht="15.75">
      <c r="A76" s="465"/>
      <c r="B76" s="465"/>
      <c r="C76" s="465"/>
      <c r="D76" s="465"/>
      <c r="G76" s="518"/>
      <c r="H76" s="465"/>
      <c r="I76" s="465"/>
    </row>
    <row r="77" spans="1:11" ht="15.75">
      <c r="A77" s="465"/>
      <c r="B77" s="465"/>
      <c r="C77" s="465"/>
      <c r="D77" s="465"/>
      <c r="F77" s="518"/>
      <c r="G77" s="518"/>
      <c r="H77" s="465"/>
      <c r="I77" s="465"/>
    </row>
    <row r="78" spans="1:11" ht="15.75">
      <c r="A78" s="465"/>
      <c r="B78" s="465"/>
      <c r="C78" s="465"/>
      <c r="D78" s="465"/>
      <c r="F78" s="518"/>
      <c r="G78" s="518"/>
      <c r="H78" s="692" t="s">
        <v>664</v>
      </c>
      <c r="I78" s="692"/>
    </row>
    <row r="79" spans="1:11" ht="15.75">
      <c r="A79" s="465"/>
      <c r="B79" s="465"/>
      <c r="C79" s="513"/>
      <c r="D79" s="465"/>
      <c r="I79" s="517"/>
    </row>
    <row r="80" spans="1:11" ht="15.75">
      <c r="A80" s="465"/>
      <c r="B80" s="465"/>
      <c r="C80" s="465"/>
      <c r="D80" s="465"/>
      <c r="F80" s="465"/>
      <c r="G80" s="465"/>
      <c r="H80" s="465"/>
      <c r="I80" s="517"/>
    </row>
    <row r="81" spans="2:9" ht="15.75">
      <c r="B81" s="495"/>
      <c r="D81" s="465"/>
      <c r="F81" s="519"/>
      <c r="G81" s="519"/>
      <c r="H81" s="519"/>
      <c r="I81" s="519"/>
    </row>
    <row r="82" spans="2:9">
      <c r="B82" s="683"/>
      <c r="C82" s="683"/>
      <c r="D82" s="495"/>
      <c r="F82" s="495"/>
      <c r="G82" s="495"/>
      <c r="H82" s="495"/>
      <c r="I82" s="495"/>
    </row>
    <row r="83" spans="2:9">
      <c r="C83" s="513"/>
      <c r="D83" s="495"/>
      <c r="F83" s="520"/>
      <c r="G83" s="520"/>
      <c r="H83" s="520"/>
    </row>
    <row r="84" spans="2:9" ht="21" customHeight="1">
      <c r="B84" s="521"/>
      <c r="C84" s="518"/>
      <c r="D84" s="465"/>
      <c r="F84" s="518"/>
      <c r="G84" s="518"/>
      <c r="H84" s="518"/>
    </row>
    <row r="85" spans="2:9" ht="15.75">
      <c r="B85" s="522"/>
      <c r="D85" s="465"/>
      <c r="E85" s="465"/>
    </row>
    <row r="86" spans="2:9" ht="15.75">
      <c r="B86" s="522"/>
      <c r="D86" s="465"/>
      <c r="E86" s="465"/>
    </row>
    <row r="87" spans="2:9" ht="15.75">
      <c r="B87" s="521"/>
      <c r="D87" s="465"/>
    </row>
    <row r="88" spans="2:9">
      <c r="B88" s="522"/>
    </row>
    <row r="89" spans="2:9">
      <c r="B89" s="522"/>
    </row>
    <row r="90" spans="2:9">
      <c r="B90" s="522"/>
    </row>
    <row r="91" spans="2:9">
      <c r="B91" s="522"/>
    </row>
    <row r="92" spans="2:9">
      <c r="B92" s="522"/>
    </row>
    <row r="93" spans="2:9">
      <c r="B93" s="522"/>
    </row>
    <row r="94" spans="2:9">
      <c r="B94" s="523"/>
    </row>
    <row r="95" spans="2:9">
      <c r="B95" s="521"/>
    </row>
    <row r="96" spans="2:9" ht="15.75">
      <c r="B96" s="515"/>
    </row>
    <row r="97" spans="2:2">
      <c r="B97" s="522"/>
    </row>
    <row r="98" spans="2:2">
      <c r="B98" s="522"/>
    </row>
    <row r="99" spans="2:2">
      <c r="B99" s="522"/>
    </row>
    <row r="100" spans="2:2">
      <c r="B100" s="521"/>
    </row>
    <row r="101" spans="2:2">
      <c r="B101" s="522"/>
    </row>
    <row r="102" spans="2:2">
      <c r="B102" s="522"/>
    </row>
    <row r="103" spans="2:2">
      <c r="B103" s="522"/>
    </row>
    <row r="104" spans="2:2">
      <c r="B104" s="522"/>
    </row>
    <row r="105" spans="2:2">
      <c r="B105" s="522"/>
    </row>
  </sheetData>
  <mergeCells count="20">
    <mergeCell ref="B82:C82"/>
    <mergeCell ref="C33:D33"/>
    <mergeCell ref="B42:D42"/>
    <mergeCell ref="H70:I70"/>
    <mergeCell ref="H69:I69"/>
    <mergeCell ref="H78:I78"/>
    <mergeCell ref="B70:C70"/>
    <mergeCell ref="C41:D41"/>
    <mergeCell ref="D2:J2"/>
    <mergeCell ref="B8:E8"/>
    <mergeCell ref="C32:D32"/>
    <mergeCell ref="E32:F32"/>
    <mergeCell ref="B69:C69"/>
    <mergeCell ref="C34:D34"/>
    <mergeCell ref="C35:D35"/>
    <mergeCell ref="C36:D36"/>
    <mergeCell ref="C37:D37"/>
    <mergeCell ref="C38:D38"/>
    <mergeCell ref="C40:D40"/>
    <mergeCell ref="C39:D39"/>
  </mergeCells>
  <phoneticPr fontId="2" type="noConversion"/>
  <printOptions horizontalCentered="1"/>
  <pageMargins left="0.16" right="0.16" top="0.16" bottom="0.37" header="0.19" footer="0.3"/>
  <pageSetup paperSize="9" scale="47" orientation="portrait" r:id="rId1"/>
  <rowBreaks count="1" manualBreakCount="1">
    <brk id="55" max="9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3">
    <tabColor rgb="FFFF0000"/>
    <pageSetUpPr fitToPage="1"/>
  </sheetPr>
  <dimension ref="A1:P213"/>
  <sheetViews>
    <sheetView showGridLines="0" view="pageBreakPreview" topLeftCell="A28" zoomScaleSheetLayoutView="100" workbookViewId="0">
      <selection activeCell="C22" sqref="C22:D22"/>
    </sheetView>
  </sheetViews>
  <sheetFormatPr defaultColWidth="8.88671875" defaultRowHeight="13.5"/>
  <cols>
    <col min="1" max="1" width="9.109375" customWidth="1"/>
    <col min="2" max="2" width="8.77734375" customWidth="1"/>
    <col min="3" max="3" width="14" customWidth="1"/>
    <col min="4" max="4" width="7" customWidth="1"/>
    <col min="5" max="5" width="10.109375" customWidth="1"/>
    <col min="6" max="6" width="9.21875" customWidth="1"/>
    <col min="7" max="7" width="6.44140625" customWidth="1"/>
    <col min="8" max="8" width="4" customWidth="1"/>
    <col min="9" max="9" width="13.77734375" customWidth="1"/>
  </cols>
  <sheetData>
    <row r="1" spans="1:16" ht="17.100000000000001" customHeight="1">
      <c r="A1" s="283"/>
      <c r="B1" s="284"/>
      <c r="C1" s="284"/>
      <c r="D1" s="284"/>
      <c r="E1" s="694" t="s">
        <v>0</v>
      </c>
      <c r="F1" s="694"/>
      <c r="G1" s="694"/>
      <c r="H1" s="694"/>
      <c r="I1" s="695"/>
    </row>
    <row r="2" spans="1:16" ht="17.100000000000001" customHeight="1">
      <c r="A2" s="285"/>
      <c r="E2" s="696"/>
      <c r="F2" s="696"/>
      <c r="G2" s="696"/>
      <c r="H2" s="696"/>
      <c r="I2" s="697"/>
    </row>
    <row r="3" spans="1:16" ht="17.100000000000001" customHeight="1">
      <c r="A3" s="286"/>
      <c r="B3" s="1"/>
      <c r="C3" s="1"/>
      <c r="D3" s="1"/>
      <c r="E3" s="698"/>
      <c r="F3" s="698"/>
      <c r="G3" s="698"/>
      <c r="H3" s="698"/>
      <c r="I3" s="699"/>
    </row>
    <row r="4" spans="1:16" s="85" customFormat="1" ht="9.9499999999999993" customHeight="1">
      <c r="A4" s="287" t="s">
        <v>301</v>
      </c>
      <c r="B4" s="82"/>
      <c r="C4" s="82"/>
      <c r="D4" s="82"/>
      <c r="E4" s="83" t="s">
        <v>302</v>
      </c>
      <c r="F4" s="100"/>
      <c r="G4" s="82"/>
      <c r="H4" s="82"/>
      <c r="I4" s="288"/>
    </row>
    <row r="5" spans="1:16" s="91" customFormat="1" ht="12" customHeight="1">
      <c r="A5" s="289" t="s">
        <v>303</v>
      </c>
      <c r="B5" s="87"/>
      <c r="C5" s="87"/>
      <c r="D5" s="87"/>
      <c r="E5" s="88" t="s">
        <v>418</v>
      </c>
      <c r="F5" s="153"/>
      <c r="G5" s="89"/>
      <c r="H5" s="90"/>
      <c r="I5" s="290">
        <v>43467</v>
      </c>
    </row>
    <row r="6" spans="1:16" s="85" customFormat="1" ht="12" customHeight="1">
      <c r="A6" s="289" t="s">
        <v>304</v>
      </c>
      <c r="B6" s="87"/>
      <c r="C6" s="87"/>
      <c r="D6" s="87"/>
      <c r="E6" s="83" t="s">
        <v>5</v>
      </c>
      <c r="F6" s="100"/>
      <c r="G6" s="82"/>
      <c r="H6" s="92"/>
      <c r="I6" s="291"/>
    </row>
    <row r="7" spans="1:16" s="91" customFormat="1" ht="12" customHeight="1">
      <c r="A7" s="289" t="s">
        <v>306</v>
      </c>
      <c r="B7" s="87"/>
      <c r="C7" s="87"/>
      <c r="D7" s="87" t="s">
        <v>307</v>
      </c>
      <c r="E7" s="213" t="s">
        <v>375</v>
      </c>
      <c r="F7" s="214"/>
      <c r="G7" s="130"/>
      <c r="H7" s="216"/>
      <c r="I7" s="292"/>
    </row>
    <row r="8" spans="1:16" s="91" customFormat="1" ht="12" customHeight="1">
      <c r="A8" s="289" t="s">
        <v>308</v>
      </c>
      <c r="B8" s="87"/>
      <c r="C8" s="87"/>
      <c r="D8" s="87"/>
      <c r="E8" s="94"/>
      <c r="F8" s="117"/>
      <c r="G8" s="87"/>
      <c r="H8" s="95"/>
      <c r="I8" s="293"/>
      <c r="K8" s="702"/>
      <c r="L8" s="703"/>
      <c r="M8" s="704"/>
      <c r="N8" s="702"/>
      <c r="O8" s="703"/>
      <c r="P8" s="704"/>
    </row>
    <row r="9" spans="1:16" s="91" customFormat="1" ht="3.75" customHeight="1">
      <c r="A9" s="294"/>
      <c r="B9" s="87"/>
      <c r="C9" s="87"/>
      <c r="D9" s="87"/>
      <c r="E9" s="97"/>
      <c r="F9" s="106"/>
      <c r="G9" s="87"/>
      <c r="H9" s="87"/>
      <c r="I9" s="295"/>
      <c r="K9" s="239"/>
      <c r="L9" s="239"/>
      <c r="M9" s="239"/>
      <c r="N9" s="239"/>
      <c r="O9" s="239"/>
      <c r="P9" s="239"/>
    </row>
    <row r="10" spans="1:16" s="85" customFormat="1" ht="9.9499999999999993" customHeight="1">
      <c r="A10" s="287" t="s">
        <v>309</v>
      </c>
      <c r="B10" s="82"/>
      <c r="C10" s="82"/>
      <c r="D10" s="99"/>
      <c r="E10" s="258" t="s">
        <v>405</v>
      </c>
      <c r="F10" s="258" t="s">
        <v>419</v>
      </c>
      <c r="G10" s="101"/>
      <c r="H10" s="102"/>
      <c r="I10" s="325"/>
      <c r="K10" s="230"/>
      <c r="L10" s="230"/>
      <c r="M10" s="230"/>
      <c r="N10" s="245"/>
      <c r="O10" s="245"/>
      <c r="P10" s="245"/>
    </row>
    <row r="11" spans="1:16" s="91" customFormat="1" ht="12" customHeight="1">
      <c r="A11" s="294" t="s">
        <v>568</v>
      </c>
      <c r="B11" s="87"/>
      <c r="C11" s="87"/>
      <c r="D11" s="104"/>
      <c r="E11" s="86"/>
      <c r="F11" s="86"/>
      <c r="G11" s="87"/>
      <c r="H11" s="87"/>
      <c r="I11" s="297"/>
      <c r="K11" s="245"/>
      <c r="L11" s="245"/>
      <c r="M11" s="245"/>
      <c r="N11" s="245"/>
      <c r="O11" s="245"/>
      <c r="P11" s="245"/>
    </row>
    <row r="12" spans="1:16" s="91" customFormat="1" ht="12" customHeight="1">
      <c r="A12" s="713" t="s">
        <v>569</v>
      </c>
      <c r="B12" s="714"/>
      <c r="C12" s="714"/>
      <c r="D12" s="715"/>
      <c r="E12" s="106" t="s">
        <v>406</v>
      </c>
      <c r="F12" s="117" t="s">
        <v>420</v>
      </c>
      <c r="G12" s="87"/>
      <c r="H12" s="87"/>
      <c r="I12" s="297"/>
      <c r="K12" s="239"/>
      <c r="L12" s="239"/>
      <c r="M12" s="239"/>
      <c r="N12" s="239"/>
      <c r="O12" s="239"/>
      <c r="P12" s="239"/>
    </row>
    <row r="13" spans="1:16" s="91" customFormat="1" ht="12" customHeight="1">
      <c r="A13" s="713" t="s">
        <v>570</v>
      </c>
      <c r="B13" s="714"/>
      <c r="C13" s="714"/>
      <c r="D13" s="715"/>
      <c r="E13" s="106" t="s">
        <v>407</v>
      </c>
      <c r="F13" s="106" t="s">
        <v>421</v>
      </c>
      <c r="G13" s="87"/>
      <c r="H13" s="87"/>
      <c r="I13" s="297"/>
      <c r="K13" s="239"/>
      <c r="L13" s="239"/>
      <c r="M13" s="239"/>
      <c r="N13" s="239"/>
      <c r="O13" s="239"/>
      <c r="P13" s="239"/>
    </row>
    <row r="14" spans="1:16" s="91" customFormat="1" ht="2.25" customHeight="1">
      <c r="A14" s="294"/>
      <c r="B14" s="87"/>
      <c r="C14" s="87"/>
      <c r="D14" s="104"/>
      <c r="E14" s="107"/>
      <c r="F14" s="107"/>
      <c r="G14" s="87"/>
      <c r="H14" s="87"/>
      <c r="I14" s="297"/>
      <c r="K14" s="239"/>
      <c r="L14" s="239"/>
      <c r="M14" s="239"/>
      <c r="N14" s="239"/>
      <c r="O14" s="239"/>
      <c r="P14" s="239"/>
    </row>
    <row r="15" spans="1:16" s="85" customFormat="1" ht="9.9499999999999993" customHeight="1">
      <c r="A15" s="287" t="s">
        <v>296</v>
      </c>
      <c r="B15" s="108"/>
      <c r="C15" s="102"/>
      <c r="D15" s="99"/>
      <c r="E15" s="100" t="s">
        <v>15</v>
      </c>
      <c r="F15" s="100"/>
      <c r="G15" s="102"/>
      <c r="H15" s="102"/>
      <c r="I15" s="296"/>
      <c r="K15" s="240"/>
      <c r="L15" s="240"/>
      <c r="M15" s="240"/>
      <c r="N15" s="240"/>
      <c r="O15" s="240"/>
      <c r="P15" s="240"/>
    </row>
    <row r="16" spans="1:16" s="91" customFormat="1" ht="12" customHeight="1">
      <c r="A16" s="294" t="s">
        <v>312</v>
      </c>
      <c r="B16" s="87"/>
      <c r="C16" s="87"/>
      <c r="D16" s="104"/>
      <c r="F16" s="109"/>
      <c r="G16" s="87"/>
      <c r="H16" s="87"/>
      <c r="I16" s="297"/>
      <c r="K16" s="239"/>
      <c r="L16" s="239"/>
      <c r="M16" s="239"/>
      <c r="N16" s="239"/>
      <c r="O16" s="239"/>
      <c r="P16" s="239"/>
    </row>
    <row r="17" spans="1:16" s="91" customFormat="1" ht="12" customHeight="1">
      <c r="A17" s="294" t="s">
        <v>314</v>
      </c>
      <c r="B17" s="87"/>
      <c r="C17" s="87"/>
      <c r="D17" s="104"/>
      <c r="E17" s="109" t="s">
        <v>313</v>
      </c>
      <c r="F17" s="87"/>
      <c r="G17" s="87"/>
      <c r="H17" s="87"/>
      <c r="I17" s="297"/>
      <c r="K17" s="239"/>
      <c r="L17" s="239"/>
      <c r="M17" s="239"/>
      <c r="N17" s="239"/>
      <c r="O17" s="239"/>
      <c r="P17" s="239"/>
    </row>
    <row r="18" spans="1:16" s="91" customFormat="1" ht="12" customHeight="1">
      <c r="A18" s="294" t="s">
        <v>410</v>
      </c>
      <c r="B18" s="87"/>
      <c r="C18" s="87"/>
      <c r="D18" s="104"/>
      <c r="E18" s="110" t="s">
        <v>613</v>
      </c>
      <c r="F18" s="87"/>
      <c r="G18" s="87"/>
      <c r="H18" s="87"/>
      <c r="I18" s="297"/>
      <c r="K18" s="239"/>
      <c r="L18" s="239"/>
      <c r="M18" s="239"/>
      <c r="N18" s="239"/>
      <c r="O18" s="239"/>
      <c r="P18" s="239"/>
    </row>
    <row r="19" spans="1:16" s="91" customFormat="1" ht="12" customHeight="1">
      <c r="A19" s="294" t="s">
        <v>316</v>
      </c>
      <c r="B19" s="87"/>
      <c r="C19" s="87"/>
      <c r="D19" s="104"/>
      <c r="E19" s="705" t="s">
        <v>614</v>
      </c>
      <c r="F19" s="706"/>
      <c r="G19" s="706"/>
      <c r="H19" s="706"/>
      <c r="I19" s="707"/>
      <c r="L19" s="228"/>
      <c r="M19" s="228"/>
      <c r="N19" s="228"/>
    </row>
    <row r="20" spans="1:16" s="91" customFormat="1" ht="36.75" customHeight="1">
      <c r="A20" s="294"/>
      <c r="B20" s="87"/>
      <c r="C20" s="87"/>
      <c r="D20" s="104"/>
      <c r="E20" s="705"/>
      <c r="F20" s="706"/>
      <c r="G20" s="706"/>
      <c r="H20" s="706"/>
      <c r="I20" s="707"/>
      <c r="L20" s="705" t="s">
        <v>572</v>
      </c>
      <c r="M20" s="706"/>
      <c r="N20" s="706"/>
      <c r="O20" s="706"/>
      <c r="P20" s="707"/>
    </row>
    <row r="21" spans="1:16" s="85" customFormat="1" ht="9.9499999999999993" customHeight="1">
      <c r="A21" s="287" t="s">
        <v>299</v>
      </c>
      <c r="B21" s="82"/>
      <c r="C21" s="113" t="s">
        <v>21</v>
      </c>
      <c r="D21" s="114"/>
      <c r="E21" s="87" t="s">
        <v>615</v>
      </c>
      <c r="F21" s="87"/>
      <c r="G21" s="87"/>
      <c r="H21" s="87"/>
      <c r="I21" s="297"/>
      <c r="L21" s="705"/>
      <c r="M21" s="706"/>
      <c r="N21" s="706"/>
      <c r="O21" s="706"/>
      <c r="P21" s="707"/>
    </row>
    <row r="22" spans="1:16" s="91" customFormat="1" ht="12" customHeight="1">
      <c r="A22" s="712" t="s">
        <v>404</v>
      </c>
      <c r="B22" s="711"/>
      <c r="C22" s="710" t="s">
        <v>390</v>
      </c>
      <c r="D22" s="711"/>
      <c r="E22" s="87"/>
      <c r="F22" s="87"/>
      <c r="G22" s="87"/>
      <c r="H22" s="87"/>
      <c r="I22" s="297"/>
      <c r="L22" s="228"/>
      <c r="M22" s="228"/>
      <c r="N22" s="228"/>
    </row>
    <row r="23" spans="1:16" s="85" customFormat="1" ht="9.9499999999999993" customHeight="1">
      <c r="A23" s="287" t="s">
        <v>318</v>
      </c>
      <c r="B23" s="82"/>
      <c r="C23" s="113" t="s">
        <v>319</v>
      </c>
      <c r="D23" s="114"/>
      <c r="E23" s="117" t="s">
        <v>574</v>
      </c>
      <c r="F23" s="87"/>
      <c r="G23" s="118"/>
      <c r="H23" s="87"/>
      <c r="I23" s="297"/>
      <c r="L23" s="229"/>
      <c r="M23" s="229"/>
      <c r="N23" s="229"/>
    </row>
    <row r="24" spans="1:16" s="91" customFormat="1" ht="12" customHeight="1">
      <c r="A24" s="708" t="s">
        <v>438</v>
      </c>
      <c r="B24" s="709"/>
      <c r="C24" s="700">
        <v>43469</v>
      </c>
      <c r="D24" s="701"/>
      <c r="E24" s="106"/>
      <c r="F24" s="106"/>
      <c r="G24" s="118"/>
      <c r="H24" s="89"/>
      <c r="I24" s="298"/>
      <c r="L24" s="228" t="s">
        <v>573</v>
      </c>
      <c r="M24" s="228"/>
      <c r="N24" s="228"/>
    </row>
    <row r="25" spans="1:16" s="85" customFormat="1" ht="9.9499999999999993" customHeight="1">
      <c r="A25" s="287" t="s">
        <v>321</v>
      </c>
      <c r="B25" s="82"/>
      <c r="C25" s="113" t="s">
        <v>24</v>
      </c>
      <c r="D25" s="82"/>
      <c r="E25" s="83" t="s">
        <v>322</v>
      </c>
      <c r="F25" s="100"/>
      <c r="G25" s="113" t="s">
        <v>25</v>
      </c>
      <c r="H25" s="82"/>
      <c r="I25" s="299" t="s">
        <v>323</v>
      </c>
    </row>
    <row r="26" spans="1:16" s="10" customFormat="1" ht="12" customHeight="1">
      <c r="A26" s="301"/>
      <c r="B26" s="6"/>
      <c r="C26" s="6"/>
      <c r="D26" s="6"/>
      <c r="E26" s="27"/>
      <c r="F26" s="27"/>
      <c r="G26" s="6"/>
      <c r="H26" s="175" t="s">
        <v>417</v>
      </c>
      <c r="I26" s="302"/>
    </row>
    <row r="27" spans="1:16" s="10" customFormat="1" ht="14.25" customHeight="1">
      <c r="A27" s="303"/>
      <c r="B27" s="47"/>
      <c r="C27" s="47"/>
      <c r="D27" s="47"/>
      <c r="E27" s="304"/>
      <c r="F27" s="304"/>
      <c r="G27" s="47"/>
      <c r="H27" s="47"/>
      <c r="I27" s="305"/>
    </row>
    <row r="28" spans="1:16" s="47" customFormat="1" ht="12" customHeight="1">
      <c r="A28" s="303"/>
      <c r="C28" s="306" t="s">
        <v>26</v>
      </c>
      <c r="D28" s="306"/>
      <c r="E28" s="306"/>
      <c r="F28" s="306"/>
      <c r="G28" s="306"/>
      <c r="H28" s="10"/>
      <c r="I28" s="307"/>
    </row>
    <row r="29" spans="1:16" s="47" customFormat="1" ht="12" customHeight="1">
      <c r="A29" s="303"/>
      <c r="B29" s="308" t="s">
        <v>374</v>
      </c>
      <c r="C29" s="266" t="s">
        <v>422</v>
      </c>
      <c r="D29" s="266"/>
      <c r="E29" s="266"/>
      <c r="F29" s="268"/>
      <c r="G29" s="269"/>
      <c r="H29" s="205"/>
      <c r="I29" s="309"/>
      <c r="L29" s="47" t="s">
        <v>571</v>
      </c>
    </row>
    <row r="30" spans="1:16" s="47" customFormat="1" ht="12" customHeight="1">
      <c r="A30" s="303"/>
      <c r="B30" s="308"/>
      <c r="C30" s="177" t="s">
        <v>423</v>
      </c>
      <c r="D30" s="266"/>
      <c r="E30" s="266"/>
      <c r="F30" s="268"/>
      <c r="G30" s="269"/>
      <c r="H30" s="205"/>
      <c r="I30" s="309"/>
    </row>
    <row r="31" spans="1:16" s="47" customFormat="1" ht="12" customHeight="1">
      <c r="A31" s="303"/>
      <c r="C31" s="270" t="s">
        <v>424</v>
      </c>
      <c r="D31" s="266"/>
      <c r="E31" s="266"/>
      <c r="F31" s="268"/>
      <c r="G31" s="269"/>
      <c r="H31" s="205"/>
      <c r="I31" s="309"/>
    </row>
    <row r="32" spans="1:16" s="47" customFormat="1" ht="20.25" customHeight="1">
      <c r="A32" s="303"/>
      <c r="C32" s="270" t="s">
        <v>411</v>
      </c>
      <c r="D32" s="324" t="s">
        <v>412</v>
      </c>
      <c r="E32" s="324" t="s">
        <v>413</v>
      </c>
      <c r="F32" s="323" t="s">
        <v>414</v>
      </c>
      <c r="G32" s="693" t="s">
        <v>415</v>
      </c>
      <c r="H32" s="693"/>
      <c r="I32" s="322" t="s">
        <v>416</v>
      </c>
    </row>
    <row r="33" spans="1:9" s="47" customFormat="1" ht="13.5" hidden="1" customHeight="1">
      <c r="A33" s="303"/>
      <c r="C33" s="205"/>
      <c r="D33" s="205"/>
      <c r="E33" s="271"/>
      <c r="F33" s="273"/>
      <c r="G33" s="206"/>
      <c r="H33" s="205"/>
      <c r="I33" s="309"/>
    </row>
    <row r="34" spans="1:9" s="47" customFormat="1" ht="12" hidden="1" customHeight="1">
      <c r="A34" s="303"/>
      <c r="B34" s="308"/>
      <c r="C34" s="10"/>
      <c r="D34" s="10"/>
      <c r="E34" s="10"/>
      <c r="F34" s="10"/>
      <c r="G34" s="10"/>
      <c r="H34" s="205"/>
      <c r="I34" s="309"/>
    </row>
    <row r="35" spans="1:9" s="47" customFormat="1" ht="20.25" customHeight="1">
      <c r="A35" s="303"/>
      <c r="C35" s="233" t="s">
        <v>425</v>
      </c>
      <c r="D35" s="271">
        <v>1</v>
      </c>
      <c r="E35" s="272">
        <v>19.600000000000001</v>
      </c>
      <c r="F35" s="273">
        <v>50</v>
      </c>
      <c r="G35" s="206">
        <v>1.49</v>
      </c>
      <c r="H35" s="205" t="s">
        <v>326</v>
      </c>
      <c r="I35" s="309">
        <f>ROUND(G35*F35,2)</f>
        <v>74.5</v>
      </c>
    </row>
    <row r="36" spans="1:9" s="47" customFormat="1" ht="20.25" customHeight="1">
      <c r="A36" s="303"/>
      <c r="C36" s="233" t="s">
        <v>426</v>
      </c>
      <c r="D36" s="271">
        <v>2</v>
      </c>
      <c r="E36" s="272">
        <v>33.9</v>
      </c>
      <c r="F36" s="273">
        <v>142</v>
      </c>
      <c r="G36" s="206">
        <v>1.49</v>
      </c>
      <c r="H36" s="205" t="s">
        <v>326</v>
      </c>
      <c r="I36" s="309">
        <f>ROUND(G36*F36,2)</f>
        <v>211.58</v>
      </c>
    </row>
    <row r="37" spans="1:9" s="47" customFormat="1" ht="20.25" customHeight="1">
      <c r="A37" s="303"/>
      <c r="C37" s="233" t="s">
        <v>427</v>
      </c>
      <c r="D37" s="271">
        <v>1</v>
      </c>
      <c r="E37" s="272">
        <v>16.899999999999999</v>
      </c>
      <c r="F37" s="273">
        <v>69</v>
      </c>
      <c r="G37" s="206">
        <v>1.49</v>
      </c>
      <c r="H37" s="205" t="s">
        <v>326</v>
      </c>
      <c r="I37" s="309">
        <f>ROUND(G37*F37,2)</f>
        <v>102.81</v>
      </c>
    </row>
    <row r="38" spans="1:9" s="47" customFormat="1" ht="12" customHeight="1">
      <c r="A38" s="303"/>
      <c r="C38" s="306"/>
      <c r="D38" s="306"/>
      <c r="E38" s="306"/>
      <c r="F38" s="306"/>
      <c r="G38" s="306"/>
      <c r="H38" s="10"/>
      <c r="I38" s="307"/>
    </row>
    <row r="39" spans="1:9" s="47" customFormat="1" ht="12" customHeight="1">
      <c r="A39" s="303"/>
      <c r="B39" s="308" t="s">
        <v>435</v>
      </c>
      <c r="C39" s="177" t="s">
        <v>428</v>
      </c>
      <c r="D39" s="266"/>
      <c r="E39" s="266"/>
      <c r="F39" s="268"/>
      <c r="G39" s="269"/>
      <c r="H39" s="205"/>
      <c r="I39" s="309"/>
    </row>
    <row r="40" spans="1:9" s="47" customFormat="1" ht="12" customHeight="1">
      <c r="A40" s="303"/>
      <c r="C40" s="270" t="s">
        <v>424</v>
      </c>
      <c r="D40" s="266"/>
      <c r="E40" s="266"/>
      <c r="F40" s="268"/>
      <c r="G40" s="269"/>
      <c r="H40" s="205"/>
      <c r="I40" s="309"/>
    </row>
    <row r="41" spans="1:9" s="47" customFormat="1" ht="20.25" customHeight="1">
      <c r="A41" s="303"/>
      <c r="C41" s="270" t="s">
        <v>411</v>
      </c>
      <c r="D41" s="324" t="s">
        <v>412</v>
      </c>
      <c r="E41" s="324" t="s">
        <v>413</v>
      </c>
      <c r="F41" s="323" t="s">
        <v>414</v>
      </c>
      <c r="G41" s="693" t="s">
        <v>415</v>
      </c>
      <c r="H41" s="693"/>
      <c r="I41" s="322" t="s">
        <v>416</v>
      </c>
    </row>
    <row r="42" spans="1:9" s="47" customFormat="1" ht="13.5" hidden="1" customHeight="1">
      <c r="A42" s="303"/>
      <c r="C42" s="205"/>
      <c r="D42" s="205"/>
      <c r="E42" s="271"/>
      <c r="F42" s="273"/>
      <c r="G42" s="206"/>
      <c r="H42" s="205"/>
      <c r="I42" s="309"/>
    </row>
    <row r="43" spans="1:9" s="47" customFormat="1" ht="12" hidden="1" customHeight="1">
      <c r="A43" s="303"/>
      <c r="B43" s="308"/>
      <c r="C43" s="10"/>
      <c r="D43" s="10"/>
      <c r="E43" s="10"/>
      <c r="F43" s="10"/>
      <c r="G43" s="10"/>
      <c r="H43" s="205"/>
      <c r="I43" s="309"/>
    </row>
    <row r="44" spans="1:9" s="47" customFormat="1" ht="20.25" customHeight="1">
      <c r="A44" s="303"/>
      <c r="C44" s="233" t="s">
        <v>429</v>
      </c>
      <c r="D44" s="271">
        <v>3</v>
      </c>
      <c r="E44" s="272">
        <v>47.9</v>
      </c>
      <c r="F44" s="273">
        <v>214</v>
      </c>
      <c r="G44" s="206">
        <v>2.59</v>
      </c>
      <c r="H44" s="205" t="s">
        <v>326</v>
      </c>
      <c r="I44" s="309">
        <f>ROUND(G44*F44,2)</f>
        <v>554.26</v>
      </c>
    </row>
    <row r="45" spans="1:9" s="47" customFormat="1" ht="12" customHeight="1">
      <c r="A45" s="303"/>
      <c r="C45" s="306"/>
      <c r="D45" s="306"/>
      <c r="E45" s="306"/>
      <c r="F45" s="306"/>
      <c r="G45" s="306"/>
      <c r="H45" s="10"/>
      <c r="I45" s="307"/>
    </row>
    <row r="46" spans="1:9" s="47" customFormat="1" ht="12" customHeight="1">
      <c r="A46" s="303"/>
      <c r="B46" s="308" t="s">
        <v>434</v>
      </c>
      <c r="C46" s="177" t="s">
        <v>436</v>
      </c>
      <c r="D46" s="266"/>
      <c r="E46" s="266"/>
      <c r="F46" s="268"/>
      <c r="G46" s="269"/>
      <c r="H46" s="205"/>
      <c r="I46" s="309"/>
    </row>
    <row r="47" spans="1:9" s="47" customFormat="1" ht="12" customHeight="1">
      <c r="A47" s="303"/>
      <c r="C47" s="270" t="s">
        <v>437</v>
      </c>
      <c r="D47" s="266"/>
      <c r="E47" s="266"/>
      <c r="F47" s="268"/>
      <c r="G47" s="269"/>
      <c r="H47" s="205"/>
      <c r="I47" s="309"/>
    </row>
    <row r="48" spans="1:9" s="47" customFormat="1" ht="20.25" customHeight="1">
      <c r="A48" s="303"/>
      <c r="C48" s="270" t="s">
        <v>411</v>
      </c>
      <c r="D48" s="324" t="s">
        <v>412</v>
      </c>
      <c r="E48" s="324" t="s">
        <v>413</v>
      </c>
      <c r="F48" s="323" t="s">
        <v>414</v>
      </c>
      <c r="G48" s="693" t="s">
        <v>415</v>
      </c>
      <c r="H48" s="693"/>
      <c r="I48" s="322" t="s">
        <v>416</v>
      </c>
    </row>
    <row r="49" spans="1:9" s="47" customFormat="1" ht="13.5" hidden="1" customHeight="1">
      <c r="A49" s="303"/>
      <c r="C49" s="205"/>
      <c r="D49" s="205"/>
      <c r="E49" s="271"/>
      <c r="F49" s="273"/>
      <c r="G49" s="206"/>
      <c r="H49" s="205"/>
      <c r="I49" s="309"/>
    </row>
    <row r="50" spans="1:9" s="47" customFormat="1" ht="12" hidden="1" customHeight="1">
      <c r="A50" s="303"/>
      <c r="B50" s="308"/>
      <c r="C50" s="10"/>
      <c r="D50" s="10"/>
      <c r="E50" s="10"/>
      <c r="F50" s="10"/>
      <c r="G50" s="10"/>
      <c r="H50" s="205"/>
      <c r="I50" s="309"/>
    </row>
    <row r="51" spans="1:9" s="47" customFormat="1" ht="20.25" customHeight="1">
      <c r="A51" s="303"/>
      <c r="C51" s="233" t="s">
        <v>430</v>
      </c>
      <c r="D51" s="271">
        <v>3</v>
      </c>
      <c r="E51" s="272">
        <v>56.7</v>
      </c>
      <c r="F51" s="273">
        <v>246</v>
      </c>
      <c r="G51" s="206">
        <v>1.51</v>
      </c>
      <c r="H51" s="205" t="s">
        <v>326</v>
      </c>
      <c r="I51" s="309">
        <f>ROUND(G51*F51,2)</f>
        <v>371.46</v>
      </c>
    </row>
    <row r="52" spans="1:9" s="47" customFormat="1" ht="20.25" customHeight="1">
      <c r="A52" s="303"/>
      <c r="C52" s="233" t="s">
        <v>431</v>
      </c>
      <c r="D52" s="271">
        <v>3</v>
      </c>
      <c r="E52" s="272">
        <v>58.3</v>
      </c>
      <c r="F52" s="273">
        <v>247</v>
      </c>
      <c r="G52" s="206">
        <v>1.51</v>
      </c>
      <c r="H52" s="205" t="s">
        <v>326</v>
      </c>
      <c r="I52" s="309">
        <f>ROUND(G52*F52,2)</f>
        <v>372.97</v>
      </c>
    </row>
    <row r="53" spans="1:9" s="47" customFormat="1" ht="12" customHeight="1">
      <c r="A53" s="303"/>
      <c r="C53" s="306"/>
      <c r="D53" s="306"/>
      <c r="E53" s="306"/>
      <c r="F53" s="306"/>
      <c r="G53" s="306"/>
      <c r="H53" s="10"/>
      <c r="I53" s="307"/>
    </row>
    <row r="54" spans="1:9" s="47" customFormat="1" ht="6" customHeight="1">
      <c r="A54" s="311"/>
      <c r="C54" s="205"/>
      <c r="D54" s="274"/>
      <c r="E54" s="275"/>
      <c r="F54" s="276"/>
      <c r="G54" s="219"/>
      <c r="H54" s="210"/>
      <c r="I54" s="310"/>
    </row>
    <row r="55" spans="1:9" s="47" customFormat="1" ht="1.5" hidden="1" customHeight="1">
      <c r="A55" s="303"/>
      <c r="C55" s="205"/>
      <c r="D55" s="205"/>
      <c r="E55" s="271"/>
      <c r="F55" s="273"/>
      <c r="G55" s="206"/>
      <c r="H55" s="205"/>
      <c r="I55" s="309"/>
    </row>
    <row r="56" spans="1:9" s="47" customFormat="1" ht="12" customHeight="1" thickBot="1">
      <c r="A56" s="303"/>
      <c r="C56" s="277" t="s">
        <v>328</v>
      </c>
      <c r="D56" s="278">
        <f>D52+D51+D44+D37+D36+D35</f>
        <v>13</v>
      </c>
      <c r="E56" s="279">
        <f>E52+E51+E44+E37+E36+E35</f>
        <v>233.3</v>
      </c>
      <c r="F56" s="280">
        <f>F52+F51+F44+F37+F36+F35</f>
        <v>968</v>
      </c>
      <c r="G56" s="281"/>
      <c r="H56" s="281"/>
      <c r="I56" s="312">
        <f>I52+I51+I44+I37+I36+I35</f>
        <v>1687.58</v>
      </c>
    </row>
    <row r="57" spans="1:9" s="47" customFormat="1" ht="12" customHeight="1" thickTop="1">
      <c r="A57" s="303"/>
      <c r="B57" s="313"/>
      <c r="C57" s="314"/>
      <c r="D57" s="314"/>
      <c r="E57" s="315"/>
      <c r="F57" s="315"/>
      <c r="G57" s="91"/>
      <c r="H57" s="91"/>
      <c r="I57" s="316"/>
    </row>
    <row r="58" spans="1:9" s="47" customFormat="1" ht="12" customHeight="1">
      <c r="A58" s="303"/>
      <c r="B58" s="313"/>
      <c r="C58" s="314"/>
      <c r="D58" s="314"/>
      <c r="E58" s="315"/>
      <c r="F58" s="315"/>
      <c r="G58" s="91"/>
      <c r="H58" s="91"/>
      <c r="I58" s="316"/>
    </row>
    <row r="59" spans="1:9" s="47" customFormat="1" ht="12" customHeight="1">
      <c r="A59" s="303"/>
      <c r="B59" s="313"/>
      <c r="C59" s="314"/>
      <c r="D59" s="314"/>
      <c r="E59" s="315"/>
      <c r="F59" s="315"/>
      <c r="G59" s="91"/>
      <c r="H59" s="91"/>
      <c r="I59" s="316"/>
    </row>
    <row r="60" spans="1:9" s="181" customFormat="1" ht="12" customHeight="1">
      <c r="A60" s="301"/>
      <c r="B60" s="123"/>
      <c r="C60" s="135"/>
      <c r="D60" s="135"/>
      <c r="E60" s="136"/>
      <c r="F60" s="136"/>
      <c r="G60" s="93"/>
      <c r="H60" s="93"/>
      <c r="I60" s="317"/>
    </row>
    <row r="61" spans="1:9" s="181" customFormat="1" ht="12" customHeight="1">
      <c r="A61" s="301"/>
      <c r="B61" s="123"/>
      <c r="C61" s="135"/>
      <c r="D61" s="135"/>
      <c r="E61" s="136"/>
      <c r="F61" s="136"/>
      <c r="G61" s="93"/>
      <c r="H61" s="93"/>
      <c r="I61" s="317"/>
    </row>
    <row r="62" spans="1:9" s="181" customFormat="1" ht="12" customHeight="1">
      <c r="A62" s="301"/>
      <c r="B62" s="123"/>
      <c r="C62" s="135"/>
      <c r="D62" s="135"/>
      <c r="E62" s="136"/>
      <c r="F62" s="136"/>
      <c r="G62" s="93"/>
      <c r="H62" s="93"/>
      <c r="I62" s="317"/>
    </row>
    <row r="63" spans="1:9" s="181" customFormat="1" ht="12" customHeight="1">
      <c r="A63" s="301"/>
      <c r="B63" s="123"/>
      <c r="C63" s="135"/>
      <c r="D63" s="135"/>
      <c r="E63" s="136"/>
      <c r="F63" s="136"/>
      <c r="G63" s="93"/>
      <c r="H63" s="93"/>
      <c r="I63" s="317"/>
    </row>
    <row r="64" spans="1:9" s="181" customFormat="1" ht="12" customHeight="1">
      <c r="A64" s="301"/>
      <c r="B64" s="123"/>
      <c r="C64" s="135"/>
      <c r="D64" s="135"/>
      <c r="E64" s="135"/>
      <c r="F64" s="135"/>
      <c r="G64" s="93"/>
      <c r="H64" s="93"/>
      <c r="I64" s="317"/>
    </row>
    <row r="65" spans="1:9" s="181" customFormat="1" ht="12" customHeight="1">
      <c r="A65" s="301"/>
      <c r="B65" s="123"/>
      <c r="C65" s="135"/>
      <c r="D65" s="135"/>
      <c r="E65" s="135"/>
      <c r="F65" s="135"/>
      <c r="G65" s="93"/>
      <c r="H65" s="93"/>
      <c r="I65" s="317"/>
    </row>
    <row r="66" spans="1:9" s="127" customFormat="1" ht="12" customHeight="1">
      <c r="A66" s="294"/>
      <c r="B66" s="87"/>
      <c r="C66" s="135"/>
      <c r="D66" s="135"/>
      <c r="E66" s="135"/>
      <c r="F66" s="135"/>
      <c r="G66" s="93"/>
      <c r="H66" s="93"/>
      <c r="I66" s="317"/>
    </row>
    <row r="67" spans="1:9" s="127" customFormat="1" ht="12" customHeight="1">
      <c r="A67" s="294"/>
      <c r="B67" s="87"/>
      <c r="C67" s="87"/>
      <c r="D67" s="105"/>
      <c r="E67" s="106"/>
      <c r="F67" s="106"/>
      <c r="G67" s="246"/>
      <c r="H67" s="246"/>
      <c r="I67" s="300"/>
    </row>
    <row r="68" spans="1:9" s="127" customFormat="1" ht="12" customHeight="1">
      <c r="A68" s="294"/>
      <c r="B68" s="123"/>
      <c r="C68" s="135"/>
      <c r="D68" s="135"/>
      <c r="E68" s="136"/>
      <c r="F68" s="136"/>
      <c r="G68" s="93"/>
      <c r="H68" s="93"/>
      <c r="I68" s="317"/>
    </row>
    <row r="69" spans="1:9" s="127" customFormat="1" ht="12" customHeight="1">
      <c r="A69" s="294"/>
      <c r="B69" s="87"/>
      <c r="C69" s="87"/>
      <c r="D69" s="105"/>
      <c r="E69" s="106"/>
      <c r="F69" s="106"/>
      <c r="G69" s="226" t="s">
        <v>370</v>
      </c>
      <c r="H69" s="226"/>
      <c r="I69" s="318"/>
    </row>
    <row r="70" spans="1:9" s="127" customFormat="1" ht="12" customHeight="1" thickBot="1">
      <c r="A70" s="319"/>
      <c r="B70" s="320"/>
      <c r="C70" s="320"/>
      <c r="D70" s="320"/>
      <c r="E70" s="320"/>
      <c r="F70" s="320"/>
      <c r="G70" s="320"/>
      <c r="H70" s="320"/>
      <c r="I70" s="321"/>
    </row>
    <row r="71" spans="1:9" s="127" customFormat="1" ht="12" customHeight="1">
      <c r="A71" s="87"/>
      <c r="B71" s="87"/>
      <c r="C71" s="87"/>
      <c r="D71" s="87"/>
      <c r="E71" s="87"/>
      <c r="F71" s="87"/>
      <c r="G71" s="87"/>
      <c r="H71" s="87"/>
      <c r="I71" s="87"/>
    </row>
    <row r="72" spans="1:9" s="127" customFormat="1" ht="12" customHeight="1">
      <c r="A72" s="87"/>
      <c r="B72" s="87"/>
      <c r="C72" s="87"/>
      <c r="D72" s="87"/>
      <c r="E72" s="87"/>
      <c r="F72" s="87"/>
      <c r="G72" s="87"/>
      <c r="H72" s="87"/>
      <c r="I72" s="87"/>
    </row>
    <row r="73" spans="1:9" s="127" customFormat="1" ht="12" customHeight="1">
      <c r="A73" s="87"/>
      <c r="B73" s="87"/>
      <c r="C73" s="87"/>
      <c r="D73" s="87"/>
      <c r="E73" s="87"/>
      <c r="F73" s="87"/>
      <c r="G73" s="87"/>
      <c r="H73" s="87"/>
      <c r="I73" s="87"/>
    </row>
    <row r="74" spans="1:9" s="127" customFormat="1" ht="12" customHeight="1">
      <c r="A74" s="87"/>
      <c r="B74" s="87"/>
      <c r="C74" s="87"/>
      <c r="D74" s="87"/>
      <c r="E74" s="87"/>
      <c r="F74" s="87"/>
      <c r="G74" s="87"/>
      <c r="H74" s="87"/>
      <c r="I74" s="87"/>
    </row>
    <row r="75" spans="1:9" s="127" customFormat="1" ht="12" customHeight="1">
      <c r="A75" s="87"/>
      <c r="B75" s="87"/>
      <c r="C75" s="87"/>
      <c r="D75" s="87"/>
      <c r="E75" s="87"/>
      <c r="F75" s="87"/>
      <c r="G75" s="87"/>
      <c r="H75" s="87"/>
      <c r="I75" s="87"/>
    </row>
    <row r="76" spans="1:9" s="127" customFormat="1" ht="12" customHeight="1">
      <c r="A76" s="87"/>
      <c r="B76" s="87"/>
      <c r="C76" s="87"/>
      <c r="D76" s="87"/>
      <c r="E76" s="87"/>
      <c r="F76" s="87"/>
      <c r="G76" s="87"/>
      <c r="H76" s="87"/>
      <c r="I76" s="87"/>
    </row>
    <row r="77" spans="1:9" s="127" customFormat="1" ht="12" customHeight="1">
      <c r="A77" s="87"/>
      <c r="B77" s="87"/>
      <c r="C77" s="87"/>
      <c r="D77" s="87"/>
      <c r="E77" s="87"/>
      <c r="F77" s="87"/>
      <c r="G77" s="87"/>
      <c r="H77" s="87"/>
      <c r="I77" s="87"/>
    </row>
    <row r="78" spans="1:9" s="127" customFormat="1" ht="12" customHeight="1">
      <c r="A78" s="87"/>
      <c r="B78" s="87"/>
      <c r="C78" s="87"/>
      <c r="D78" s="87"/>
      <c r="E78" s="87"/>
      <c r="F78" s="87"/>
      <c r="G78" s="87"/>
      <c r="H78" s="87"/>
      <c r="I78" s="87"/>
    </row>
    <row r="79" spans="1:9" s="127" customFormat="1" ht="12" customHeight="1">
      <c r="A79" s="87"/>
      <c r="B79" s="87"/>
      <c r="C79" s="87"/>
      <c r="D79" s="87"/>
      <c r="E79" s="87"/>
      <c r="F79" s="87"/>
      <c r="G79" s="87"/>
      <c r="H79" s="87"/>
      <c r="I79" s="87"/>
    </row>
    <row r="80" spans="1:9" s="127" customFormat="1" ht="12" customHeight="1">
      <c r="A80" s="87"/>
      <c r="B80" s="87"/>
      <c r="C80" s="87"/>
      <c r="D80" s="87"/>
      <c r="E80" s="87"/>
      <c r="F80" s="87"/>
      <c r="G80" s="87"/>
      <c r="H80" s="87"/>
      <c r="I80" s="87"/>
    </row>
    <row r="81" spans="1:9" s="127" customFormat="1" ht="12" customHeight="1">
      <c r="A81" s="87"/>
      <c r="B81" s="87"/>
      <c r="C81" s="87"/>
      <c r="D81" s="87"/>
      <c r="E81" s="87"/>
      <c r="F81" s="87"/>
      <c r="G81" s="87"/>
      <c r="H81" s="87"/>
      <c r="I81" s="87"/>
    </row>
    <row r="82" spans="1:9" s="127" customFormat="1" ht="12" customHeight="1">
      <c r="A82" s="87"/>
      <c r="B82" s="87"/>
      <c r="C82" s="87"/>
      <c r="D82" s="87"/>
      <c r="E82" s="87"/>
      <c r="F82" s="87"/>
      <c r="G82" s="87"/>
      <c r="H82" s="87"/>
      <c r="I82" s="87"/>
    </row>
    <row r="83" spans="1:9" s="127" customFormat="1" ht="12" customHeight="1">
      <c r="A83" s="87"/>
      <c r="B83" s="87"/>
      <c r="C83" s="87"/>
      <c r="D83" s="87"/>
      <c r="E83" s="87"/>
      <c r="F83" s="87"/>
      <c r="G83" s="87"/>
      <c r="H83" s="87"/>
      <c r="I83" s="87"/>
    </row>
    <row r="84" spans="1:9" s="127" customFormat="1" ht="12" customHeight="1">
      <c r="A84" s="87"/>
      <c r="B84" s="87"/>
      <c r="C84" s="87"/>
      <c r="D84" s="87"/>
      <c r="E84" s="87"/>
      <c r="F84" s="87"/>
      <c r="G84" s="87"/>
      <c r="H84" s="87"/>
      <c r="I84" s="87"/>
    </row>
    <row r="85" spans="1:9" s="127" customFormat="1" ht="12" customHeight="1">
      <c r="A85" s="87"/>
      <c r="B85" s="87"/>
      <c r="C85" s="87"/>
      <c r="D85" s="87"/>
      <c r="E85" s="87"/>
      <c r="F85" s="87"/>
      <c r="G85" s="87"/>
      <c r="H85" s="87"/>
      <c r="I85" s="87"/>
    </row>
    <row r="86" spans="1:9" s="127" customFormat="1" ht="12" customHeight="1">
      <c r="A86" s="87"/>
      <c r="B86" s="87"/>
      <c r="C86" s="87"/>
      <c r="D86" s="87"/>
      <c r="E86" s="87"/>
      <c r="F86" s="87"/>
      <c r="G86" s="87"/>
      <c r="H86" s="87"/>
      <c r="I86" s="87"/>
    </row>
    <row r="87" spans="1:9" s="127" customFormat="1" ht="12" customHeight="1">
      <c r="A87" s="87"/>
      <c r="B87" s="87"/>
      <c r="C87" s="87"/>
      <c r="D87" s="87"/>
      <c r="E87" s="87"/>
      <c r="F87" s="87"/>
      <c r="G87" s="87"/>
      <c r="H87" s="87"/>
      <c r="I87" s="87"/>
    </row>
    <row r="88" spans="1:9" s="127" customFormat="1" ht="12" customHeight="1">
      <c r="A88" s="87"/>
      <c r="B88" s="87"/>
      <c r="C88" s="87"/>
      <c r="D88" s="87"/>
      <c r="E88" s="87"/>
      <c r="F88" s="87"/>
      <c r="G88" s="87"/>
      <c r="H88" s="87"/>
      <c r="I88" s="87"/>
    </row>
    <row r="89" spans="1:9" s="127" customFormat="1" ht="12" customHeight="1">
      <c r="A89" s="87"/>
      <c r="B89" s="87"/>
      <c r="C89" s="87"/>
      <c r="D89" s="87"/>
      <c r="E89" s="87"/>
      <c r="F89" s="87"/>
      <c r="G89" s="87"/>
      <c r="H89" s="87"/>
      <c r="I89" s="87"/>
    </row>
    <row r="90" spans="1:9" s="127" customFormat="1" ht="12" customHeight="1">
      <c r="A90" s="87"/>
      <c r="B90" s="87"/>
      <c r="C90" s="87"/>
      <c r="D90" s="87"/>
      <c r="E90" s="87"/>
      <c r="F90" s="87"/>
      <c r="G90" s="87"/>
      <c r="H90" s="87"/>
      <c r="I90" s="87"/>
    </row>
    <row r="91" spans="1:9" s="127" customFormat="1" ht="12" customHeight="1">
      <c r="A91" s="87"/>
      <c r="B91" s="87"/>
      <c r="C91" s="87"/>
      <c r="D91" s="87"/>
      <c r="E91" s="87"/>
      <c r="F91" s="87"/>
      <c r="G91" s="87"/>
      <c r="H91" s="87"/>
      <c r="I91" s="87"/>
    </row>
    <row r="92" spans="1:9" s="127" customFormat="1" ht="12" customHeight="1">
      <c r="A92" s="87"/>
      <c r="B92" s="87"/>
      <c r="C92" s="87"/>
      <c r="D92" s="87"/>
      <c r="E92" s="87"/>
      <c r="F92" s="87"/>
      <c r="G92" s="87"/>
      <c r="H92" s="87"/>
      <c r="I92" s="87"/>
    </row>
    <row r="93" spans="1:9" s="127" customFormat="1" ht="12" customHeight="1">
      <c r="A93" s="87"/>
      <c r="B93" s="87"/>
      <c r="C93" s="87"/>
      <c r="D93" s="87"/>
      <c r="E93" s="87"/>
      <c r="F93" s="87"/>
      <c r="G93" s="87"/>
      <c r="H93" s="87"/>
      <c r="I93" s="87"/>
    </row>
    <row r="94" spans="1:9" s="127" customFormat="1" ht="12" customHeight="1">
      <c r="A94" s="87"/>
      <c r="B94" s="87"/>
      <c r="C94" s="87"/>
      <c r="D94" s="87"/>
      <c r="E94" s="87"/>
      <c r="F94" s="87"/>
      <c r="G94" s="87"/>
      <c r="H94" s="87"/>
      <c r="I94" s="87"/>
    </row>
    <row r="95" spans="1:9" s="127" customFormat="1" ht="12" customHeight="1">
      <c r="A95" s="87"/>
      <c r="B95" s="87"/>
      <c r="C95" s="87"/>
      <c r="D95" s="87"/>
      <c r="E95" s="87"/>
      <c r="F95" s="87"/>
      <c r="G95" s="87"/>
      <c r="H95" s="87"/>
      <c r="I95" s="87"/>
    </row>
    <row r="96" spans="1:9" s="127" customFormat="1" ht="12" customHeight="1">
      <c r="A96" s="87"/>
      <c r="B96" s="87"/>
      <c r="C96" s="87"/>
      <c r="D96" s="87"/>
      <c r="E96" s="87"/>
      <c r="F96" s="87"/>
      <c r="G96" s="87"/>
      <c r="H96" s="87"/>
      <c r="I96" s="87"/>
    </row>
    <row r="97" spans="1:9" s="127" customFormat="1" ht="12" customHeight="1">
      <c r="A97" s="87"/>
      <c r="B97" s="87"/>
      <c r="C97" s="87"/>
      <c r="D97" s="87"/>
      <c r="E97" s="87"/>
      <c r="F97" s="87"/>
      <c r="G97" s="87"/>
      <c r="H97" s="87"/>
      <c r="I97" s="87"/>
    </row>
    <row r="98" spans="1:9" s="127" customFormat="1" ht="12" customHeight="1">
      <c r="A98" s="87"/>
      <c r="B98" s="87"/>
      <c r="C98" s="87"/>
      <c r="D98" s="87"/>
      <c r="E98" s="87"/>
      <c r="F98" s="87"/>
      <c r="G98" s="87"/>
      <c r="H98" s="87"/>
      <c r="I98" s="87"/>
    </row>
    <row r="99" spans="1:9" s="127" customFormat="1" ht="12" customHeight="1">
      <c r="A99" s="87"/>
      <c r="B99" s="87"/>
      <c r="C99" s="87"/>
      <c r="D99" s="87"/>
      <c r="E99" s="87"/>
      <c r="F99" s="87"/>
      <c r="G99" s="87"/>
      <c r="H99" s="87"/>
      <c r="I99" s="87"/>
    </row>
    <row r="100" spans="1:9" s="127" customFormat="1" ht="12" customHeight="1">
      <c r="A100" s="87"/>
      <c r="B100" s="87"/>
      <c r="C100" s="87"/>
      <c r="D100" s="87"/>
      <c r="E100" s="87"/>
      <c r="F100" s="87"/>
      <c r="G100" s="87"/>
      <c r="H100" s="87"/>
      <c r="I100" s="87"/>
    </row>
    <row r="101" spans="1:9" s="127" customFormat="1" ht="12" customHeight="1">
      <c r="A101" s="87"/>
      <c r="B101" s="87"/>
      <c r="C101" s="87"/>
      <c r="D101" s="87"/>
      <c r="E101" s="87"/>
      <c r="F101" s="87"/>
      <c r="G101" s="87"/>
      <c r="H101" s="87"/>
      <c r="I101" s="87"/>
    </row>
    <row r="102" spans="1:9" s="127" customFormat="1" ht="12" customHeight="1">
      <c r="A102" s="87"/>
      <c r="B102" s="87"/>
      <c r="C102" s="87"/>
      <c r="D102" s="87"/>
      <c r="E102" s="87"/>
      <c r="F102" s="87"/>
      <c r="G102" s="87"/>
      <c r="H102" s="87"/>
      <c r="I102" s="87"/>
    </row>
    <row r="103" spans="1:9" s="127" customFormat="1" ht="12" customHeight="1">
      <c r="A103" s="87"/>
      <c r="B103" s="87"/>
      <c r="C103" s="87"/>
      <c r="D103" s="87"/>
      <c r="E103" s="87"/>
      <c r="F103" s="87"/>
      <c r="G103" s="87"/>
      <c r="H103" s="87"/>
      <c r="I103" s="87"/>
    </row>
    <row r="104" spans="1:9" s="127" customFormat="1" ht="12" customHeight="1">
      <c r="A104" s="87"/>
      <c r="B104" s="87"/>
      <c r="C104" s="87"/>
      <c r="D104" s="87"/>
      <c r="E104" s="87"/>
      <c r="F104" s="87"/>
      <c r="G104" s="87"/>
      <c r="H104" s="87"/>
      <c r="I104" s="87"/>
    </row>
    <row r="105" spans="1:9" s="127" customFormat="1" ht="12" customHeight="1">
      <c r="A105" s="87"/>
      <c r="B105" s="87"/>
      <c r="C105" s="87"/>
      <c r="D105" s="87"/>
      <c r="E105" s="87"/>
      <c r="F105" s="87"/>
      <c r="G105" s="87"/>
      <c r="H105" s="87"/>
      <c r="I105" s="87"/>
    </row>
    <row r="106" spans="1:9" s="127" customFormat="1" ht="12" customHeight="1">
      <c r="A106" s="87"/>
      <c r="B106" s="87"/>
      <c r="C106" s="87"/>
      <c r="D106" s="87"/>
      <c r="E106" s="87"/>
      <c r="F106" s="87"/>
      <c r="G106" s="87"/>
      <c r="H106" s="87"/>
      <c r="I106" s="87"/>
    </row>
    <row r="107" spans="1:9" s="127" customFormat="1" ht="12" customHeight="1">
      <c r="A107" s="87"/>
      <c r="B107" s="87"/>
      <c r="C107" s="87"/>
      <c r="D107" s="87"/>
      <c r="E107" s="87"/>
      <c r="F107" s="87"/>
      <c r="G107" s="87"/>
      <c r="H107" s="87"/>
      <c r="I107" s="87"/>
    </row>
    <row r="108" spans="1:9" s="127" customFormat="1" ht="12" customHeight="1">
      <c r="A108" s="87"/>
      <c r="B108" s="87"/>
      <c r="C108" s="87"/>
      <c r="D108" s="87"/>
      <c r="E108" s="87"/>
      <c r="F108" s="87"/>
      <c r="G108" s="87"/>
      <c r="H108" s="87"/>
      <c r="I108" s="87"/>
    </row>
    <row r="109" spans="1:9" s="127" customFormat="1" ht="12" customHeight="1">
      <c r="A109" s="87"/>
      <c r="B109" s="87"/>
      <c r="C109" s="87"/>
      <c r="D109" s="87"/>
      <c r="E109" s="87"/>
      <c r="F109" s="87"/>
      <c r="G109" s="87"/>
      <c r="H109" s="87"/>
      <c r="I109" s="87"/>
    </row>
    <row r="110" spans="1:9" s="127" customFormat="1" ht="12" customHeight="1">
      <c r="A110" s="87"/>
      <c r="B110" s="87"/>
      <c r="C110" s="87"/>
      <c r="D110" s="87"/>
      <c r="E110" s="87"/>
      <c r="F110" s="87"/>
      <c r="G110" s="87"/>
      <c r="H110" s="87"/>
      <c r="I110" s="87"/>
    </row>
    <row r="111" spans="1:9" s="127" customFormat="1" ht="12" customHeight="1">
      <c r="A111" s="87"/>
      <c r="B111" s="87"/>
      <c r="C111" s="87"/>
      <c r="D111" s="87"/>
      <c r="E111" s="87"/>
      <c r="F111" s="87"/>
      <c r="G111" s="87"/>
      <c r="H111" s="87"/>
      <c r="I111" s="87"/>
    </row>
    <row r="112" spans="1:9" s="127" customFormat="1" ht="12" customHeight="1">
      <c r="A112" s="87"/>
      <c r="B112" s="87"/>
      <c r="C112" s="87"/>
      <c r="D112" s="87"/>
      <c r="E112" s="87"/>
      <c r="F112" s="87"/>
      <c r="G112" s="87"/>
      <c r="H112" s="87"/>
      <c r="I112" s="87"/>
    </row>
    <row r="113" spans="1:9" s="127" customFormat="1" ht="12" customHeight="1">
      <c r="A113" s="87"/>
      <c r="B113" s="87"/>
      <c r="C113" s="87"/>
      <c r="D113" s="87"/>
      <c r="E113" s="87"/>
      <c r="F113" s="87"/>
      <c r="G113" s="87"/>
      <c r="H113" s="87"/>
      <c r="I113" s="87"/>
    </row>
    <row r="114" spans="1:9" s="127" customFormat="1" ht="12" customHeight="1">
      <c r="A114" s="87"/>
      <c r="B114" s="87"/>
      <c r="C114" s="87"/>
      <c r="D114" s="87"/>
      <c r="E114" s="87"/>
      <c r="F114" s="87"/>
      <c r="G114" s="87"/>
      <c r="H114" s="87"/>
      <c r="I114" s="87"/>
    </row>
    <row r="115" spans="1:9" s="127" customFormat="1" ht="12" customHeight="1">
      <c r="A115" s="87"/>
      <c r="B115" s="87"/>
      <c r="C115" s="87"/>
      <c r="D115" s="87"/>
      <c r="E115" s="87"/>
      <c r="F115" s="87"/>
      <c r="G115" s="87"/>
      <c r="H115" s="87"/>
      <c r="I115" s="87"/>
    </row>
    <row r="116" spans="1:9" s="127" customFormat="1" ht="12" customHeight="1">
      <c r="A116" s="87"/>
      <c r="B116" s="87"/>
      <c r="C116" s="87"/>
      <c r="D116" s="87"/>
      <c r="E116" s="87"/>
      <c r="F116" s="87"/>
      <c r="G116" s="87"/>
      <c r="H116" s="87"/>
      <c r="I116" s="87"/>
    </row>
    <row r="117" spans="1:9" s="127" customFormat="1" ht="12" customHeight="1">
      <c r="A117" s="87"/>
      <c r="B117" s="87"/>
      <c r="C117" s="87"/>
      <c r="D117" s="87"/>
      <c r="E117" s="87"/>
      <c r="F117" s="87"/>
      <c r="G117" s="87"/>
      <c r="H117" s="87"/>
      <c r="I117" s="87"/>
    </row>
    <row r="118" spans="1:9" s="127" customFormat="1" ht="12" customHeight="1">
      <c r="A118" s="87"/>
      <c r="B118" s="87"/>
      <c r="C118" s="87"/>
      <c r="D118" s="87"/>
      <c r="E118" s="87"/>
      <c r="F118" s="87"/>
      <c r="G118" s="87"/>
      <c r="H118" s="87"/>
      <c r="I118" s="87"/>
    </row>
    <row r="119" spans="1:9" s="127" customFormat="1" ht="12" customHeight="1">
      <c r="A119" s="87"/>
      <c r="B119" s="87"/>
      <c r="C119" s="87"/>
      <c r="D119" s="87"/>
      <c r="E119" s="87"/>
      <c r="F119" s="87"/>
      <c r="G119" s="87"/>
      <c r="H119" s="87"/>
      <c r="I119" s="87"/>
    </row>
    <row r="120" spans="1:9" s="127" customFormat="1" ht="14.25">
      <c r="A120" s="87"/>
      <c r="B120" s="87"/>
      <c r="C120" s="87"/>
      <c r="D120" s="87"/>
      <c r="E120" s="87"/>
      <c r="F120" s="87"/>
      <c r="G120" s="87"/>
      <c r="H120" s="87"/>
      <c r="I120" s="87"/>
    </row>
    <row r="121" spans="1:9" s="127" customFormat="1" ht="14.25">
      <c r="A121" s="87"/>
      <c r="B121" s="87"/>
      <c r="C121" s="87"/>
      <c r="D121" s="87"/>
      <c r="E121" s="87"/>
      <c r="F121" s="87"/>
      <c r="G121" s="87"/>
      <c r="H121" s="87"/>
      <c r="I121" s="87"/>
    </row>
    <row r="122" spans="1:9" s="127" customFormat="1" ht="14.25">
      <c r="A122" s="87"/>
      <c r="B122" s="87"/>
      <c r="C122" s="87"/>
      <c r="D122" s="87"/>
      <c r="E122" s="87"/>
      <c r="F122" s="87"/>
      <c r="G122" s="87"/>
      <c r="H122" s="87"/>
      <c r="I122" s="87"/>
    </row>
    <row r="123" spans="1:9" s="127" customFormat="1" ht="14.25">
      <c r="A123" s="87"/>
      <c r="B123" s="87"/>
      <c r="C123" s="87"/>
      <c r="D123" s="87"/>
      <c r="E123" s="87"/>
      <c r="F123" s="87"/>
      <c r="G123" s="87"/>
      <c r="H123" s="87"/>
      <c r="I123" s="87"/>
    </row>
    <row r="124" spans="1:9" s="127" customFormat="1" ht="14.25">
      <c r="A124" s="87"/>
      <c r="B124" s="87"/>
      <c r="C124" s="87"/>
      <c r="D124" s="87"/>
      <c r="E124" s="87"/>
      <c r="F124" s="87"/>
      <c r="G124" s="87"/>
      <c r="H124" s="87"/>
      <c r="I124" s="87"/>
    </row>
    <row r="125" spans="1:9" s="127" customFormat="1" ht="14.25">
      <c r="A125" s="87"/>
      <c r="B125" s="87"/>
      <c r="C125" s="87"/>
      <c r="D125" s="87"/>
      <c r="E125" s="87"/>
      <c r="F125" s="87"/>
      <c r="G125" s="87"/>
      <c r="H125" s="87"/>
      <c r="I125" s="87"/>
    </row>
    <row r="126" spans="1:9" s="127" customFormat="1" ht="14.25">
      <c r="A126" s="87"/>
      <c r="B126" s="87"/>
      <c r="C126" s="87"/>
      <c r="D126" s="87"/>
      <c r="E126" s="87"/>
      <c r="F126" s="87"/>
      <c r="G126" s="87"/>
      <c r="H126" s="87"/>
      <c r="I126" s="87"/>
    </row>
    <row r="127" spans="1:9" s="127" customFormat="1" ht="14.25">
      <c r="A127" s="87"/>
      <c r="B127" s="87"/>
      <c r="C127" s="87"/>
      <c r="D127" s="87"/>
      <c r="E127" s="87"/>
      <c r="F127" s="87"/>
      <c r="G127" s="87"/>
      <c r="H127" s="87"/>
      <c r="I127" s="87"/>
    </row>
    <row r="128" spans="1:9" s="127" customFormat="1" ht="14.25">
      <c r="A128" s="87"/>
      <c r="B128" s="87"/>
      <c r="C128" s="87"/>
      <c r="D128" s="87"/>
      <c r="E128" s="87"/>
      <c r="F128" s="87"/>
      <c r="G128" s="87"/>
      <c r="H128" s="87"/>
      <c r="I128" s="87"/>
    </row>
    <row r="129" spans="1:9" s="127" customFormat="1" ht="14.25">
      <c r="A129" s="87"/>
      <c r="B129" s="87"/>
      <c r="C129" s="87"/>
      <c r="D129" s="87"/>
      <c r="E129" s="87"/>
      <c r="F129" s="87"/>
      <c r="G129" s="87"/>
      <c r="H129" s="87"/>
      <c r="I129" s="87"/>
    </row>
    <row r="130" spans="1:9">
      <c r="A130" s="6"/>
      <c r="B130" s="87"/>
      <c r="C130" s="87"/>
      <c r="D130" s="87"/>
      <c r="E130" s="87"/>
      <c r="F130" s="87"/>
      <c r="G130" s="87"/>
      <c r="H130" s="87"/>
      <c r="I130" s="87"/>
    </row>
    <row r="131" spans="1:9">
      <c r="A131" s="6"/>
      <c r="B131" s="87"/>
      <c r="C131" s="87"/>
      <c r="D131" s="87"/>
      <c r="E131" s="87"/>
      <c r="F131" s="87"/>
      <c r="G131" s="87"/>
      <c r="H131" s="87"/>
      <c r="I131" s="87"/>
    </row>
    <row r="132" spans="1:9">
      <c r="A132" s="6"/>
      <c r="B132" s="87"/>
      <c r="C132" s="87"/>
      <c r="D132" s="87"/>
      <c r="E132" s="87"/>
      <c r="F132" s="87"/>
      <c r="G132" s="87"/>
      <c r="H132" s="87"/>
      <c r="I132" s="87"/>
    </row>
    <row r="133" spans="1:9">
      <c r="A133" s="6"/>
      <c r="B133" s="87"/>
      <c r="C133" s="87"/>
      <c r="D133" s="87"/>
      <c r="E133" s="87"/>
      <c r="F133" s="87"/>
      <c r="G133" s="87"/>
      <c r="H133" s="87"/>
      <c r="I133" s="87"/>
    </row>
    <row r="134" spans="1:9">
      <c r="A134" s="6"/>
      <c r="B134" s="87"/>
      <c r="C134" s="87"/>
      <c r="D134" s="87"/>
      <c r="E134" s="87"/>
      <c r="F134" s="87"/>
      <c r="G134" s="87"/>
      <c r="H134" s="87"/>
      <c r="I134" s="87"/>
    </row>
    <row r="135" spans="1:9">
      <c r="A135" s="6"/>
      <c r="B135" s="87"/>
      <c r="C135" s="87"/>
      <c r="D135" s="87"/>
      <c r="E135" s="87"/>
      <c r="F135" s="87"/>
      <c r="G135" s="87"/>
      <c r="H135" s="87"/>
      <c r="I135" s="87"/>
    </row>
    <row r="136" spans="1:9">
      <c r="A136" s="6"/>
      <c r="B136" s="87"/>
      <c r="C136" s="87"/>
      <c r="D136" s="87"/>
      <c r="E136" s="87"/>
      <c r="F136" s="87"/>
      <c r="G136" s="87"/>
      <c r="H136" s="87"/>
      <c r="I136" s="87"/>
    </row>
    <row r="137" spans="1:9">
      <c r="A137" s="6"/>
      <c r="B137" s="6"/>
      <c r="C137" s="6"/>
      <c r="D137" s="6"/>
      <c r="E137" s="6"/>
      <c r="F137" s="6"/>
      <c r="G137" s="6"/>
      <c r="H137" s="6"/>
      <c r="I137" s="6"/>
    </row>
    <row r="138" spans="1:9">
      <c r="A138" s="6"/>
      <c r="B138" s="6"/>
      <c r="C138" s="6"/>
      <c r="D138" s="6"/>
      <c r="E138" s="6"/>
      <c r="F138" s="6"/>
      <c r="G138" s="6"/>
      <c r="H138" s="6"/>
      <c r="I138" s="6"/>
    </row>
    <row r="139" spans="1:9">
      <c r="A139" s="6"/>
      <c r="B139" s="6"/>
      <c r="C139" s="6"/>
      <c r="D139" s="6"/>
      <c r="E139" s="6"/>
      <c r="F139" s="6"/>
      <c r="G139" s="6"/>
      <c r="H139" s="6"/>
      <c r="I139" s="6"/>
    </row>
    <row r="140" spans="1:9">
      <c r="A140" s="6"/>
      <c r="B140" s="6"/>
      <c r="C140" s="6"/>
      <c r="D140" s="6"/>
      <c r="E140" s="6"/>
      <c r="F140" s="6"/>
      <c r="G140" s="6"/>
      <c r="H140" s="6"/>
      <c r="I140" s="6"/>
    </row>
    <row r="141" spans="1:9">
      <c r="A141" s="6"/>
      <c r="B141" s="6"/>
      <c r="C141" s="6"/>
      <c r="D141" s="6"/>
      <c r="E141" s="6"/>
      <c r="F141" s="6"/>
      <c r="G141" s="6"/>
      <c r="H141" s="6"/>
      <c r="I141" s="6"/>
    </row>
    <row r="142" spans="1:9">
      <c r="A142" s="6"/>
      <c r="B142" s="6"/>
      <c r="C142" s="6"/>
      <c r="D142" s="6"/>
      <c r="E142" s="6"/>
      <c r="F142" s="6"/>
      <c r="G142" s="6"/>
      <c r="H142" s="6"/>
      <c r="I142" s="6"/>
    </row>
    <row r="143" spans="1:9">
      <c r="A143" s="6"/>
      <c r="B143" s="6"/>
      <c r="C143" s="6"/>
      <c r="D143" s="6"/>
      <c r="E143" s="6"/>
      <c r="F143" s="6"/>
      <c r="G143" s="6"/>
      <c r="H143" s="6"/>
      <c r="I143" s="6"/>
    </row>
    <row r="144" spans="1:9">
      <c r="A144" s="6"/>
      <c r="B144" s="6"/>
      <c r="C144" s="6"/>
      <c r="D144" s="6"/>
      <c r="E144" s="6"/>
      <c r="F144" s="6"/>
      <c r="G144" s="6"/>
      <c r="H144" s="6"/>
      <c r="I144" s="6"/>
    </row>
    <row r="145" spans="1:9">
      <c r="A145" s="6"/>
      <c r="B145" s="6"/>
      <c r="C145" s="6"/>
      <c r="D145" s="6"/>
      <c r="E145" s="6"/>
      <c r="F145" s="6"/>
      <c r="G145" s="6"/>
      <c r="H145" s="6"/>
      <c r="I145" s="6"/>
    </row>
    <row r="146" spans="1:9">
      <c r="A146" s="6"/>
      <c r="B146" s="6"/>
      <c r="C146" s="6"/>
      <c r="D146" s="6"/>
      <c r="E146" s="6"/>
      <c r="F146" s="6"/>
      <c r="G146" s="6"/>
      <c r="H146" s="6"/>
      <c r="I146" s="6"/>
    </row>
    <row r="147" spans="1:9">
      <c r="A147" s="6"/>
      <c r="B147" s="6"/>
      <c r="C147" s="6"/>
      <c r="D147" s="6"/>
      <c r="E147" s="6"/>
      <c r="F147" s="6"/>
      <c r="G147" s="6"/>
      <c r="H147" s="6"/>
      <c r="I147" s="6"/>
    </row>
    <row r="148" spans="1:9">
      <c r="A148" s="6"/>
      <c r="B148" s="6"/>
      <c r="C148" s="6"/>
      <c r="D148" s="6"/>
      <c r="E148" s="6"/>
      <c r="F148" s="6"/>
      <c r="G148" s="6"/>
      <c r="H148" s="6"/>
      <c r="I148" s="6"/>
    </row>
    <row r="149" spans="1:9">
      <c r="A149" s="6"/>
      <c r="B149" s="6"/>
      <c r="C149" s="6"/>
      <c r="D149" s="6"/>
      <c r="E149" s="6"/>
      <c r="F149" s="6"/>
      <c r="G149" s="6"/>
      <c r="H149" s="6"/>
      <c r="I149" s="6"/>
    </row>
    <row r="150" spans="1:9">
      <c r="A150" s="6"/>
      <c r="B150" s="6"/>
      <c r="C150" s="6"/>
      <c r="D150" s="6"/>
      <c r="E150" s="6"/>
      <c r="F150" s="6"/>
      <c r="G150" s="6"/>
      <c r="H150" s="6"/>
      <c r="I150" s="6"/>
    </row>
    <row r="151" spans="1:9">
      <c r="A151" s="6"/>
      <c r="B151" s="6"/>
      <c r="C151" s="6"/>
      <c r="D151" s="6"/>
      <c r="E151" s="6"/>
      <c r="F151" s="6"/>
      <c r="G151" s="6"/>
      <c r="H151" s="6"/>
      <c r="I151" s="6"/>
    </row>
    <row r="152" spans="1:9">
      <c r="A152" s="6"/>
      <c r="B152" s="6"/>
      <c r="C152" s="6"/>
      <c r="D152" s="6"/>
      <c r="E152" s="6"/>
      <c r="F152" s="6"/>
      <c r="G152" s="6"/>
      <c r="H152" s="6"/>
      <c r="I152" s="6"/>
    </row>
    <row r="153" spans="1:9">
      <c r="A153" s="6"/>
      <c r="B153" s="6"/>
      <c r="C153" s="6"/>
      <c r="D153" s="6"/>
      <c r="E153" s="6"/>
      <c r="F153" s="6"/>
      <c r="G153" s="6"/>
      <c r="H153" s="6"/>
      <c r="I153" s="6"/>
    </row>
    <row r="154" spans="1:9">
      <c r="A154" s="6"/>
      <c r="B154" s="6"/>
      <c r="C154" s="6"/>
      <c r="D154" s="6"/>
      <c r="E154" s="6"/>
      <c r="F154" s="6"/>
      <c r="G154" s="6"/>
      <c r="H154" s="6"/>
      <c r="I154" s="6"/>
    </row>
    <row r="155" spans="1:9">
      <c r="A155" s="6"/>
      <c r="B155" s="6"/>
      <c r="C155" s="6"/>
      <c r="D155" s="6"/>
      <c r="E155" s="6"/>
      <c r="F155" s="6"/>
      <c r="G155" s="6"/>
      <c r="H155" s="6"/>
      <c r="I155" s="6"/>
    </row>
    <row r="156" spans="1:9">
      <c r="A156" s="6"/>
      <c r="B156" s="6"/>
      <c r="C156" s="6"/>
      <c r="D156" s="6"/>
      <c r="E156" s="6"/>
      <c r="F156" s="6"/>
      <c r="G156" s="6"/>
      <c r="H156" s="6"/>
      <c r="I156" s="6"/>
    </row>
    <row r="157" spans="1:9">
      <c r="A157" s="6"/>
      <c r="B157" s="6"/>
      <c r="C157" s="6"/>
      <c r="D157" s="6"/>
      <c r="E157" s="6"/>
      <c r="F157" s="6"/>
      <c r="G157" s="6"/>
      <c r="H157" s="6"/>
      <c r="I157" s="6"/>
    </row>
    <row r="158" spans="1:9">
      <c r="A158" s="6"/>
      <c r="B158" s="6"/>
      <c r="C158" s="6"/>
      <c r="D158" s="6"/>
      <c r="E158" s="6"/>
      <c r="F158" s="6"/>
      <c r="G158" s="6"/>
      <c r="H158" s="6"/>
      <c r="I158" s="6"/>
    </row>
    <row r="159" spans="1:9">
      <c r="A159" s="6"/>
      <c r="B159" s="6"/>
      <c r="C159" s="6"/>
      <c r="D159" s="6"/>
      <c r="E159" s="6"/>
      <c r="F159" s="6"/>
      <c r="G159" s="6"/>
      <c r="H159" s="6"/>
      <c r="I159" s="6"/>
    </row>
    <row r="160" spans="1:9">
      <c r="A160" s="6"/>
      <c r="B160" s="6"/>
      <c r="C160" s="6"/>
      <c r="D160" s="6"/>
      <c r="E160" s="6"/>
      <c r="F160" s="6"/>
      <c r="G160" s="6"/>
      <c r="H160" s="6"/>
      <c r="I160" s="6"/>
    </row>
    <row r="161" spans="1:9">
      <c r="A161" s="6"/>
      <c r="B161" s="6"/>
      <c r="C161" s="6"/>
      <c r="D161" s="6"/>
      <c r="E161" s="6"/>
      <c r="F161" s="6"/>
      <c r="G161" s="6"/>
      <c r="H161" s="6"/>
      <c r="I161" s="6"/>
    </row>
    <row r="162" spans="1:9">
      <c r="A162" s="6"/>
      <c r="B162" s="6"/>
      <c r="C162" s="6"/>
      <c r="D162" s="6"/>
      <c r="E162" s="6"/>
      <c r="F162" s="6"/>
      <c r="G162" s="6"/>
      <c r="H162" s="6"/>
      <c r="I162" s="6"/>
    </row>
    <row r="163" spans="1:9">
      <c r="A163" s="6"/>
      <c r="B163" s="6"/>
      <c r="C163" s="6"/>
      <c r="D163" s="6"/>
      <c r="E163" s="6"/>
      <c r="F163" s="6"/>
      <c r="G163" s="6"/>
      <c r="H163" s="6"/>
      <c r="I163" s="6"/>
    </row>
    <row r="164" spans="1:9">
      <c r="A164" s="6"/>
      <c r="B164" s="6"/>
      <c r="C164" s="6"/>
      <c r="D164" s="6"/>
      <c r="E164" s="6"/>
      <c r="F164" s="6"/>
      <c r="G164" s="6"/>
      <c r="H164" s="6"/>
      <c r="I164" s="6"/>
    </row>
    <row r="165" spans="1:9">
      <c r="A165" s="6"/>
      <c r="B165" s="6"/>
      <c r="C165" s="6"/>
      <c r="D165" s="6"/>
      <c r="E165" s="6"/>
      <c r="F165" s="6"/>
      <c r="G165" s="6"/>
      <c r="H165" s="6"/>
      <c r="I165" s="6"/>
    </row>
    <row r="166" spans="1:9">
      <c r="B166" s="6"/>
      <c r="C166" s="6"/>
      <c r="D166" s="6"/>
      <c r="E166" s="6"/>
      <c r="F166" s="6"/>
      <c r="G166" s="6"/>
      <c r="H166" s="6"/>
      <c r="I166" s="6"/>
    </row>
    <row r="167" spans="1:9">
      <c r="B167" s="6"/>
      <c r="C167" s="6"/>
      <c r="D167" s="6"/>
      <c r="E167" s="6"/>
      <c r="F167" s="6"/>
      <c r="G167" s="6"/>
      <c r="H167" s="6"/>
      <c r="I167" s="6"/>
    </row>
    <row r="168" spans="1:9">
      <c r="B168" s="6"/>
      <c r="C168" s="6"/>
      <c r="D168" s="6"/>
      <c r="E168" s="6"/>
      <c r="F168" s="6"/>
      <c r="G168" s="6"/>
      <c r="H168" s="6"/>
      <c r="I168" s="6"/>
    </row>
    <row r="169" spans="1:9">
      <c r="B169" s="6"/>
      <c r="C169" s="6"/>
      <c r="D169" s="6"/>
      <c r="E169" s="6"/>
      <c r="F169" s="6"/>
      <c r="G169" s="6"/>
      <c r="H169" s="6"/>
      <c r="I169" s="6"/>
    </row>
    <row r="170" spans="1:9">
      <c r="B170" s="6"/>
      <c r="C170" s="6"/>
      <c r="D170" s="6"/>
      <c r="E170" s="6"/>
      <c r="F170" s="6"/>
      <c r="G170" s="6"/>
      <c r="H170" s="6"/>
      <c r="I170" s="6"/>
    </row>
    <row r="171" spans="1:9">
      <c r="B171" s="6"/>
      <c r="C171" s="6"/>
      <c r="D171" s="6"/>
      <c r="E171" s="6"/>
      <c r="F171" s="6"/>
      <c r="G171" s="6"/>
      <c r="H171" s="6"/>
      <c r="I171" s="6"/>
    </row>
    <row r="172" spans="1:9">
      <c r="B172" s="6"/>
      <c r="C172" s="6"/>
      <c r="D172" s="6"/>
      <c r="E172" s="6"/>
      <c r="F172" s="6"/>
      <c r="G172" s="6"/>
      <c r="H172" s="6"/>
      <c r="I172" s="6"/>
    </row>
    <row r="173" spans="1:9">
      <c r="C173" s="6"/>
      <c r="D173" s="6"/>
      <c r="E173" s="6"/>
      <c r="F173" s="6"/>
      <c r="G173" s="6"/>
      <c r="H173" s="6"/>
      <c r="I173" s="6"/>
    </row>
    <row r="174" spans="1:9">
      <c r="C174" s="6"/>
      <c r="D174" s="6"/>
      <c r="E174" s="6"/>
      <c r="F174" s="6"/>
      <c r="G174" s="6"/>
      <c r="H174" s="6"/>
      <c r="I174" s="6"/>
    </row>
    <row r="175" spans="1:9">
      <c r="C175" s="6"/>
      <c r="D175" s="6"/>
      <c r="E175" s="6"/>
      <c r="F175" s="6"/>
      <c r="G175" s="6"/>
      <c r="H175" s="6"/>
      <c r="I175" s="6"/>
    </row>
    <row r="176" spans="1:9">
      <c r="C176" s="6"/>
      <c r="D176" s="6"/>
      <c r="E176" s="6"/>
      <c r="F176" s="6"/>
      <c r="G176" s="6"/>
      <c r="H176" s="6"/>
      <c r="I176" s="6"/>
    </row>
    <row r="177" spans="3:9">
      <c r="C177" s="6"/>
      <c r="D177" s="6"/>
      <c r="E177" s="6"/>
      <c r="F177" s="6"/>
      <c r="G177" s="6"/>
      <c r="H177" s="6"/>
      <c r="I177" s="6"/>
    </row>
    <row r="178" spans="3:9">
      <c r="C178" s="6"/>
      <c r="D178" s="6"/>
      <c r="E178" s="6"/>
      <c r="F178" s="6"/>
      <c r="G178" s="6"/>
      <c r="H178" s="6"/>
      <c r="I178" s="6"/>
    </row>
    <row r="179" spans="3:9">
      <c r="C179" s="6"/>
      <c r="D179" s="6"/>
      <c r="E179" s="6"/>
      <c r="F179" s="6"/>
      <c r="G179" s="6"/>
      <c r="H179" s="6"/>
      <c r="I179" s="6"/>
    </row>
    <row r="180" spans="3:9">
      <c r="C180" s="6"/>
      <c r="D180" s="6"/>
      <c r="E180" s="6"/>
      <c r="F180" s="6"/>
      <c r="G180" s="6"/>
      <c r="H180" s="6"/>
      <c r="I180" s="6"/>
    </row>
    <row r="181" spans="3:9">
      <c r="C181" s="6"/>
      <c r="D181" s="6"/>
      <c r="E181" s="6"/>
      <c r="F181" s="6"/>
      <c r="G181" s="6"/>
      <c r="H181" s="6"/>
      <c r="I181" s="6"/>
    </row>
    <row r="182" spans="3:9">
      <c r="C182" s="6"/>
      <c r="D182" s="6"/>
      <c r="E182" s="6"/>
      <c r="F182" s="6"/>
      <c r="G182" s="6"/>
      <c r="H182" s="6"/>
      <c r="I182" s="6"/>
    </row>
    <row r="183" spans="3:9">
      <c r="C183" s="6"/>
      <c r="D183" s="6"/>
      <c r="E183" s="6"/>
      <c r="F183" s="6"/>
      <c r="G183" s="6"/>
      <c r="H183" s="6"/>
      <c r="I183" s="6"/>
    </row>
    <row r="184" spans="3:9">
      <c r="C184" s="6"/>
      <c r="D184" s="6"/>
      <c r="E184" s="6"/>
      <c r="F184" s="6"/>
      <c r="G184" s="6"/>
      <c r="H184" s="6"/>
      <c r="I184" s="6"/>
    </row>
    <row r="185" spans="3:9">
      <c r="C185" s="6"/>
      <c r="D185" s="6"/>
      <c r="E185" s="6"/>
      <c r="F185" s="6"/>
      <c r="G185" s="6"/>
      <c r="H185" s="6"/>
      <c r="I185" s="6"/>
    </row>
    <row r="186" spans="3:9">
      <c r="C186" s="6"/>
      <c r="D186" s="6"/>
      <c r="E186" s="6"/>
      <c r="F186" s="6"/>
      <c r="G186" s="6"/>
      <c r="H186" s="6"/>
      <c r="I186" s="6"/>
    </row>
    <row r="187" spans="3:9">
      <c r="C187" s="6"/>
      <c r="D187" s="6"/>
      <c r="E187" s="6"/>
      <c r="F187" s="6"/>
      <c r="G187" s="6"/>
      <c r="H187" s="6"/>
      <c r="I187" s="6"/>
    </row>
    <row r="188" spans="3:9">
      <c r="C188" s="6"/>
      <c r="D188" s="6"/>
      <c r="E188" s="6"/>
      <c r="F188" s="6"/>
      <c r="G188" s="6"/>
      <c r="H188" s="6"/>
      <c r="I188" s="6"/>
    </row>
    <row r="189" spans="3:9">
      <c r="C189" s="6"/>
      <c r="D189" s="6"/>
      <c r="E189" s="6"/>
      <c r="F189" s="6"/>
      <c r="G189" s="6"/>
      <c r="H189" s="6"/>
      <c r="I189" s="6"/>
    </row>
    <row r="190" spans="3:9">
      <c r="C190" s="6"/>
      <c r="D190" s="6"/>
      <c r="E190" s="6"/>
      <c r="F190" s="6"/>
      <c r="G190" s="6"/>
      <c r="H190" s="6"/>
      <c r="I190" s="6"/>
    </row>
    <row r="191" spans="3:9">
      <c r="C191" s="6"/>
      <c r="D191" s="6"/>
      <c r="E191" s="6"/>
      <c r="F191" s="6"/>
      <c r="G191" s="6"/>
      <c r="H191" s="6"/>
      <c r="I191" s="6"/>
    </row>
    <row r="192" spans="3:9">
      <c r="C192" s="6"/>
      <c r="D192" s="6"/>
      <c r="E192" s="6"/>
      <c r="F192" s="6"/>
      <c r="G192" s="6"/>
      <c r="H192" s="6"/>
      <c r="I192" s="6"/>
    </row>
    <row r="193" spans="3:9">
      <c r="C193" s="6"/>
      <c r="D193" s="6"/>
      <c r="E193" s="6"/>
      <c r="F193" s="6"/>
      <c r="G193" s="6"/>
      <c r="H193" s="6"/>
      <c r="I193" s="6"/>
    </row>
    <row r="194" spans="3:9">
      <c r="C194" s="6"/>
      <c r="D194" s="6"/>
      <c r="E194" s="6"/>
      <c r="F194" s="6"/>
      <c r="G194" s="6"/>
      <c r="H194" s="6"/>
      <c r="I194" s="6"/>
    </row>
    <row r="195" spans="3:9">
      <c r="C195" s="6"/>
      <c r="D195" s="6"/>
      <c r="E195" s="6"/>
      <c r="F195" s="6"/>
      <c r="G195" s="6"/>
      <c r="H195" s="6"/>
      <c r="I195" s="6"/>
    </row>
    <row r="196" spans="3:9">
      <c r="C196" s="6"/>
      <c r="D196" s="6"/>
      <c r="E196" s="6"/>
      <c r="F196" s="6"/>
      <c r="G196" s="6"/>
      <c r="H196" s="6"/>
      <c r="I196" s="6"/>
    </row>
    <row r="197" spans="3:9">
      <c r="C197" s="6"/>
      <c r="D197" s="6"/>
      <c r="E197" s="6"/>
      <c r="F197" s="6"/>
      <c r="G197" s="6"/>
      <c r="H197" s="6"/>
      <c r="I197" s="6"/>
    </row>
    <row r="198" spans="3:9">
      <c r="C198" s="6"/>
      <c r="D198" s="6"/>
      <c r="E198" s="6"/>
      <c r="F198" s="6"/>
      <c r="G198" s="6"/>
      <c r="H198" s="6"/>
      <c r="I198" s="6"/>
    </row>
    <row r="199" spans="3:9">
      <c r="C199" s="6"/>
      <c r="D199" s="6"/>
      <c r="E199" s="6"/>
      <c r="F199" s="6"/>
      <c r="G199" s="6"/>
      <c r="H199" s="6"/>
      <c r="I199" s="6"/>
    </row>
    <row r="200" spans="3:9">
      <c r="C200" s="6"/>
      <c r="D200" s="6"/>
      <c r="E200" s="6"/>
      <c r="F200" s="6"/>
      <c r="G200" s="6"/>
      <c r="H200" s="6"/>
      <c r="I200" s="6"/>
    </row>
    <row r="201" spans="3:9">
      <c r="C201" s="6"/>
      <c r="D201" s="6"/>
      <c r="E201" s="6"/>
      <c r="F201" s="6"/>
      <c r="G201" s="6"/>
      <c r="H201" s="6"/>
      <c r="I201" s="6"/>
    </row>
    <row r="202" spans="3:9">
      <c r="C202" s="6"/>
      <c r="D202" s="6"/>
      <c r="E202" s="6"/>
      <c r="F202" s="6"/>
      <c r="G202" s="6"/>
      <c r="H202" s="6"/>
      <c r="I202" s="6"/>
    </row>
    <row r="203" spans="3:9">
      <c r="C203" s="6"/>
      <c r="D203" s="6"/>
      <c r="E203" s="6"/>
      <c r="F203" s="6"/>
      <c r="G203" s="6"/>
      <c r="H203" s="6"/>
      <c r="I203" s="6"/>
    </row>
    <row r="204" spans="3:9">
      <c r="C204" s="6"/>
      <c r="D204" s="6"/>
      <c r="E204" s="6"/>
      <c r="F204" s="6"/>
      <c r="G204" s="6"/>
      <c r="H204" s="6"/>
      <c r="I204" s="6"/>
    </row>
    <row r="205" spans="3:9">
      <c r="C205" s="6"/>
      <c r="D205" s="6"/>
      <c r="E205" s="6"/>
      <c r="F205" s="6"/>
      <c r="G205" s="6"/>
      <c r="H205" s="6"/>
      <c r="I205" s="6"/>
    </row>
    <row r="206" spans="3:9">
      <c r="C206" s="6"/>
      <c r="D206" s="6"/>
      <c r="E206" s="6"/>
      <c r="F206" s="6"/>
      <c r="G206" s="6"/>
      <c r="H206" s="6"/>
      <c r="I206" s="6"/>
    </row>
    <row r="207" spans="3:9">
      <c r="C207" s="6"/>
      <c r="D207" s="6"/>
      <c r="E207" s="6"/>
      <c r="F207" s="6"/>
      <c r="G207" s="6"/>
      <c r="H207" s="6"/>
      <c r="I207" s="6"/>
    </row>
    <row r="208" spans="3:9">
      <c r="C208" s="6"/>
      <c r="D208" s="6"/>
      <c r="E208" s="6"/>
      <c r="F208" s="6"/>
      <c r="G208" s="6"/>
      <c r="H208" s="6"/>
      <c r="I208" s="6"/>
    </row>
    <row r="209" spans="3:9">
      <c r="C209" s="6"/>
      <c r="D209" s="6"/>
      <c r="E209" s="6"/>
      <c r="F209" s="6"/>
      <c r="G209" s="6"/>
      <c r="H209" s="6"/>
      <c r="I209" s="6"/>
    </row>
    <row r="210" spans="3:9">
      <c r="C210" s="6"/>
      <c r="D210" s="6"/>
      <c r="E210" s="6"/>
      <c r="F210" s="6"/>
      <c r="G210" s="6"/>
      <c r="H210" s="6"/>
      <c r="I210" s="6"/>
    </row>
    <row r="211" spans="3:9">
      <c r="C211" s="6"/>
      <c r="D211" s="6"/>
      <c r="E211" s="6"/>
      <c r="F211" s="6"/>
      <c r="G211" s="6"/>
      <c r="H211" s="6"/>
      <c r="I211" s="6"/>
    </row>
    <row r="212" spans="3:9">
      <c r="C212" s="6"/>
      <c r="D212" s="6"/>
      <c r="E212" s="6"/>
      <c r="F212" s="6"/>
      <c r="G212" s="6"/>
      <c r="H212" s="6"/>
      <c r="I212" s="6"/>
    </row>
    <row r="213" spans="3:9">
      <c r="C213" s="6"/>
      <c r="D213" s="6"/>
      <c r="E213" s="6"/>
      <c r="F213" s="6"/>
      <c r="G213" s="6"/>
      <c r="H213" s="6"/>
      <c r="I213" s="6"/>
    </row>
  </sheetData>
  <mergeCells count="14">
    <mergeCell ref="K8:M8"/>
    <mergeCell ref="N8:P8"/>
    <mergeCell ref="E19:I20"/>
    <mergeCell ref="A24:B24"/>
    <mergeCell ref="C22:D22"/>
    <mergeCell ref="A22:B22"/>
    <mergeCell ref="A12:D12"/>
    <mergeCell ref="A13:D13"/>
    <mergeCell ref="L20:P21"/>
    <mergeCell ref="G41:H41"/>
    <mergeCell ref="G48:H48"/>
    <mergeCell ref="G32:H32"/>
    <mergeCell ref="E1:I3"/>
    <mergeCell ref="C24:D24"/>
  </mergeCells>
  <phoneticPr fontId="2" type="noConversion"/>
  <hyperlinks>
    <hyperlink ref="A8" r:id="rId1" display="TEL:(82)2-5460066   FAX:(82)2-5404106" xr:uid="{00000000-0004-0000-0300-000000000000}"/>
  </hyperlinks>
  <printOptions horizontalCentered="1"/>
  <pageMargins left="0.15748031496062992" right="0.15748031496062992" top="0.19685039370078741" bottom="0.31496062992125984" header="0.15748031496062992" footer="0.15748031496062992"/>
  <pageSetup paperSize="9" fitToWidth="0" orientation="portrait" r:id="rId2"/>
  <headerFooter scaleWithDoc="0" alignWithMargins="0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pageSetUpPr fitToPage="1"/>
  </sheetPr>
  <dimension ref="A1:O72"/>
  <sheetViews>
    <sheetView showGridLines="0" view="pageBreakPreview" zoomScaleSheetLayoutView="100" workbookViewId="0">
      <selection activeCell="C22" sqref="C22:D22"/>
    </sheetView>
  </sheetViews>
  <sheetFormatPr defaultColWidth="8.88671875" defaultRowHeight="13.5"/>
  <cols>
    <col min="1" max="1" width="8.33203125" customWidth="1"/>
    <col min="2" max="2" width="7.77734375" customWidth="1"/>
    <col min="3" max="3" width="17.109375" customWidth="1"/>
    <col min="4" max="4" width="8.44140625" customWidth="1"/>
    <col min="5" max="5" width="8.21875" customWidth="1"/>
    <col min="6" max="8" width="10.77734375" customWidth="1"/>
  </cols>
  <sheetData>
    <row r="1" spans="1:9" ht="17.100000000000001" customHeight="1">
      <c r="E1" s="696" t="s">
        <v>330</v>
      </c>
      <c r="F1" s="696"/>
      <c r="G1" s="696"/>
      <c r="H1" s="696"/>
    </row>
    <row r="2" spans="1:9" ht="17.100000000000001" customHeight="1">
      <c r="E2" s="696"/>
      <c r="F2" s="696"/>
      <c r="G2" s="696"/>
      <c r="H2" s="696"/>
    </row>
    <row r="3" spans="1:9" ht="17.100000000000001" customHeight="1">
      <c r="A3" s="1"/>
      <c r="B3" s="1"/>
      <c r="C3" s="1"/>
      <c r="D3" s="1"/>
      <c r="E3" s="698"/>
      <c r="F3" s="698"/>
      <c r="G3" s="698"/>
      <c r="H3" s="698"/>
    </row>
    <row r="4" spans="1:9" s="85" customFormat="1" ht="9.9499999999999993" customHeight="1">
      <c r="A4" s="82" t="s">
        <v>301</v>
      </c>
      <c r="B4" s="82"/>
      <c r="C4" s="82"/>
      <c r="D4" s="82"/>
      <c r="E4" s="144" t="s">
        <v>2</v>
      </c>
      <c r="F4" s="152"/>
      <c r="G4" s="145"/>
      <c r="H4" s="146"/>
    </row>
    <row r="5" spans="1:9" s="91" customFormat="1" ht="12" customHeight="1">
      <c r="A5" s="86" t="s">
        <v>303</v>
      </c>
      <c r="B5" s="87"/>
      <c r="C5" s="87"/>
      <c r="D5" s="87"/>
      <c r="E5" s="88" t="str">
        <f>'INV(TTL)_A'!E5</f>
        <v>SW-HSIN190102-NCV</v>
      </c>
      <c r="F5" s="153"/>
      <c r="G5" s="89"/>
      <c r="H5" s="90">
        <f>'INV(TTL)_A'!I5</f>
        <v>43467</v>
      </c>
      <c r="I5" s="90"/>
    </row>
    <row r="6" spans="1:9" s="85" customFormat="1" ht="12" customHeight="1">
      <c r="A6" s="86" t="s">
        <v>4</v>
      </c>
      <c r="B6" s="87"/>
      <c r="C6" s="87"/>
      <c r="D6" s="87"/>
      <c r="E6" s="83" t="s">
        <v>305</v>
      </c>
      <c r="F6" s="100"/>
      <c r="G6" s="82"/>
      <c r="H6" s="92"/>
    </row>
    <row r="7" spans="1:9" s="91" customFormat="1" ht="12" customHeight="1">
      <c r="A7" s="86" t="s">
        <v>6</v>
      </c>
      <c r="B7" s="87"/>
      <c r="C7" s="87"/>
      <c r="D7" s="87" t="s">
        <v>307</v>
      </c>
      <c r="E7" s="213" t="s">
        <v>375</v>
      </c>
      <c r="F7" s="214"/>
      <c r="G7" s="130"/>
      <c r="H7" s="216"/>
      <c r="I7" s="216"/>
    </row>
    <row r="8" spans="1:9" s="91" customFormat="1" ht="12" customHeight="1">
      <c r="A8" s="86" t="s">
        <v>308</v>
      </c>
      <c r="B8" s="87"/>
      <c r="C8" s="87"/>
      <c r="D8" s="87"/>
      <c r="E8" s="94"/>
      <c r="F8" s="117"/>
      <c r="G8" s="87"/>
      <c r="H8" s="96"/>
    </row>
    <row r="9" spans="1:9" s="91" customFormat="1" ht="3.75" customHeight="1">
      <c r="A9" s="87"/>
      <c r="B9" s="87"/>
      <c r="C9" s="87"/>
      <c r="D9" s="87"/>
      <c r="E9" s="97"/>
      <c r="F9" s="106"/>
      <c r="G9" s="87"/>
      <c r="H9" s="98"/>
    </row>
    <row r="10" spans="1:9" s="85" customFormat="1" ht="9.9499999999999993" customHeight="1">
      <c r="A10" s="82" t="s">
        <v>309</v>
      </c>
      <c r="B10" s="82"/>
      <c r="C10" s="82"/>
      <c r="D10" s="99"/>
      <c r="E10" s="257" t="s">
        <v>405</v>
      </c>
      <c r="F10" s="257" t="str">
        <f>'INV(TTL)_A'!F10</f>
        <v>: K01-00287530-Purch/K01-00281901-Purch</v>
      </c>
      <c r="G10" s="108"/>
      <c r="H10" s="108"/>
      <c r="I10" s="103"/>
    </row>
    <row r="11" spans="1:9" s="91" customFormat="1" ht="12" customHeight="1">
      <c r="A11" s="87" t="s">
        <v>377</v>
      </c>
      <c r="B11" s="87"/>
      <c r="C11" s="87"/>
      <c r="D11" s="104"/>
      <c r="E11" s="86"/>
      <c r="F11" s="86"/>
      <c r="G11" s="87"/>
      <c r="H11" s="87"/>
      <c r="I11" s="105"/>
    </row>
    <row r="12" spans="1:9" s="91" customFormat="1" ht="12" customHeight="1">
      <c r="A12" s="714" t="s">
        <v>378</v>
      </c>
      <c r="B12" s="714"/>
      <c r="C12" s="714"/>
      <c r="D12" s="715"/>
      <c r="E12" s="106" t="s">
        <v>406</v>
      </c>
      <c r="F12" s="117" t="str">
        <f>'INV(TTL)_A'!F12</f>
        <v>SV18-2-0258-001/SV18-2-0285-001</v>
      </c>
      <c r="G12" s="87"/>
      <c r="H12" s="87"/>
      <c r="I12" s="105"/>
    </row>
    <row r="13" spans="1:9" s="91" customFormat="1" ht="12" customHeight="1">
      <c r="A13" s="714" t="s">
        <v>379</v>
      </c>
      <c r="B13" s="714"/>
      <c r="C13" s="714"/>
      <c r="D13" s="715"/>
      <c r="E13" s="106" t="s">
        <v>407</v>
      </c>
      <c r="F13" s="106" t="str">
        <f>'INV(TTL)_A'!F13</f>
        <v>660/159233-007/660-197230-001</v>
      </c>
      <c r="G13" s="87"/>
      <c r="H13" s="87"/>
      <c r="I13" s="105"/>
    </row>
    <row r="14" spans="1:9" s="91" customFormat="1" ht="4.5" customHeight="1">
      <c r="A14" s="87"/>
      <c r="B14" s="87"/>
      <c r="C14" s="87"/>
      <c r="D14" s="104"/>
      <c r="E14" s="107"/>
      <c r="F14" s="107"/>
      <c r="G14" s="87"/>
      <c r="H14" s="122"/>
    </row>
    <row r="15" spans="1:9" s="85" customFormat="1" ht="9.9499999999999993" customHeight="1">
      <c r="A15" s="82" t="s">
        <v>296</v>
      </c>
      <c r="B15" s="108"/>
      <c r="C15" s="102"/>
      <c r="D15" s="99"/>
      <c r="E15" s="100" t="s">
        <v>15</v>
      </c>
      <c r="F15" s="100"/>
      <c r="G15" s="102"/>
      <c r="H15" s="147"/>
    </row>
    <row r="16" spans="1:9" s="91" customFormat="1" ht="12" customHeight="1">
      <c r="A16" s="87" t="s">
        <v>312</v>
      </c>
      <c r="B16" s="87"/>
      <c r="C16" s="87"/>
      <c r="D16" s="104"/>
      <c r="E16" s="109"/>
      <c r="F16" s="109"/>
      <c r="G16" s="87"/>
      <c r="H16" s="105"/>
    </row>
    <row r="17" spans="1:15" s="91" customFormat="1" ht="12" customHeight="1">
      <c r="A17" s="87" t="s">
        <v>314</v>
      </c>
      <c r="B17" s="87"/>
      <c r="C17" s="87"/>
      <c r="D17" s="104"/>
      <c r="E17" s="109" t="s">
        <v>313</v>
      </c>
      <c r="F17" s="87"/>
      <c r="G17" s="87"/>
      <c r="H17" s="87"/>
      <c r="I17" s="105"/>
    </row>
    <row r="18" spans="1:15" s="91" customFormat="1" ht="12" customHeight="1">
      <c r="A18" s="87" t="s">
        <v>408</v>
      </c>
      <c r="B18" s="87"/>
      <c r="C18" s="87"/>
      <c r="D18" s="104"/>
      <c r="E18" s="110" t="str">
        <f>'INV(TTL)_A'!E18</f>
        <v xml:space="preserve">  PT. HANDSOME</v>
      </c>
      <c r="F18" s="87"/>
      <c r="G18" s="87"/>
      <c r="H18" s="87"/>
      <c r="I18" s="105"/>
    </row>
    <row r="19" spans="1:15" s="91" customFormat="1" ht="12" customHeight="1">
      <c r="A19" s="87" t="s">
        <v>316</v>
      </c>
      <c r="B19" s="87"/>
      <c r="C19" s="87"/>
      <c r="D19" s="104"/>
      <c r="E19" s="705" t="str">
        <f>'INV(TTL)_A'!E19:I20</f>
        <v>KP. CIELA RT.01 RW.01 DS. WANAKERTA KEC.
PURWADADI KAB. SUBANG, JAWA BARAT, INDONESIA</v>
      </c>
      <c r="F19" s="706"/>
      <c r="G19" s="706"/>
      <c r="H19" s="706"/>
      <c r="I19" s="706"/>
    </row>
    <row r="20" spans="1:15" s="91" customFormat="1" ht="12" customHeight="1">
      <c r="A20" s="87"/>
      <c r="B20" s="87"/>
      <c r="C20" s="87"/>
      <c r="D20" s="104"/>
      <c r="E20" s="705"/>
      <c r="F20" s="706"/>
      <c r="G20" s="706"/>
      <c r="H20" s="706"/>
      <c r="I20" s="706"/>
    </row>
    <row r="21" spans="1:15" s="85" customFormat="1" ht="9.9499999999999993" customHeight="1">
      <c r="A21" s="82" t="s">
        <v>20</v>
      </c>
      <c r="B21" s="82"/>
      <c r="C21" s="113" t="s">
        <v>21</v>
      </c>
      <c r="D21" s="114"/>
      <c r="E21" s="87" t="str">
        <f>'INV(TTL)_A'!E21</f>
        <v>TEL. : 62-260-460-690 FAX. : 62-260-462-086</v>
      </c>
      <c r="F21" s="87"/>
      <c r="G21" s="87"/>
      <c r="H21" s="87"/>
      <c r="I21" s="105"/>
    </row>
    <row r="22" spans="1:15" s="91" customFormat="1" ht="12" customHeight="1">
      <c r="A22" s="718" t="str">
        <f>'INV(TTL)_A'!A22:B22</f>
        <v>HO CHI MINH, VIET NAM</v>
      </c>
      <c r="B22" s="711"/>
      <c r="C22" s="710" t="s">
        <v>390</v>
      </c>
      <c r="D22" s="711"/>
      <c r="E22" s="87"/>
      <c r="F22" s="87"/>
      <c r="G22" s="87"/>
      <c r="H22" s="87"/>
      <c r="I22" s="105"/>
      <c r="J22" s="717"/>
      <c r="K22" s="717"/>
      <c r="L22" s="717"/>
      <c r="M22" s="717"/>
      <c r="N22" s="717"/>
      <c r="O22" s="717"/>
    </row>
    <row r="23" spans="1:15" s="85" customFormat="1" ht="9.9499999999999993" customHeight="1">
      <c r="A23" s="82" t="s">
        <v>318</v>
      </c>
      <c r="B23" s="82"/>
      <c r="C23" s="113" t="s">
        <v>319</v>
      </c>
      <c r="D23" s="114"/>
      <c r="E23" s="117" t="s">
        <v>320</v>
      </c>
      <c r="F23" s="87"/>
      <c r="G23" s="118"/>
      <c r="H23" s="87"/>
      <c r="I23" s="105"/>
      <c r="J23" s="230"/>
      <c r="K23" s="230"/>
      <c r="L23" s="230"/>
      <c r="M23" s="230"/>
      <c r="N23" s="230"/>
      <c r="O23" s="230"/>
    </row>
    <row r="24" spans="1:15" s="91" customFormat="1" ht="12" customHeight="1">
      <c r="A24" s="719" t="str">
        <f>'INV(TTL)_A'!A24:B24</f>
        <v>FX5194</v>
      </c>
      <c r="B24" s="709"/>
      <c r="C24" s="700">
        <f>'INV(TTL)_A'!C24:D24</f>
        <v>43469</v>
      </c>
      <c r="D24" s="701"/>
      <c r="E24" s="121">
        <f>+'INV(TTL)_A'!E24</f>
        <v>0</v>
      </c>
      <c r="F24" s="121"/>
      <c r="G24" s="118"/>
      <c r="H24" s="122"/>
      <c r="J24" s="230"/>
      <c r="K24" s="230"/>
      <c r="L24" s="230"/>
      <c r="M24" s="230"/>
      <c r="N24" s="230"/>
      <c r="O24" s="230"/>
    </row>
    <row r="25" spans="1:15" ht="9.9499999999999993" customHeight="1">
      <c r="A25" s="2" t="s">
        <v>23</v>
      </c>
      <c r="B25" s="2"/>
      <c r="C25" s="34" t="s">
        <v>24</v>
      </c>
      <c r="D25" s="2"/>
      <c r="E25" s="34" t="s">
        <v>28</v>
      </c>
      <c r="F25" s="2"/>
      <c r="G25" s="34" t="s">
        <v>29</v>
      </c>
      <c r="H25" s="148" t="s">
        <v>30</v>
      </c>
      <c r="J25" s="231"/>
      <c r="K25" s="231"/>
      <c r="L25" s="231"/>
      <c r="M25" s="231"/>
      <c r="N25" s="231"/>
      <c r="O25" s="231"/>
    </row>
    <row r="26" spans="1:15" s="47" customFormat="1" ht="12" customHeight="1">
      <c r="A26" s="6"/>
      <c r="B26" s="6"/>
      <c r="C26" s="6"/>
      <c r="D26" s="6"/>
      <c r="E26" s="27"/>
      <c r="F26" s="27"/>
      <c r="G26" s="6"/>
      <c r="H26" s="6"/>
      <c r="J26" s="232"/>
      <c r="K26" s="232"/>
      <c r="L26" s="232"/>
      <c r="M26" s="232"/>
      <c r="N26" s="232"/>
      <c r="O26" s="232"/>
    </row>
    <row r="27" spans="1:15" s="47" customFormat="1" ht="12" customHeight="1">
      <c r="A27" s="31"/>
      <c r="B27" s="6"/>
      <c r="C27" s="6"/>
      <c r="D27" s="6"/>
      <c r="E27" s="27"/>
      <c r="F27" s="27"/>
      <c r="G27" s="175" t="str">
        <f>'INV(TTL)_A'!H26</f>
        <v>CPT. JAKARTA</v>
      </c>
      <c r="H27" s="6"/>
      <c r="J27" s="232"/>
      <c r="K27" s="232"/>
      <c r="L27" s="232"/>
      <c r="M27" s="232"/>
      <c r="N27" s="232"/>
      <c r="O27" s="232"/>
    </row>
    <row r="28" spans="1:15" s="47" customFormat="1" ht="12" customHeight="1">
      <c r="A28" s="31"/>
      <c r="B28" s="6"/>
      <c r="C28" s="6"/>
      <c r="D28" s="6"/>
      <c r="E28" s="27"/>
      <c r="F28" s="27"/>
      <c r="G28" s="6"/>
      <c r="H28" s="6"/>
      <c r="J28" s="232"/>
      <c r="K28" s="232"/>
      <c r="L28" s="232"/>
      <c r="M28" s="232"/>
      <c r="N28" s="232"/>
      <c r="O28" s="232"/>
    </row>
    <row r="29" spans="1:15" s="47" customFormat="1" ht="12" customHeight="1">
      <c r="A29" s="31"/>
      <c r="B29" s="6"/>
      <c r="C29" s="246" t="s">
        <v>371</v>
      </c>
      <c r="D29" s="6"/>
      <c r="E29" s="27"/>
      <c r="F29" s="27"/>
      <c r="G29" s="6"/>
      <c r="H29" s="6"/>
      <c r="J29" s="232"/>
      <c r="K29" s="232"/>
      <c r="L29" s="232"/>
      <c r="M29" s="232"/>
      <c r="N29" s="232"/>
      <c r="O29" s="232"/>
    </row>
    <row r="30" spans="1:15" ht="12" customHeight="1">
      <c r="A30" s="31"/>
      <c r="B30" s="227" t="s">
        <v>373</v>
      </c>
      <c r="C30" s="266" t="str">
        <f>'INV(TTL)_A'!C29</f>
        <v>STYLE NO.660/159233-007/660-197230-001</v>
      </c>
      <c r="D30" s="266"/>
      <c r="E30" s="267"/>
      <c r="F30" s="268"/>
      <c r="G30" s="269"/>
      <c r="H30" s="150"/>
      <c r="I30" s="87"/>
    </row>
    <row r="31" spans="1:15" ht="12" customHeight="1">
      <c r="A31" s="31"/>
      <c r="B31" s="124"/>
      <c r="C31" s="177" t="str">
        <f>'INV(TTL)_A'!C30</f>
        <v>100 PCT COTTON 30'S/1 SINGLE JERSEY SOLID</v>
      </c>
      <c r="D31" s="266"/>
      <c r="E31" s="267"/>
      <c r="F31" s="268"/>
      <c r="G31" s="269"/>
      <c r="H31" s="150"/>
      <c r="I31" s="87"/>
    </row>
    <row r="32" spans="1:15" ht="12" customHeight="1">
      <c r="A32" s="31"/>
      <c r="B32" s="87"/>
      <c r="C32" s="270" t="str">
        <f>'INV(TTL)_A'!C31</f>
        <v>CUTTABLE WIDTH : 70", WEIGHT :150G/M2, 244G/YD</v>
      </c>
      <c r="D32" s="266"/>
      <c r="E32" s="267"/>
      <c r="F32" s="268"/>
      <c r="G32" s="269"/>
      <c r="H32" s="150"/>
      <c r="I32" s="87"/>
    </row>
    <row r="33" spans="1:9" ht="12" customHeight="1">
      <c r="A33" s="31"/>
      <c r="B33" s="87"/>
      <c r="C33" s="270"/>
      <c r="D33" s="266"/>
      <c r="E33" s="267"/>
      <c r="F33" s="268"/>
      <c r="G33" s="269"/>
      <c r="H33" s="150"/>
      <c r="I33" s="87"/>
    </row>
    <row r="34" spans="1:9" ht="12" customHeight="1">
      <c r="A34" s="31"/>
      <c r="B34" s="87"/>
      <c r="D34" s="266"/>
      <c r="E34" s="267"/>
      <c r="F34" s="268"/>
      <c r="G34" s="269"/>
      <c r="H34" s="150"/>
      <c r="I34" s="87"/>
    </row>
    <row r="35" spans="1:9" ht="0.75" customHeight="1">
      <c r="A35" s="31"/>
      <c r="B35" s="87"/>
      <c r="C35" s="270"/>
      <c r="D35" s="205"/>
      <c r="E35" s="222"/>
      <c r="F35" s="223"/>
      <c r="G35" s="150"/>
      <c r="H35" s="150"/>
      <c r="I35" s="87"/>
    </row>
    <row r="36" spans="1:9" ht="12" customHeight="1">
      <c r="A36" s="31"/>
      <c r="B36" s="87"/>
      <c r="C36" s="270" t="str">
        <f>'INV(TTL)_A'!C32</f>
        <v>COLOR</v>
      </c>
      <c r="D36" s="157" t="s">
        <v>332</v>
      </c>
      <c r="E36" s="158" t="s">
        <v>395</v>
      </c>
      <c r="F36" s="158" t="s">
        <v>334</v>
      </c>
      <c r="G36" s="158" t="s">
        <v>335</v>
      </c>
      <c r="H36" s="159" t="s">
        <v>336</v>
      </c>
      <c r="I36" s="87"/>
    </row>
    <row r="37" spans="1:9" ht="12" customHeight="1">
      <c r="A37" s="31"/>
      <c r="B37" s="87"/>
      <c r="C37" s="270"/>
      <c r="D37" s="157"/>
      <c r="E37" s="158"/>
      <c r="F37" s="158"/>
      <c r="G37" s="158"/>
      <c r="H37" s="159"/>
      <c r="I37" s="87"/>
    </row>
    <row r="38" spans="1:9" ht="12" customHeight="1">
      <c r="A38" s="31"/>
      <c r="B38" s="87"/>
      <c r="C38" s="233" t="str">
        <f>'INV(TTL)_A'!C35</f>
        <v>BLUE DEPTHS</v>
      </c>
      <c r="D38" s="326">
        <v>3</v>
      </c>
      <c r="E38" s="242">
        <f>'INV(TTL)_A'!D35</f>
        <v>1</v>
      </c>
      <c r="F38" s="248">
        <f>'INV(TTL)_A'!F35</f>
        <v>50</v>
      </c>
      <c r="G38" s="243">
        <f>'INV(TTL)_A'!E35</f>
        <v>19.600000000000001</v>
      </c>
      <c r="H38" s="244">
        <f>G38</f>
        <v>19.600000000000001</v>
      </c>
      <c r="I38" s="87"/>
    </row>
    <row r="39" spans="1:9" ht="12" customHeight="1">
      <c r="A39" s="31"/>
      <c r="B39" s="87"/>
      <c r="C39" s="233" t="str">
        <f>'INV(TTL)_A'!C36</f>
        <v>PANAMANIAN GOLD</v>
      </c>
      <c r="D39" s="326">
        <v>6</v>
      </c>
      <c r="E39" s="242">
        <f>'INV(TTL)_A'!D36</f>
        <v>2</v>
      </c>
      <c r="F39" s="248">
        <f>'INV(TTL)_A'!F36</f>
        <v>142</v>
      </c>
      <c r="G39" s="243">
        <f>'INV(TTL)_A'!E36</f>
        <v>33.9</v>
      </c>
      <c r="H39" s="244">
        <f>G39</f>
        <v>33.9</v>
      </c>
      <c r="I39" s="87"/>
    </row>
    <row r="40" spans="1:9" ht="12" customHeight="1">
      <c r="A40" s="31"/>
      <c r="B40" s="87"/>
      <c r="C40" s="233" t="str">
        <f>'INV(TTL)_A'!C37</f>
        <v>TRUE CHAMBRAY BLUE</v>
      </c>
      <c r="D40" s="326">
        <v>4</v>
      </c>
      <c r="E40" s="242">
        <f>'INV(TTL)_A'!D37</f>
        <v>1</v>
      </c>
      <c r="F40" s="248">
        <f>'INV(TTL)_A'!F37</f>
        <v>69</v>
      </c>
      <c r="G40" s="243">
        <f>'INV(TTL)_A'!E37</f>
        <v>16.899999999999999</v>
      </c>
      <c r="H40" s="244">
        <f>G40</f>
        <v>16.899999999999999</v>
      </c>
      <c r="I40" s="87"/>
    </row>
    <row r="41" spans="1:9" ht="12" customHeight="1">
      <c r="A41" s="31"/>
      <c r="B41" s="87"/>
      <c r="C41" s="270"/>
      <c r="D41" s="241"/>
      <c r="E41" s="242"/>
      <c r="F41" s="248"/>
      <c r="G41" s="243"/>
      <c r="H41" s="204"/>
      <c r="I41" s="87"/>
    </row>
    <row r="42" spans="1:9" ht="12" customHeight="1">
      <c r="A42" s="31"/>
      <c r="B42" s="227" t="s">
        <v>327</v>
      </c>
      <c r="C42" s="266" t="str">
        <f>'INV(TTL)_A'!C39</f>
        <v>100 PCT COTTON CM 30S/1 Y/D FEEDER STRIPE SINGLE JERSEY</v>
      </c>
      <c r="D42" s="266"/>
      <c r="E42" s="267"/>
      <c r="F42" s="268"/>
      <c r="G42" s="269"/>
      <c r="H42" s="150"/>
      <c r="I42" s="87"/>
    </row>
    <row r="43" spans="1:9" ht="12" customHeight="1">
      <c r="A43" s="31"/>
      <c r="B43" s="124"/>
      <c r="C43" s="177" t="str">
        <f>'INV(TTL)_A'!C40</f>
        <v>CUTTABLE WIDTH : 70", WEIGHT :150G/M2, 244G/YD</v>
      </c>
      <c r="D43" s="266"/>
      <c r="E43" s="267"/>
      <c r="F43" s="268"/>
      <c r="G43" s="269"/>
      <c r="H43" s="150"/>
      <c r="I43" s="87"/>
    </row>
    <row r="44" spans="1:9" s="334" customFormat="1" ht="0.75" customHeight="1">
      <c r="A44" s="327"/>
      <c r="B44" s="328"/>
      <c r="C44" s="329"/>
      <c r="D44" s="330"/>
      <c r="E44" s="331"/>
      <c r="F44" s="332"/>
      <c r="G44" s="333"/>
      <c r="H44" s="333"/>
      <c r="I44" s="328"/>
    </row>
    <row r="45" spans="1:9" s="334" customFormat="1" ht="16.5" customHeight="1">
      <c r="A45" s="327"/>
      <c r="B45" s="328"/>
      <c r="C45" s="329"/>
      <c r="D45" s="330"/>
      <c r="E45" s="331"/>
      <c r="F45" s="332"/>
      <c r="G45" s="333"/>
      <c r="H45" s="333"/>
      <c r="I45" s="328"/>
    </row>
    <row r="46" spans="1:9" ht="12" customHeight="1">
      <c r="A46" s="31"/>
      <c r="B46" s="87"/>
      <c r="C46" s="270" t="str">
        <f>'INV(TTL)_A'!C41 'INV(TTL)_A'!C41</f>
        <v>COLOR</v>
      </c>
      <c r="D46" s="157" t="s">
        <v>332</v>
      </c>
      <c r="E46" s="158" t="s">
        <v>395</v>
      </c>
      <c r="F46" s="158" t="s">
        <v>334</v>
      </c>
      <c r="G46" s="158" t="s">
        <v>335</v>
      </c>
      <c r="H46" s="159" t="s">
        <v>336</v>
      </c>
      <c r="I46" s="87"/>
    </row>
    <row r="47" spans="1:9" s="334" customFormat="1" ht="12" customHeight="1">
      <c r="A47" s="327"/>
      <c r="B47" s="328"/>
      <c r="C47" s="329"/>
      <c r="D47" s="335"/>
      <c r="E47" s="336"/>
      <c r="F47" s="336"/>
      <c r="G47" s="336"/>
      <c r="H47" s="337"/>
      <c r="I47" s="328"/>
    </row>
    <row r="48" spans="1:9" ht="12" customHeight="1">
      <c r="A48" s="31"/>
      <c r="B48" s="87"/>
      <c r="C48" s="233" t="str">
        <f>'INV(TTL)_A'!C44</f>
        <v>STRIPE 1407A</v>
      </c>
      <c r="D48" s="326">
        <v>3</v>
      </c>
      <c r="E48" s="242">
        <f>'INV(TTL)_A'!D44</f>
        <v>3</v>
      </c>
      <c r="F48" s="248">
        <f>'INV(TTL)_A'!F44</f>
        <v>214</v>
      </c>
      <c r="G48" s="243">
        <f>'INV(TTL)_A'!E44</f>
        <v>47.9</v>
      </c>
      <c r="H48" s="244">
        <f>G48</f>
        <v>47.9</v>
      </c>
      <c r="I48" s="87"/>
    </row>
    <row r="49" spans="1:9" ht="12" customHeight="1">
      <c r="A49" s="31"/>
      <c r="B49" s="87"/>
      <c r="C49" s="270"/>
      <c r="D49" s="241"/>
      <c r="E49" s="242"/>
      <c r="F49" s="248"/>
      <c r="G49" s="243"/>
      <c r="H49" s="204"/>
      <c r="I49" s="87"/>
    </row>
    <row r="50" spans="1:9" ht="12" customHeight="1">
      <c r="A50" s="31"/>
      <c r="B50" s="227" t="s">
        <v>434</v>
      </c>
      <c r="C50" s="266" t="str">
        <f>'INV(TTL)_A'!C46</f>
        <v>60 PCT COTTON 40 PCT POLYESTER CVC(60/40) 30S/1 SLUB SINGLE JERSEY</v>
      </c>
      <c r="D50" s="266"/>
      <c r="E50" s="267"/>
      <c r="F50" s="268"/>
      <c r="G50" s="269"/>
      <c r="H50" s="150"/>
      <c r="I50" s="87"/>
    </row>
    <row r="51" spans="1:9" ht="12" customHeight="1">
      <c r="A51" s="31"/>
      <c r="B51" s="124"/>
      <c r="C51" s="177" t="str">
        <f>'INV(TTL)_A'!C47</f>
        <v>CUTTABLE WIDTH : 70", WEIGHT :150G/M2, 244G/YD</v>
      </c>
      <c r="D51" s="266"/>
      <c r="E51" s="267"/>
      <c r="F51" s="268"/>
      <c r="G51" s="269"/>
      <c r="H51" s="150"/>
      <c r="I51" s="87"/>
    </row>
    <row r="52" spans="1:9" ht="12" customHeight="1">
      <c r="A52" s="31"/>
      <c r="B52" s="87"/>
      <c r="C52" s="270"/>
      <c r="D52" s="266"/>
      <c r="E52" s="267"/>
      <c r="F52" s="268"/>
      <c r="G52" s="269"/>
      <c r="H52" s="150"/>
      <c r="I52" s="87"/>
    </row>
    <row r="53" spans="1:9" ht="12" customHeight="1">
      <c r="A53" s="31"/>
      <c r="B53" s="87"/>
      <c r="C53" s="270"/>
      <c r="D53" s="266"/>
      <c r="E53" s="267"/>
      <c r="F53" s="268"/>
      <c r="G53" s="269"/>
      <c r="H53" s="150"/>
      <c r="I53" s="87"/>
    </row>
    <row r="54" spans="1:9" ht="12" customHeight="1">
      <c r="A54" s="31"/>
      <c r="B54" s="87"/>
      <c r="D54" s="266"/>
      <c r="E54" s="267"/>
      <c r="F54" s="268"/>
      <c r="G54" s="269"/>
      <c r="H54" s="150"/>
      <c r="I54" s="87"/>
    </row>
    <row r="55" spans="1:9" ht="0.75" customHeight="1">
      <c r="A55" s="31"/>
      <c r="B55" s="87"/>
      <c r="C55" s="270"/>
      <c r="D55" s="205"/>
      <c r="E55" s="222"/>
      <c r="F55" s="223"/>
      <c r="G55" s="150"/>
      <c r="H55" s="150"/>
      <c r="I55" s="87"/>
    </row>
    <row r="56" spans="1:9" ht="12" customHeight="1">
      <c r="A56" s="31"/>
      <c r="B56" s="87"/>
      <c r="C56" s="270" t="str">
        <f>'INV(TTL)_A'!C48</f>
        <v>COLOR</v>
      </c>
      <c r="D56" s="157" t="s">
        <v>332</v>
      </c>
      <c r="E56" s="158" t="s">
        <v>395</v>
      </c>
      <c r="F56" s="158" t="s">
        <v>334</v>
      </c>
      <c r="G56" s="158" t="s">
        <v>335</v>
      </c>
      <c r="H56" s="159" t="s">
        <v>336</v>
      </c>
      <c r="I56" s="87"/>
    </row>
    <row r="57" spans="1:9" ht="12" customHeight="1">
      <c r="A57" s="31"/>
      <c r="B57" s="87"/>
      <c r="C57" s="270"/>
      <c r="D57" s="157"/>
      <c r="E57" s="158"/>
      <c r="F57" s="158"/>
      <c r="G57" s="158"/>
      <c r="H57" s="159"/>
      <c r="I57" s="87"/>
    </row>
    <row r="58" spans="1:9" ht="12" customHeight="1">
      <c r="A58" s="31"/>
      <c r="B58" s="87"/>
      <c r="C58" s="233" t="str">
        <f>'INV(TTL)_A'!C51</f>
        <v>PALE MINT</v>
      </c>
      <c r="D58" s="338" t="s">
        <v>432</v>
      </c>
      <c r="E58" s="242">
        <f>'INV(TTL)_A'!D51</f>
        <v>3</v>
      </c>
      <c r="F58" s="248">
        <f>'INV(TTL)_A'!F51</f>
        <v>246</v>
      </c>
      <c r="G58" s="243">
        <f>'INV(TTL)_A'!E51</f>
        <v>56.7</v>
      </c>
      <c r="H58" s="244">
        <f>G58</f>
        <v>56.7</v>
      </c>
      <c r="I58" s="87"/>
    </row>
    <row r="59" spans="1:9" ht="12" customHeight="1">
      <c r="A59" s="31"/>
      <c r="B59" s="87"/>
      <c r="C59" s="233" t="str">
        <f>'INV(TTL)_A'!C52</f>
        <v>PARKER PINK</v>
      </c>
      <c r="D59" s="338" t="s">
        <v>433</v>
      </c>
      <c r="E59" s="242">
        <f>'INV(TTL)_A'!D52</f>
        <v>3</v>
      </c>
      <c r="F59" s="248">
        <f>'INV(TTL)_A'!F52</f>
        <v>247</v>
      </c>
      <c r="G59" s="243">
        <f>'INV(TTL)_A'!E52</f>
        <v>58.3</v>
      </c>
      <c r="H59" s="244">
        <f>G59</f>
        <v>58.3</v>
      </c>
      <c r="I59" s="87"/>
    </row>
    <row r="60" spans="1:9" ht="12" customHeight="1" thickBot="1">
      <c r="A60" s="31"/>
      <c r="B60" s="87"/>
      <c r="C60" s="171"/>
      <c r="D60" s="203"/>
      <c r="E60" s="169"/>
      <c r="F60" s="204"/>
      <c r="G60" s="204"/>
      <c r="H60" s="204"/>
      <c r="I60" s="87"/>
    </row>
    <row r="61" spans="1:9" ht="12" customHeight="1" thickTop="1" thickBot="1">
      <c r="A61" s="31"/>
      <c r="C61" s="259" t="s">
        <v>328</v>
      </c>
      <c r="D61" s="260"/>
      <c r="E61" s="339">
        <f>E59+E58+E48+E40+E39+E38</f>
        <v>13</v>
      </c>
      <c r="F61" s="282">
        <f>F59+F58+F48+F40+F39+F38</f>
        <v>968</v>
      </c>
      <c r="G61" s="261">
        <f>G59+G58+G48+G40+G39+G38</f>
        <v>233.3</v>
      </c>
      <c r="H61" s="261">
        <f>H59+H58+H48+H40+H39+H38</f>
        <v>233.3</v>
      </c>
      <c r="I61" s="87"/>
    </row>
    <row r="62" spans="1:9" ht="12" customHeight="1" thickTop="1">
      <c r="A62" s="31"/>
      <c r="C62" s="110"/>
      <c r="D62" s="262"/>
      <c r="E62" s="263"/>
      <c r="F62" s="264"/>
      <c r="G62" s="265"/>
      <c r="H62" s="265"/>
      <c r="I62" s="87"/>
    </row>
    <row r="63" spans="1:9" ht="3" customHeight="1">
      <c r="A63" s="31"/>
      <c r="B63" s="87"/>
      <c r="C63" s="171"/>
      <c r="D63" s="203"/>
      <c r="E63" s="169"/>
      <c r="F63" s="204"/>
      <c r="G63" s="204"/>
      <c r="H63" s="204"/>
      <c r="I63" s="87"/>
    </row>
    <row r="64" spans="1:9" ht="12" hidden="1" customHeight="1">
      <c r="A64" s="31"/>
      <c r="B64" s="87"/>
      <c r="C64" s="171"/>
      <c r="D64" s="203"/>
      <c r="E64" s="169"/>
      <c r="F64" s="204"/>
      <c r="G64" s="204"/>
      <c r="H64" s="204"/>
      <c r="I64" s="87"/>
    </row>
    <row r="65" spans="1:9" ht="12" customHeight="1">
      <c r="A65" s="31"/>
      <c r="B65" s="87"/>
      <c r="C65" s="171"/>
      <c r="D65" s="203"/>
      <c r="E65" s="169"/>
      <c r="F65" s="716" t="s">
        <v>409</v>
      </c>
      <c r="G65" s="716"/>
      <c r="H65" s="204"/>
      <c r="I65" s="87"/>
    </row>
    <row r="66" spans="1:9" ht="12" customHeight="1">
      <c r="B66" s="87"/>
      <c r="C66" s="171"/>
      <c r="D66" s="203"/>
      <c r="E66" s="169"/>
      <c r="F66" s="204"/>
      <c r="G66" s="204"/>
      <c r="H66" s="204"/>
    </row>
    <row r="67" spans="1:9">
      <c r="B67" s="87"/>
      <c r="C67" s="171"/>
      <c r="D67" s="203"/>
      <c r="E67" s="169"/>
      <c r="F67" s="204"/>
      <c r="G67" s="204"/>
      <c r="H67" s="204"/>
    </row>
    <row r="68" spans="1:9">
      <c r="B68" s="87"/>
      <c r="C68" s="171"/>
      <c r="D68" s="203"/>
      <c r="E68" s="169"/>
      <c r="F68" s="204"/>
      <c r="G68" s="204"/>
      <c r="H68" s="204"/>
    </row>
    <row r="69" spans="1:9">
      <c r="B69" s="87"/>
      <c r="C69" s="171"/>
      <c r="D69" s="203"/>
      <c r="E69" s="169"/>
      <c r="F69" s="204"/>
      <c r="G69" s="204"/>
      <c r="H69" s="204"/>
    </row>
    <row r="70" spans="1:9">
      <c r="B70" s="87"/>
      <c r="C70" s="171"/>
      <c r="D70" s="203"/>
      <c r="E70" s="169"/>
      <c r="F70" s="204"/>
      <c r="G70" s="204"/>
      <c r="H70" s="204"/>
    </row>
    <row r="72" spans="1:9">
      <c r="G72" s="226" t="s">
        <v>370</v>
      </c>
      <c r="H72" s="1"/>
    </row>
  </sheetData>
  <mergeCells count="11">
    <mergeCell ref="F65:G65"/>
    <mergeCell ref="E1:H3"/>
    <mergeCell ref="C24:D24"/>
    <mergeCell ref="J22:L22"/>
    <mergeCell ref="M22:O22"/>
    <mergeCell ref="A12:D12"/>
    <mergeCell ref="A13:D13"/>
    <mergeCell ref="C22:D22"/>
    <mergeCell ref="A22:B22"/>
    <mergeCell ref="A24:B24"/>
    <mergeCell ref="E19:I20"/>
  </mergeCells>
  <phoneticPr fontId="2" type="noConversion"/>
  <hyperlinks>
    <hyperlink ref="A8" r:id="rId1" display="TEL:(82)2-5460066   FAX:(82)2-5404106" xr:uid="{00000000-0004-0000-0400-000000000000}"/>
  </hyperlinks>
  <printOptions horizontalCentered="1"/>
  <pageMargins left="0.15748031496062992" right="0.15748031496062992" top="0.19685039370078741" bottom="0.31496062992125984" header="0.15748031496062992" footer="0.15748031496062992"/>
  <pageSetup paperSize="9" fitToWidth="0" orientation="portrait" r:id="rId2"/>
  <headerFooter alignWithMargins="0"/>
  <rowBreaks count="1" manualBreakCount="1">
    <brk id="63" max="8" man="1"/>
  </rowBrea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J218"/>
  <sheetViews>
    <sheetView showGridLines="0" view="pageBreakPreview" topLeftCell="A16" zoomScaleSheetLayoutView="100" workbookViewId="0">
      <selection activeCell="F35" sqref="F35"/>
    </sheetView>
  </sheetViews>
  <sheetFormatPr defaultColWidth="8.88671875" defaultRowHeight="13.5"/>
  <cols>
    <col min="1" max="1" width="9.109375" customWidth="1"/>
    <col min="2" max="2" width="8.77734375" customWidth="1"/>
    <col min="3" max="3" width="11.77734375" customWidth="1"/>
    <col min="4" max="4" width="7" customWidth="1"/>
    <col min="5" max="5" width="10.109375" customWidth="1"/>
    <col min="6" max="6" width="9.21875" customWidth="1"/>
    <col min="7" max="7" width="9" customWidth="1"/>
    <col min="8" max="8" width="6.44140625" customWidth="1"/>
    <col min="9" max="9" width="4" customWidth="1"/>
    <col min="10" max="10" width="11.44140625" customWidth="1"/>
  </cols>
  <sheetData>
    <row r="1" spans="1:10" ht="17.100000000000001" customHeight="1">
      <c r="E1" s="696" t="s">
        <v>0</v>
      </c>
      <c r="F1" s="696"/>
      <c r="G1" s="696"/>
      <c r="H1" s="696"/>
      <c r="I1" s="696"/>
      <c r="J1" s="696"/>
    </row>
    <row r="2" spans="1:10" ht="17.100000000000001" customHeight="1">
      <c r="E2" s="696"/>
      <c r="F2" s="696"/>
      <c r="G2" s="696"/>
      <c r="H2" s="696"/>
      <c r="I2" s="696"/>
      <c r="J2" s="696"/>
    </row>
    <row r="3" spans="1:10" ht="17.100000000000001" customHeight="1">
      <c r="A3" s="1"/>
      <c r="B3" s="1"/>
      <c r="C3" s="1"/>
      <c r="D3" s="1"/>
      <c r="E3" s="698"/>
      <c r="F3" s="698"/>
      <c r="G3" s="698"/>
      <c r="H3" s="698"/>
      <c r="I3" s="698"/>
      <c r="J3" s="698"/>
    </row>
    <row r="4" spans="1:10" s="85" customFormat="1" ht="9.9499999999999993" customHeight="1">
      <c r="A4" s="82" t="s">
        <v>301</v>
      </c>
      <c r="B4" s="82"/>
      <c r="C4" s="82"/>
      <c r="D4" s="82"/>
      <c r="E4" s="83" t="s">
        <v>2</v>
      </c>
      <c r="F4" s="100"/>
      <c r="G4" s="82"/>
      <c r="H4" s="82"/>
      <c r="I4" s="82"/>
      <c r="J4" s="84"/>
    </row>
    <row r="5" spans="1:10" s="91" customFormat="1" ht="12" customHeight="1">
      <c r="A5" s="86" t="s">
        <v>3</v>
      </c>
      <c r="B5" s="87"/>
      <c r="C5" s="87"/>
      <c r="D5" s="87"/>
      <c r="E5" s="88" t="s">
        <v>368</v>
      </c>
      <c r="F5" s="153"/>
      <c r="G5" s="89"/>
      <c r="H5" s="89"/>
      <c r="I5" s="90"/>
      <c r="J5" s="90">
        <v>43238</v>
      </c>
    </row>
    <row r="6" spans="1:10" s="85" customFormat="1" ht="12" customHeight="1">
      <c r="A6" s="86" t="s">
        <v>4</v>
      </c>
      <c r="B6" s="87"/>
      <c r="C6" s="87"/>
      <c r="D6" s="87"/>
      <c r="E6" s="83" t="s">
        <v>5</v>
      </c>
      <c r="F6" s="100"/>
      <c r="G6" s="82"/>
      <c r="H6" s="82"/>
      <c r="I6" s="92"/>
      <c r="J6" s="92"/>
    </row>
    <row r="7" spans="1:10" s="91" customFormat="1" ht="12" customHeight="1">
      <c r="A7" s="86" t="s">
        <v>6</v>
      </c>
      <c r="B7" s="87"/>
      <c r="C7" s="87"/>
      <c r="D7" s="87" t="s">
        <v>7</v>
      </c>
      <c r="E7" s="213" t="s">
        <v>342</v>
      </c>
      <c r="F7" s="214"/>
      <c r="G7" s="130"/>
      <c r="H7" s="130"/>
      <c r="I7" s="215"/>
      <c r="J7" s="216">
        <v>43215</v>
      </c>
    </row>
    <row r="8" spans="1:10" s="91" customFormat="1" ht="12" customHeight="1">
      <c r="A8" s="86" t="s">
        <v>8</v>
      </c>
      <c r="B8" s="87"/>
      <c r="C8" s="87"/>
      <c r="D8" s="87"/>
      <c r="E8" s="94"/>
      <c r="F8" s="117"/>
      <c r="G8" s="87"/>
      <c r="H8" s="87"/>
      <c r="I8" s="95"/>
      <c r="J8" s="96"/>
    </row>
    <row r="9" spans="1:10" s="91" customFormat="1" ht="12" customHeight="1">
      <c r="A9" s="87"/>
      <c r="B9" s="87"/>
      <c r="C9" s="87"/>
      <c r="D9" s="87"/>
      <c r="E9" s="97"/>
      <c r="F9" s="106"/>
      <c r="G9" s="87"/>
      <c r="H9" s="87"/>
      <c r="I9" s="87"/>
      <c r="J9" s="98"/>
    </row>
    <row r="10" spans="1:10" s="85" customFormat="1" ht="9.9499999999999993" customHeight="1">
      <c r="A10" s="82" t="s">
        <v>309</v>
      </c>
      <c r="B10" s="82"/>
      <c r="C10" s="82"/>
      <c r="D10" s="99"/>
      <c r="E10" s="100" t="s">
        <v>10</v>
      </c>
      <c r="F10" s="100"/>
      <c r="G10" s="82"/>
      <c r="H10" s="101"/>
      <c r="I10" s="102"/>
      <c r="J10" s="103"/>
    </row>
    <row r="11" spans="1:10" s="91" customFormat="1" ht="12" customHeight="1">
      <c r="A11" s="87" t="s">
        <v>11</v>
      </c>
      <c r="B11" s="87"/>
      <c r="C11" s="87"/>
      <c r="D11" s="104"/>
      <c r="E11" s="86" t="s">
        <v>49</v>
      </c>
      <c r="F11" s="86"/>
      <c r="G11" s="87"/>
      <c r="H11" s="87"/>
      <c r="I11" s="87"/>
      <c r="J11" s="105"/>
    </row>
    <row r="12" spans="1:10" s="91" customFormat="1" ht="12" customHeight="1">
      <c r="A12" s="87" t="s">
        <v>12</v>
      </c>
      <c r="B12" s="87"/>
      <c r="C12" s="87"/>
      <c r="D12" s="104"/>
      <c r="E12" s="106" t="s">
        <v>50</v>
      </c>
      <c r="F12" s="106"/>
      <c r="G12" s="87"/>
      <c r="H12" s="87"/>
      <c r="I12" s="87"/>
      <c r="J12" s="105"/>
    </row>
    <row r="13" spans="1:10" s="91" customFormat="1" ht="12" customHeight="1">
      <c r="A13" s="87" t="s">
        <v>13</v>
      </c>
      <c r="B13" s="87"/>
      <c r="C13" s="87"/>
      <c r="D13" s="104"/>
      <c r="E13" s="106"/>
      <c r="F13" s="106"/>
      <c r="G13" s="87"/>
      <c r="H13" s="87"/>
      <c r="I13" s="87"/>
      <c r="J13" s="105"/>
    </row>
    <row r="14" spans="1:10" s="91" customFormat="1" ht="12" customHeight="1">
      <c r="A14" s="87"/>
      <c r="B14" s="87"/>
      <c r="C14" s="87"/>
      <c r="D14" s="104"/>
      <c r="E14" s="107"/>
      <c r="F14" s="107"/>
      <c r="G14" s="87"/>
      <c r="H14" s="87"/>
      <c r="I14" s="87"/>
      <c r="J14" s="105"/>
    </row>
    <row r="15" spans="1:10" s="85" customFormat="1" ht="9.9499999999999993" customHeight="1">
      <c r="A15" s="82" t="s">
        <v>296</v>
      </c>
      <c r="B15" s="108"/>
      <c r="C15" s="102"/>
      <c r="D15" s="99"/>
      <c r="E15" s="100" t="s">
        <v>15</v>
      </c>
      <c r="F15" s="100"/>
      <c r="G15" s="101"/>
      <c r="H15" s="102"/>
      <c r="I15" s="102"/>
      <c r="J15" s="103"/>
    </row>
    <row r="16" spans="1:10" s="91" customFormat="1" ht="12" customHeight="1">
      <c r="A16" s="87" t="s">
        <v>312</v>
      </c>
      <c r="B16" s="87"/>
      <c r="C16" s="87"/>
      <c r="D16" s="104"/>
      <c r="E16" s="109" t="s">
        <v>17</v>
      </c>
      <c r="F16" s="109"/>
      <c r="G16" s="87"/>
      <c r="H16" s="87"/>
      <c r="I16" s="87"/>
      <c r="J16" s="105"/>
    </row>
    <row r="17" spans="1:10" s="91" customFormat="1" ht="12" customHeight="1">
      <c r="A17" s="87" t="s">
        <v>314</v>
      </c>
      <c r="B17" s="87"/>
      <c r="C17" s="87"/>
      <c r="D17" s="104"/>
      <c r="E17" s="110" t="s">
        <v>16</v>
      </c>
      <c r="F17" s="110"/>
      <c r="G17" s="87"/>
      <c r="H17" s="87"/>
      <c r="I17" s="87"/>
      <c r="J17" s="105"/>
    </row>
    <row r="18" spans="1:10" s="91" customFormat="1" ht="12" customHeight="1">
      <c r="A18" s="87" t="s">
        <v>315</v>
      </c>
      <c r="B18" s="87"/>
      <c r="C18" s="87"/>
      <c r="D18" s="104"/>
      <c r="E18" s="110" t="s">
        <v>18</v>
      </c>
      <c r="F18" s="110"/>
      <c r="G18" s="87"/>
      <c r="H18" s="87"/>
      <c r="I18" s="87"/>
      <c r="J18" s="105"/>
    </row>
    <row r="19" spans="1:10" s="91" customFormat="1" ht="12" customHeight="1">
      <c r="A19" s="87" t="s">
        <v>316</v>
      </c>
      <c r="B19" s="87"/>
      <c r="C19" s="87"/>
      <c r="D19" s="104"/>
      <c r="E19" s="110" t="s">
        <v>19</v>
      </c>
      <c r="F19" s="110"/>
      <c r="G19" s="87"/>
      <c r="H19" s="87"/>
      <c r="I19" s="87"/>
      <c r="J19" s="105"/>
    </row>
    <row r="20" spans="1:10" s="91" customFormat="1" ht="12" customHeight="1">
      <c r="A20" s="87"/>
      <c r="B20" s="87"/>
      <c r="C20" s="87"/>
      <c r="D20" s="104"/>
      <c r="E20" s="87"/>
      <c r="F20" s="87"/>
      <c r="H20" s="87"/>
      <c r="I20" s="111"/>
      <c r="J20" s="112"/>
    </row>
    <row r="21" spans="1:10" s="85" customFormat="1" ht="9.9499999999999993" customHeight="1">
      <c r="A21" s="82" t="s">
        <v>20</v>
      </c>
      <c r="B21" s="82"/>
      <c r="C21" s="113" t="s">
        <v>21</v>
      </c>
      <c r="D21" s="114"/>
      <c r="E21" s="87"/>
      <c r="F21" s="87"/>
      <c r="G21" s="87"/>
      <c r="H21" s="87"/>
      <c r="I21" s="87"/>
      <c r="J21" s="105"/>
    </row>
    <row r="22" spans="1:10" s="91" customFormat="1" ht="12" customHeight="1">
      <c r="A22" s="89" t="s">
        <v>317</v>
      </c>
      <c r="B22" s="115"/>
      <c r="C22" s="116" t="s">
        <v>300</v>
      </c>
      <c r="D22" s="115"/>
      <c r="E22" s="87"/>
      <c r="F22" s="87"/>
      <c r="G22" s="87"/>
      <c r="H22" s="87"/>
      <c r="I22" s="87"/>
      <c r="J22" s="105"/>
    </row>
    <row r="23" spans="1:10" s="85" customFormat="1" ht="9.9499999999999993" customHeight="1">
      <c r="A23" s="82" t="s">
        <v>44</v>
      </c>
      <c r="B23" s="82"/>
      <c r="C23" s="113" t="s">
        <v>45</v>
      </c>
      <c r="D23" s="114"/>
      <c r="E23" s="117" t="s">
        <v>320</v>
      </c>
      <c r="F23" s="117"/>
      <c r="G23" s="87"/>
      <c r="H23" s="118"/>
      <c r="I23" s="87"/>
      <c r="J23" s="105"/>
    </row>
    <row r="24" spans="1:10" s="91" customFormat="1" ht="12" customHeight="1">
      <c r="A24" s="119" t="s">
        <v>329</v>
      </c>
      <c r="B24" s="115"/>
      <c r="C24" s="142">
        <v>43238</v>
      </c>
      <c r="D24" s="120"/>
      <c r="E24" s="121"/>
      <c r="F24" s="121"/>
      <c r="G24" s="87"/>
      <c r="H24" s="118"/>
      <c r="I24" s="89"/>
      <c r="J24" s="122"/>
    </row>
    <row r="25" spans="1:10" s="85" customFormat="1" ht="9.9499999999999993" customHeight="1">
      <c r="A25" s="82" t="s">
        <v>23</v>
      </c>
      <c r="B25" s="82"/>
      <c r="C25" s="113" t="s">
        <v>24</v>
      </c>
      <c r="D25" s="82"/>
      <c r="E25" s="83" t="s">
        <v>322</v>
      </c>
      <c r="F25" s="100"/>
      <c r="G25" s="82"/>
      <c r="H25" s="113" t="s">
        <v>25</v>
      </c>
      <c r="I25" s="82"/>
      <c r="J25" s="113" t="s">
        <v>323</v>
      </c>
    </row>
    <row r="26" spans="1:10" s="91" customFormat="1" ht="12" customHeight="1">
      <c r="A26" s="87"/>
      <c r="B26" s="87"/>
      <c r="C26" s="87"/>
      <c r="D26" s="87"/>
      <c r="E26" s="121"/>
      <c r="F26" s="121"/>
      <c r="G26" s="87"/>
      <c r="H26" s="87"/>
      <c r="I26" s="87"/>
      <c r="J26" s="87"/>
    </row>
    <row r="27" spans="1:10" s="10" customFormat="1" ht="12" customHeight="1">
      <c r="A27" s="13"/>
      <c r="B27" s="6"/>
      <c r="C27" s="6"/>
      <c r="D27" s="6"/>
      <c r="E27" s="42"/>
      <c r="F27" s="42"/>
      <c r="G27" s="6"/>
      <c r="H27" s="6"/>
      <c r="I27" s="175" t="s">
        <v>324</v>
      </c>
      <c r="J27" s="6"/>
    </row>
    <row r="28" spans="1:10" s="10" customFormat="1" ht="12" customHeight="1">
      <c r="A28" s="31"/>
      <c r="B28" s="6"/>
      <c r="C28" s="13" t="s">
        <v>26</v>
      </c>
      <c r="D28" s="13"/>
      <c r="E28" s="13"/>
      <c r="F28" s="13"/>
      <c r="G28" s="6"/>
      <c r="H28" s="13"/>
      <c r="I28" s="13"/>
      <c r="J28" s="13"/>
    </row>
    <row r="29" spans="1:10" s="10" customFormat="1" ht="12" customHeight="1">
      <c r="A29" s="31"/>
      <c r="B29" s="176" t="s">
        <v>344</v>
      </c>
      <c r="C29" s="177" t="s">
        <v>348</v>
      </c>
      <c r="D29" s="47"/>
      <c r="E29" s="181"/>
      <c r="F29" s="178"/>
      <c r="G29" s="47"/>
      <c r="H29" s="179"/>
      <c r="I29" s="47"/>
      <c r="J29" s="180"/>
    </row>
    <row r="30" spans="1:10" s="10" customFormat="1" ht="12" customHeight="1">
      <c r="A30" s="31"/>
      <c r="B30" s="6"/>
      <c r="C30" s="177" t="s">
        <v>349</v>
      </c>
      <c r="D30" s="47"/>
      <c r="E30" s="181"/>
      <c r="F30" s="178"/>
      <c r="G30" s="47"/>
      <c r="H30" s="179"/>
      <c r="I30" s="47"/>
      <c r="J30" s="180"/>
    </row>
    <row r="31" spans="1:10" s="10" customFormat="1" ht="12" customHeight="1">
      <c r="A31" s="31"/>
      <c r="B31" s="6"/>
      <c r="C31" s="47" t="s">
        <v>339</v>
      </c>
      <c r="D31" s="47"/>
      <c r="E31" s="181"/>
      <c r="F31" s="178"/>
      <c r="G31" s="47"/>
      <c r="H31" s="179"/>
      <c r="I31" s="47"/>
      <c r="J31" s="180"/>
    </row>
    <row r="32" spans="1:10" s="10" customFormat="1" ht="12" customHeight="1">
      <c r="A32" s="31"/>
      <c r="B32" s="6"/>
      <c r="C32" s="47" t="s">
        <v>340</v>
      </c>
      <c r="D32" s="47"/>
      <c r="E32" s="181"/>
      <c r="F32" s="178"/>
      <c r="G32" s="47"/>
      <c r="H32" s="179"/>
      <c r="I32" s="47"/>
      <c r="J32" s="180"/>
    </row>
    <row r="33" spans="1:10" s="10" customFormat="1" ht="12" customHeight="1">
      <c r="A33" s="31"/>
      <c r="B33" s="6"/>
      <c r="C33" s="47" t="s">
        <v>341</v>
      </c>
      <c r="D33" s="47"/>
      <c r="E33" s="181"/>
      <c r="F33" s="178"/>
      <c r="G33" s="47"/>
      <c r="H33" s="179"/>
      <c r="I33" s="47"/>
      <c r="J33" s="180"/>
    </row>
    <row r="34" spans="1:10" s="10" customFormat="1" ht="12" customHeight="1">
      <c r="A34" s="31"/>
      <c r="B34" s="6"/>
      <c r="C34" s="47" t="s">
        <v>358</v>
      </c>
      <c r="D34" s="47"/>
      <c r="E34" s="181"/>
      <c r="F34" s="178"/>
      <c r="G34" s="47"/>
      <c r="H34" s="179"/>
      <c r="I34" s="47"/>
      <c r="J34" s="180"/>
    </row>
    <row r="35" spans="1:10" s="10" customFormat="1" ht="12" customHeight="1">
      <c r="A35" s="31"/>
      <c r="B35" s="6"/>
      <c r="C35" s="181" t="s">
        <v>351</v>
      </c>
      <c r="D35" s="205"/>
      <c r="E35" s="208">
        <v>305</v>
      </c>
      <c r="F35" s="191">
        <v>23225</v>
      </c>
      <c r="G35" s="209">
        <v>12328.49</v>
      </c>
      <c r="H35" s="206">
        <v>1.51</v>
      </c>
      <c r="I35" s="205" t="s">
        <v>326</v>
      </c>
      <c r="J35" s="207">
        <f>ROUND(F35*H35,2)</f>
        <v>35069.75</v>
      </c>
    </row>
    <row r="36" spans="1:10" s="10" customFormat="1" ht="12" customHeight="1">
      <c r="A36" s="31"/>
      <c r="B36" s="6"/>
      <c r="C36" s="47"/>
      <c r="D36" s="13"/>
      <c r="E36" s="208"/>
      <c r="F36" s="191"/>
      <c r="G36" s="209"/>
      <c r="H36" s="206"/>
      <c r="I36" s="205"/>
      <c r="J36" s="207"/>
    </row>
    <row r="37" spans="1:10" s="181" customFormat="1" ht="12" customHeight="1" thickBot="1">
      <c r="A37" s="6"/>
      <c r="B37" s="6"/>
      <c r="C37" s="6"/>
      <c r="D37" s="6"/>
      <c r="F37" s="193"/>
      <c r="G37" s="194"/>
      <c r="H37" s="6"/>
      <c r="I37" s="6"/>
      <c r="J37" s="6"/>
    </row>
    <row r="38" spans="1:10" s="181" customFormat="1" ht="12" customHeight="1" thickTop="1" thickBot="1">
      <c r="B38" s="6"/>
      <c r="C38" s="195" t="s">
        <v>328</v>
      </c>
      <c r="D38" s="196"/>
      <c r="E38" s="197">
        <f>SUM(E29:E36)</f>
        <v>305</v>
      </c>
      <c r="F38" s="198">
        <f>SUM(F29:F36)</f>
        <v>23225</v>
      </c>
      <c r="G38" s="199">
        <f>SUM(G29:G37)</f>
        <v>12328.49</v>
      </c>
      <c r="H38" s="200"/>
      <c r="I38" s="200"/>
      <c r="J38" s="201">
        <f>SUM(J29:J36)</f>
        <v>35069.75</v>
      </c>
    </row>
    <row r="39" spans="1:10" s="127" customFormat="1" ht="12" customHeight="1" thickTop="1">
      <c r="B39" s="123"/>
      <c r="C39" s="135"/>
      <c r="D39" s="135"/>
      <c r="E39" s="136"/>
      <c r="F39" s="136"/>
      <c r="G39" s="137"/>
      <c r="H39" s="93"/>
      <c r="I39" s="93"/>
      <c r="J39" s="93"/>
    </row>
    <row r="40" spans="1:10" s="127" customFormat="1" ht="12" customHeight="1">
      <c r="A40" s="87"/>
      <c r="B40" s="123"/>
      <c r="C40" s="135"/>
      <c r="D40" s="135"/>
      <c r="E40" s="136"/>
      <c r="F40" s="136"/>
      <c r="G40" s="137"/>
      <c r="H40" s="93"/>
      <c r="I40" s="93"/>
      <c r="J40" s="93"/>
    </row>
    <row r="41" spans="1:10" s="127" customFormat="1" ht="12" customHeight="1">
      <c r="A41" s="87"/>
      <c r="B41" s="123"/>
      <c r="C41" s="135"/>
      <c r="D41" s="135"/>
      <c r="E41" s="135"/>
      <c r="F41" s="135"/>
      <c r="G41" s="137"/>
      <c r="H41" s="93"/>
      <c r="I41" s="93"/>
      <c r="J41" s="93"/>
    </row>
    <row r="42" spans="1:10" s="127" customFormat="1" ht="12" customHeight="1">
      <c r="A42" s="87"/>
      <c r="B42" s="123"/>
      <c r="C42" s="135"/>
      <c r="D42" s="135"/>
      <c r="E42" s="135"/>
      <c r="F42" s="135"/>
      <c r="G42" s="137"/>
      <c r="H42" s="93"/>
      <c r="I42" s="93"/>
      <c r="J42" s="93"/>
    </row>
    <row r="43" spans="1:10" s="127" customFormat="1" ht="12" customHeight="1">
      <c r="A43" s="87"/>
      <c r="B43" s="87"/>
      <c r="C43" s="135"/>
      <c r="D43" s="135"/>
      <c r="E43" s="135"/>
      <c r="F43" s="135"/>
      <c r="G43" s="137"/>
      <c r="H43" s="93"/>
      <c r="I43" s="93"/>
      <c r="J43" s="93"/>
    </row>
    <row r="44" spans="1:10" s="127" customFormat="1" ht="12" customHeight="1">
      <c r="A44" s="87"/>
      <c r="B44" s="87"/>
      <c r="C44" s="87"/>
      <c r="D44" s="105"/>
      <c r="E44" s="121"/>
      <c r="F44" s="121"/>
      <c r="G44" s="138" t="s">
        <v>27</v>
      </c>
      <c r="H44" s="89"/>
      <c r="I44" s="89"/>
      <c r="J44" s="89"/>
    </row>
    <row r="45" spans="1:10" s="127" customFormat="1" ht="12" customHeight="1">
      <c r="A45" s="8"/>
      <c r="B45" s="89"/>
      <c r="C45" s="89"/>
      <c r="D45" s="89"/>
      <c r="E45" s="89"/>
      <c r="F45" s="89"/>
      <c r="G45" s="89"/>
      <c r="H45" s="89"/>
      <c r="I45" s="89"/>
      <c r="J45" s="89"/>
    </row>
    <row r="46" spans="1:10" s="127" customFormat="1" ht="12" customHeight="1">
      <c r="A46" s="87"/>
      <c r="B46" s="87"/>
      <c r="C46" s="87"/>
      <c r="D46" s="87"/>
      <c r="E46" s="87"/>
      <c r="F46" s="87"/>
      <c r="G46" s="87"/>
      <c r="H46" s="87"/>
      <c r="I46" s="87"/>
      <c r="J46" s="87"/>
    </row>
    <row r="47" spans="1:10" s="127" customFormat="1" ht="12" customHeight="1">
      <c r="A47" s="87"/>
      <c r="B47" s="87"/>
      <c r="C47" s="87"/>
      <c r="D47" s="87"/>
      <c r="E47" s="87"/>
      <c r="F47" s="87"/>
      <c r="G47" s="87"/>
      <c r="H47" s="87"/>
      <c r="I47" s="87"/>
      <c r="J47" s="87"/>
    </row>
    <row r="48" spans="1:10" s="127" customFormat="1" ht="12" customHeight="1">
      <c r="A48" s="87"/>
      <c r="B48" s="87"/>
      <c r="C48" s="87"/>
      <c r="D48" s="87"/>
      <c r="E48" s="87"/>
      <c r="F48" s="87"/>
      <c r="G48" s="87"/>
      <c r="H48" s="87"/>
      <c r="I48" s="87"/>
      <c r="J48" s="87"/>
    </row>
    <row r="49" spans="1:10" s="127" customFormat="1" ht="12" customHeight="1">
      <c r="A49" s="87"/>
      <c r="B49" s="87"/>
      <c r="C49" s="87"/>
      <c r="D49" s="87"/>
      <c r="E49" s="87"/>
      <c r="F49" s="87"/>
      <c r="G49" s="87"/>
      <c r="H49" s="87"/>
      <c r="I49" s="87"/>
      <c r="J49" s="87"/>
    </row>
    <row r="50" spans="1:10" s="127" customFormat="1" ht="12" customHeight="1">
      <c r="A50" s="87"/>
      <c r="B50" s="87"/>
      <c r="C50" s="87"/>
      <c r="D50" s="87"/>
      <c r="E50" s="87"/>
      <c r="F50" s="87"/>
      <c r="G50" s="87"/>
      <c r="H50" s="87"/>
      <c r="I50" s="87"/>
      <c r="J50" s="87"/>
    </row>
    <row r="51" spans="1:10" s="127" customFormat="1" ht="12" customHeight="1">
      <c r="A51" s="87"/>
      <c r="B51" s="87"/>
      <c r="C51" s="87"/>
      <c r="D51" s="87"/>
      <c r="E51" s="87"/>
      <c r="F51" s="87"/>
      <c r="G51" s="87"/>
      <c r="H51" s="87"/>
      <c r="I51" s="87"/>
      <c r="J51" s="87"/>
    </row>
    <row r="52" spans="1:10" s="127" customFormat="1" ht="12" customHeight="1">
      <c r="A52" s="87"/>
      <c r="B52" s="87"/>
      <c r="C52" s="87"/>
      <c r="D52" s="87"/>
      <c r="E52" s="87"/>
      <c r="F52" s="87"/>
      <c r="G52" s="87"/>
      <c r="H52" s="87"/>
      <c r="I52" s="87"/>
      <c r="J52" s="87"/>
    </row>
    <row r="53" spans="1:10" s="127" customFormat="1" ht="12" customHeight="1">
      <c r="A53" s="87"/>
      <c r="B53" s="87"/>
      <c r="C53" s="87"/>
      <c r="D53" s="87"/>
      <c r="E53" s="87"/>
      <c r="F53" s="87"/>
      <c r="G53" s="87"/>
      <c r="H53" s="87"/>
      <c r="I53" s="87"/>
      <c r="J53" s="87"/>
    </row>
    <row r="54" spans="1:10" s="127" customFormat="1" ht="12" customHeight="1">
      <c r="A54" s="87"/>
      <c r="B54" s="87"/>
      <c r="C54" s="87"/>
      <c r="D54" s="87"/>
      <c r="E54" s="87"/>
      <c r="F54" s="87"/>
      <c r="G54" s="87"/>
      <c r="H54" s="87"/>
      <c r="I54" s="87"/>
      <c r="J54" s="87"/>
    </row>
    <row r="55" spans="1:10" s="127" customFormat="1" ht="12" customHeight="1">
      <c r="A55" s="87"/>
      <c r="B55" s="87"/>
      <c r="C55" s="87"/>
      <c r="D55" s="87"/>
      <c r="E55" s="87"/>
      <c r="F55" s="87"/>
      <c r="G55" s="87"/>
      <c r="H55" s="87"/>
      <c r="I55" s="87"/>
      <c r="J55" s="87"/>
    </row>
    <row r="56" spans="1:10" s="127" customFormat="1" ht="12" customHeight="1">
      <c r="A56" s="87"/>
      <c r="B56" s="87"/>
      <c r="C56" s="87"/>
      <c r="D56" s="87"/>
      <c r="E56" s="139"/>
      <c r="F56" s="139"/>
      <c r="G56" s="87"/>
      <c r="H56" s="140"/>
      <c r="I56" s="87"/>
      <c r="J56" s="141"/>
    </row>
    <row r="57" spans="1:10" s="127" customFormat="1" ht="12" customHeight="1">
      <c r="A57" s="87"/>
      <c r="B57" s="87"/>
      <c r="C57" s="87"/>
      <c r="D57" s="87"/>
      <c r="E57" s="87"/>
      <c r="F57" s="87"/>
      <c r="G57" s="87"/>
      <c r="H57" s="87"/>
      <c r="I57" s="87"/>
      <c r="J57" s="87"/>
    </row>
    <row r="58" spans="1:10" s="127" customFormat="1" ht="12" customHeight="1">
      <c r="A58" s="87"/>
      <c r="B58" s="87"/>
      <c r="C58" s="87"/>
      <c r="D58" s="87"/>
      <c r="E58" s="87"/>
      <c r="F58" s="87"/>
      <c r="G58" s="87"/>
      <c r="H58" s="87"/>
      <c r="I58" s="87"/>
      <c r="J58" s="87"/>
    </row>
    <row r="59" spans="1:10" s="127" customFormat="1" ht="12" customHeight="1">
      <c r="A59" s="87"/>
      <c r="B59" s="87"/>
      <c r="C59" s="87"/>
      <c r="D59" s="87"/>
      <c r="E59" s="87"/>
      <c r="F59" s="87"/>
      <c r="G59" s="87"/>
      <c r="H59" s="87"/>
      <c r="I59" s="87"/>
      <c r="J59" s="87"/>
    </row>
    <row r="60" spans="1:10" s="127" customFormat="1" ht="12" customHeight="1">
      <c r="A60" s="87"/>
      <c r="B60" s="87"/>
      <c r="C60" s="87"/>
      <c r="D60" s="87"/>
      <c r="E60" s="87"/>
      <c r="F60" s="87"/>
      <c r="G60" s="87"/>
      <c r="H60" s="87"/>
      <c r="I60" s="87"/>
      <c r="J60" s="87"/>
    </row>
    <row r="61" spans="1:10" s="127" customFormat="1" ht="12" customHeight="1">
      <c r="A61" s="87"/>
      <c r="B61" s="87"/>
      <c r="C61" s="87"/>
      <c r="D61" s="87"/>
      <c r="E61" s="87"/>
      <c r="F61" s="87"/>
      <c r="G61" s="87"/>
      <c r="H61" s="87"/>
      <c r="I61" s="87"/>
      <c r="J61" s="87"/>
    </row>
    <row r="62" spans="1:10" s="127" customFormat="1" ht="12" customHeight="1">
      <c r="A62" s="87"/>
      <c r="B62" s="87"/>
      <c r="C62" s="87"/>
      <c r="D62" s="87"/>
      <c r="E62" s="87"/>
      <c r="F62" s="87"/>
      <c r="G62" s="87"/>
      <c r="H62" s="87"/>
      <c r="I62" s="87"/>
      <c r="J62" s="87"/>
    </row>
    <row r="63" spans="1:10" s="127" customFormat="1" ht="12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</row>
    <row r="64" spans="1:10" s="127" customFormat="1" ht="12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</row>
    <row r="65" spans="1:10" s="127" customFormat="1" ht="12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</row>
    <row r="66" spans="1:10" s="127" customFormat="1" ht="12" customHeight="1">
      <c r="A66" s="87"/>
      <c r="B66" s="87"/>
      <c r="C66" s="87"/>
      <c r="D66" s="87"/>
      <c r="E66" s="87"/>
      <c r="F66" s="87"/>
      <c r="G66" s="87"/>
      <c r="H66" s="87"/>
      <c r="I66" s="87"/>
      <c r="J66" s="87"/>
    </row>
    <row r="67" spans="1:10" s="127" customFormat="1" ht="12" customHeight="1">
      <c r="A67" s="87"/>
      <c r="B67" s="87"/>
      <c r="C67" s="87"/>
      <c r="D67" s="87"/>
      <c r="E67" s="87"/>
      <c r="F67" s="87"/>
      <c r="G67" s="87"/>
      <c r="H67" s="87"/>
      <c r="I67" s="87"/>
      <c r="J67" s="87"/>
    </row>
    <row r="68" spans="1:10" s="127" customFormat="1" ht="12" customHeight="1">
      <c r="A68" s="87"/>
      <c r="B68" s="87"/>
      <c r="C68" s="87"/>
      <c r="D68" s="87"/>
      <c r="E68" s="87"/>
      <c r="F68" s="87"/>
      <c r="G68" s="87"/>
      <c r="H68" s="87"/>
      <c r="I68" s="87"/>
      <c r="J68" s="87"/>
    </row>
    <row r="69" spans="1:10" s="127" customFormat="1" ht="12" customHeight="1">
      <c r="A69" s="87"/>
      <c r="B69" s="87"/>
      <c r="C69" s="87"/>
      <c r="D69" s="87"/>
      <c r="E69" s="87"/>
      <c r="F69" s="87"/>
      <c r="G69" s="87"/>
      <c r="H69" s="87"/>
      <c r="I69" s="87"/>
      <c r="J69" s="87"/>
    </row>
    <row r="70" spans="1:10" s="127" customFormat="1" ht="12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</row>
    <row r="71" spans="1:10" s="127" customFormat="1" ht="12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</row>
    <row r="72" spans="1:10" s="127" customFormat="1" ht="12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</row>
    <row r="73" spans="1:10" s="127" customFormat="1" ht="12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</row>
    <row r="74" spans="1:10" s="127" customFormat="1" ht="12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</row>
    <row r="75" spans="1:10" s="127" customFormat="1" ht="12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</row>
    <row r="76" spans="1:10" s="127" customFormat="1" ht="12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</row>
    <row r="77" spans="1:10" s="127" customFormat="1" ht="12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</row>
    <row r="78" spans="1:10" s="127" customFormat="1" ht="12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</row>
    <row r="79" spans="1:10" s="127" customFormat="1" ht="12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</row>
    <row r="80" spans="1:10" s="127" customFormat="1" ht="12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</row>
    <row r="81" spans="1:10" s="127" customFormat="1" ht="12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</row>
    <row r="82" spans="1:10" s="127" customFormat="1" ht="12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</row>
    <row r="83" spans="1:10" s="127" customFormat="1" ht="12" customHeight="1">
      <c r="A83" s="87"/>
      <c r="B83" s="87"/>
      <c r="C83" s="87"/>
      <c r="D83" s="87"/>
      <c r="E83" s="87"/>
      <c r="F83" s="87"/>
      <c r="G83" s="87"/>
      <c r="H83" s="87"/>
      <c r="I83" s="87"/>
      <c r="J83" s="87"/>
    </row>
    <row r="84" spans="1:10" s="127" customFormat="1" ht="12" customHeight="1">
      <c r="A84" s="87"/>
      <c r="B84" s="87"/>
      <c r="C84" s="87"/>
      <c r="D84" s="87"/>
      <c r="E84" s="87"/>
      <c r="F84" s="87"/>
      <c r="G84" s="87"/>
      <c r="H84" s="87"/>
      <c r="I84" s="87"/>
      <c r="J84" s="87"/>
    </row>
    <row r="85" spans="1:10" s="127" customFormat="1" ht="12" customHeight="1">
      <c r="A85" s="87"/>
      <c r="B85" s="87"/>
      <c r="C85" s="87"/>
      <c r="D85" s="87"/>
      <c r="E85" s="87"/>
      <c r="F85" s="87"/>
      <c r="G85" s="87"/>
      <c r="H85" s="87"/>
      <c r="I85" s="87"/>
      <c r="J85" s="87"/>
    </row>
    <row r="86" spans="1:10" s="127" customFormat="1" ht="12" customHeight="1">
      <c r="A86" s="87"/>
      <c r="B86" s="87"/>
      <c r="C86" s="87"/>
      <c r="D86" s="87"/>
      <c r="E86" s="87"/>
      <c r="F86" s="87"/>
      <c r="G86" s="87"/>
      <c r="H86" s="87"/>
      <c r="I86" s="87"/>
      <c r="J86" s="87"/>
    </row>
    <row r="87" spans="1:10" s="127" customFormat="1" ht="12" customHeight="1">
      <c r="A87" s="87"/>
      <c r="B87" s="87"/>
      <c r="C87" s="87"/>
      <c r="D87" s="87"/>
      <c r="E87" s="87"/>
      <c r="F87" s="87"/>
      <c r="G87" s="87"/>
      <c r="H87" s="87"/>
      <c r="I87" s="87"/>
      <c r="J87" s="87"/>
    </row>
    <row r="88" spans="1:10" s="127" customFormat="1" ht="12" customHeight="1">
      <c r="A88" s="87"/>
      <c r="B88" s="87"/>
      <c r="C88" s="87"/>
      <c r="D88" s="87"/>
      <c r="E88" s="87"/>
      <c r="F88" s="87"/>
      <c r="G88" s="87"/>
      <c r="H88" s="87"/>
      <c r="I88" s="87"/>
      <c r="J88" s="87"/>
    </row>
    <row r="89" spans="1:10" s="127" customFormat="1" ht="12" customHeight="1">
      <c r="A89" s="87"/>
      <c r="B89" s="87"/>
      <c r="C89" s="87"/>
      <c r="D89" s="87"/>
      <c r="E89" s="87"/>
      <c r="F89" s="87"/>
      <c r="G89" s="87"/>
      <c r="H89" s="87"/>
      <c r="I89" s="87"/>
      <c r="J89" s="87"/>
    </row>
    <row r="90" spans="1:10" s="127" customFormat="1" ht="12" customHeight="1">
      <c r="A90" s="87"/>
      <c r="B90" s="87"/>
      <c r="C90" s="87"/>
      <c r="D90" s="87"/>
      <c r="E90" s="87"/>
      <c r="F90" s="87"/>
      <c r="G90" s="87"/>
      <c r="H90" s="87"/>
      <c r="I90" s="87"/>
      <c r="J90" s="87"/>
    </row>
    <row r="91" spans="1:10" s="127" customFormat="1" ht="12" customHeight="1">
      <c r="A91" s="87"/>
      <c r="B91" s="87"/>
      <c r="C91" s="87"/>
      <c r="D91" s="87"/>
      <c r="E91" s="87"/>
      <c r="F91" s="87"/>
      <c r="G91" s="87"/>
      <c r="H91" s="87"/>
      <c r="I91" s="87"/>
      <c r="J91" s="87"/>
    </row>
    <row r="92" spans="1:10" s="127" customFormat="1" ht="12" customHeight="1">
      <c r="A92" s="87"/>
      <c r="B92" s="87"/>
      <c r="C92" s="87"/>
      <c r="D92" s="87"/>
      <c r="E92" s="87"/>
      <c r="F92" s="87"/>
      <c r="G92" s="87"/>
      <c r="H92" s="87"/>
      <c r="I92" s="87"/>
      <c r="J92" s="87"/>
    </row>
    <row r="93" spans="1:10" s="127" customFormat="1" ht="12" customHeight="1">
      <c r="A93" s="87"/>
      <c r="B93" s="87"/>
      <c r="C93" s="87"/>
      <c r="D93" s="87"/>
      <c r="E93" s="87"/>
      <c r="F93" s="87"/>
      <c r="G93" s="87"/>
      <c r="H93" s="87"/>
      <c r="I93" s="87"/>
      <c r="J93" s="87"/>
    </row>
    <row r="94" spans="1:10" s="127" customFormat="1" ht="12" customHeight="1">
      <c r="A94" s="87"/>
      <c r="B94" s="87"/>
      <c r="C94" s="87"/>
      <c r="D94" s="87"/>
      <c r="E94" s="87"/>
      <c r="F94" s="87"/>
      <c r="G94" s="87"/>
      <c r="H94" s="87"/>
      <c r="I94" s="87"/>
      <c r="J94" s="87"/>
    </row>
    <row r="95" spans="1:10" s="127" customFormat="1" ht="12" customHeight="1">
      <c r="A95" s="87"/>
      <c r="B95" s="87"/>
      <c r="C95" s="87"/>
      <c r="D95" s="87"/>
      <c r="E95" s="87"/>
      <c r="F95" s="87"/>
      <c r="G95" s="87"/>
      <c r="H95" s="87"/>
      <c r="I95" s="87"/>
      <c r="J95" s="87"/>
    </row>
    <row r="96" spans="1:10" s="127" customFormat="1" ht="12" customHeight="1">
      <c r="A96" s="87"/>
      <c r="B96" s="87"/>
      <c r="C96" s="87"/>
      <c r="D96" s="87"/>
      <c r="E96" s="87"/>
      <c r="F96" s="87"/>
      <c r="G96" s="87"/>
      <c r="H96" s="87"/>
      <c r="I96" s="87"/>
      <c r="J96" s="87"/>
    </row>
    <row r="97" spans="1:10" s="127" customFormat="1" ht="12" customHeight="1">
      <c r="A97" s="87"/>
      <c r="B97" s="87"/>
      <c r="C97" s="87"/>
      <c r="D97" s="87"/>
      <c r="E97" s="87"/>
      <c r="F97" s="87"/>
      <c r="G97" s="87"/>
      <c r="H97" s="87"/>
      <c r="I97" s="87"/>
      <c r="J97" s="87"/>
    </row>
    <row r="98" spans="1:10" s="127" customFormat="1" ht="12" customHeight="1">
      <c r="A98" s="87"/>
      <c r="B98" s="87"/>
      <c r="C98" s="87"/>
      <c r="D98" s="87"/>
      <c r="E98" s="87"/>
      <c r="F98" s="87"/>
      <c r="G98" s="87"/>
      <c r="H98" s="87"/>
      <c r="I98" s="87"/>
      <c r="J98" s="87"/>
    </row>
    <row r="99" spans="1:10" s="127" customFormat="1" ht="12" customHeight="1">
      <c r="A99" s="87"/>
      <c r="B99" s="87"/>
      <c r="C99" s="87"/>
      <c r="D99" s="87"/>
      <c r="E99" s="87"/>
      <c r="F99" s="87"/>
      <c r="G99" s="87"/>
      <c r="H99" s="87"/>
      <c r="I99" s="87"/>
      <c r="J99" s="87"/>
    </row>
    <row r="100" spans="1:10" s="127" customFormat="1" ht="12" customHeight="1">
      <c r="A100" s="87"/>
      <c r="B100" s="87"/>
      <c r="C100" s="87"/>
      <c r="D100" s="87"/>
      <c r="E100" s="87"/>
      <c r="F100" s="87"/>
      <c r="G100" s="87"/>
      <c r="H100" s="87"/>
      <c r="I100" s="87"/>
      <c r="J100" s="87"/>
    </row>
    <row r="101" spans="1:10" s="127" customFormat="1" ht="12" customHeight="1">
      <c r="A101" s="87"/>
      <c r="B101" s="87"/>
      <c r="C101" s="87"/>
      <c r="D101" s="87"/>
      <c r="E101" s="87"/>
      <c r="F101" s="87"/>
      <c r="G101" s="87"/>
      <c r="H101" s="87"/>
      <c r="I101" s="87"/>
      <c r="J101" s="87"/>
    </row>
    <row r="102" spans="1:10" s="127" customFormat="1" ht="12" customHeight="1">
      <c r="A102" s="87"/>
      <c r="B102" s="87"/>
      <c r="C102" s="87"/>
      <c r="D102" s="87"/>
      <c r="E102" s="87"/>
      <c r="F102" s="87"/>
      <c r="G102" s="87"/>
      <c r="H102" s="87"/>
      <c r="I102" s="87"/>
      <c r="J102" s="87"/>
    </row>
    <row r="103" spans="1:10" s="127" customFormat="1" ht="12" customHeight="1">
      <c r="A103" s="87"/>
      <c r="B103" s="87"/>
      <c r="C103" s="87"/>
      <c r="D103" s="87"/>
      <c r="E103" s="87"/>
      <c r="F103" s="87"/>
      <c r="G103" s="87"/>
      <c r="H103" s="87"/>
      <c r="I103" s="87"/>
      <c r="J103" s="87"/>
    </row>
    <row r="104" spans="1:10" s="127" customFormat="1" ht="12" customHeight="1">
      <c r="A104" s="87"/>
      <c r="B104" s="87"/>
      <c r="C104" s="87"/>
      <c r="D104" s="87"/>
      <c r="E104" s="87"/>
      <c r="F104" s="87"/>
      <c r="G104" s="87"/>
      <c r="H104" s="87"/>
      <c r="I104" s="87"/>
      <c r="J104" s="87"/>
    </row>
    <row r="105" spans="1:10" s="127" customFormat="1" ht="12" customHeight="1">
      <c r="A105" s="87"/>
      <c r="B105" s="87"/>
      <c r="C105" s="87"/>
      <c r="D105" s="87"/>
      <c r="E105" s="87"/>
      <c r="F105" s="87"/>
      <c r="G105" s="87"/>
      <c r="H105" s="87"/>
      <c r="I105" s="87"/>
      <c r="J105" s="87"/>
    </row>
    <row r="106" spans="1:10" s="127" customFormat="1" ht="12" customHeight="1">
      <c r="A106" s="87"/>
      <c r="B106" s="87"/>
      <c r="C106" s="87"/>
      <c r="D106" s="87"/>
      <c r="E106" s="87"/>
      <c r="F106" s="87"/>
      <c r="G106" s="87"/>
      <c r="H106" s="87"/>
      <c r="I106" s="87"/>
      <c r="J106" s="87"/>
    </row>
    <row r="107" spans="1:10" s="127" customFormat="1" ht="12" customHeight="1">
      <c r="A107" s="87"/>
      <c r="B107" s="87"/>
      <c r="C107" s="87"/>
      <c r="D107" s="87"/>
      <c r="E107" s="87"/>
      <c r="F107" s="87"/>
      <c r="G107" s="87"/>
      <c r="H107" s="87"/>
      <c r="I107" s="87"/>
      <c r="J107" s="87"/>
    </row>
    <row r="108" spans="1:10" s="127" customFormat="1" ht="12" customHeight="1">
      <c r="A108" s="87"/>
      <c r="B108" s="87"/>
      <c r="C108" s="87"/>
      <c r="D108" s="87"/>
      <c r="E108" s="87"/>
      <c r="F108" s="87"/>
      <c r="G108" s="87"/>
      <c r="H108" s="87"/>
      <c r="I108" s="87"/>
      <c r="J108" s="87"/>
    </row>
    <row r="109" spans="1:10" s="127" customFormat="1" ht="12" customHeight="1">
      <c r="A109" s="87"/>
      <c r="B109" s="87"/>
      <c r="C109" s="87"/>
      <c r="D109" s="87"/>
      <c r="E109" s="87"/>
      <c r="F109" s="87"/>
      <c r="G109" s="87"/>
      <c r="H109" s="87"/>
      <c r="I109" s="87"/>
      <c r="J109" s="87"/>
    </row>
    <row r="110" spans="1:10" s="127" customFormat="1" ht="12" customHeight="1">
      <c r="A110" s="87"/>
      <c r="B110" s="87"/>
      <c r="C110" s="87"/>
      <c r="D110" s="87"/>
      <c r="E110" s="87"/>
      <c r="F110" s="87"/>
      <c r="G110" s="87"/>
      <c r="H110" s="87"/>
      <c r="I110" s="87"/>
      <c r="J110" s="87"/>
    </row>
    <row r="111" spans="1:10" s="127" customFormat="1" ht="12" customHeight="1">
      <c r="A111" s="87"/>
      <c r="B111" s="87"/>
      <c r="C111" s="87"/>
      <c r="D111" s="87"/>
      <c r="E111" s="87"/>
      <c r="F111" s="87"/>
      <c r="G111" s="87"/>
      <c r="H111" s="87"/>
      <c r="I111" s="87"/>
      <c r="J111" s="87"/>
    </row>
    <row r="112" spans="1:10" s="127" customFormat="1" ht="12" customHeight="1">
      <c r="A112" s="87"/>
      <c r="B112" s="87"/>
      <c r="C112" s="87"/>
      <c r="D112" s="87"/>
      <c r="E112" s="87"/>
      <c r="F112" s="87"/>
      <c r="G112" s="87"/>
      <c r="H112" s="87"/>
      <c r="I112" s="87"/>
      <c r="J112" s="87"/>
    </row>
    <row r="113" spans="1:10" s="127" customFormat="1" ht="12" customHeight="1">
      <c r="A113" s="87"/>
      <c r="B113" s="87"/>
      <c r="C113" s="87"/>
      <c r="D113" s="87"/>
      <c r="E113" s="87"/>
      <c r="F113" s="87"/>
      <c r="G113" s="87"/>
      <c r="H113" s="87"/>
      <c r="I113" s="87"/>
      <c r="J113" s="87"/>
    </row>
    <row r="114" spans="1:10" s="127" customFormat="1" ht="12" customHeight="1">
      <c r="A114" s="87"/>
      <c r="B114" s="87"/>
      <c r="C114" s="87"/>
      <c r="D114" s="87"/>
      <c r="E114" s="87"/>
      <c r="F114" s="87"/>
      <c r="G114" s="87"/>
      <c r="H114" s="87"/>
      <c r="I114" s="87"/>
      <c r="J114" s="87"/>
    </row>
    <row r="115" spans="1:10" s="127" customFormat="1" ht="12" customHeight="1">
      <c r="A115" s="87"/>
      <c r="B115" s="87"/>
      <c r="C115" s="87"/>
      <c r="D115" s="87"/>
      <c r="E115" s="87"/>
      <c r="F115" s="87"/>
      <c r="G115" s="87"/>
      <c r="H115" s="87"/>
      <c r="I115" s="87"/>
      <c r="J115" s="87"/>
    </row>
    <row r="116" spans="1:10" s="127" customFormat="1" ht="12" customHeight="1">
      <c r="A116" s="87"/>
      <c r="B116" s="87"/>
      <c r="C116" s="87"/>
      <c r="D116" s="87"/>
      <c r="E116" s="87"/>
      <c r="F116" s="87"/>
      <c r="G116" s="87"/>
      <c r="H116" s="87"/>
      <c r="I116" s="87"/>
      <c r="J116" s="87"/>
    </row>
    <row r="117" spans="1:10" s="127" customFormat="1" ht="12" customHeight="1">
      <c r="A117" s="87"/>
      <c r="B117" s="87"/>
      <c r="C117" s="87"/>
      <c r="D117" s="87"/>
      <c r="E117" s="87"/>
      <c r="F117" s="87"/>
      <c r="G117" s="87"/>
      <c r="H117" s="87"/>
      <c r="I117" s="87"/>
      <c r="J117" s="87"/>
    </row>
    <row r="118" spans="1:10" s="127" customFormat="1" ht="12" customHeight="1">
      <c r="A118" s="87"/>
      <c r="B118" s="87"/>
      <c r="C118" s="87"/>
      <c r="D118" s="87"/>
      <c r="E118" s="87"/>
      <c r="F118" s="87"/>
      <c r="G118" s="87"/>
      <c r="H118" s="87"/>
      <c r="I118" s="87"/>
      <c r="J118" s="87"/>
    </row>
    <row r="119" spans="1:10" s="127" customFormat="1" ht="12" customHeight="1">
      <c r="A119" s="87"/>
      <c r="B119" s="87"/>
      <c r="C119" s="87"/>
      <c r="D119" s="87"/>
      <c r="E119" s="87"/>
      <c r="F119" s="87"/>
      <c r="G119" s="87"/>
      <c r="H119" s="87"/>
      <c r="I119" s="87"/>
      <c r="J119" s="87"/>
    </row>
    <row r="120" spans="1:10" s="127" customFormat="1" ht="12" customHeight="1">
      <c r="A120" s="87"/>
      <c r="B120" s="87"/>
      <c r="C120" s="87"/>
      <c r="D120" s="87"/>
      <c r="E120" s="87"/>
      <c r="F120" s="87"/>
      <c r="G120" s="87"/>
      <c r="H120" s="87"/>
      <c r="I120" s="87"/>
      <c r="J120" s="87"/>
    </row>
    <row r="121" spans="1:10" s="127" customFormat="1" ht="12" customHeight="1">
      <c r="A121" s="87"/>
      <c r="B121" s="87"/>
      <c r="C121" s="87"/>
      <c r="D121" s="87"/>
      <c r="E121" s="87"/>
      <c r="F121" s="87"/>
      <c r="G121" s="87"/>
      <c r="H121" s="87"/>
      <c r="I121" s="87"/>
      <c r="J121" s="87"/>
    </row>
    <row r="122" spans="1:10" s="127" customFormat="1" ht="12" customHeight="1">
      <c r="A122" s="87"/>
      <c r="B122" s="87"/>
      <c r="C122" s="87"/>
      <c r="D122" s="87"/>
      <c r="E122" s="87"/>
      <c r="F122" s="87"/>
      <c r="G122" s="87"/>
      <c r="H122" s="87"/>
      <c r="I122" s="87"/>
      <c r="J122" s="87"/>
    </row>
    <row r="123" spans="1:10" s="127" customFormat="1" ht="12" customHeight="1">
      <c r="A123" s="87"/>
      <c r="B123" s="87"/>
      <c r="C123" s="87"/>
      <c r="D123" s="87"/>
      <c r="E123" s="87"/>
      <c r="F123" s="87"/>
      <c r="G123" s="87"/>
      <c r="H123" s="87"/>
      <c r="I123" s="87"/>
      <c r="J123" s="87"/>
    </row>
    <row r="124" spans="1:10" s="127" customFormat="1" ht="12" customHeight="1">
      <c r="A124" s="87"/>
      <c r="B124" s="87"/>
      <c r="C124" s="87"/>
      <c r="D124" s="87"/>
      <c r="E124" s="87"/>
      <c r="F124" s="87"/>
      <c r="G124" s="87"/>
      <c r="H124" s="87"/>
      <c r="I124" s="87"/>
      <c r="J124" s="87"/>
    </row>
    <row r="125" spans="1:10" s="127" customFormat="1" ht="14.25">
      <c r="A125" s="87"/>
      <c r="B125" s="87"/>
      <c r="C125" s="87"/>
      <c r="D125" s="87"/>
      <c r="E125" s="87"/>
      <c r="F125" s="87"/>
      <c r="G125" s="87"/>
      <c r="H125" s="87"/>
      <c r="I125" s="87"/>
      <c r="J125" s="87"/>
    </row>
    <row r="126" spans="1:10" s="127" customFormat="1" ht="14.25">
      <c r="A126" s="87"/>
      <c r="B126" s="87"/>
      <c r="C126" s="87"/>
      <c r="D126" s="87"/>
      <c r="E126" s="87"/>
      <c r="F126" s="87"/>
      <c r="G126" s="87"/>
      <c r="H126" s="87"/>
      <c r="I126" s="87"/>
      <c r="J126" s="87"/>
    </row>
    <row r="127" spans="1:10" s="127" customFormat="1" ht="14.25">
      <c r="A127" s="87"/>
      <c r="B127" s="87"/>
      <c r="C127" s="87"/>
      <c r="D127" s="87"/>
      <c r="E127" s="87"/>
      <c r="F127" s="87"/>
      <c r="G127" s="87"/>
      <c r="H127" s="87"/>
      <c r="I127" s="87"/>
      <c r="J127" s="87"/>
    </row>
    <row r="128" spans="1:10" s="127" customFormat="1" ht="14.25">
      <c r="A128" s="87"/>
      <c r="B128" s="87"/>
      <c r="C128" s="87"/>
      <c r="D128" s="87"/>
      <c r="E128" s="87"/>
      <c r="F128" s="87"/>
      <c r="G128" s="87"/>
      <c r="H128" s="87"/>
      <c r="I128" s="87"/>
      <c r="J128" s="87"/>
    </row>
    <row r="129" spans="1:10" s="127" customFormat="1" ht="14.25">
      <c r="A129" s="87"/>
      <c r="B129" s="87"/>
      <c r="C129" s="87"/>
      <c r="D129" s="87"/>
      <c r="E129" s="87"/>
      <c r="F129" s="87"/>
      <c r="G129" s="87"/>
      <c r="H129" s="87"/>
      <c r="I129" s="87"/>
      <c r="J129" s="87"/>
    </row>
    <row r="130" spans="1:10" s="127" customFormat="1" ht="14.25">
      <c r="A130" s="87"/>
      <c r="B130" s="87"/>
      <c r="C130" s="87"/>
      <c r="D130" s="87"/>
      <c r="E130" s="87"/>
      <c r="F130" s="87"/>
      <c r="G130" s="87"/>
      <c r="H130" s="87"/>
      <c r="I130" s="87"/>
      <c r="J130" s="87"/>
    </row>
    <row r="131" spans="1:10" s="127" customFormat="1" ht="14.25">
      <c r="A131" s="87"/>
      <c r="B131" s="87"/>
      <c r="C131" s="87"/>
      <c r="D131" s="87"/>
      <c r="E131" s="87"/>
      <c r="F131" s="87"/>
      <c r="G131" s="87"/>
      <c r="H131" s="87"/>
      <c r="I131" s="87"/>
      <c r="J131" s="87"/>
    </row>
    <row r="132" spans="1:10" s="127" customFormat="1" ht="14.25">
      <c r="A132" s="87"/>
      <c r="B132" s="87"/>
      <c r="C132" s="87"/>
      <c r="D132" s="87"/>
      <c r="E132" s="87"/>
      <c r="F132" s="87"/>
      <c r="G132" s="87"/>
      <c r="H132" s="87"/>
      <c r="I132" s="87"/>
      <c r="J132" s="87"/>
    </row>
    <row r="133" spans="1:10" s="127" customFormat="1" ht="14.25">
      <c r="A133" s="87"/>
      <c r="B133" s="87"/>
      <c r="C133" s="87"/>
      <c r="D133" s="87"/>
      <c r="E133" s="87"/>
      <c r="F133" s="87"/>
      <c r="G133" s="87"/>
      <c r="H133" s="87"/>
      <c r="I133" s="87"/>
      <c r="J133" s="87"/>
    </row>
    <row r="134" spans="1:10" s="127" customFormat="1" ht="14.25">
      <c r="A134" s="87"/>
      <c r="B134" s="87"/>
      <c r="C134" s="87"/>
      <c r="D134" s="87"/>
      <c r="E134" s="87"/>
      <c r="F134" s="87"/>
      <c r="G134" s="87"/>
      <c r="H134" s="87"/>
      <c r="I134" s="87"/>
      <c r="J134" s="87"/>
    </row>
    <row r="135" spans="1:10">
      <c r="A135" s="6"/>
      <c r="B135" s="87"/>
      <c r="C135" s="87"/>
      <c r="D135" s="87"/>
      <c r="E135" s="87"/>
      <c r="F135" s="87"/>
      <c r="G135" s="87"/>
      <c r="H135" s="87"/>
      <c r="I135" s="87"/>
      <c r="J135" s="87"/>
    </row>
    <row r="136" spans="1:10">
      <c r="A136" s="6"/>
      <c r="B136" s="87"/>
      <c r="C136" s="87"/>
      <c r="D136" s="87"/>
      <c r="E136" s="87"/>
      <c r="F136" s="87"/>
      <c r="G136" s="87"/>
      <c r="H136" s="87"/>
      <c r="I136" s="87"/>
      <c r="J136" s="87"/>
    </row>
    <row r="137" spans="1:10">
      <c r="A137" s="6"/>
      <c r="B137" s="87"/>
      <c r="C137" s="87"/>
      <c r="D137" s="87"/>
      <c r="E137" s="87"/>
      <c r="F137" s="87"/>
      <c r="G137" s="87"/>
      <c r="H137" s="87"/>
      <c r="I137" s="87"/>
      <c r="J137" s="87"/>
    </row>
    <row r="138" spans="1:10">
      <c r="A138" s="6"/>
      <c r="B138" s="87"/>
      <c r="C138" s="87"/>
      <c r="D138" s="87"/>
      <c r="E138" s="87"/>
      <c r="F138" s="87"/>
      <c r="G138" s="87"/>
      <c r="H138" s="87"/>
      <c r="I138" s="87"/>
      <c r="J138" s="87"/>
    </row>
    <row r="139" spans="1:10">
      <c r="A139" s="6"/>
      <c r="B139" s="87"/>
      <c r="C139" s="87"/>
      <c r="D139" s="87"/>
      <c r="E139" s="87"/>
      <c r="F139" s="87"/>
      <c r="G139" s="87"/>
      <c r="H139" s="87"/>
      <c r="I139" s="87"/>
      <c r="J139" s="87"/>
    </row>
    <row r="140" spans="1:10">
      <c r="A140" s="6"/>
      <c r="B140" s="87"/>
      <c r="C140" s="87"/>
      <c r="D140" s="87"/>
      <c r="E140" s="87"/>
      <c r="F140" s="87"/>
      <c r="G140" s="87"/>
      <c r="H140" s="87"/>
      <c r="I140" s="87"/>
      <c r="J140" s="87"/>
    </row>
    <row r="141" spans="1:10">
      <c r="A141" s="6"/>
      <c r="B141" s="87"/>
      <c r="C141" s="87"/>
      <c r="D141" s="87"/>
      <c r="E141" s="87"/>
      <c r="F141" s="87"/>
      <c r="G141" s="87"/>
      <c r="H141" s="87"/>
      <c r="I141" s="87"/>
      <c r="J141" s="87"/>
    </row>
    <row r="142" spans="1:10">
      <c r="A142" s="6"/>
      <c r="B142" s="6"/>
      <c r="C142" s="6"/>
      <c r="D142" s="6"/>
      <c r="E142" s="6"/>
      <c r="F142" s="6"/>
      <c r="G142" s="6"/>
      <c r="H142" s="6"/>
      <c r="I142" s="6"/>
      <c r="J142" s="6"/>
    </row>
    <row r="143" spans="1:10">
      <c r="A143" s="6"/>
      <c r="B143" s="6"/>
      <c r="C143" s="6"/>
      <c r="D143" s="6"/>
      <c r="E143" s="6"/>
      <c r="F143" s="6"/>
      <c r="G143" s="6"/>
      <c r="H143" s="6"/>
      <c r="I143" s="6"/>
      <c r="J143" s="6"/>
    </row>
    <row r="144" spans="1:10">
      <c r="A144" s="6"/>
      <c r="B144" s="6"/>
      <c r="C144" s="6"/>
      <c r="D144" s="6"/>
      <c r="E144" s="6"/>
      <c r="F144" s="6"/>
      <c r="G144" s="6"/>
      <c r="H144" s="6"/>
      <c r="I144" s="6"/>
      <c r="J144" s="6"/>
    </row>
    <row r="145" spans="1:10">
      <c r="A145" s="6"/>
      <c r="B145" s="6"/>
      <c r="C145" s="6"/>
      <c r="D145" s="6"/>
      <c r="E145" s="6"/>
      <c r="F145" s="6"/>
      <c r="G145" s="6"/>
      <c r="H145" s="6"/>
      <c r="I145" s="6"/>
      <c r="J145" s="6"/>
    </row>
    <row r="146" spans="1:10">
      <c r="A146" s="6"/>
      <c r="B146" s="6"/>
      <c r="C146" s="6"/>
      <c r="D146" s="6"/>
      <c r="E146" s="6"/>
      <c r="F146" s="6"/>
      <c r="G146" s="6"/>
      <c r="H146" s="6"/>
      <c r="I146" s="6"/>
      <c r="J146" s="6"/>
    </row>
    <row r="147" spans="1:10">
      <c r="A147" s="6"/>
      <c r="B147" s="6"/>
      <c r="C147" s="6"/>
      <c r="D147" s="6"/>
      <c r="E147" s="6"/>
      <c r="F147" s="6"/>
      <c r="G147" s="6"/>
      <c r="H147" s="6"/>
      <c r="I147" s="6"/>
      <c r="J147" s="6"/>
    </row>
    <row r="148" spans="1:10">
      <c r="A148" s="6"/>
      <c r="B148" s="6"/>
      <c r="C148" s="6"/>
      <c r="D148" s="6"/>
      <c r="E148" s="6"/>
      <c r="F148" s="6"/>
      <c r="G148" s="6"/>
      <c r="H148" s="6"/>
      <c r="I148" s="6"/>
      <c r="J148" s="6"/>
    </row>
    <row r="149" spans="1:10">
      <c r="A149" s="6"/>
      <c r="B149" s="6"/>
      <c r="C149" s="6"/>
      <c r="D149" s="6"/>
      <c r="E149" s="6"/>
      <c r="F149" s="6"/>
      <c r="G149" s="6"/>
      <c r="H149" s="6"/>
      <c r="I149" s="6"/>
      <c r="J149" s="6"/>
    </row>
    <row r="150" spans="1:10">
      <c r="A150" s="6"/>
      <c r="B150" s="6"/>
      <c r="C150" s="6"/>
      <c r="D150" s="6"/>
      <c r="E150" s="6"/>
      <c r="F150" s="6"/>
      <c r="G150" s="6"/>
      <c r="H150" s="6"/>
      <c r="I150" s="6"/>
      <c r="J150" s="6"/>
    </row>
    <row r="151" spans="1:10">
      <c r="A151" s="6"/>
      <c r="B151" s="6"/>
      <c r="C151" s="6"/>
      <c r="D151" s="6"/>
      <c r="E151" s="6"/>
      <c r="F151" s="6"/>
      <c r="G151" s="6"/>
      <c r="H151" s="6"/>
      <c r="I151" s="6"/>
      <c r="J151" s="6"/>
    </row>
    <row r="152" spans="1:10">
      <c r="A152" s="6"/>
      <c r="B152" s="6"/>
      <c r="C152" s="6"/>
      <c r="D152" s="6"/>
      <c r="E152" s="6"/>
      <c r="F152" s="6"/>
      <c r="G152" s="6"/>
      <c r="H152" s="6"/>
      <c r="I152" s="6"/>
      <c r="J152" s="6"/>
    </row>
    <row r="153" spans="1:10">
      <c r="A153" s="6"/>
      <c r="B153" s="6"/>
      <c r="C153" s="6"/>
      <c r="D153" s="6"/>
      <c r="E153" s="6"/>
      <c r="F153" s="6"/>
      <c r="G153" s="6"/>
      <c r="H153" s="6"/>
      <c r="I153" s="6"/>
      <c r="J153" s="6"/>
    </row>
    <row r="154" spans="1:10">
      <c r="A154" s="6"/>
      <c r="B154" s="6"/>
      <c r="C154" s="6"/>
      <c r="D154" s="6"/>
      <c r="E154" s="6"/>
      <c r="F154" s="6"/>
      <c r="G154" s="6"/>
      <c r="H154" s="6"/>
      <c r="I154" s="6"/>
      <c r="J154" s="6"/>
    </row>
    <row r="155" spans="1:10">
      <c r="A155" s="6"/>
      <c r="B155" s="6"/>
      <c r="C155" s="6"/>
      <c r="D155" s="6"/>
      <c r="E155" s="6"/>
      <c r="F155" s="6"/>
      <c r="G155" s="6"/>
      <c r="H155" s="6"/>
      <c r="I155" s="6"/>
      <c r="J155" s="6"/>
    </row>
    <row r="156" spans="1:10">
      <c r="A156" s="6"/>
      <c r="B156" s="6"/>
      <c r="C156" s="6"/>
      <c r="D156" s="6"/>
      <c r="E156" s="6"/>
      <c r="F156" s="6"/>
      <c r="G156" s="6"/>
      <c r="H156" s="6"/>
      <c r="I156" s="6"/>
      <c r="J156" s="6"/>
    </row>
    <row r="157" spans="1:10">
      <c r="A157" s="6"/>
      <c r="B157" s="6"/>
      <c r="C157" s="6"/>
      <c r="D157" s="6"/>
      <c r="E157" s="6"/>
      <c r="F157" s="6"/>
      <c r="G157" s="6"/>
      <c r="H157" s="6"/>
      <c r="I157" s="6"/>
      <c r="J157" s="6"/>
    </row>
    <row r="158" spans="1:10">
      <c r="A158" s="6"/>
      <c r="B158" s="6"/>
      <c r="C158" s="6"/>
      <c r="D158" s="6"/>
      <c r="E158" s="6"/>
      <c r="F158" s="6"/>
      <c r="G158" s="6"/>
      <c r="H158" s="6"/>
      <c r="I158" s="6"/>
      <c r="J158" s="6"/>
    </row>
    <row r="159" spans="1:10">
      <c r="A159" s="6"/>
      <c r="B159" s="6"/>
      <c r="C159" s="6"/>
      <c r="D159" s="6"/>
      <c r="E159" s="6"/>
      <c r="F159" s="6"/>
      <c r="G159" s="6"/>
      <c r="H159" s="6"/>
      <c r="I159" s="6"/>
      <c r="J159" s="6"/>
    </row>
    <row r="160" spans="1:10">
      <c r="A160" s="6"/>
      <c r="B160" s="6"/>
      <c r="C160" s="6"/>
      <c r="D160" s="6"/>
      <c r="E160" s="6"/>
      <c r="F160" s="6"/>
      <c r="G160" s="6"/>
      <c r="H160" s="6"/>
      <c r="I160" s="6"/>
      <c r="J160" s="6"/>
    </row>
    <row r="161" spans="1:10">
      <c r="A161" s="6"/>
      <c r="B161" s="6"/>
      <c r="C161" s="6"/>
      <c r="D161" s="6"/>
      <c r="E161" s="6"/>
      <c r="F161" s="6"/>
      <c r="G161" s="6"/>
      <c r="H161" s="6"/>
      <c r="I161" s="6"/>
      <c r="J161" s="6"/>
    </row>
    <row r="162" spans="1:10">
      <c r="A162" s="6"/>
      <c r="B162" s="6"/>
      <c r="C162" s="6"/>
      <c r="D162" s="6"/>
      <c r="E162" s="6"/>
      <c r="F162" s="6"/>
      <c r="G162" s="6"/>
      <c r="H162" s="6"/>
      <c r="I162" s="6"/>
      <c r="J162" s="6"/>
    </row>
    <row r="163" spans="1:10">
      <c r="A163" s="6"/>
      <c r="B163" s="6"/>
      <c r="C163" s="6"/>
      <c r="D163" s="6"/>
      <c r="E163" s="6"/>
      <c r="F163" s="6"/>
      <c r="G163" s="6"/>
      <c r="H163" s="6"/>
      <c r="I163" s="6"/>
      <c r="J163" s="6"/>
    </row>
    <row r="164" spans="1:10">
      <c r="A164" s="6"/>
      <c r="B164" s="6"/>
      <c r="C164" s="6"/>
      <c r="D164" s="6"/>
      <c r="E164" s="6"/>
      <c r="F164" s="6"/>
      <c r="G164" s="6"/>
      <c r="H164" s="6"/>
      <c r="I164" s="6"/>
      <c r="J164" s="6"/>
    </row>
    <row r="165" spans="1:10">
      <c r="A165" s="6"/>
      <c r="B165" s="6"/>
      <c r="C165" s="6"/>
      <c r="D165" s="6"/>
      <c r="E165" s="6"/>
      <c r="F165" s="6"/>
      <c r="G165" s="6"/>
      <c r="H165" s="6"/>
      <c r="I165" s="6"/>
      <c r="J165" s="6"/>
    </row>
    <row r="166" spans="1:10">
      <c r="A166" s="6"/>
      <c r="B166" s="6"/>
      <c r="C166" s="6"/>
      <c r="D166" s="6"/>
      <c r="E166" s="6"/>
      <c r="F166" s="6"/>
      <c r="G166" s="6"/>
      <c r="H166" s="6"/>
      <c r="I166" s="6"/>
      <c r="J166" s="6"/>
    </row>
    <row r="167" spans="1:10">
      <c r="A167" s="6"/>
      <c r="B167" s="6"/>
      <c r="C167" s="6"/>
      <c r="D167" s="6"/>
      <c r="E167" s="6"/>
      <c r="F167" s="6"/>
      <c r="G167" s="6"/>
      <c r="H167" s="6"/>
      <c r="I167" s="6"/>
      <c r="J167" s="6"/>
    </row>
    <row r="168" spans="1:10">
      <c r="A168" s="6"/>
      <c r="B168" s="6"/>
      <c r="C168" s="6"/>
      <c r="D168" s="6"/>
      <c r="E168" s="6"/>
      <c r="F168" s="6"/>
      <c r="G168" s="6"/>
      <c r="H168" s="6"/>
      <c r="I168" s="6"/>
      <c r="J168" s="6"/>
    </row>
    <row r="169" spans="1:10">
      <c r="A169" s="6"/>
      <c r="B169" s="6"/>
      <c r="C169" s="6"/>
      <c r="D169" s="6"/>
      <c r="E169" s="6"/>
      <c r="F169" s="6"/>
      <c r="G169" s="6"/>
      <c r="H169" s="6"/>
      <c r="I169" s="6"/>
      <c r="J169" s="6"/>
    </row>
    <row r="170" spans="1:10">
      <c r="A170" s="6"/>
      <c r="B170" s="6"/>
      <c r="C170" s="6"/>
      <c r="D170" s="6"/>
      <c r="E170" s="6"/>
      <c r="F170" s="6"/>
      <c r="G170" s="6"/>
      <c r="H170" s="6"/>
      <c r="I170" s="6"/>
      <c r="J170" s="6"/>
    </row>
    <row r="171" spans="1:10">
      <c r="B171" s="6"/>
      <c r="C171" s="6"/>
      <c r="D171" s="6"/>
      <c r="E171" s="6"/>
      <c r="F171" s="6"/>
      <c r="G171" s="6"/>
      <c r="H171" s="6"/>
      <c r="I171" s="6"/>
      <c r="J171" s="6"/>
    </row>
    <row r="172" spans="1:10">
      <c r="B172" s="6"/>
      <c r="C172" s="6"/>
      <c r="D172" s="6"/>
      <c r="E172" s="6"/>
      <c r="F172" s="6"/>
      <c r="G172" s="6"/>
      <c r="H172" s="6"/>
      <c r="I172" s="6"/>
      <c r="J172" s="6"/>
    </row>
    <row r="173" spans="1:10">
      <c r="B173" s="6"/>
      <c r="C173" s="6"/>
      <c r="D173" s="6"/>
      <c r="E173" s="6"/>
      <c r="F173" s="6"/>
      <c r="G173" s="6"/>
      <c r="H173" s="6"/>
      <c r="I173" s="6"/>
      <c r="J173" s="6"/>
    </row>
    <row r="174" spans="1:10">
      <c r="B174" s="6"/>
      <c r="C174" s="6"/>
      <c r="D174" s="6"/>
      <c r="E174" s="6"/>
      <c r="F174" s="6"/>
      <c r="G174" s="6"/>
      <c r="H174" s="6"/>
      <c r="I174" s="6"/>
      <c r="J174" s="6"/>
    </row>
    <row r="175" spans="1:10">
      <c r="B175" s="6"/>
      <c r="C175" s="6"/>
      <c r="D175" s="6"/>
      <c r="E175" s="6"/>
      <c r="F175" s="6"/>
      <c r="G175" s="6"/>
      <c r="H175" s="6"/>
      <c r="I175" s="6"/>
      <c r="J175" s="6"/>
    </row>
    <row r="176" spans="1:10">
      <c r="B176" s="6"/>
      <c r="C176" s="6"/>
      <c r="D176" s="6"/>
      <c r="E176" s="6"/>
      <c r="F176" s="6"/>
      <c r="G176" s="6"/>
      <c r="H176" s="6"/>
      <c r="I176" s="6"/>
      <c r="J176" s="6"/>
    </row>
    <row r="177" spans="2:10">
      <c r="B177" s="6"/>
      <c r="C177" s="6"/>
      <c r="D177" s="6"/>
      <c r="E177" s="6"/>
      <c r="F177" s="6"/>
      <c r="G177" s="6"/>
      <c r="H177" s="6"/>
      <c r="I177" s="6"/>
      <c r="J177" s="6"/>
    </row>
    <row r="178" spans="2:10">
      <c r="C178" s="6"/>
      <c r="D178" s="6"/>
      <c r="E178" s="6"/>
      <c r="F178" s="6"/>
      <c r="G178" s="6"/>
      <c r="H178" s="6"/>
      <c r="I178" s="6"/>
      <c r="J178" s="6"/>
    </row>
    <row r="179" spans="2:10">
      <c r="C179" s="6"/>
      <c r="D179" s="6"/>
      <c r="E179" s="6"/>
      <c r="F179" s="6"/>
      <c r="G179" s="6"/>
      <c r="H179" s="6"/>
      <c r="I179" s="6"/>
      <c r="J179" s="6"/>
    </row>
    <row r="180" spans="2:10">
      <c r="C180" s="6"/>
      <c r="D180" s="6"/>
      <c r="E180" s="6"/>
      <c r="F180" s="6"/>
      <c r="G180" s="6"/>
      <c r="H180" s="6"/>
      <c r="I180" s="6"/>
      <c r="J180" s="6"/>
    </row>
    <row r="181" spans="2:10">
      <c r="C181" s="6"/>
      <c r="D181" s="6"/>
      <c r="E181" s="6"/>
      <c r="F181" s="6"/>
      <c r="G181" s="6"/>
      <c r="H181" s="6"/>
      <c r="I181" s="6"/>
      <c r="J181" s="6"/>
    </row>
    <row r="182" spans="2:10">
      <c r="C182" s="6"/>
      <c r="D182" s="6"/>
      <c r="E182" s="6"/>
      <c r="F182" s="6"/>
      <c r="G182" s="6"/>
      <c r="H182" s="6"/>
      <c r="I182" s="6"/>
      <c r="J182" s="6"/>
    </row>
    <row r="183" spans="2:10">
      <c r="C183" s="6"/>
      <c r="D183" s="6"/>
      <c r="E183" s="6"/>
      <c r="F183" s="6"/>
      <c r="G183" s="6"/>
      <c r="H183" s="6"/>
      <c r="I183" s="6"/>
      <c r="J183" s="6"/>
    </row>
    <row r="184" spans="2:10">
      <c r="C184" s="6"/>
      <c r="D184" s="6"/>
      <c r="E184" s="6"/>
      <c r="F184" s="6"/>
      <c r="G184" s="6"/>
      <c r="H184" s="6"/>
      <c r="I184" s="6"/>
      <c r="J184" s="6"/>
    </row>
    <row r="185" spans="2:10">
      <c r="C185" s="6"/>
      <c r="D185" s="6"/>
      <c r="E185" s="6"/>
      <c r="F185" s="6"/>
      <c r="G185" s="6"/>
      <c r="H185" s="6"/>
      <c r="I185" s="6"/>
      <c r="J185" s="6"/>
    </row>
    <row r="186" spans="2:10">
      <c r="C186" s="6"/>
      <c r="D186" s="6"/>
      <c r="E186" s="6"/>
      <c r="F186" s="6"/>
      <c r="G186" s="6"/>
      <c r="H186" s="6"/>
      <c r="I186" s="6"/>
      <c r="J186" s="6"/>
    </row>
    <row r="187" spans="2:10">
      <c r="C187" s="6"/>
      <c r="D187" s="6"/>
      <c r="E187" s="6"/>
      <c r="F187" s="6"/>
      <c r="G187" s="6"/>
      <c r="H187" s="6"/>
      <c r="I187" s="6"/>
      <c r="J187" s="6"/>
    </row>
    <row r="188" spans="2:10">
      <c r="C188" s="6"/>
      <c r="D188" s="6"/>
      <c r="E188" s="6"/>
      <c r="F188" s="6"/>
      <c r="G188" s="6"/>
      <c r="H188" s="6"/>
      <c r="I188" s="6"/>
      <c r="J188" s="6"/>
    </row>
    <row r="189" spans="2:10">
      <c r="C189" s="6"/>
      <c r="D189" s="6"/>
      <c r="E189" s="6"/>
      <c r="F189" s="6"/>
      <c r="G189" s="6"/>
      <c r="H189" s="6"/>
      <c r="I189" s="6"/>
      <c r="J189" s="6"/>
    </row>
    <row r="190" spans="2:10">
      <c r="C190" s="6"/>
      <c r="D190" s="6"/>
      <c r="E190" s="6"/>
      <c r="F190" s="6"/>
      <c r="G190" s="6"/>
      <c r="H190" s="6"/>
      <c r="I190" s="6"/>
      <c r="J190" s="6"/>
    </row>
    <row r="191" spans="2:10">
      <c r="C191" s="6"/>
      <c r="D191" s="6"/>
      <c r="E191" s="6"/>
      <c r="F191" s="6"/>
      <c r="G191" s="6"/>
      <c r="H191" s="6"/>
      <c r="I191" s="6"/>
      <c r="J191" s="6"/>
    </row>
    <row r="192" spans="2:10">
      <c r="C192" s="6"/>
      <c r="D192" s="6"/>
      <c r="E192" s="6"/>
      <c r="F192" s="6"/>
      <c r="G192" s="6"/>
      <c r="H192" s="6"/>
      <c r="I192" s="6"/>
      <c r="J192" s="6"/>
    </row>
    <row r="193" spans="3:10">
      <c r="C193" s="6"/>
      <c r="D193" s="6"/>
      <c r="E193" s="6"/>
      <c r="F193" s="6"/>
      <c r="G193" s="6"/>
      <c r="H193" s="6"/>
      <c r="I193" s="6"/>
      <c r="J193" s="6"/>
    </row>
    <row r="194" spans="3:10">
      <c r="C194" s="6"/>
      <c r="D194" s="6"/>
      <c r="E194" s="6"/>
      <c r="F194" s="6"/>
      <c r="G194" s="6"/>
      <c r="H194" s="6"/>
      <c r="I194" s="6"/>
      <c r="J194" s="6"/>
    </row>
    <row r="195" spans="3:10">
      <c r="C195" s="6"/>
      <c r="D195" s="6"/>
      <c r="E195" s="6"/>
      <c r="F195" s="6"/>
      <c r="G195" s="6"/>
      <c r="H195" s="6"/>
      <c r="I195" s="6"/>
      <c r="J195" s="6"/>
    </row>
    <row r="196" spans="3:10">
      <c r="C196" s="6"/>
      <c r="D196" s="6"/>
      <c r="E196" s="6"/>
      <c r="F196" s="6"/>
      <c r="G196" s="6"/>
      <c r="H196" s="6"/>
      <c r="I196" s="6"/>
      <c r="J196" s="6"/>
    </row>
    <row r="197" spans="3:10">
      <c r="C197" s="6"/>
      <c r="D197" s="6"/>
      <c r="E197" s="6"/>
      <c r="F197" s="6"/>
      <c r="G197" s="6"/>
      <c r="H197" s="6"/>
      <c r="I197" s="6"/>
      <c r="J197" s="6"/>
    </row>
    <row r="198" spans="3:10">
      <c r="C198" s="6"/>
      <c r="D198" s="6"/>
      <c r="E198" s="6"/>
      <c r="F198" s="6"/>
      <c r="G198" s="6"/>
      <c r="H198" s="6"/>
      <c r="I198" s="6"/>
      <c r="J198" s="6"/>
    </row>
    <row r="199" spans="3:10">
      <c r="C199" s="6"/>
      <c r="D199" s="6"/>
      <c r="E199" s="6"/>
      <c r="F199" s="6"/>
      <c r="G199" s="6"/>
      <c r="H199" s="6"/>
      <c r="I199" s="6"/>
      <c r="J199" s="6"/>
    </row>
    <row r="200" spans="3:10">
      <c r="C200" s="6"/>
      <c r="D200" s="6"/>
      <c r="E200" s="6"/>
      <c r="F200" s="6"/>
      <c r="G200" s="6"/>
      <c r="H200" s="6"/>
      <c r="I200" s="6"/>
      <c r="J200" s="6"/>
    </row>
    <row r="201" spans="3:10">
      <c r="C201" s="6"/>
      <c r="D201" s="6"/>
      <c r="E201" s="6"/>
      <c r="F201" s="6"/>
      <c r="G201" s="6"/>
      <c r="H201" s="6"/>
      <c r="I201" s="6"/>
      <c r="J201" s="6"/>
    </row>
    <row r="202" spans="3:10">
      <c r="C202" s="6"/>
      <c r="D202" s="6"/>
      <c r="E202" s="6"/>
      <c r="F202" s="6"/>
      <c r="G202" s="6"/>
      <c r="H202" s="6"/>
      <c r="I202" s="6"/>
      <c r="J202" s="6"/>
    </row>
    <row r="203" spans="3:10">
      <c r="C203" s="6"/>
      <c r="D203" s="6"/>
      <c r="E203" s="6"/>
      <c r="F203" s="6"/>
      <c r="G203" s="6"/>
      <c r="H203" s="6"/>
      <c r="I203" s="6"/>
      <c r="J203" s="6"/>
    </row>
    <row r="204" spans="3:10">
      <c r="C204" s="6"/>
      <c r="D204" s="6"/>
      <c r="E204" s="6"/>
      <c r="F204" s="6"/>
      <c r="G204" s="6"/>
      <c r="H204" s="6"/>
      <c r="I204" s="6"/>
      <c r="J204" s="6"/>
    </row>
    <row r="205" spans="3:10">
      <c r="C205" s="6"/>
      <c r="D205" s="6"/>
      <c r="E205" s="6"/>
      <c r="F205" s="6"/>
      <c r="G205" s="6"/>
      <c r="H205" s="6"/>
      <c r="I205" s="6"/>
      <c r="J205" s="6"/>
    </row>
    <row r="206" spans="3:10">
      <c r="C206" s="6"/>
      <c r="D206" s="6"/>
      <c r="E206" s="6"/>
      <c r="F206" s="6"/>
      <c r="G206" s="6"/>
      <c r="H206" s="6"/>
      <c r="I206" s="6"/>
      <c r="J206" s="6"/>
    </row>
    <row r="207" spans="3:10">
      <c r="C207" s="6"/>
      <c r="D207" s="6"/>
      <c r="E207" s="6"/>
      <c r="F207" s="6"/>
      <c r="G207" s="6"/>
      <c r="H207" s="6"/>
      <c r="I207" s="6"/>
      <c r="J207" s="6"/>
    </row>
    <row r="208" spans="3:10">
      <c r="C208" s="6"/>
      <c r="D208" s="6"/>
      <c r="E208" s="6"/>
      <c r="F208" s="6"/>
      <c r="G208" s="6"/>
      <c r="H208" s="6"/>
      <c r="I208" s="6"/>
      <c r="J208" s="6"/>
    </row>
    <row r="209" spans="3:10">
      <c r="C209" s="6"/>
      <c r="D209" s="6"/>
      <c r="E209" s="6"/>
      <c r="F209" s="6"/>
      <c r="G209" s="6"/>
      <c r="H209" s="6"/>
      <c r="I209" s="6"/>
      <c r="J209" s="6"/>
    </row>
    <row r="210" spans="3:10">
      <c r="C210" s="6"/>
      <c r="D210" s="6"/>
      <c r="E210" s="6"/>
      <c r="F210" s="6"/>
      <c r="G210" s="6"/>
      <c r="H210" s="6"/>
      <c r="I210" s="6"/>
      <c r="J210" s="6"/>
    </row>
    <row r="211" spans="3:10">
      <c r="C211" s="6"/>
      <c r="D211" s="6"/>
      <c r="E211" s="6"/>
      <c r="F211" s="6"/>
      <c r="G211" s="6"/>
      <c r="H211" s="6"/>
      <c r="I211" s="6"/>
      <c r="J211" s="6"/>
    </row>
    <row r="212" spans="3:10">
      <c r="C212" s="6"/>
      <c r="D212" s="6"/>
      <c r="E212" s="6"/>
      <c r="F212" s="6"/>
      <c r="G212" s="6"/>
      <c r="H212" s="6"/>
      <c r="I212" s="6"/>
      <c r="J212" s="6"/>
    </row>
    <row r="213" spans="3:10">
      <c r="C213" s="6"/>
      <c r="D213" s="6"/>
      <c r="E213" s="6"/>
      <c r="F213" s="6"/>
      <c r="G213" s="6"/>
      <c r="H213" s="6"/>
      <c r="I213" s="6"/>
      <c r="J213" s="6"/>
    </row>
    <row r="214" spans="3:10">
      <c r="C214" s="6"/>
      <c r="D214" s="6"/>
      <c r="E214" s="6"/>
      <c r="F214" s="6"/>
      <c r="G214" s="6"/>
      <c r="H214" s="6"/>
      <c r="I214" s="6"/>
      <c r="J214" s="6"/>
    </row>
    <row r="215" spans="3:10">
      <c r="C215" s="6"/>
      <c r="D215" s="6"/>
      <c r="E215" s="6"/>
      <c r="F215" s="6"/>
      <c r="G215" s="6"/>
      <c r="H215" s="6"/>
      <c r="I215" s="6"/>
      <c r="J215" s="6"/>
    </row>
    <row r="216" spans="3:10">
      <c r="C216" s="6"/>
      <c r="D216" s="6"/>
      <c r="E216" s="6"/>
      <c r="F216" s="6"/>
      <c r="G216" s="6"/>
      <c r="H216" s="6"/>
      <c r="I216" s="6"/>
      <c r="J216" s="6"/>
    </row>
    <row r="217" spans="3:10">
      <c r="C217" s="6"/>
      <c r="D217" s="6"/>
      <c r="E217" s="6"/>
      <c r="F217" s="6"/>
      <c r="G217" s="6"/>
      <c r="H217" s="6"/>
      <c r="I217" s="6"/>
      <c r="J217" s="6"/>
    </row>
    <row r="218" spans="3:10">
      <c r="C218" s="6"/>
      <c r="D218" s="6"/>
      <c r="E218" s="6"/>
      <c r="F218" s="6"/>
      <c r="G218" s="6"/>
      <c r="H218" s="6"/>
      <c r="I218" s="6"/>
      <c r="J218" s="6"/>
    </row>
  </sheetData>
  <mergeCells count="1">
    <mergeCell ref="E1:J3"/>
  </mergeCells>
  <phoneticPr fontId="2" type="noConversion"/>
  <hyperlinks>
    <hyperlink ref="A8" r:id="rId1" display="TEL:(82)2-5460066   FAX:(82)2-5404106" xr:uid="{00000000-0004-0000-0500-000000000000}"/>
  </hyperlinks>
  <printOptions horizontalCentered="1"/>
  <pageMargins left="0.15748031496062992" right="0.15748031496062992" top="0.19685039370078741" bottom="0.31496062992125984" header="0.15748031496062992" footer="0.15748031496062992"/>
  <pageSetup paperSize="9" orientation="portrait" r:id="rId2"/>
  <headerFooter scaleWithDoc="0" alignWithMargins="0">
    <oddFooter>&amp;C&amp;"+,굵게"&amp;8&amp;K00-032SEWANG TEXTILE&amp;R&amp;"+,굵게"&amp;8&amp;K00-032&amp;POF &amp;N</oddFooter>
  </headerFooter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K52"/>
  <sheetViews>
    <sheetView showGridLines="0" view="pageBreakPreview" topLeftCell="A22" zoomScaleSheetLayoutView="100" workbookViewId="0">
      <selection activeCell="F35" sqref="F35"/>
    </sheetView>
  </sheetViews>
  <sheetFormatPr defaultColWidth="8.88671875" defaultRowHeight="13.5"/>
  <cols>
    <col min="1" max="1" width="8.33203125" customWidth="1"/>
    <col min="2" max="2" width="7.77734375" customWidth="1"/>
    <col min="3" max="3" width="13.33203125" customWidth="1"/>
    <col min="4" max="4" width="5.88671875" customWidth="1"/>
    <col min="5" max="5" width="8.21875" customWidth="1"/>
    <col min="6" max="9" width="10.77734375" customWidth="1"/>
  </cols>
  <sheetData>
    <row r="1" spans="1:10" ht="17.100000000000001" customHeight="1">
      <c r="E1" s="696" t="s">
        <v>330</v>
      </c>
      <c r="F1" s="696"/>
      <c r="G1" s="696"/>
      <c r="H1" s="696"/>
      <c r="I1" s="696"/>
    </row>
    <row r="2" spans="1:10" ht="17.100000000000001" customHeight="1">
      <c r="E2" s="696"/>
      <c r="F2" s="696"/>
      <c r="G2" s="696"/>
      <c r="H2" s="696"/>
      <c r="I2" s="696"/>
    </row>
    <row r="3" spans="1:10" ht="17.100000000000001" customHeight="1">
      <c r="A3" s="1"/>
      <c r="B3" s="1"/>
      <c r="C3" s="1"/>
      <c r="D3" s="1"/>
      <c r="E3" s="698"/>
      <c r="F3" s="698"/>
      <c r="G3" s="698"/>
      <c r="H3" s="698"/>
      <c r="I3" s="698"/>
    </row>
    <row r="4" spans="1:10" s="85" customFormat="1" ht="9.9499999999999993" customHeight="1">
      <c r="A4" s="82" t="s">
        <v>301</v>
      </c>
      <c r="B4" s="82"/>
      <c r="C4" s="82"/>
      <c r="D4" s="82"/>
      <c r="E4" s="144" t="s">
        <v>2</v>
      </c>
      <c r="F4" s="152"/>
      <c r="G4" s="145"/>
      <c r="H4" s="145"/>
      <c r="I4" s="146"/>
    </row>
    <row r="5" spans="1:10" s="91" customFormat="1" ht="12" customHeight="1">
      <c r="A5" s="86" t="s">
        <v>303</v>
      </c>
      <c r="B5" s="87"/>
      <c r="C5" s="87"/>
      <c r="D5" s="87"/>
      <c r="E5" s="88" t="s">
        <v>368</v>
      </c>
      <c r="F5" s="153"/>
      <c r="G5" s="89"/>
      <c r="H5" s="89"/>
      <c r="I5" s="90">
        <v>43238</v>
      </c>
      <c r="J5" s="90"/>
    </row>
    <row r="6" spans="1:10" s="85" customFormat="1" ht="12" customHeight="1">
      <c r="A6" s="86" t="s">
        <v>4</v>
      </c>
      <c r="B6" s="87"/>
      <c r="C6" s="87"/>
      <c r="D6" s="87"/>
      <c r="E6" s="83" t="s">
        <v>5</v>
      </c>
      <c r="F6" s="100"/>
      <c r="G6" s="82"/>
      <c r="H6" s="82"/>
      <c r="I6" s="92"/>
    </row>
    <row r="7" spans="1:10" s="91" customFormat="1" ht="12" customHeight="1">
      <c r="A7" s="86" t="s">
        <v>6</v>
      </c>
      <c r="B7" s="87"/>
      <c r="C7" s="87"/>
      <c r="D7" s="87" t="s">
        <v>307</v>
      </c>
      <c r="E7" s="213" t="s">
        <v>342</v>
      </c>
      <c r="F7" s="214"/>
      <c r="G7" s="130"/>
      <c r="H7" s="130"/>
      <c r="I7" s="216">
        <v>43215</v>
      </c>
    </row>
    <row r="8" spans="1:10" s="91" customFormat="1" ht="12" customHeight="1">
      <c r="A8" s="86" t="s">
        <v>308</v>
      </c>
      <c r="B8" s="87"/>
      <c r="C8" s="87"/>
      <c r="D8" s="87"/>
      <c r="E8" s="94"/>
      <c r="F8" s="117"/>
      <c r="G8" s="87"/>
      <c r="H8" s="87"/>
      <c r="I8" s="96"/>
    </row>
    <row r="9" spans="1:10" s="91" customFormat="1" ht="12" customHeight="1">
      <c r="A9" s="87"/>
      <c r="B9" s="87"/>
      <c r="C9" s="87"/>
      <c r="D9" s="87"/>
      <c r="E9" s="97"/>
      <c r="F9" s="106"/>
      <c r="G9" s="87"/>
      <c r="H9" s="87"/>
      <c r="I9" s="98"/>
    </row>
    <row r="10" spans="1:10" s="85" customFormat="1" ht="9.9499999999999993" customHeight="1">
      <c r="A10" s="82" t="s">
        <v>309</v>
      </c>
      <c r="B10" s="82"/>
      <c r="C10" s="82"/>
      <c r="D10" s="99"/>
      <c r="E10" s="100" t="s">
        <v>10</v>
      </c>
      <c r="F10" s="100"/>
      <c r="G10" s="82"/>
      <c r="H10" s="101"/>
      <c r="I10" s="147"/>
    </row>
    <row r="11" spans="1:10" s="91" customFormat="1" ht="12" customHeight="1">
      <c r="A11" s="87" t="s">
        <v>310</v>
      </c>
      <c r="B11" s="87"/>
      <c r="C11" s="87"/>
      <c r="D11" s="104"/>
      <c r="E11" s="86" t="s">
        <v>49</v>
      </c>
      <c r="F11" s="86"/>
      <c r="G11" s="87"/>
      <c r="H11" s="87"/>
      <c r="I11" s="105"/>
    </row>
    <row r="12" spans="1:10" s="91" customFormat="1" ht="12" customHeight="1">
      <c r="A12" s="87" t="s">
        <v>311</v>
      </c>
      <c r="B12" s="87"/>
      <c r="C12" s="87"/>
      <c r="D12" s="104"/>
      <c r="E12" s="106" t="s">
        <v>50</v>
      </c>
      <c r="F12" s="106"/>
      <c r="G12" s="87"/>
      <c r="H12" s="87"/>
      <c r="I12" s="105"/>
    </row>
    <row r="13" spans="1:10" s="91" customFormat="1" ht="12" customHeight="1">
      <c r="A13" s="87" t="s">
        <v>13</v>
      </c>
      <c r="B13" s="87"/>
      <c r="C13" s="87"/>
      <c r="D13" s="104"/>
      <c r="E13" s="106"/>
      <c r="F13" s="106"/>
      <c r="G13" s="87"/>
      <c r="H13" s="87"/>
      <c r="I13" s="105"/>
    </row>
    <row r="14" spans="1:10" s="91" customFormat="1" ht="12" customHeight="1">
      <c r="A14" s="87"/>
      <c r="B14" s="87"/>
      <c r="C14" s="87"/>
      <c r="D14" s="104"/>
      <c r="E14" s="107"/>
      <c r="F14" s="107"/>
      <c r="G14" s="87"/>
      <c r="H14" s="87"/>
      <c r="I14" s="122"/>
    </row>
    <row r="15" spans="1:10" s="85" customFormat="1" ht="9.9499999999999993" customHeight="1">
      <c r="A15" s="82" t="s">
        <v>296</v>
      </c>
      <c r="B15" s="108"/>
      <c r="C15" s="102"/>
      <c r="D15" s="99"/>
      <c r="E15" s="100" t="s">
        <v>15</v>
      </c>
      <c r="F15" s="100"/>
      <c r="G15" s="101"/>
      <c r="H15" s="102"/>
      <c r="I15" s="147"/>
    </row>
    <row r="16" spans="1:10" s="91" customFormat="1" ht="12" customHeight="1">
      <c r="A16" s="87" t="s">
        <v>312</v>
      </c>
      <c r="B16" s="87"/>
      <c r="C16" s="87"/>
      <c r="D16" s="104"/>
      <c r="E16" s="109" t="s">
        <v>313</v>
      </c>
      <c r="F16" s="109"/>
      <c r="G16" s="87"/>
      <c r="H16" s="87"/>
      <c r="I16" s="105"/>
    </row>
    <row r="17" spans="1:11" s="91" customFormat="1" ht="12" customHeight="1">
      <c r="A17" s="87" t="s">
        <v>314</v>
      </c>
      <c r="B17" s="87"/>
      <c r="C17" s="87"/>
      <c r="D17" s="104"/>
      <c r="E17" s="110" t="s">
        <v>16</v>
      </c>
      <c r="F17" s="110"/>
      <c r="G17" s="87"/>
      <c r="H17" s="87"/>
      <c r="I17" s="105"/>
    </row>
    <row r="18" spans="1:11" s="91" customFormat="1" ht="12" customHeight="1">
      <c r="A18" s="87" t="s">
        <v>315</v>
      </c>
      <c r="B18" s="87"/>
      <c r="C18" s="87"/>
      <c r="D18" s="104"/>
      <c r="E18" s="110" t="s">
        <v>297</v>
      </c>
      <c r="F18" s="110"/>
      <c r="G18" s="87"/>
      <c r="H18" s="87"/>
      <c r="I18" s="105"/>
    </row>
    <row r="19" spans="1:11" s="91" customFormat="1" ht="12" customHeight="1">
      <c r="A19" s="87" t="s">
        <v>316</v>
      </c>
      <c r="B19" s="87"/>
      <c r="C19" s="87"/>
      <c r="D19" s="104"/>
      <c r="E19" s="110" t="s">
        <v>298</v>
      </c>
      <c r="F19" s="110"/>
      <c r="G19" s="87"/>
      <c r="H19" s="87"/>
      <c r="I19" s="105"/>
    </row>
    <row r="20" spans="1:11" s="91" customFormat="1" ht="12" customHeight="1">
      <c r="A20" s="87"/>
      <c r="B20" s="87"/>
      <c r="C20" s="87"/>
      <c r="D20" s="104"/>
      <c r="E20" s="87"/>
      <c r="F20" s="87"/>
      <c r="H20" s="87"/>
      <c r="I20" s="112"/>
    </row>
    <row r="21" spans="1:11" s="85" customFormat="1" ht="9.9499999999999993" customHeight="1">
      <c r="A21" s="82" t="s">
        <v>20</v>
      </c>
      <c r="B21" s="82"/>
      <c r="C21" s="113" t="s">
        <v>21</v>
      </c>
      <c r="D21" s="114"/>
      <c r="E21" s="87"/>
      <c r="F21" s="87"/>
      <c r="G21" s="87"/>
      <c r="H21" s="87"/>
      <c r="I21" s="105"/>
    </row>
    <row r="22" spans="1:11" s="91" customFormat="1" ht="12" customHeight="1">
      <c r="A22" s="89" t="s">
        <v>317</v>
      </c>
      <c r="B22" s="115"/>
      <c r="C22" s="116" t="s">
        <v>300</v>
      </c>
      <c r="D22" s="115"/>
      <c r="E22" s="87"/>
      <c r="F22" s="87"/>
      <c r="G22" s="87"/>
      <c r="H22" s="87"/>
      <c r="I22" s="105"/>
    </row>
    <row r="23" spans="1:11" s="85" customFormat="1" ht="9.9499999999999993" customHeight="1">
      <c r="A23" s="82" t="s">
        <v>318</v>
      </c>
      <c r="B23" s="82"/>
      <c r="C23" s="113" t="s">
        <v>319</v>
      </c>
      <c r="D23" s="114"/>
      <c r="E23" s="117" t="s">
        <v>320</v>
      </c>
      <c r="F23" s="117"/>
      <c r="G23" s="87"/>
      <c r="H23" s="118"/>
      <c r="I23" s="105"/>
    </row>
    <row r="24" spans="1:11" s="91" customFormat="1" ht="12" customHeight="1">
      <c r="A24" s="119" t="s">
        <v>329</v>
      </c>
      <c r="B24" s="115"/>
      <c r="C24" s="142">
        <v>43238</v>
      </c>
      <c r="D24" s="120"/>
      <c r="E24" s="121">
        <f>+'INV(TTL)_A'!E24</f>
        <v>0</v>
      </c>
      <c r="F24" s="121"/>
      <c r="G24" s="87"/>
      <c r="H24" s="118"/>
      <c r="I24" s="122"/>
    </row>
    <row r="25" spans="1:11" ht="9.9499999999999993" customHeight="1">
      <c r="A25" s="2" t="s">
        <v>23</v>
      </c>
      <c r="B25" s="2"/>
      <c r="C25" s="34" t="s">
        <v>24</v>
      </c>
      <c r="D25" s="2"/>
      <c r="E25" s="34" t="s">
        <v>28</v>
      </c>
      <c r="F25" s="2"/>
      <c r="G25" s="2"/>
      <c r="H25" s="34" t="s">
        <v>29</v>
      </c>
      <c r="I25" s="148" t="s">
        <v>30</v>
      </c>
    </row>
    <row r="26" spans="1:11" s="47" customFormat="1" ht="12" customHeight="1">
      <c r="A26" s="6"/>
      <c r="B26" s="6"/>
      <c r="C26" s="6"/>
      <c r="D26" s="6"/>
      <c r="E26" s="27"/>
      <c r="F26" s="27"/>
      <c r="G26" s="6"/>
      <c r="H26" s="6"/>
      <c r="I26" s="6"/>
    </row>
    <row r="27" spans="1:11" s="47" customFormat="1" ht="12" customHeight="1">
      <c r="A27" s="13"/>
      <c r="B27" s="6"/>
      <c r="C27" s="6"/>
      <c r="D27" s="6"/>
      <c r="E27" s="42"/>
      <c r="F27" s="42"/>
      <c r="G27" s="6"/>
      <c r="H27" s="6"/>
      <c r="I27" s="6"/>
      <c r="J27" s="6"/>
    </row>
    <row r="28" spans="1:11" ht="12" customHeight="1">
      <c r="A28" s="31"/>
      <c r="B28" s="87"/>
      <c r="C28" s="125" t="s">
        <v>343</v>
      </c>
      <c r="D28" s="154"/>
      <c r="E28" s="128"/>
      <c r="F28" s="129"/>
      <c r="H28" s="150"/>
      <c r="I28" s="150"/>
      <c r="J28" s="143"/>
      <c r="K28" s="87"/>
    </row>
    <row r="29" spans="1:11" ht="12" customHeight="1">
      <c r="A29" s="31"/>
      <c r="B29" s="124" t="s">
        <v>325</v>
      </c>
      <c r="C29" s="177" t="s">
        <v>348</v>
      </c>
      <c r="D29" s="127"/>
      <c r="E29" s="126"/>
      <c r="F29" s="125"/>
      <c r="H29" s="150"/>
      <c r="I29" s="150"/>
      <c r="J29" s="143"/>
      <c r="K29" s="87"/>
    </row>
    <row r="30" spans="1:11" ht="12" customHeight="1">
      <c r="A30" s="31"/>
      <c r="B30" s="87"/>
      <c r="C30" s="177" t="s">
        <v>349</v>
      </c>
      <c r="D30" s="127"/>
      <c r="E30" s="126"/>
      <c r="F30" s="125"/>
      <c r="H30" s="150"/>
      <c r="I30" s="150"/>
      <c r="J30" s="143"/>
      <c r="K30" s="87"/>
    </row>
    <row r="31" spans="1:11" ht="12" customHeight="1">
      <c r="A31" s="31"/>
      <c r="B31" s="87"/>
      <c r="C31" s="47" t="s">
        <v>339</v>
      </c>
      <c r="D31" s="127"/>
      <c r="E31" s="126"/>
      <c r="F31" s="125"/>
      <c r="H31" s="150"/>
      <c r="I31" s="150"/>
      <c r="J31" s="143"/>
      <c r="K31" s="87"/>
    </row>
    <row r="32" spans="1:11" ht="12" customHeight="1">
      <c r="A32" s="31"/>
      <c r="B32" s="87"/>
      <c r="C32" s="47" t="s">
        <v>340</v>
      </c>
      <c r="D32" s="127"/>
      <c r="E32" s="126"/>
      <c r="F32" s="125"/>
      <c r="H32" s="150"/>
      <c r="I32" s="150"/>
      <c r="J32" s="143"/>
      <c r="K32" s="87"/>
    </row>
    <row r="33" spans="1:11" ht="12" customHeight="1">
      <c r="A33" s="31"/>
      <c r="B33" s="87"/>
      <c r="C33" s="47" t="s">
        <v>341</v>
      </c>
      <c r="D33" s="127"/>
      <c r="E33" s="126"/>
      <c r="F33" s="125"/>
      <c r="H33" s="150"/>
      <c r="I33" s="150"/>
      <c r="J33" s="143"/>
      <c r="K33" s="87"/>
    </row>
    <row r="34" spans="1:11" ht="12" customHeight="1">
      <c r="A34" s="31"/>
      <c r="B34" s="87"/>
      <c r="C34" s="47" t="s">
        <v>358</v>
      </c>
      <c r="D34" s="127"/>
      <c r="E34" s="126"/>
      <c r="F34" s="125"/>
      <c r="H34" s="150"/>
      <c r="I34" s="150"/>
      <c r="J34" s="143"/>
      <c r="K34" s="87"/>
    </row>
    <row r="35" spans="1:11" ht="12" customHeight="1">
      <c r="A35" s="31"/>
      <c r="C35" s="171"/>
      <c r="D35" s="157" t="s">
        <v>332</v>
      </c>
      <c r="E35" s="158" t="s">
        <v>333</v>
      </c>
      <c r="F35" s="158" t="s">
        <v>334</v>
      </c>
      <c r="G35" s="158" t="s">
        <v>338</v>
      </c>
      <c r="H35" s="158" t="s">
        <v>335</v>
      </c>
      <c r="I35" s="159" t="s">
        <v>336</v>
      </c>
      <c r="J35" s="143"/>
      <c r="K35" s="87"/>
    </row>
    <row r="36" spans="1:11" ht="12" customHeight="1">
      <c r="A36" s="31"/>
      <c r="C36" s="171"/>
      <c r="D36" s="160" t="s">
        <v>362</v>
      </c>
      <c r="E36" s="161">
        <v>48</v>
      </c>
      <c r="F36" s="162">
        <v>3682</v>
      </c>
      <c r="G36" s="162">
        <f>ROUND(+H36/0.4536,2)</f>
        <v>1980.38</v>
      </c>
      <c r="H36" s="163">
        <v>898.3</v>
      </c>
      <c r="I36" s="164">
        <f>E36*0.1+H36</f>
        <v>903.09999999999991</v>
      </c>
      <c r="J36" s="143"/>
      <c r="K36" s="87"/>
    </row>
    <row r="37" spans="1:11" ht="12" customHeight="1">
      <c r="A37" s="31"/>
      <c r="C37" s="171"/>
      <c r="D37" s="160" t="s">
        <v>363</v>
      </c>
      <c r="E37" s="161">
        <v>48</v>
      </c>
      <c r="F37" s="162">
        <v>3728</v>
      </c>
      <c r="G37" s="162">
        <f t="shared" ref="G37:G42" si="0">ROUND(+H37/0.4536,2)</f>
        <v>1970.9</v>
      </c>
      <c r="H37" s="163">
        <v>894</v>
      </c>
      <c r="I37" s="164">
        <f t="shared" ref="I37:I42" si="1">E37*0.1+H37</f>
        <v>898.8</v>
      </c>
      <c r="J37" s="143"/>
      <c r="K37" s="87"/>
    </row>
    <row r="38" spans="1:11" ht="12" customHeight="1">
      <c r="A38" s="31"/>
      <c r="C38" s="171"/>
      <c r="D38" s="160" t="s">
        <v>364</v>
      </c>
      <c r="E38" s="161">
        <v>48</v>
      </c>
      <c r="F38" s="162">
        <v>3715</v>
      </c>
      <c r="G38" s="162">
        <f t="shared" si="0"/>
        <v>1998.68</v>
      </c>
      <c r="H38" s="163">
        <v>906.6</v>
      </c>
      <c r="I38" s="164">
        <f t="shared" si="1"/>
        <v>911.4</v>
      </c>
      <c r="J38" s="143"/>
      <c r="K38" s="87"/>
    </row>
    <row r="39" spans="1:11" ht="12" customHeight="1">
      <c r="A39" s="31"/>
      <c r="C39" s="171"/>
      <c r="D39" s="160" t="s">
        <v>365</v>
      </c>
      <c r="E39" s="161">
        <v>43</v>
      </c>
      <c r="F39" s="162">
        <v>3374</v>
      </c>
      <c r="G39" s="162">
        <f t="shared" si="0"/>
        <v>1786.16</v>
      </c>
      <c r="H39" s="163">
        <v>810.2</v>
      </c>
      <c r="I39" s="164">
        <f t="shared" si="1"/>
        <v>814.5</v>
      </c>
      <c r="J39" s="143"/>
      <c r="K39" s="87"/>
    </row>
    <row r="40" spans="1:11" ht="12" customHeight="1">
      <c r="A40" s="31"/>
      <c r="C40" s="171"/>
      <c r="D40" s="160" t="s">
        <v>366</v>
      </c>
      <c r="E40" s="161">
        <v>47</v>
      </c>
      <c r="F40" s="162">
        <v>3327</v>
      </c>
      <c r="G40" s="162">
        <f t="shared" si="0"/>
        <v>1758.6</v>
      </c>
      <c r="H40" s="163">
        <v>797.7</v>
      </c>
      <c r="I40" s="164">
        <f t="shared" si="1"/>
        <v>802.40000000000009</v>
      </c>
      <c r="J40" s="143"/>
      <c r="K40" s="87"/>
    </row>
    <row r="41" spans="1:11" ht="12" customHeight="1">
      <c r="A41" s="31"/>
      <c r="C41" s="171"/>
      <c r="D41" s="160" t="s">
        <v>367</v>
      </c>
      <c r="E41" s="161">
        <v>48</v>
      </c>
      <c r="F41" s="162">
        <v>3593</v>
      </c>
      <c r="G41" s="162">
        <f t="shared" si="0"/>
        <v>1861.77</v>
      </c>
      <c r="H41" s="163">
        <v>844.5</v>
      </c>
      <c r="I41" s="164">
        <f t="shared" si="1"/>
        <v>849.3</v>
      </c>
      <c r="J41" s="143"/>
      <c r="K41" s="87"/>
    </row>
    <row r="42" spans="1:11" ht="12" customHeight="1">
      <c r="A42" s="31"/>
      <c r="C42" s="171"/>
      <c r="D42" s="160" t="s">
        <v>369</v>
      </c>
      <c r="E42" s="161">
        <v>23</v>
      </c>
      <c r="F42" s="162">
        <v>1806</v>
      </c>
      <c r="G42" s="162">
        <f t="shared" si="0"/>
        <v>972</v>
      </c>
      <c r="H42" s="163">
        <v>440.9</v>
      </c>
      <c r="I42" s="221">
        <f t="shared" si="1"/>
        <v>443.2</v>
      </c>
      <c r="J42" s="143"/>
      <c r="K42" s="87"/>
    </row>
    <row r="43" spans="1:11">
      <c r="C43" s="87"/>
      <c r="D43" s="165" t="s">
        <v>337</v>
      </c>
      <c r="E43" s="166">
        <f>SUM(E36:E42)</f>
        <v>305</v>
      </c>
      <c r="F43" s="167">
        <f>SUM(F36:F42)</f>
        <v>23225</v>
      </c>
      <c r="G43" s="167">
        <f>SUM(G36:G42)</f>
        <v>12328.49</v>
      </c>
      <c r="H43" s="168">
        <f>SUM(H36:H42)</f>
        <v>5592.2</v>
      </c>
      <c r="I43" s="167">
        <f>SUM(I36:I42)</f>
        <v>5622.7</v>
      </c>
    </row>
    <row r="44" spans="1:11" ht="14.25" thickBot="1">
      <c r="C44" s="87"/>
      <c r="D44" s="203"/>
      <c r="E44" s="169"/>
      <c r="F44" s="169"/>
      <c r="G44" s="204"/>
      <c r="H44" s="170"/>
      <c r="I44" s="204"/>
    </row>
    <row r="45" spans="1:11" ht="15" thickTop="1" thickBot="1">
      <c r="C45" s="132" t="s">
        <v>331</v>
      </c>
      <c r="D45" s="133"/>
      <c r="E45" s="155">
        <f>SUM(E34:E43)/2</f>
        <v>305</v>
      </c>
      <c r="F45" s="134">
        <f>SUM(F34:F43)/2</f>
        <v>23225</v>
      </c>
      <c r="G45" s="174">
        <f>ROUND(SUM(G34:G43)/2,2)</f>
        <v>12328.49</v>
      </c>
      <c r="H45" s="173">
        <f>SUM(H33:H44)/2</f>
        <v>5592.2</v>
      </c>
      <c r="I45" s="173">
        <f>SUM(I34:I43)/2</f>
        <v>5622.7</v>
      </c>
    </row>
    <row r="46" spans="1:11" ht="14.25" thickTop="1">
      <c r="C46" s="135"/>
      <c r="D46" s="135"/>
      <c r="E46" s="135"/>
      <c r="F46" s="135"/>
      <c r="G46" s="137"/>
      <c r="H46" s="143"/>
      <c r="I46" s="143"/>
    </row>
    <row r="47" spans="1:11">
      <c r="C47" s="135"/>
      <c r="D47" s="135"/>
      <c r="E47" s="135"/>
      <c r="F47" s="135"/>
      <c r="G47" s="137"/>
      <c r="H47" s="143"/>
      <c r="I47" s="143"/>
    </row>
    <row r="48" spans="1:11">
      <c r="C48" s="44"/>
      <c r="D48" s="44"/>
      <c r="E48" s="44"/>
      <c r="F48" s="44"/>
      <c r="G48" s="45"/>
      <c r="H48" s="48"/>
      <c r="I48" s="48"/>
    </row>
    <row r="49" spans="1:9">
      <c r="C49" s="44"/>
      <c r="D49" s="44"/>
      <c r="E49" s="44"/>
      <c r="F49" s="44"/>
      <c r="G49" s="45"/>
      <c r="H49" s="44"/>
      <c r="I49" s="44"/>
    </row>
    <row r="50" spans="1:9">
      <c r="B50" s="6"/>
      <c r="C50" s="51"/>
      <c r="D50" s="52"/>
      <c r="E50" s="52"/>
      <c r="F50" s="52"/>
      <c r="G50" s="46" t="s">
        <v>27</v>
      </c>
      <c r="H50" s="8"/>
      <c r="I50" s="8"/>
    </row>
    <row r="51" spans="1:9">
      <c r="A51" s="1"/>
      <c r="B51" s="8"/>
      <c r="C51" s="53"/>
      <c r="D51" s="53"/>
      <c r="E51" s="53"/>
      <c r="F51" s="53"/>
      <c r="G51" s="53"/>
      <c r="H51" s="8"/>
      <c r="I51" s="8"/>
    </row>
    <row r="52" spans="1:9">
      <c r="H52" s="54"/>
    </row>
  </sheetData>
  <mergeCells count="1">
    <mergeCell ref="E1:I3"/>
  </mergeCells>
  <phoneticPr fontId="2" type="noConversion"/>
  <hyperlinks>
    <hyperlink ref="A8" r:id="rId1" display="TEL:(82)2-5460066   FAX:(82)2-5404106" xr:uid="{00000000-0004-0000-0600-000000000000}"/>
  </hyperlinks>
  <printOptions horizontalCentered="1"/>
  <pageMargins left="0.15748031496062992" right="0.15748031496062992" top="0.19685039370078741" bottom="0.31496062992125984" header="0.15748031496062992" footer="0.15748031496062992"/>
  <pageSetup paperSize="9" fitToHeight="2" orientation="portrait" r:id="rId2"/>
  <headerFooter alignWithMargins="0">
    <oddFooter>&amp;C&amp;"+,굵게"&amp;8&amp;K00-034SEWANG TEXTILE &amp;R&amp;"돋움,굵게"&amp;8&amp;K00-034&amp;P OF &amp;N</oddFooter>
  </headerFooter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27"/>
  <sheetViews>
    <sheetView showGridLines="0" view="pageBreakPreview" topLeftCell="A13" zoomScaleSheetLayoutView="100" workbookViewId="0">
      <selection activeCell="E48" sqref="E48"/>
    </sheetView>
  </sheetViews>
  <sheetFormatPr defaultColWidth="8.88671875" defaultRowHeight="13.5"/>
  <cols>
    <col min="1" max="1" width="9.109375" customWidth="1"/>
    <col min="2" max="2" width="8.77734375" customWidth="1"/>
    <col min="3" max="3" width="11.77734375" customWidth="1"/>
    <col min="4" max="4" width="7" customWidth="1"/>
    <col min="5" max="5" width="10.109375" customWidth="1"/>
    <col min="6" max="6" width="9.21875" customWidth="1"/>
    <col min="7" max="7" width="9" customWidth="1"/>
    <col min="8" max="8" width="6.44140625" customWidth="1"/>
    <col min="9" max="9" width="4" customWidth="1"/>
    <col min="10" max="10" width="11.44140625" customWidth="1"/>
  </cols>
  <sheetData>
    <row r="1" spans="1:10" ht="17.100000000000001" customHeight="1">
      <c r="E1" s="696" t="s">
        <v>0</v>
      </c>
      <c r="F1" s="696"/>
      <c r="G1" s="696"/>
      <c r="H1" s="696"/>
      <c r="I1" s="696"/>
      <c r="J1" s="696"/>
    </row>
    <row r="2" spans="1:10" ht="17.100000000000001" customHeight="1">
      <c r="E2" s="696"/>
      <c r="F2" s="696"/>
      <c r="G2" s="696"/>
      <c r="H2" s="696"/>
      <c r="I2" s="696"/>
      <c r="J2" s="696"/>
    </row>
    <row r="3" spans="1:10" ht="17.100000000000001" customHeight="1">
      <c r="A3" s="1"/>
      <c r="B3" s="1"/>
      <c r="C3" s="1"/>
      <c r="D3" s="1"/>
      <c r="E3" s="698"/>
      <c r="F3" s="698"/>
      <c r="G3" s="698"/>
      <c r="H3" s="698"/>
      <c r="I3" s="698"/>
      <c r="J3" s="698"/>
    </row>
    <row r="4" spans="1:10" s="85" customFormat="1" ht="9.9499999999999993" customHeight="1">
      <c r="A4" s="82" t="s">
        <v>301</v>
      </c>
      <c r="B4" s="82"/>
      <c r="C4" s="82"/>
      <c r="D4" s="82"/>
      <c r="E4" s="83" t="s">
        <v>2</v>
      </c>
      <c r="F4" s="100"/>
      <c r="G4" s="82"/>
      <c r="H4" s="82"/>
      <c r="I4" s="82"/>
      <c r="J4" s="84"/>
    </row>
    <row r="5" spans="1:10" s="91" customFormat="1" ht="12" customHeight="1">
      <c r="A5" s="86" t="s">
        <v>3</v>
      </c>
      <c r="B5" s="87"/>
      <c r="C5" s="87"/>
      <c r="D5" s="87"/>
      <c r="E5" s="88" t="s">
        <v>359</v>
      </c>
      <c r="F5" s="153"/>
      <c r="G5" s="89"/>
      <c r="H5" s="89"/>
      <c r="I5" s="90"/>
      <c r="J5" s="90">
        <v>43236</v>
      </c>
    </row>
    <row r="6" spans="1:10" s="85" customFormat="1" ht="12" customHeight="1">
      <c r="A6" s="86" t="s">
        <v>4</v>
      </c>
      <c r="B6" s="87"/>
      <c r="C6" s="87"/>
      <c r="D6" s="87"/>
      <c r="E6" s="83" t="s">
        <v>5</v>
      </c>
      <c r="F6" s="100"/>
      <c r="G6" s="82"/>
      <c r="H6" s="82"/>
      <c r="I6" s="92"/>
      <c r="J6" s="92"/>
    </row>
    <row r="7" spans="1:10" s="91" customFormat="1" ht="12" customHeight="1">
      <c r="A7" s="86" t="s">
        <v>6</v>
      </c>
      <c r="B7" s="87"/>
      <c r="C7" s="87"/>
      <c r="D7" s="87" t="s">
        <v>7</v>
      </c>
      <c r="E7" s="213" t="s">
        <v>342</v>
      </c>
      <c r="F7" s="214"/>
      <c r="G7" s="130"/>
      <c r="H7" s="130"/>
      <c r="I7" s="215"/>
      <c r="J7" s="216">
        <v>43215</v>
      </c>
    </row>
    <row r="8" spans="1:10" s="91" customFormat="1" ht="12" customHeight="1">
      <c r="A8" s="86" t="s">
        <v>8</v>
      </c>
      <c r="B8" s="87"/>
      <c r="C8" s="87"/>
      <c r="D8" s="87"/>
      <c r="E8" s="156" t="s">
        <v>346</v>
      </c>
      <c r="F8" s="117"/>
      <c r="G8" s="87"/>
      <c r="H8" s="87"/>
      <c r="I8" s="95"/>
      <c r="J8" s="96"/>
    </row>
    <row r="9" spans="1:10" s="91" customFormat="1" ht="12" customHeight="1">
      <c r="A9" s="87"/>
      <c r="B9" s="87"/>
      <c r="C9" s="87"/>
      <c r="D9" s="87"/>
      <c r="E9" s="97"/>
      <c r="F9" s="106"/>
      <c r="G9" s="87"/>
      <c r="H9" s="87"/>
      <c r="I9" s="87"/>
      <c r="J9" s="98"/>
    </row>
    <row r="10" spans="1:10" s="85" customFormat="1" ht="9.9499999999999993" customHeight="1">
      <c r="A10" s="82" t="s">
        <v>309</v>
      </c>
      <c r="B10" s="82"/>
      <c r="C10" s="82"/>
      <c r="D10" s="99"/>
      <c r="E10" s="100" t="s">
        <v>10</v>
      </c>
      <c r="F10" s="100"/>
      <c r="G10" s="82"/>
      <c r="H10" s="101"/>
      <c r="I10" s="102"/>
      <c r="J10" s="103"/>
    </row>
    <row r="11" spans="1:10" s="91" customFormat="1" ht="12" customHeight="1">
      <c r="A11" s="87" t="s">
        <v>11</v>
      </c>
      <c r="B11" s="87"/>
      <c r="C11" s="87"/>
      <c r="D11" s="104"/>
      <c r="E11" s="86" t="s">
        <v>49</v>
      </c>
      <c r="F11" s="86"/>
      <c r="G11" s="87"/>
      <c r="H11" s="87"/>
      <c r="I11" s="87"/>
      <c r="J11" s="105"/>
    </row>
    <row r="12" spans="1:10" s="91" customFormat="1" ht="12" customHeight="1">
      <c r="A12" s="87" t="s">
        <v>12</v>
      </c>
      <c r="B12" s="87"/>
      <c r="C12" s="87"/>
      <c r="D12" s="104"/>
      <c r="E12" s="106" t="s">
        <v>50</v>
      </c>
      <c r="F12" s="106"/>
      <c r="G12" s="87"/>
      <c r="H12" s="87"/>
      <c r="I12" s="87"/>
      <c r="J12" s="105"/>
    </row>
    <row r="13" spans="1:10" s="91" customFormat="1" ht="12" customHeight="1">
      <c r="A13" s="87" t="s">
        <v>13</v>
      </c>
      <c r="B13" s="87"/>
      <c r="C13" s="87"/>
      <c r="D13" s="104"/>
      <c r="E13" s="106"/>
      <c r="F13" s="106"/>
      <c r="G13" s="87"/>
      <c r="H13" s="87"/>
      <c r="I13" s="87"/>
      <c r="J13" s="105"/>
    </row>
    <row r="14" spans="1:10" s="91" customFormat="1" ht="12" customHeight="1">
      <c r="A14" s="87"/>
      <c r="B14" s="87"/>
      <c r="C14" s="87"/>
      <c r="D14" s="104"/>
      <c r="E14" s="107"/>
      <c r="F14" s="107"/>
      <c r="G14" s="87"/>
      <c r="H14" s="87"/>
      <c r="I14" s="87"/>
      <c r="J14" s="105"/>
    </row>
    <row r="15" spans="1:10" s="85" customFormat="1" ht="9.9499999999999993" customHeight="1">
      <c r="A15" s="82" t="s">
        <v>296</v>
      </c>
      <c r="B15" s="108"/>
      <c r="C15" s="102"/>
      <c r="D15" s="99"/>
      <c r="E15" s="100" t="s">
        <v>15</v>
      </c>
      <c r="F15" s="100"/>
      <c r="G15" s="101"/>
      <c r="H15" s="102"/>
      <c r="I15" s="102"/>
      <c r="J15" s="103"/>
    </row>
    <row r="16" spans="1:10" s="91" customFormat="1" ht="12" customHeight="1">
      <c r="A16" s="87" t="s">
        <v>312</v>
      </c>
      <c r="B16" s="87"/>
      <c r="C16" s="87"/>
      <c r="D16" s="104"/>
      <c r="E16" s="109" t="s">
        <v>17</v>
      </c>
      <c r="F16" s="109"/>
      <c r="G16" s="87"/>
      <c r="H16" s="87"/>
      <c r="I16" s="87"/>
      <c r="J16" s="105"/>
    </row>
    <row r="17" spans="1:10" s="91" customFormat="1" ht="12" customHeight="1">
      <c r="A17" s="87" t="s">
        <v>314</v>
      </c>
      <c r="B17" s="87"/>
      <c r="C17" s="87"/>
      <c r="D17" s="104"/>
      <c r="E17" s="110" t="s">
        <v>16</v>
      </c>
      <c r="F17" s="110"/>
      <c r="G17" s="87"/>
      <c r="H17" s="87"/>
      <c r="I17" s="87"/>
      <c r="J17" s="105"/>
    </row>
    <row r="18" spans="1:10" s="91" customFormat="1" ht="12" customHeight="1">
      <c r="A18" s="87" t="s">
        <v>315</v>
      </c>
      <c r="B18" s="87"/>
      <c r="C18" s="87"/>
      <c r="D18" s="104"/>
      <c r="E18" s="110" t="s">
        <v>18</v>
      </c>
      <c r="F18" s="110"/>
      <c r="G18" s="87"/>
      <c r="H18" s="87"/>
      <c r="I18" s="87"/>
      <c r="J18" s="105"/>
    </row>
    <row r="19" spans="1:10" s="91" customFormat="1" ht="12" customHeight="1">
      <c r="A19" s="87" t="s">
        <v>316</v>
      </c>
      <c r="B19" s="87"/>
      <c r="C19" s="87"/>
      <c r="D19" s="104"/>
      <c r="E19" s="110" t="s">
        <v>19</v>
      </c>
      <c r="F19" s="110"/>
      <c r="G19" s="87"/>
      <c r="H19" s="87"/>
      <c r="I19" s="87"/>
      <c r="J19" s="105"/>
    </row>
    <row r="20" spans="1:10" s="91" customFormat="1" ht="12" customHeight="1">
      <c r="A20" s="87"/>
      <c r="B20" s="87"/>
      <c r="C20" s="87"/>
      <c r="D20" s="104"/>
      <c r="E20" s="87"/>
      <c r="F20" s="87"/>
      <c r="H20" s="87"/>
      <c r="I20" s="111"/>
      <c r="J20" s="112"/>
    </row>
    <row r="21" spans="1:10" s="85" customFormat="1" ht="9.9499999999999993" customHeight="1">
      <c r="A21" s="82" t="s">
        <v>20</v>
      </c>
      <c r="B21" s="82"/>
      <c r="C21" s="113" t="s">
        <v>21</v>
      </c>
      <c r="D21" s="114"/>
      <c r="E21" s="87"/>
      <c r="F21" s="87"/>
      <c r="G21" s="87"/>
      <c r="H21" s="87"/>
      <c r="I21" s="87"/>
      <c r="J21" s="105"/>
    </row>
    <row r="22" spans="1:10" s="91" customFormat="1" ht="12" customHeight="1">
      <c r="A22" s="89" t="s">
        <v>317</v>
      </c>
      <c r="B22" s="115"/>
      <c r="C22" s="116" t="s">
        <v>300</v>
      </c>
      <c r="D22" s="115"/>
      <c r="E22" s="87"/>
      <c r="F22" s="87"/>
      <c r="G22" s="87"/>
      <c r="H22" s="87"/>
      <c r="I22" s="87"/>
      <c r="J22" s="105"/>
    </row>
    <row r="23" spans="1:10" s="85" customFormat="1" ht="9.9499999999999993" customHeight="1">
      <c r="A23" s="82" t="s">
        <v>44</v>
      </c>
      <c r="B23" s="82"/>
      <c r="C23" s="113" t="s">
        <v>45</v>
      </c>
      <c r="D23" s="114"/>
      <c r="E23" s="117" t="s">
        <v>320</v>
      </c>
      <c r="F23" s="117"/>
      <c r="G23" s="87"/>
      <c r="H23" s="118"/>
      <c r="I23" s="87"/>
      <c r="J23" s="105"/>
    </row>
    <row r="24" spans="1:10" s="91" customFormat="1" ht="12" customHeight="1">
      <c r="A24" s="119" t="s">
        <v>329</v>
      </c>
      <c r="B24" s="115"/>
      <c r="C24" s="142">
        <v>43236</v>
      </c>
      <c r="D24" s="120"/>
      <c r="E24" s="121"/>
      <c r="F24" s="121"/>
      <c r="G24" s="87"/>
      <c r="H24" s="118"/>
      <c r="I24" s="89"/>
      <c r="J24" s="122"/>
    </row>
    <row r="25" spans="1:10" s="85" customFormat="1" ht="9.9499999999999993" customHeight="1">
      <c r="A25" s="82" t="s">
        <v>23</v>
      </c>
      <c r="B25" s="82"/>
      <c r="C25" s="113" t="s">
        <v>24</v>
      </c>
      <c r="D25" s="82"/>
      <c r="E25" s="83" t="s">
        <v>322</v>
      </c>
      <c r="F25" s="100"/>
      <c r="G25" s="82"/>
      <c r="H25" s="113" t="s">
        <v>25</v>
      </c>
      <c r="I25" s="82"/>
      <c r="J25" s="113" t="s">
        <v>323</v>
      </c>
    </row>
    <row r="26" spans="1:10" s="91" customFormat="1" ht="12" customHeight="1">
      <c r="A26" s="87"/>
      <c r="B26" s="87"/>
      <c r="C26" s="87"/>
      <c r="D26" s="87"/>
      <c r="E26" s="121"/>
      <c r="F26" s="121"/>
      <c r="G26" s="87"/>
      <c r="H26" s="87"/>
      <c r="I26" s="87"/>
      <c r="J26" s="87"/>
    </row>
    <row r="27" spans="1:10" s="10" customFormat="1" ht="12" customHeight="1">
      <c r="A27" s="13"/>
      <c r="B27" s="6"/>
      <c r="C27" s="6"/>
      <c r="D27" s="6"/>
      <c r="E27" s="42"/>
      <c r="F27" s="42"/>
      <c r="G27" s="6"/>
      <c r="H27" s="6"/>
      <c r="I27" s="175" t="s">
        <v>324</v>
      </c>
      <c r="J27" s="6"/>
    </row>
    <row r="28" spans="1:10" s="10" customFormat="1" ht="12" customHeight="1">
      <c r="A28" s="31"/>
      <c r="B28" s="6"/>
      <c r="C28" s="13" t="s">
        <v>26</v>
      </c>
      <c r="D28" s="13"/>
      <c r="E28" s="13"/>
      <c r="F28" s="13"/>
      <c r="G28" s="6"/>
      <c r="H28" s="13"/>
      <c r="I28" s="13"/>
      <c r="J28" s="13"/>
    </row>
    <row r="29" spans="1:10" s="181" customFormat="1" ht="12" customHeight="1">
      <c r="A29" s="31"/>
      <c r="B29" s="176" t="s">
        <v>325</v>
      </c>
      <c r="C29" s="177" t="s">
        <v>348</v>
      </c>
      <c r="D29" s="47"/>
      <c r="F29" s="178"/>
      <c r="G29" s="47"/>
      <c r="H29" s="179"/>
      <c r="I29" s="47"/>
      <c r="J29" s="180"/>
    </row>
    <row r="30" spans="1:10" s="181" customFormat="1" ht="12" customHeight="1">
      <c r="A30" s="31"/>
      <c r="B30" s="6"/>
      <c r="C30" s="177" t="s">
        <v>349</v>
      </c>
      <c r="D30" s="47"/>
      <c r="F30" s="178"/>
      <c r="G30" s="47"/>
      <c r="H30" s="179"/>
      <c r="I30" s="47"/>
      <c r="J30" s="180"/>
    </row>
    <row r="31" spans="1:10" s="181" customFormat="1" ht="12" customHeight="1">
      <c r="A31" s="31"/>
      <c r="B31" s="6"/>
      <c r="C31" s="47" t="s">
        <v>339</v>
      </c>
      <c r="D31" s="47"/>
      <c r="F31" s="178"/>
      <c r="G31" s="47"/>
      <c r="H31" s="179"/>
      <c r="I31" s="47"/>
      <c r="J31" s="180"/>
    </row>
    <row r="32" spans="1:10" s="181" customFormat="1" ht="12" customHeight="1">
      <c r="A32" s="31"/>
      <c r="B32" s="6"/>
      <c r="C32" s="47" t="s">
        <v>340</v>
      </c>
      <c r="D32" s="47"/>
      <c r="F32" s="178"/>
      <c r="G32" s="47"/>
      <c r="H32" s="179"/>
      <c r="I32" s="47"/>
      <c r="J32" s="180"/>
    </row>
    <row r="33" spans="1:10" s="181" customFormat="1" ht="12" customHeight="1">
      <c r="A33" s="31"/>
      <c r="B33" s="6"/>
      <c r="C33" s="47" t="s">
        <v>341</v>
      </c>
      <c r="D33" s="47"/>
      <c r="F33" s="178"/>
      <c r="G33" s="47"/>
      <c r="H33" s="179"/>
      <c r="I33" s="47"/>
      <c r="J33" s="180"/>
    </row>
    <row r="34" spans="1:10" s="181" customFormat="1" ht="12" customHeight="1">
      <c r="A34" s="31"/>
      <c r="B34" s="6"/>
      <c r="C34" s="47" t="s">
        <v>350</v>
      </c>
      <c r="D34" s="47"/>
      <c r="F34" s="178"/>
      <c r="G34" s="47"/>
      <c r="H34" s="179"/>
      <c r="I34" s="47"/>
      <c r="J34" s="180"/>
    </row>
    <row r="35" spans="1:10" s="181" customFormat="1" ht="12" customHeight="1">
      <c r="A35" s="31"/>
      <c r="B35" s="6"/>
      <c r="D35" s="47"/>
      <c r="E35" s="217">
        <v>1</v>
      </c>
      <c r="F35" s="211">
        <v>77</v>
      </c>
      <c r="G35" s="218">
        <v>42.55</v>
      </c>
      <c r="H35" s="219">
        <v>1.51</v>
      </c>
      <c r="I35" s="210" t="s">
        <v>326</v>
      </c>
      <c r="J35" s="220" t="s">
        <v>357</v>
      </c>
    </row>
    <row r="36" spans="1:10" s="10" customFormat="1" ht="12" customHeight="1">
      <c r="A36" s="31"/>
      <c r="B36" s="6"/>
      <c r="C36" s="181"/>
      <c r="D36" s="47"/>
      <c r="E36" s="208"/>
      <c r="F36" s="191"/>
      <c r="G36" s="209"/>
      <c r="H36" s="206"/>
      <c r="I36" s="205"/>
      <c r="J36" s="207"/>
    </row>
    <row r="37" spans="1:10" s="10" customFormat="1" ht="12" customHeight="1">
      <c r="A37" s="31"/>
      <c r="B37" s="6"/>
      <c r="C37" s="181"/>
      <c r="D37" s="47"/>
      <c r="E37" s="208"/>
      <c r="F37" s="191"/>
      <c r="G37" s="209"/>
      <c r="H37" s="206"/>
      <c r="I37" s="205"/>
      <c r="J37" s="207"/>
    </row>
    <row r="38" spans="1:10" s="10" customFormat="1" ht="12" customHeight="1">
      <c r="A38" s="31"/>
      <c r="B38" s="58" t="s">
        <v>360</v>
      </c>
      <c r="C38" s="177" t="s">
        <v>352</v>
      </c>
      <c r="D38" s="47"/>
      <c r="E38" s="208"/>
      <c r="F38" s="191"/>
      <c r="G38" s="209"/>
      <c r="H38" s="206"/>
      <c r="I38" s="205"/>
      <c r="J38" s="207"/>
    </row>
    <row r="39" spans="1:10" s="10" customFormat="1" ht="12" customHeight="1">
      <c r="A39" s="31"/>
      <c r="B39" s="6"/>
      <c r="C39" s="177" t="s">
        <v>353</v>
      </c>
      <c r="D39" s="47"/>
      <c r="E39" s="208"/>
      <c r="F39" s="191"/>
      <c r="G39" s="209"/>
      <c r="H39" s="206"/>
      <c r="I39" s="205"/>
      <c r="J39" s="207"/>
    </row>
    <row r="40" spans="1:10" s="10" customFormat="1" ht="12" customHeight="1">
      <c r="A40" s="31"/>
      <c r="B40" s="6"/>
      <c r="C40" s="47" t="s">
        <v>339</v>
      </c>
      <c r="D40" s="47"/>
      <c r="E40" s="208"/>
      <c r="F40" s="191"/>
      <c r="G40" s="209"/>
      <c r="H40" s="206"/>
      <c r="I40" s="205"/>
      <c r="J40" s="207"/>
    </row>
    <row r="41" spans="1:10" s="10" customFormat="1" ht="12" customHeight="1">
      <c r="A41" s="31"/>
      <c r="B41" s="6"/>
      <c r="C41" s="47" t="s">
        <v>340</v>
      </c>
      <c r="D41" s="47"/>
      <c r="E41" s="208"/>
      <c r="F41" s="191"/>
      <c r="G41" s="209"/>
      <c r="H41" s="206"/>
      <c r="I41" s="205"/>
      <c r="J41" s="207"/>
    </row>
    <row r="42" spans="1:10" s="10" customFormat="1" ht="12" customHeight="1">
      <c r="A42" s="31"/>
      <c r="B42" s="6"/>
      <c r="C42" s="47" t="s">
        <v>341</v>
      </c>
      <c r="D42" s="47"/>
      <c r="E42" s="208"/>
      <c r="F42" s="191"/>
      <c r="G42" s="209"/>
      <c r="H42" s="206"/>
      <c r="I42" s="205"/>
      <c r="J42" s="207"/>
    </row>
    <row r="43" spans="1:10" s="10" customFormat="1" ht="12" customHeight="1">
      <c r="A43" s="31"/>
      <c r="B43" s="6"/>
      <c r="C43" s="47" t="s">
        <v>354</v>
      </c>
      <c r="D43" s="47"/>
      <c r="E43" s="208"/>
      <c r="F43" s="191"/>
      <c r="G43" s="209"/>
      <c r="H43" s="206"/>
      <c r="I43" s="205"/>
      <c r="J43" s="207"/>
    </row>
    <row r="44" spans="1:10" s="10" customFormat="1" ht="12" customHeight="1">
      <c r="A44" s="31"/>
      <c r="B44" s="6"/>
      <c r="C44" s="181"/>
      <c r="D44" s="47"/>
      <c r="E44" s="217">
        <v>1</v>
      </c>
      <c r="F44" s="211">
        <v>76</v>
      </c>
      <c r="G44" s="218">
        <v>41.01</v>
      </c>
      <c r="H44" s="219">
        <v>1.51</v>
      </c>
      <c r="I44" s="210" t="s">
        <v>326</v>
      </c>
      <c r="J44" s="220" t="s">
        <v>357</v>
      </c>
    </row>
    <row r="45" spans="1:10" s="10" customFormat="1" ht="12" customHeight="1">
      <c r="A45" s="31"/>
      <c r="B45" s="6"/>
      <c r="C45" s="47"/>
      <c r="D45" s="13"/>
      <c r="E45" s="208"/>
      <c r="F45" s="191"/>
      <c r="G45" s="209"/>
      <c r="H45" s="206"/>
      <c r="I45" s="205"/>
      <c r="J45" s="207"/>
    </row>
    <row r="46" spans="1:10" s="181" customFormat="1" ht="12" customHeight="1" thickBot="1">
      <c r="A46" s="6"/>
      <c r="B46" s="6"/>
      <c r="C46" s="6"/>
      <c r="D46" s="6"/>
      <c r="F46" s="193"/>
      <c r="G46" s="194"/>
      <c r="H46" s="6"/>
      <c r="I46" s="6"/>
      <c r="J46" s="6"/>
    </row>
    <row r="47" spans="1:10" s="181" customFormat="1" ht="12" customHeight="1" thickTop="1" thickBot="1">
      <c r="B47" s="6"/>
      <c r="C47" s="195" t="s">
        <v>328</v>
      </c>
      <c r="D47" s="196"/>
      <c r="E47" s="197">
        <f>SUM(E29:E45)</f>
        <v>2</v>
      </c>
      <c r="F47" s="198">
        <f>SUM(F29:F45)</f>
        <v>153</v>
      </c>
      <c r="G47" s="199">
        <f>SUM(G34:G46)</f>
        <v>83.56</v>
      </c>
      <c r="H47" s="200"/>
      <c r="I47" s="200"/>
      <c r="J47" s="201">
        <f>SUM(J29:J45)</f>
        <v>0</v>
      </c>
    </row>
    <row r="48" spans="1:10" s="127" customFormat="1" ht="12" customHeight="1" thickTop="1">
      <c r="B48" s="123"/>
      <c r="C48" s="135"/>
      <c r="D48" s="135"/>
      <c r="E48" s="136"/>
      <c r="F48" s="136"/>
      <c r="G48" s="137"/>
      <c r="H48" s="93"/>
      <c r="I48" s="93"/>
      <c r="J48" s="93"/>
    </row>
    <row r="49" spans="1:10" s="127" customFormat="1" ht="12" customHeight="1">
      <c r="A49" s="87"/>
      <c r="B49" s="123"/>
      <c r="C49" s="135"/>
      <c r="D49" s="135"/>
      <c r="E49" s="136"/>
      <c r="F49" s="136"/>
      <c r="G49" s="137"/>
      <c r="H49" s="93"/>
      <c r="I49" s="93"/>
      <c r="J49" s="93"/>
    </row>
    <row r="50" spans="1:10" s="127" customFormat="1" ht="12" customHeight="1">
      <c r="A50" s="87"/>
      <c r="B50" s="123"/>
      <c r="C50" s="135"/>
      <c r="D50" s="135"/>
      <c r="E50" s="135"/>
      <c r="F50" s="135"/>
      <c r="G50" s="137"/>
      <c r="H50" s="93"/>
      <c r="I50" s="93"/>
      <c r="J50" s="93"/>
    </row>
    <row r="51" spans="1:10" s="127" customFormat="1" ht="12" customHeight="1">
      <c r="A51" s="87"/>
      <c r="B51" s="123"/>
      <c r="C51" s="135"/>
      <c r="D51" s="135"/>
      <c r="E51" s="135"/>
      <c r="F51" s="135"/>
      <c r="G51" s="137"/>
      <c r="H51" s="93"/>
      <c r="I51" s="93"/>
      <c r="J51" s="93"/>
    </row>
    <row r="52" spans="1:10" s="127" customFormat="1" ht="12" customHeight="1">
      <c r="A52" s="87"/>
      <c r="B52" s="87"/>
      <c r="C52" s="135"/>
      <c r="D52" s="135"/>
      <c r="E52" s="135"/>
      <c r="F52" s="135"/>
      <c r="G52" s="137"/>
      <c r="H52" s="93"/>
      <c r="I52" s="93"/>
      <c r="J52" s="93"/>
    </row>
    <row r="53" spans="1:10" s="127" customFormat="1" ht="12" customHeight="1">
      <c r="A53" s="87"/>
      <c r="B53" s="87"/>
      <c r="C53" s="87"/>
      <c r="D53" s="105"/>
      <c r="E53" s="121"/>
      <c r="F53" s="121"/>
      <c r="G53" s="138" t="s">
        <v>27</v>
      </c>
      <c r="H53" s="89"/>
      <c r="I53" s="89"/>
      <c r="J53" s="89"/>
    </row>
    <row r="54" spans="1:10" s="127" customFormat="1" ht="12" customHeight="1">
      <c r="A54" s="8"/>
      <c r="B54" s="89"/>
      <c r="C54" s="89"/>
      <c r="D54" s="89"/>
      <c r="E54" s="89"/>
      <c r="F54" s="89"/>
      <c r="G54" s="89"/>
      <c r="H54" s="89"/>
      <c r="I54" s="89"/>
      <c r="J54" s="89"/>
    </row>
    <row r="55" spans="1:10" s="127" customFormat="1" ht="12" customHeight="1">
      <c r="A55" s="87"/>
      <c r="B55" s="87"/>
      <c r="C55" s="87"/>
      <c r="D55" s="87"/>
      <c r="E55" s="87"/>
      <c r="F55" s="87"/>
      <c r="G55" s="87"/>
      <c r="H55" s="87"/>
      <c r="I55" s="87"/>
      <c r="J55" s="87"/>
    </row>
    <row r="56" spans="1:10" s="127" customFormat="1" ht="12" customHeight="1">
      <c r="A56" s="87"/>
      <c r="B56" s="87"/>
      <c r="C56" s="87"/>
      <c r="D56" s="87"/>
      <c r="E56" s="87"/>
      <c r="F56" s="87"/>
      <c r="G56" s="87"/>
      <c r="H56" s="87"/>
      <c r="I56" s="87"/>
      <c r="J56" s="87"/>
    </row>
    <row r="57" spans="1:10" s="127" customFormat="1" ht="12" customHeight="1">
      <c r="A57" s="87"/>
      <c r="B57" s="87"/>
      <c r="C57" s="87"/>
      <c r="D57" s="87"/>
      <c r="E57" s="87"/>
      <c r="F57" s="87"/>
      <c r="G57" s="87"/>
      <c r="H57" s="87"/>
      <c r="I57" s="87"/>
      <c r="J57" s="87"/>
    </row>
    <row r="58" spans="1:10" s="127" customFormat="1" ht="12" customHeight="1">
      <c r="A58" s="87"/>
      <c r="B58" s="87"/>
      <c r="C58" s="87"/>
      <c r="D58" s="87"/>
      <c r="E58" s="87"/>
      <c r="F58" s="87"/>
      <c r="G58" s="87"/>
      <c r="H58" s="87"/>
      <c r="I58" s="87"/>
      <c r="J58" s="87"/>
    </row>
    <row r="59" spans="1:10" s="127" customFormat="1" ht="12" customHeight="1">
      <c r="A59" s="87"/>
      <c r="B59" s="87"/>
      <c r="C59" s="87"/>
      <c r="D59" s="87"/>
      <c r="E59" s="87"/>
      <c r="F59" s="87"/>
      <c r="G59" s="87"/>
      <c r="H59" s="87"/>
      <c r="I59" s="87"/>
      <c r="J59" s="87"/>
    </row>
    <row r="60" spans="1:10" s="127" customFormat="1" ht="12" customHeight="1">
      <c r="A60" s="87"/>
      <c r="B60" s="87"/>
      <c r="C60" s="87"/>
      <c r="D60" s="87"/>
      <c r="E60" s="87"/>
      <c r="F60" s="87"/>
      <c r="G60" s="87"/>
      <c r="H60" s="87"/>
      <c r="I60" s="87"/>
      <c r="J60" s="87"/>
    </row>
    <row r="61" spans="1:10" s="127" customFormat="1" ht="12" customHeight="1">
      <c r="A61" s="87"/>
      <c r="B61" s="87"/>
      <c r="C61" s="87"/>
      <c r="D61" s="87"/>
      <c r="E61" s="87"/>
      <c r="F61" s="87"/>
      <c r="G61" s="87"/>
      <c r="H61" s="87"/>
      <c r="I61" s="87"/>
      <c r="J61" s="87"/>
    </row>
    <row r="62" spans="1:10" s="127" customFormat="1" ht="12" customHeight="1">
      <c r="A62" s="87"/>
      <c r="B62" s="87"/>
      <c r="C62" s="87"/>
      <c r="D62" s="87"/>
      <c r="E62" s="87"/>
      <c r="F62" s="87"/>
      <c r="G62" s="87"/>
      <c r="H62" s="87"/>
      <c r="I62" s="87"/>
      <c r="J62" s="87"/>
    </row>
    <row r="63" spans="1:10" s="127" customFormat="1" ht="12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</row>
    <row r="64" spans="1:10" s="127" customFormat="1" ht="12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</row>
    <row r="65" spans="1:10" s="127" customFormat="1" ht="12" customHeight="1">
      <c r="A65" s="87"/>
      <c r="B65" s="87"/>
      <c r="C65" s="87"/>
      <c r="D65" s="87"/>
      <c r="E65" s="139"/>
      <c r="F65" s="139"/>
      <c r="G65" s="87"/>
      <c r="H65" s="140"/>
      <c r="I65" s="87"/>
      <c r="J65" s="141"/>
    </row>
    <row r="66" spans="1:10" s="127" customFormat="1" ht="12" customHeight="1">
      <c r="A66" s="87"/>
      <c r="B66" s="87"/>
      <c r="C66" s="87"/>
      <c r="D66" s="87"/>
      <c r="E66" s="87"/>
      <c r="F66" s="87"/>
      <c r="G66" s="87"/>
      <c r="H66" s="87"/>
      <c r="I66" s="87"/>
      <c r="J66" s="87"/>
    </row>
    <row r="67" spans="1:10" s="127" customFormat="1" ht="12" customHeight="1">
      <c r="A67" s="87"/>
      <c r="B67" s="87"/>
      <c r="C67" s="87"/>
      <c r="D67" s="87"/>
      <c r="E67" s="87"/>
      <c r="F67" s="87"/>
      <c r="G67" s="87"/>
      <c r="H67" s="87"/>
      <c r="I67" s="87"/>
      <c r="J67" s="87"/>
    </row>
    <row r="68" spans="1:10" s="127" customFormat="1" ht="12" customHeight="1">
      <c r="A68" s="87"/>
      <c r="B68" s="87"/>
      <c r="C68" s="87"/>
      <c r="D68" s="87"/>
      <c r="E68" s="87"/>
      <c r="F68" s="87"/>
      <c r="G68" s="87"/>
      <c r="H68" s="87"/>
      <c r="I68" s="87"/>
      <c r="J68" s="87"/>
    </row>
    <row r="69" spans="1:10" s="127" customFormat="1" ht="12" customHeight="1">
      <c r="A69" s="87"/>
      <c r="B69" s="87"/>
      <c r="C69" s="87"/>
      <c r="D69" s="87"/>
      <c r="E69" s="87"/>
      <c r="F69" s="87"/>
      <c r="G69" s="87"/>
      <c r="H69" s="87"/>
      <c r="I69" s="87"/>
      <c r="J69" s="87"/>
    </row>
    <row r="70" spans="1:10" s="127" customFormat="1" ht="12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</row>
    <row r="71" spans="1:10" s="127" customFormat="1" ht="12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</row>
    <row r="72" spans="1:10" s="127" customFormat="1" ht="12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</row>
    <row r="73" spans="1:10" s="127" customFormat="1" ht="12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</row>
    <row r="74" spans="1:10" s="127" customFormat="1" ht="12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</row>
    <row r="75" spans="1:10" s="127" customFormat="1" ht="12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</row>
    <row r="76" spans="1:10" s="127" customFormat="1" ht="12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</row>
    <row r="77" spans="1:10" s="127" customFormat="1" ht="12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</row>
    <row r="78" spans="1:10" s="127" customFormat="1" ht="12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</row>
    <row r="79" spans="1:10" s="127" customFormat="1" ht="12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</row>
    <row r="80" spans="1:10" s="127" customFormat="1" ht="12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</row>
    <row r="81" spans="1:10" s="127" customFormat="1" ht="12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</row>
    <row r="82" spans="1:10" s="127" customFormat="1" ht="12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</row>
    <row r="83" spans="1:10" s="127" customFormat="1" ht="12" customHeight="1">
      <c r="A83" s="87"/>
      <c r="B83" s="87"/>
      <c r="C83" s="87"/>
      <c r="D83" s="87"/>
      <c r="E83" s="87"/>
      <c r="F83" s="87"/>
      <c r="G83" s="87"/>
      <c r="H83" s="87"/>
      <c r="I83" s="87"/>
      <c r="J83" s="87"/>
    </row>
    <row r="84" spans="1:10" s="127" customFormat="1" ht="12" customHeight="1">
      <c r="A84" s="87"/>
      <c r="B84" s="87"/>
      <c r="C84" s="87"/>
      <c r="D84" s="87"/>
      <c r="E84" s="87"/>
      <c r="F84" s="87"/>
      <c r="G84" s="87"/>
      <c r="H84" s="87"/>
      <c r="I84" s="87"/>
      <c r="J84" s="87"/>
    </row>
    <row r="85" spans="1:10" s="127" customFormat="1" ht="12" customHeight="1">
      <c r="A85" s="87"/>
      <c r="B85" s="87"/>
      <c r="C85" s="87"/>
      <c r="D85" s="87"/>
      <c r="E85" s="87"/>
      <c r="F85" s="87"/>
      <c r="G85" s="87"/>
      <c r="H85" s="87"/>
      <c r="I85" s="87"/>
      <c r="J85" s="87"/>
    </row>
    <row r="86" spans="1:10" s="127" customFormat="1" ht="12" customHeight="1">
      <c r="A86" s="87"/>
      <c r="B86" s="87"/>
      <c r="C86" s="87"/>
      <c r="D86" s="87"/>
      <c r="E86" s="87"/>
      <c r="F86" s="87"/>
      <c r="G86" s="87"/>
      <c r="H86" s="87"/>
      <c r="I86" s="87"/>
      <c r="J86" s="87"/>
    </row>
    <row r="87" spans="1:10" s="127" customFormat="1" ht="12" customHeight="1">
      <c r="A87" s="87"/>
      <c r="B87" s="87"/>
      <c r="C87" s="87"/>
      <c r="D87" s="87"/>
      <c r="E87" s="87"/>
      <c r="F87" s="87"/>
      <c r="G87" s="87"/>
      <c r="H87" s="87"/>
      <c r="I87" s="87"/>
      <c r="J87" s="87"/>
    </row>
    <row r="88" spans="1:10" s="127" customFormat="1" ht="12" customHeight="1">
      <c r="A88" s="87"/>
      <c r="B88" s="87"/>
      <c r="C88" s="87"/>
      <c r="D88" s="87"/>
      <c r="E88" s="87"/>
      <c r="F88" s="87"/>
      <c r="G88" s="87"/>
      <c r="H88" s="87"/>
      <c r="I88" s="87"/>
      <c r="J88" s="87"/>
    </row>
    <row r="89" spans="1:10" s="127" customFormat="1" ht="12" customHeight="1">
      <c r="A89" s="87"/>
      <c r="B89" s="87"/>
      <c r="C89" s="87"/>
      <c r="D89" s="87"/>
      <c r="E89" s="87"/>
      <c r="F89" s="87"/>
      <c r="G89" s="87"/>
      <c r="H89" s="87"/>
      <c r="I89" s="87"/>
      <c r="J89" s="87"/>
    </row>
    <row r="90" spans="1:10" s="127" customFormat="1" ht="12" customHeight="1">
      <c r="A90" s="87"/>
      <c r="B90" s="87"/>
      <c r="C90" s="87"/>
      <c r="D90" s="87"/>
      <c r="E90" s="87"/>
      <c r="F90" s="87"/>
      <c r="G90" s="87"/>
      <c r="H90" s="87"/>
      <c r="I90" s="87"/>
      <c r="J90" s="87"/>
    </row>
    <row r="91" spans="1:10" s="127" customFormat="1" ht="12" customHeight="1">
      <c r="A91" s="87"/>
      <c r="B91" s="87"/>
      <c r="C91" s="87"/>
      <c r="D91" s="87"/>
      <c r="E91" s="87"/>
      <c r="F91" s="87"/>
      <c r="G91" s="87"/>
      <c r="H91" s="87"/>
      <c r="I91" s="87"/>
      <c r="J91" s="87"/>
    </row>
    <row r="92" spans="1:10" s="127" customFormat="1" ht="12" customHeight="1">
      <c r="A92" s="87"/>
      <c r="B92" s="87"/>
      <c r="C92" s="87"/>
      <c r="D92" s="87"/>
      <c r="E92" s="87"/>
      <c r="F92" s="87"/>
      <c r="G92" s="87"/>
      <c r="H92" s="87"/>
      <c r="I92" s="87"/>
      <c r="J92" s="87"/>
    </row>
    <row r="93" spans="1:10" s="127" customFormat="1" ht="12" customHeight="1">
      <c r="A93" s="87"/>
      <c r="B93" s="87"/>
      <c r="C93" s="87"/>
      <c r="D93" s="87"/>
      <c r="E93" s="87"/>
      <c r="F93" s="87"/>
      <c r="G93" s="87"/>
      <c r="H93" s="87"/>
      <c r="I93" s="87"/>
      <c r="J93" s="87"/>
    </row>
    <row r="94" spans="1:10" s="127" customFormat="1" ht="12" customHeight="1">
      <c r="A94" s="87"/>
      <c r="B94" s="87"/>
      <c r="C94" s="87"/>
      <c r="D94" s="87"/>
      <c r="E94" s="87"/>
      <c r="F94" s="87"/>
      <c r="G94" s="87"/>
      <c r="H94" s="87"/>
      <c r="I94" s="87"/>
      <c r="J94" s="87"/>
    </row>
    <row r="95" spans="1:10" s="127" customFormat="1" ht="12" customHeight="1">
      <c r="A95" s="87"/>
      <c r="B95" s="87"/>
      <c r="C95" s="87"/>
      <c r="D95" s="87"/>
      <c r="E95" s="87"/>
      <c r="F95" s="87"/>
      <c r="G95" s="87"/>
      <c r="H95" s="87"/>
      <c r="I95" s="87"/>
      <c r="J95" s="87"/>
    </row>
    <row r="96" spans="1:10" s="127" customFormat="1" ht="12" customHeight="1">
      <c r="A96" s="87"/>
      <c r="B96" s="87"/>
      <c r="C96" s="87"/>
      <c r="D96" s="87"/>
      <c r="E96" s="87"/>
      <c r="F96" s="87"/>
      <c r="G96" s="87"/>
      <c r="H96" s="87"/>
      <c r="I96" s="87"/>
      <c r="J96" s="87"/>
    </row>
    <row r="97" spans="1:10" s="127" customFormat="1" ht="12" customHeight="1">
      <c r="A97" s="87"/>
      <c r="B97" s="87"/>
      <c r="C97" s="87"/>
      <c r="D97" s="87"/>
      <c r="E97" s="87"/>
      <c r="F97" s="87"/>
      <c r="G97" s="87"/>
      <c r="H97" s="87"/>
      <c r="I97" s="87"/>
      <c r="J97" s="87"/>
    </row>
    <row r="98" spans="1:10" s="127" customFormat="1" ht="12" customHeight="1">
      <c r="A98" s="87"/>
      <c r="B98" s="87"/>
      <c r="C98" s="87"/>
      <c r="D98" s="87"/>
      <c r="E98" s="87"/>
      <c r="F98" s="87"/>
      <c r="G98" s="87"/>
      <c r="H98" s="87"/>
      <c r="I98" s="87"/>
      <c r="J98" s="87"/>
    </row>
    <row r="99" spans="1:10" s="127" customFormat="1" ht="12" customHeight="1">
      <c r="A99" s="87"/>
      <c r="B99" s="87"/>
      <c r="C99" s="87"/>
      <c r="D99" s="87"/>
      <c r="E99" s="87"/>
      <c r="F99" s="87"/>
      <c r="G99" s="87"/>
      <c r="H99" s="87"/>
      <c r="I99" s="87"/>
      <c r="J99" s="87"/>
    </row>
    <row r="100" spans="1:10" s="127" customFormat="1" ht="12" customHeight="1">
      <c r="A100" s="87"/>
      <c r="B100" s="87"/>
      <c r="C100" s="87"/>
      <c r="D100" s="87"/>
      <c r="E100" s="87"/>
      <c r="F100" s="87"/>
      <c r="G100" s="87"/>
      <c r="H100" s="87"/>
      <c r="I100" s="87"/>
      <c r="J100" s="87"/>
    </row>
    <row r="101" spans="1:10" s="127" customFormat="1" ht="12" customHeight="1">
      <c r="A101" s="87"/>
      <c r="B101" s="87"/>
      <c r="C101" s="87"/>
      <c r="D101" s="87"/>
      <c r="E101" s="87"/>
      <c r="F101" s="87"/>
      <c r="G101" s="87"/>
      <c r="H101" s="87"/>
      <c r="I101" s="87"/>
      <c r="J101" s="87"/>
    </row>
    <row r="102" spans="1:10" s="127" customFormat="1" ht="12" customHeight="1">
      <c r="A102" s="87"/>
      <c r="B102" s="87"/>
      <c r="C102" s="87"/>
      <c r="D102" s="87"/>
      <c r="E102" s="87"/>
      <c r="F102" s="87"/>
      <c r="G102" s="87"/>
      <c r="H102" s="87"/>
      <c r="I102" s="87"/>
      <c r="J102" s="87"/>
    </row>
    <row r="103" spans="1:10" s="127" customFormat="1" ht="12" customHeight="1">
      <c r="A103" s="87"/>
      <c r="B103" s="87"/>
      <c r="C103" s="87"/>
      <c r="D103" s="87"/>
      <c r="E103" s="87"/>
      <c r="F103" s="87"/>
      <c r="G103" s="87"/>
      <c r="H103" s="87"/>
      <c r="I103" s="87"/>
      <c r="J103" s="87"/>
    </row>
    <row r="104" spans="1:10" s="127" customFormat="1" ht="12" customHeight="1">
      <c r="A104" s="87"/>
      <c r="B104" s="87"/>
      <c r="C104" s="87"/>
      <c r="D104" s="87"/>
      <c r="E104" s="87"/>
      <c r="F104" s="87"/>
      <c r="G104" s="87"/>
      <c r="H104" s="87"/>
      <c r="I104" s="87"/>
      <c r="J104" s="87"/>
    </row>
    <row r="105" spans="1:10" s="127" customFormat="1" ht="12" customHeight="1">
      <c r="A105" s="87"/>
      <c r="B105" s="87"/>
      <c r="C105" s="87"/>
      <c r="D105" s="87"/>
      <c r="E105" s="87"/>
      <c r="F105" s="87"/>
      <c r="G105" s="87"/>
      <c r="H105" s="87"/>
      <c r="I105" s="87"/>
      <c r="J105" s="87"/>
    </row>
    <row r="106" spans="1:10" s="127" customFormat="1" ht="12" customHeight="1">
      <c r="A106" s="87"/>
      <c r="B106" s="87"/>
      <c r="C106" s="87"/>
      <c r="D106" s="87"/>
      <c r="E106" s="87"/>
      <c r="F106" s="87"/>
      <c r="G106" s="87"/>
      <c r="H106" s="87"/>
      <c r="I106" s="87"/>
      <c r="J106" s="87"/>
    </row>
    <row r="107" spans="1:10" s="127" customFormat="1" ht="12" customHeight="1">
      <c r="A107" s="87"/>
      <c r="B107" s="87"/>
      <c r="C107" s="87"/>
      <c r="D107" s="87"/>
      <c r="E107" s="87"/>
      <c r="F107" s="87"/>
      <c r="G107" s="87"/>
      <c r="H107" s="87"/>
      <c r="I107" s="87"/>
      <c r="J107" s="87"/>
    </row>
    <row r="108" spans="1:10" s="127" customFormat="1" ht="12" customHeight="1">
      <c r="A108" s="87"/>
      <c r="B108" s="87"/>
      <c r="C108" s="87"/>
      <c r="D108" s="87"/>
      <c r="E108" s="87"/>
      <c r="F108" s="87"/>
      <c r="G108" s="87"/>
      <c r="H108" s="87"/>
      <c r="I108" s="87"/>
      <c r="J108" s="87"/>
    </row>
    <row r="109" spans="1:10" s="127" customFormat="1" ht="12" customHeight="1">
      <c r="A109" s="87"/>
      <c r="B109" s="87"/>
      <c r="C109" s="87"/>
      <c r="D109" s="87"/>
      <c r="E109" s="87"/>
      <c r="F109" s="87"/>
      <c r="G109" s="87"/>
      <c r="H109" s="87"/>
      <c r="I109" s="87"/>
      <c r="J109" s="87"/>
    </row>
    <row r="110" spans="1:10" s="127" customFormat="1" ht="12" customHeight="1">
      <c r="A110" s="87"/>
      <c r="B110" s="87"/>
      <c r="C110" s="87"/>
      <c r="D110" s="87"/>
      <c r="E110" s="87"/>
      <c r="F110" s="87"/>
      <c r="G110" s="87"/>
      <c r="H110" s="87"/>
      <c r="I110" s="87"/>
      <c r="J110" s="87"/>
    </row>
    <row r="111" spans="1:10" s="127" customFormat="1" ht="12" customHeight="1">
      <c r="A111" s="87"/>
      <c r="B111" s="87"/>
      <c r="C111" s="87"/>
      <c r="D111" s="87"/>
      <c r="E111" s="87"/>
      <c r="F111" s="87"/>
      <c r="G111" s="87"/>
      <c r="H111" s="87"/>
      <c r="I111" s="87"/>
      <c r="J111" s="87"/>
    </row>
    <row r="112" spans="1:10" s="127" customFormat="1" ht="12" customHeight="1">
      <c r="A112" s="87"/>
      <c r="B112" s="87"/>
      <c r="C112" s="87"/>
      <c r="D112" s="87"/>
      <c r="E112" s="87"/>
      <c r="F112" s="87"/>
      <c r="G112" s="87"/>
      <c r="H112" s="87"/>
      <c r="I112" s="87"/>
      <c r="J112" s="87"/>
    </row>
    <row r="113" spans="1:10" s="127" customFormat="1" ht="12" customHeight="1">
      <c r="A113" s="87"/>
      <c r="B113" s="87"/>
      <c r="C113" s="87"/>
      <c r="D113" s="87"/>
      <c r="E113" s="87"/>
      <c r="F113" s="87"/>
      <c r="G113" s="87"/>
      <c r="H113" s="87"/>
      <c r="I113" s="87"/>
      <c r="J113" s="87"/>
    </row>
    <row r="114" spans="1:10" s="127" customFormat="1" ht="12" customHeight="1">
      <c r="A114" s="87"/>
      <c r="B114" s="87"/>
      <c r="C114" s="87"/>
      <c r="D114" s="87"/>
      <c r="E114" s="87"/>
      <c r="F114" s="87"/>
      <c r="G114" s="87"/>
      <c r="H114" s="87"/>
      <c r="I114" s="87"/>
      <c r="J114" s="87"/>
    </row>
    <row r="115" spans="1:10" s="127" customFormat="1" ht="12" customHeight="1">
      <c r="A115" s="87"/>
      <c r="B115" s="87"/>
      <c r="C115" s="87"/>
      <c r="D115" s="87"/>
      <c r="E115" s="87"/>
      <c r="F115" s="87"/>
      <c r="G115" s="87"/>
      <c r="H115" s="87"/>
      <c r="I115" s="87"/>
      <c r="J115" s="87"/>
    </row>
    <row r="116" spans="1:10" s="127" customFormat="1" ht="12" customHeight="1">
      <c r="A116" s="87"/>
      <c r="B116" s="87"/>
      <c r="C116" s="87"/>
      <c r="D116" s="87"/>
      <c r="E116" s="87"/>
      <c r="F116" s="87"/>
      <c r="G116" s="87"/>
      <c r="H116" s="87"/>
      <c r="I116" s="87"/>
      <c r="J116" s="87"/>
    </row>
    <row r="117" spans="1:10" s="127" customFormat="1" ht="12" customHeight="1">
      <c r="A117" s="87"/>
      <c r="B117" s="87"/>
      <c r="C117" s="87"/>
      <c r="D117" s="87"/>
      <c r="E117" s="87"/>
      <c r="F117" s="87"/>
      <c r="G117" s="87"/>
      <c r="H117" s="87"/>
      <c r="I117" s="87"/>
      <c r="J117" s="87"/>
    </row>
    <row r="118" spans="1:10" s="127" customFormat="1" ht="12" customHeight="1">
      <c r="A118" s="87"/>
      <c r="B118" s="87"/>
      <c r="C118" s="87"/>
      <c r="D118" s="87"/>
      <c r="E118" s="87"/>
      <c r="F118" s="87"/>
      <c r="G118" s="87"/>
      <c r="H118" s="87"/>
      <c r="I118" s="87"/>
      <c r="J118" s="87"/>
    </row>
    <row r="119" spans="1:10" s="127" customFormat="1" ht="12" customHeight="1">
      <c r="A119" s="87"/>
      <c r="B119" s="87"/>
      <c r="C119" s="87"/>
      <c r="D119" s="87"/>
      <c r="E119" s="87"/>
      <c r="F119" s="87"/>
      <c r="G119" s="87"/>
      <c r="H119" s="87"/>
      <c r="I119" s="87"/>
      <c r="J119" s="87"/>
    </row>
    <row r="120" spans="1:10" s="127" customFormat="1" ht="12" customHeight="1">
      <c r="A120" s="87"/>
      <c r="B120" s="87"/>
      <c r="C120" s="87"/>
      <c r="D120" s="87"/>
      <c r="E120" s="87"/>
      <c r="F120" s="87"/>
      <c r="G120" s="87"/>
      <c r="H120" s="87"/>
      <c r="I120" s="87"/>
      <c r="J120" s="87"/>
    </row>
    <row r="121" spans="1:10" s="127" customFormat="1" ht="12" customHeight="1">
      <c r="A121" s="87"/>
      <c r="B121" s="87"/>
      <c r="C121" s="87"/>
      <c r="D121" s="87"/>
      <c r="E121" s="87"/>
      <c r="F121" s="87"/>
      <c r="G121" s="87"/>
      <c r="H121" s="87"/>
      <c r="I121" s="87"/>
      <c r="J121" s="87"/>
    </row>
    <row r="122" spans="1:10" s="127" customFormat="1" ht="12" customHeight="1">
      <c r="A122" s="87"/>
      <c r="B122" s="87"/>
      <c r="C122" s="87"/>
      <c r="D122" s="87"/>
      <c r="E122" s="87"/>
      <c r="F122" s="87"/>
      <c r="G122" s="87"/>
      <c r="H122" s="87"/>
      <c r="I122" s="87"/>
      <c r="J122" s="87"/>
    </row>
    <row r="123" spans="1:10" s="127" customFormat="1" ht="12" customHeight="1">
      <c r="A123" s="87"/>
      <c r="B123" s="87"/>
      <c r="C123" s="87"/>
      <c r="D123" s="87"/>
      <c r="E123" s="87"/>
      <c r="F123" s="87"/>
      <c r="G123" s="87"/>
      <c r="H123" s="87"/>
      <c r="I123" s="87"/>
      <c r="J123" s="87"/>
    </row>
    <row r="124" spans="1:10" s="127" customFormat="1" ht="12" customHeight="1">
      <c r="A124" s="87"/>
      <c r="B124" s="87"/>
      <c r="C124" s="87"/>
      <c r="D124" s="87"/>
      <c r="E124" s="87"/>
      <c r="F124" s="87"/>
      <c r="G124" s="87"/>
      <c r="H124" s="87"/>
      <c r="I124" s="87"/>
      <c r="J124" s="87"/>
    </row>
    <row r="125" spans="1:10" s="127" customFormat="1" ht="12" customHeight="1">
      <c r="A125" s="87"/>
      <c r="B125" s="87"/>
      <c r="C125" s="87"/>
      <c r="D125" s="87"/>
      <c r="E125" s="87"/>
      <c r="F125" s="87"/>
      <c r="G125" s="87"/>
      <c r="H125" s="87"/>
      <c r="I125" s="87"/>
      <c r="J125" s="87"/>
    </row>
    <row r="126" spans="1:10" s="127" customFormat="1" ht="12" customHeight="1">
      <c r="A126" s="87"/>
      <c r="B126" s="87"/>
      <c r="C126" s="87"/>
      <c r="D126" s="87"/>
      <c r="E126" s="87"/>
      <c r="F126" s="87"/>
      <c r="G126" s="87"/>
      <c r="H126" s="87"/>
      <c r="I126" s="87"/>
      <c r="J126" s="87"/>
    </row>
    <row r="127" spans="1:10" s="127" customFormat="1" ht="12" customHeight="1">
      <c r="A127" s="87"/>
      <c r="B127" s="87"/>
      <c r="C127" s="87"/>
      <c r="D127" s="87"/>
      <c r="E127" s="87"/>
      <c r="F127" s="87"/>
      <c r="G127" s="87"/>
      <c r="H127" s="87"/>
      <c r="I127" s="87"/>
      <c r="J127" s="87"/>
    </row>
    <row r="128" spans="1:10" s="127" customFormat="1" ht="12" customHeight="1">
      <c r="A128" s="87"/>
      <c r="B128" s="87"/>
      <c r="C128" s="87"/>
      <c r="D128" s="87"/>
      <c r="E128" s="87"/>
      <c r="F128" s="87"/>
      <c r="G128" s="87"/>
      <c r="H128" s="87"/>
      <c r="I128" s="87"/>
      <c r="J128" s="87"/>
    </row>
    <row r="129" spans="1:10" s="127" customFormat="1" ht="12" customHeight="1">
      <c r="A129" s="87"/>
      <c r="B129" s="87"/>
      <c r="C129" s="87"/>
      <c r="D129" s="87"/>
      <c r="E129" s="87"/>
      <c r="F129" s="87"/>
      <c r="G129" s="87"/>
      <c r="H129" s="87"/>
      <c r="I129" s="87"/>
      <c r="J129" s="87"/>
    </row>
    <row r="130" spans="1:10" s="127" customFormat="1" ht="12" customHeight="1">
      <c r="A130" s="87"/>
      <c r="B130" s="87"/>
      <c r="C130" s="87"/>
      <c r="D130" s="87"/>
      <c r="E130" s="87"/>
      <c r="F130" s="87"/>
      <c r="G130" s="87"/>
      <c r="H130" s="87"/>
      <c r="I130" s="87"/>
      <c r="J130" s="87"/>
    </row>
    <row r="131" spans="1:10" s="127" customFormat="1" ht="12" customHeight="1">
      <c r="A131" s="87"/>
      <c r="B131" s="87"/>
      <c r="C131" s="87"/>
      <c r="D131" s="87"/>
      <c r="E131" s="87"/>
      <c r="F131" s="87"/>
      <c r="G131" s="87"/>
      <c r="H131" s="87"/>
      <c r="I131" s="87"/>
      <c r="J131" s="87"/>
    </row>
    <row r="132" spans="1:10" s="127" customFormat="1" ht="12" customHeight="1">
      <c r="A132" s="87"/>
      <c r="B132" s="87"/>
      <c r="C132" s="87"/>
      <c r="D132" s="87"/>
      <c r="E132" s="87"/>
      <c r="F132" s="87"/>
      <c r="G132" s="87"/>
      <c r="H132" s="87"/>
      <c r="I132" s="87"/>
      <c r="J132" s="87"/>
    </row>
    <row r="133" spans="1:10" s="127" customFormat="1" ht="12" customHeight="1">
      <c r="A133" s="87"/>
      <c r="B133" s="87"/>
      <c r="C133" s="87"/>
      <c r="D133" s="87"/>
      <c r="E133" s="87"/>
      <c r="F133" s="87"/>
      <c r="G133" s="87"/>
      <c r="H133" s="87"/>
      <c r="I133" s="87"/>
      <c r="J133" s="87"/>
    </row>
    <row r="134" spans="1:10" s="127" customFormat="1" ht="14.25">
      <c r="A134" s="87"/>
      <c r="B134" s="87"/>
      <c r="C134" s="87"/>
      <c r="D134" s="87"/>
      <c r="E134" s="87"/>
      <c r="F134" s="87"/>
      <c r="G134" s="87"/>
      <c r="H134" s="87"/>
      <c r="I134" s="87"/>
      <c r="J134" s="87"/>
    </row>
    <row r="135" spans="1:10" s="127" customFormat="1" ht="14.25">
      <c r="A135" s="87"/>
      <c r="B135" s="87"/>
      <c r="C135" s="87"/>
      <c r="D135" s="87"/>
      <c r="E135" s="87"/>
      <c r="F135" s="87"/>
      <c r="G135" s="87"/>
      <c r="H135" s="87"/>
      <c r="I135" s="87"/>
      <c r="J135" s="87"/>
    </row>
    <row r="136" spans="1:10" s="127" customFormat="1" ht="14.25">
      <c r="A136" s="87"/>
      <c r="B136" s="87"/>
      <c r="C136" s="87"/>
      <c r="D136" s="87"/>
      <c r="E136" s="87"/>
      <c r="F136" s="87"/>
      <c r="G136" s="87"/>
      <c r="H136" s="87"/>
      <c r="I136" s="87"/>
      <c r="J136" s="87"/>
    </row>
    <row r="137" spans="1:10" s="127" customFormat="1" ht="14.25">
      <c r="A137" s="87"/>
      <c r="B137" s="87"/>
      <c r="C137" s="87"/>
      <c r="D137" s="87"/>
      <c r="E137" s="87"/>
      <c r="F137" s="87"/>
      <c r="G137" s="87"/>
      <c r="H137" s="87"/>
      <c r="I137" s="87"/>
      <c r="J137" s="87"/>
    </row>
    <row r="138" spans="1:10" s="127" customFormat="1" ht="14.25">
      <c r="A138" s="87"/>
      <c r="B138" s="87"/>
      <c r="C138" s="87"/>
      <c r="D138" s="87"/>
      <c r="E138" s="87"/>
      <c r="F138" s="87"/>
      <c r="G138" s="87"/>
      <c r="H138" s="87"/>
      <c r="I138" s="87"/>
      <c r="J138" s="87"/>
    </row>
    <row r="139" spans="1:10" s="127" customFormat="1" ht="14.25">
      <c r="A139" s="87"/>
      <c r="B139" s="87"/>
      <c r="C139" s="87"/>
      <c r="D139" s="87"/>
      <c r="E139" s="87"/>
      <c r="F139" s="87"/>
      <c r="G139" s="87"/>
      <c r="H139" s="87"/>
      <c r="I139" s="87"/>
      <c r="J139" s="87"/>
    </row>
    <row r="140" spans="1:10" s="127" customFormat="1" ht="14.25">
      <c r="A140" s="87"/>
      <c r="B140" s="87"/>
      <c r="C140" s="87"/>
      <c r="D140" s="87"/>
      <c r="E140" s="87"/>
      <c r="F140" s="87"/>
      <c r="G140" s="87"/>
      <c r="H140" s="87"/>
      <c r="I140" s="87"/>
      <c r="J140" s="87"/>
    </row>
    <row r="141" spans="1:10" s="127" customFormat="1" ht="14.25">
      <c r="A141" s="87"/>
      <c r="B141" s="87"/>
      <c r="C141" s="87"/>
      <c r="D141" s="87"/>
      <c r="E141" s="87"/>
      <c r="F141" s="87"/>
      <c r="G141" s="87"/>
      <c r="H141" s="87"/>
      <c r="I141" s="87"/>
      <c r="J141" s="87"/>
    </row>
    <row r="142" spans="1:10" s="127" customFormat="1" ht="14.25">
      <c r="A142" s="87"/>
      <c r="B142" s="87"/>
      <c r="C142" s="87"/>
      <c r="D142" s="87"/>
      <c r="E142" s="87"/>
      <c r="F142" s="87"/>
      <c r="G142" s="87"/>
      <c r="H142" s="87"/>
      <c r="I142" s="87"/>
      <c r="J142" s="87"/>
    </row>
    <row r="143" spans="1:10" s="127" customFormat="1" ht="14.25">
      <c r="A143" s="87"/>
      <c r="B143" s="87"/>
      <c r="C143" s="87"/>
      <c r="D143" s="87"/>
      <c r="E143" s="87"/>
      <c r="F143" s="87"/>
      <c r="G143" s="87"/>
      <c r="H143" s="87"/>
      <c r="I143" s="87"/>
      <c r="J143" s="87"/>
    </row>
    <row r="144" spans="1:10">
      <c r="A144" s="6"/>
      <c r="B144" s="87"/>
      <c r="C144" s="87"/>
      <c r="D144" s="87"/>
      <c r="E144" s="87"/>
      <c r="F144" s="87"/>
      <c r="G144" s="87"/>
      <c r="H144" s="87"/>
      <c r="I144" s="87"/>
      <c r="J144" s="87"/>
    </row>
    <row r="145" spans="1:10">
      <c r="A145" s="6"/>
      <c r="B145" s="87"/>
      <c r="C145" s="87"/>
      <c r="D145" s="87"/>
      <c r="E145" s="87"/>
      <c r="F145" s="87"/>
      <c r="G145" s="87"/>
      <c r="H145" s="87"/>
      <c r="I145" s="87"/>
      <c r="J145" s="87"/>
    </row>
    <row r="146" spans="1:10">
      <c r="A146" s="6"/>
      <c r="B146" s="87"/>
      <c r="C146" s="87"/>
      <c r="D146" s="87"/>
      <c r="E146" s="87"/>
      <c r="F146" s="87"/>
      <c r="G146" s="87"/>
      <c r="H146" s="87"/>
      <c r="I146" s="87"/>
      <c r="J146" s="87"/>
    </row>
    <row r="147" spans="1:10">
      <c r="A147" s="6"/>
      <c r="B147" s="87"/>
      <c r="C147" s="87"/>
      <c r="D147" s="87"/>
      <c r="E147" s="87"/>
      <c r="F147" s="87"/>
      <c r="G147" s="87"/>
      <c r="H147" s="87"/>
      <c r="I147" s="87"/>
      <c r="J147" s="87"/>
    </row>
    <row r="148" spans="1:10">
      <c r="A148" s="6"/>
      <c r="B148" s="87"/>
      <c r="C148" s="87"/>
      <c r="D148" s="87"/>
      <c r="E148" s="87"/>
      <c r="F148" s="87"/>
      <c r="G148" s="87"/>
      <c r="H148" s="87"/>
      <c r="I148" s="87"/>
      <c r="J148" s="87"/>
    </row>
    <row r="149" spans="1:10">
      <c r="A149" s="6"/>
      <c r="B149" s="87"/>
      <c r="C149" s="87"/>
      <c r="D149" s="87"/>
      <c r="E149" s="87"/>
      <c r="F149" s="87"/>
      <c r="G149" s="87"/>
      <c r="H149" s="87"/>
      <c r="I149" s="87"/>
      <c r="J149" s="87"/>
    </row>
    <row r="150" spans="1:10">
      <c r="A150" s="6"/>
      <c r="B150" s="87"/>
      <c r="C150" s="87"/>
      <c r="D150" s="87"/>
      <c r="E150" s="87"/>
      <c r="F150" s="87"/>
      <c r="G150" s="87"/>
      <c r="H150" s="87"/>
      <c r="I150" s="87"/>
      <c r="J150" s="87"/>
    </row>
    <row r="151" spans="1:10">
      <c r="A151" s="6"/>
      <c r="B151" s="6"/>
      <c r="C151" s="6"/>
      <c r="D151" s="6"/>
      <c r="E151" s="6"/>
      <c r="F151" s="6"/>
      <c r="G151" s="6"/>
      <c r="H151" s="6"/>
      <c r="I151" s="6"/>
      <c r="J151" s="6"/>
    </row>
    <row r="152" spans="1:10">
      <c r="A152" s="6"/>
      <c r="B152" s="6"/>
      <c r="C152" s="6"/>
      <c r="D152" s="6"/>
      <c r="E152" s="6"/>
      <c r="F152" s="6"/>
      <c r="G152" s="6"/>
      <c r="H152" s="6"/>
      <c r="I152" s="6"/>
      <c r="J152" s="6"/>
    </row>
    <row r="153" spans="1:10">
      <c r="A153" s="6"/>
      <c r="B153" s="6"/>
      <c r="C153" s="6"/>
      <c r="D153" s="6"/>
      <c r="E153" s="6"/>
      <c r="F153" s="6"/>
      <c r="G153" s="6"/>
      <c r="H153" s="6"/>
      <c r="I153" s="6"/>
      <c r="J153" s="6"/>
    </row>
    <row r="154" spans="1:10">
      <c r="A154" s="6"/>
      <c r="B154" s="6"/>
      <c r="C154" s="6"/>
      <c r="D154" s="6"/>
      <c r="E154" s="6"/>
      <c r="F154" s="6"/>
      <c r="G154" s="6"/>
      <c r="H154" s="6"/>
      <c r="I154" s="6"/>
      <c r="J154" s="6"/>
    </row>
    <row r="155" spans="1:10">
      <c r="A155" s="6"/>
      <c r="B155" s="6"/>
      <c r="C155" s="6"/>
      <c r="D155" s="6"/>
      <c r="E155" s="6"/>
      <c r="F155" s="6"/>
      <c r="G155" s="6"/>
      <c r="H155" s="6"/>
      <c r="I155" s="6"/>
      <c r="J155" s="6"/>
    </row>
    <row r="156" spans="1:10">
      <c r="A156" s="6"/>
      <c r="B156" s="6"/>
      <c r="C156" s="6"/>
      <c r="D156" s="6"/>
      <c r="E156" s="6"/>
      <c r="F156" s="6"/>
      <c r="G156" s="6"/>
      <c r="H156" s="6"/>
      <c r="I156" s="6"/>
      <c r="J156" s="6"/>
    </row>
    <row r="157" spans="1:10">
      <c r="A157" s="6"/>
      <c r="B157" s="6"/>
      <c r="C157" s="6"/>
      <c r="D157" s="6"/>
      <c r="E157" s="6"/>
      <c r="F157" s="6"/>
      <c r="G157" s="6"/>
      <c r="H157" s="6"/>
      <c r="I157" s="6"/>
      <c r="J157" s="6"/>
    </row>
    <row r="158" spans="1:10">
      <c r="A158" s="6"/>
      <c r="B158" s="6"/>
      <c r="C158" s="6"/>
      <c r="D158" s="6"/>
      <c r="E158" s="6"/>
      <c r="F158" s="6"/>
      <c r="G158" s="6"/>
      <c r="H158" s="6"/>
      <c r="I158" s="6"/>
      <c r="J158" s="6"/>
    </row>
    <row r="159" spans="1:10">
      <c r="A159" s="6"/>
      <c r="B159" s="6"/>
      <c r="C159" s="6"/>
      <c r="D159" s="6"/>
      <c r="E159" s="6"/>
      <c r="F159" s="6"/>
      <c r="G159" s="6"/>
      <c r="H159" s="6"/>
      <c r="I159" s="6"/>
      <c r="J159" s="6"/>
    </row>
    <row r="160" spans="1:10">
      <c r="A160" s="6"/>
      <c r="B160" s="6"/>
      <c r="C160" s="6"/>
      <c r="D160" s="6"/>
      <c r="E160" s="6"/>
      <c r="F160" s="6"/>
      <c r="G160" s="6"/>
      <c r="H160" s="6"/>
      <c r="I160" s="6"/>
      <c r="J160" s="6"/>
    </row>
    <row r="161" spans="1:10">
      <c r="A161" s="6"/>
      <c r="B161" s="6"/>
      <c r="C161" s="6"/>
      <c r="D161" s="6"/>
      <c r="E161" s="6"/>
      <c r="F161" s="6"/>
      <c r="G161" s="6"/>
      <c r="H161" s="6"/>
      <c r="I161" s="6"/>
      <c r="J161" s="6"/>
    </row>
    <row r="162" spans="1:10">
      <c r="A162" s="6"/>
      <c r="B162" s="6"/>
      <c r="C162" s="6"/>
      <c r="D162" s="6"/>
      <c r="E162" s="6"/>
      <c r="F162" s="6"/>
      <c r="G162" s="6"/>
      <c r="H162" s="6"/>
      <c r="I162" s="6"/>
      <c r="J162" s="6"/>
    </row>
    <row r="163" spans="1:10">
      <c r="A163" s="6"/>
      <c r="B163" s="6"/>
      <c r="C163" s="6"/>
      <c r="D163" s="6"/>
      <c r="E163" s="6"/>
      <c r="F163" s="6"/>
      <c r="G163" s="6"/>
      <c r="H163" s="6"/>
      <c r="I163" s="6"/>
      <c r="J163" s="6"/>
    </row>
    <row r="164" spans="1:10">
      <c r="A164" s="6"/>
      <c r="B164" s="6"/>
      <c r="C164" s="6"/>
      <c r="D164" s="6"/>
      <c r="E164" s="6"/>
      <c r="F164" s="6"/>
      <c r="G164" s="6"/>
      <c r="H164" s="6"/>
      <c r="I164" s="6"/>
      <c r="J164" s="6"/>
    </row>
    <row r="165" spans="1:10">
      <c r="A165" s="6"/>
      <c r="B165" s="6"/>
      <c r="C165" s="6"/>
      <c r="D165" s="6"/>
      <c r="E165" s="6"/>
      <c r="F165" s="6"/>
      <c r="G165" s="6"/>
      <c r="H165" s="6"/>
      <c r="I165" s="6"/>
      <c r="J165" s="6"/>
    </row>
    <row r="166" spans="1:10">
      <c r="A166" s="6"/>
      <c r="B166" s="6"/>
      <c r="C166" s="6"/>
      <c r="D166" s="6"/>
      <c r="E166" s="6"/>
      <c r="F166" s="6"/>
      <c r="G166" s="6"/>
      <c r="H166" s="6"/>
      <c r="I166" s="6"/>
      <c r="J166" s="6"/>
    </row>
    <row r="167" spans="1:10">
      <c r="A167" s="6"/>
      <c r="B167" s="6"/>
      <c r="C167" s="6"/>
      <c r="D167" s="6"/>
      <c r="E167" s="6"/>
      <c r="F167" s="6"/>
      <c r="G167" s="6"/>
      <c r="H167" s="6"/>
      <c r="I167" s="6"/>
      <c r="J167" s="6"/>
    </row>
    <row r="168" spans="1:10">
      <c r="A168" s="6"/>
      <c r="B168" s="6"/>
      <c r="C168" s="6"/>
      <c r="D168" s="6"/>
      <c r="E168" s="6"/>
      <c r="F168" s="6"/>
      <c r="G168" s="6"/>
      <c r="H168" s="6"/>
      <c r="I168" s="6"/>
      <c r="J168" s="6"/>
    </row>
    <row r="169" spans="1:10">
      <c r="A169" s="6"/>
      <c r="B169" s="6"/>
      <c r="C169" s="6"/>
      <c r="D169" s="6"/>
      <c r="E169" s="6"/>
      <c r="F169" s="6"/>
      <c r="G169" s="6"/>
      <c r="H169" s="6"/>
      <c r="I169" s="6"/>
      <c r="J169" s="6"/>
    </row>
    <row r="170" spans="1:10">
      <c r="A170" s="6"/>
      <c r="B170" s="6"/>
      <c r="C170" s="6"/>
      <c r="D170" s="6"/>
      <c r="E170" s="6"/>
      <c r="F170" s="6"/>
      <c r="G170" s="6"/>
      <c r="H170" s="6"/>
      <c r="I170" s="6"/>
      <c r="J170" s="6"/>
    </row>
    <row r="171" spans="1:10">
      <c r="A171" s="6"/>
      <c r="B171" s="6"/>
      <c r="C171" s="6"/>
      <c r="D171" s="6"/>
      <c r="E171" s="6"/>
      <c r="F171" s="6"/>
      <c r="G171" s="6"/>
      <c r="H171" s="6"/>
      <c r="I171" s="6"/>
      <c r="J171" s="6"/>
    </row>
    <row r="172" spans="1:10">
      <c r="A172" s="6"/>
      <c r="B172" s="6"/>
      <c r="C172" s="6"/>
      <c r="D172" s="6"/>
      <c r="E172" s="6"/>
      <c r="F172" s="6"/>
      <c r="G172" s="6"/>
      <c r="H172" s="6"/>
      <c r="I172" s="6"/>
      <c r="J172" s="6"/>
    </row>
    <row r="173" spans="1:10">
      <c r="A173" s="6"/>
      <c r="B173" s="6"/>
      <c r="C173" s="6"/>
      <c r="D173" s="6"/>
      <c r="E173" s="6"/>
      <c r="F173" s="6"/>
      <c r="G173" s="6"/>
      <c r="H173" s="6"/>
      <c r="I173" s="6"/>
      <c r="J173" s="6"/>
    </row>
    <row r="174" spans="1:10">
      <c r="A174" s="6"/>
      <c r="B174" s="6"/>
      <c r="C174" s="6"/>
      <c r="D174" s="6"/>
      <c r="E174" s="6"/>
      <c r="F174" s="6"/>
      <c r="G174" s="6"/>
      <c r="H174" s="6"/>
      <c r="I174" s="6"/>
      <c r="J174" s="6"/>
    </row>
    <row r="175" spans="1:10">
      <c r="A175" s="6"/>
      <c r="B175" s="6"/>
      <c r="C175" s="6"/>
      <c r="D175" s="6"/>
      <c r="E175" s="6"/>
      <c r="F175" s="6"/>
      <c r="G175" s="6"/>
      <c r="H175" s="6"/>
      <c r="I175" s="6"/>
      <c r="J175" s="6"/>
    </row>
    <row r="176" spans="1:10">
      <c r="A176" s="6"/>
      <c r="B176" s="6"/>
      <c r="C176" s="6"/>
      <c r="D176" s="6"/>
      <c r="E176" s="6"/>
      <c r="F176" s="6"/>
      <c r="G176" s="6"/>
      <c r="H176" s="6"/>
      <c r="I176" s="6"/>
      <c r="J176" s="6"/>
    </row>
    <row r="177" spans="1:10">
      <c r="A177" s="6"/>
      <c r="B177" s="6"/>
      <c r="C177" s="6"/>
      <c r="D177" s="6"/>
      <c r="E177" s="6"/>
      <c r="F177" s="6"/>
      <c r="G177" s="6"/>
      <c r="H177" s="6"/>
      <c r="I177" s="6"/>
      <c r="J177" s="6"/>
    </row>
    <row r="178" spans="1:10">
      <c r="A178" s="6"/>
      <c r="B178" s="6"/>
      <c r="C178" s="6"/>
      <c r="D178" s="6"/>
      <c r="E178" s="6"/>
      <c r="F178" s="6"/>
      <c r="G178" s="6"/>
      <c r="H178" s="6"/>
      <c r="I178" s="6"/>
      <c r="J178" s="6"/>
    </row>
    <row r="179" spans="1:10">
      <c r="A179" s="6"/>
      <c r="B179" s="6"/>
      <c r="C179" s="6"/>
      <c r="D179" s="6"/>
      <c r="E179" s="6"/>
      <c r="F179" s="6"/>
      <c r="G179" s="6"/>
      <c r="H179" s="6"/>
      <c r="I179" s="6"/>
      <c r="J179" s="6"/>
    </row>
    <row r="180" spans="1:10">
      <c r="B180" s="6"/>
      <c r="C180" s="6"/>
      <c r="D180" s="6"/>
      <c r="E180" s="6"/>
      <c r="F180" s="6"/>
      <c r="G180" s="6"/>
      <c r="H180" s="6"/>
      <c r="I180" s="6"/>
      <c r="J180" s="6"/>
    </row>
    <row r="181" spans="1:10">
      <c r="B181" s="6"/>
      <c r="C181" s="6"/>
      <c r="D181" s="6"/>
      <c r="E181" s="6"/>
      <c r="F181" s="6"/>
      <c r="G181" s="6"/>
      <c r="H181" s="6"/>
      <c r="I181" s="6"/>
      <c r="J181" s="6"/>
    </row>
    <row r="182" spans="1:10">
      <c r="B182" s="6"/>
      <c r="C182" s="6"/>
      <c r="D182" s="6"/>
      <c r="E182" s="6"/>
      <c r="F182" s="6"/>
      <c r="G182" s="6"/>
      <c r="H182" s="6"/>
      <c r="I182" s="6"/>
      <c r="J182" s="6"/>
    </row>
    <row r="183" spans="1:10">
      <c r="B183" s="6"/>
      <c r="C183" s="6"/>
      <c r="D183" s="6"/>
      <c r="E183" s="6"/>
      <c r="F183" s="6"/>
      <c r="G183" s="6"/>
      <c r="H183" s="6"/>
      <c r="I183" s="6"/>
      <c r="J183" s="6"/>
    </row>
    <row r="184" spans="1:10">
      <c r="B184" s="6"/>
      <c r="C184" s="6"/>
      <c r="D184" s="6"/>
      <c r="E184" s="6"/>
      <c r="F184" s="6"/>
      <c r="G184" s="6"/>
      <c r="H184" s="6"/>
      <c r="I184" s="6"/>
      <c r="J184" s="6"/>
    </row>
    <row r="185" spans="1:10">
      <c r="B185" s="6"/>
      <c r="C185" s="6"/>
      <c r="D185" s="6"/>
      <c r="E185" s="6"/>
      <c r="F185" s="6"/>
      <c r="G185" s="6"/>
      <c r="H185" s="6"/>
      <c r="I185" s="6"/>
      <c r="J185" s="6"/>
    </row>
    <row r="186" spans="1:10">
      <c r="B186" s="6"/>
      <c r="C186" s="6"/>
      <c r="D186" s="6"/>
      <c r="E186" s="6"/>
      <c r="F186" s="6"/>
      <c r="G186" s="6"/>
      <c r="H186" s="6"/>
      <c r="I186" s="6"/>
      <c r="J186" s="6"/>
    </row>
    <row r="187" spans="1:10">
      <c r="C187" s="6"/>
      <c r="D187" s="6"/>
      <c r="E187" s="6"/>
      <c r="F187" s="6"/>
      <c r="G187" s="6"/>
      <c r="H187" s="6"/>
      <c r="I187" s="6"/>
      <c r="J187" s="6"/>
    </row>
    <row r="188" spans="1:10">
      <c r="C188" s="6"/>
      <c r="D188" s="6"/>
      <c r="E188" s="6"/>
      <c r="F188" s="6"/>
      <c r="G188" s="6"/>
      <c r="H188" s="6"/>
      <c r="I188" s="6"/>
      <c r="J188" s="6"/>
    </row>
    <row r="189" spans="1:10">
      <c r="C189" s="6"/>
      <c r="D189" s="6"/>
      <c r="E189" s="6"/>
      <c r="F189" s="6"/>
      <c r="G189" s="6"/>
      <c r="H189" s="6"/>
      <c r="I189" s="6"/>
      <c r="J189" s="6"/>
    </row>
    <row r="190" spans="1:10">
      <c r="C190" s="6"/>
      <c r="D190" s="6"/>
      <c r="E190" s="6"/>
      <c r="F190" s="6"/>
      <c r="G190" s="6"/>
      <c r="H190" s="6"/>
      <c r="I190" s="6"/>
      <c r="J190" s="6"/>
    </row>
    <row r="191" spans="1:10">
      <c r="C191" s="6"/>
      <c r="D191" s="6"/>
      <c r="E191" s="6"/>
      <c r="F191" s="6"/>
      <c r="G191" s="6"/>
      <c r="H191" s="6"/>
      <c r="I191" s="6"/>
      <c r="J191" s="6"/>
    </row>
    <row r="192" spans="1:10">
      <c r="C192" s="6"/>
      <c r="D192" s="6"/>
      <c r="E192" s="6"/>
      <c r="F192" s="6"/>
      <c r="G192" s="6"/>
      <c r="H192" s="6"/>
      <c r="I192" s="6"/>
      <c r="J192" s="6"/>
    </row>
    <row r="193" spans="3:10">
      <c r="C193" s="6"/>
      <c r="D193" s="6"/>
      <c r="E193" s="6"/>
      <c r="F193" s="6"/>
      <c r="G193" s="6"/>
      <c r="H193" s="6"/>
      <c r="I193" s="6"/>
      <c r="J193" s="6"/>
    </row>
    <row r="194" spans="3:10">
      <c r="C194" s="6"/>
      <c r="D194" s="6"/>
      <c r="E194" s="6"/>
      <c r="F194" s="6"/>
      <c r="G194" s="6"/>
      <c r="H194" s="6"/>
      <c r="I194" s="6"/>
      <c r="J194" s="6"/>
    </row>
    <row r="195" spans="3:10">
      <c r="C195" s="6"/>
      <c r="D195" s="6"/>
      <c r="E195" s="6"/>
      <c r="F195" s="6"/>
      <c r="G195" s="6"/>
      <c r="H195" s="6"/>
      <c r="I195" s="6"/>
      <c r="J195" s="6"/>
    </row>
    <row r="196" spans="3:10">
      <c r="C196" s="6"/>
      <c r="D196" s="6"/>
      <c r="E196" s="6"/>
      <c r="F196" s="6"/>
      <c r="G196" s="6"/>
      <c r="H196" s="6"/>
      <c r="I196" s="6"/>
      <c r="J196" s="6"/>
    </row>
    <row r="197" spans="3:10">
      <c r="C197" s="6"/>
      <c r="D197" s="6"/>
      <c r="E197" s="6"/>
      <c r="F197" s="6"/>
      <c r="G197" s="6"/>
      <c r="H197" s="6"/>
      <c r="I197" s="6"/>
      <c r="J197" s="6"/>
    </row>
    <row r="198" spans="3:10">
      <c r="C198" s="6"/>
      <c r="D198" s="6"/>
      <c r="E198" s="6"/>
      <c r="F198" s="6"/>
      <c r="G198" s="6"/>
      <c r="H198" s="6"/>
      <c r="I198" s="6"/>
      <c r="J198" s="6"/>
    </row>
    <row r="199" spans="3:10">
      <c r="C199" s="6"/>
      <c r="D199" s="6"/>
      <c r="E199" s="6"/>
      <c r="F199" s="6"/>
      <c r="G199" s="6"/>
      <c r="H199" s="6"/>
      <c r="I199" s="6"/>
      <c r="J199" s="6"/>
    </row>
    <row r="200" spans="3:10">
      <c r="C200" s="6"/>
      <c r="D200" s="6"/>
      <c r="E200" s="6"/>
      <c r="F200" s="6"/>
      <c r="G200" s="6"/>
      <c r="H200" s="6"/>
      <c r="I200" s="6"/>
      <c r="J200" s="6"/>
    </row>
    <row r="201" spans="3:10">
      <c r="C201" s="6"/>
      <c r="D201" s="6"/>
      <c r="E201" s="6"/>
      <c r="F201" s="6"/>
      <c r="G201" s="6"/>
      <c r="H201" s="6"/>
      <c r="I201" s="6"/>
      <c r="J201" s="6"/>
    </row>
    <row r="202" spans="3:10">
      <c r="C202" s="6"/>
      <c r="D202" s="6"/>
      <c r="E202" s="6"/>
      <c r="F202" s="6"/>
      <c r="G202" s="6"/>
      <c r="H202" s="6"/>
      <c r="I202" s="6"/>
      <c r="J202" s="6"/>
    </row>
    <row r="203" spans="3:10">
      <c r="C203" s="6"/>
      <c r="D203" s="6"/>
      <c r="E203" s="6"/>
      <c r="F203" s="6"/>
      <c r="G203" s="6"/>
      <c r="H203" s="6"/>
      <c r="I203" s="6"/>
      <c r="J203" s="6"/>
    </row>
    <row r="204" spans="3:10">
      <c r="C204" s="6"/>
      <c r="D204" s="6"/>
      <c r="E204" s="6"/>
      <c r="F204" s="6"/>
      <c r="G204" s="6"/>
      <c r="H204" s="6"/>
      <c r="I204" s="6"/>
      <c r="J204" s="6"/>
    </row>
    <row r="205" spans="3:10">
      <c r="C205" s="6"/>
      <c r="D205" s="6"/>
      <c r="E205" s="6"/>
      <c r="F205" s="6"/>
      <c r="G205" s="6"/>
      <c r="H205" s="6"/>
      <c r="I205" s="6"/>
      <c r="J205" s="6"/>
    </row>
    <row r="206" spans="3:10">
      <c r="C206" s="6"/>
      <c r="D206" s="6"/>
      <c r="E206" s="6"/>
      <c r="F206" s="6"/>
      <c r="G206" s="6"/>
      <c r="H206" s="6"/>
      <c r="I206" s="6"/>
      <c r="J206" s="6"/>
    </row>
    <row r="207" spans="3:10">
      <c r="C207" s="6"/>
      <c r="D207" s="6"/>
      <c r="E207" s="6"/>
      <c r="F207" s="6"/>
      <c r="G207" s="6"/>
      <c r="H207" s="6"/>
      <c r="I207" s="6"/>
      <c r="J207" s="6"/>
    </row>
    <row r="208" spans="3:10">
      <c r="C208" s="6"/>
      <c r="D208" s="6"/>
      <c r="E208" s="6"/>
      <c r="F208" s="6"/>
      <c r="G208" s="6"/>
      <c r="H208" s="6"/>
      <c r="I208" s="6"/>
      <c r="J208" s="6"/>
    </row>
    <row r="209" spans="3:10">
      <c r="C209" s="6"/>
      <c r="D209" s="6"/>
      <c r="E209" s="6"/>
      <c r="F209" s="6"/>
      <c r="G209" s="6"/>
      <c r="H209" s="6"/>
      <c r="I209" s="6"/>
      <c r="J209" s="6"/>
    </row>
    <row r="210" spans="3:10">
      <c r="C210" s="6"/>
      <c r="D210" s="6"/>
      <c r="E210" s="6"/>
      <c r="F210" s="6"/>
      <c r="G210" s="6"/>
      <c r="H210" s="6"/>
      <c r="I210" s="6"/>
      <c r="J210" s="6"/>
    </row>
    <row r="211" spans="3:10">
      <c r="C211" s="6"/>
      <c r="D211" s="6"/>
      <c r="E211" s="6"/>
      <c r="F211" s="6"/>
      <c r="G211" s="6"/>
      <c r="H211" s="6"/>
      <c r="I211" s="6"/>
      <c r="J211" s="6"/>
    </row>
    <row r="212" spans="3:10">
      <c r="C212" s="6"/>
      <c r="D212" s="6"/>
      <c r="E212" s="6"/>
      <c r="F212" s="6"/>
      <c r="G212" s="6"/>
      <c r="H212" s="6"/>
      <c r="I212" s="6"/>
      <c r="J212" s="6"/>
    </row>
    <row r="213" spans="3:10">
      <c r="C213" s="6"/>
      <c r="D213" s="6"/>
      <c r="E213" s="6"/>
      <c r="F213" s="6"/>
      <c r="G213" s="6"/>
      <c r="H213" s="6"/>
      <c r="I213" s="6"/>
      <c r="J213" s="6"/>
    </row>
    <row r="214" spans="3:10">
      <c r="C214" s="6"/>
      <c r="D214" s="6"/>
      <c r="E214" s="6"/>
      <c r="F214" s="6"/>
      <c r="G214" s="6"/>
      <c r="H214" s="6"/>
      <c r="I214" s="6"/>
      <c r="J214" s="6"/>
    </row>
    <row r="215" spans="3:10">
      <c r="C215" s="6"/>
      <c r="D215" s="6"/>
      <c r="E215" s="6"/>
      <c r="F215" s="6"/>
      <c r="G215" s="6"/>
      <c r="H215" s="6"/>
      <c r="I215" s="6"/>
      <c r="J215" s="6"/>
    </row>
    <row r="216" spans="3:10">
      <c r="C216" s="6"/>
      <c r="D216" s="6"/>
      <c r="E216" s="6"/>
      <c r="F216" s="6"/>
      <c r="G216" s="6"/>
      <c r="H216" s="6"/>
      <c r="I216" s="6"/>
      <c r="J216" s="6"/>
    </row>
    <row r="217" spans="3:10">
      <c r="C217" s="6"/>
      <c r="D217" s="6"/>
      <c r="E217" s="6"/>
      <c r="F217" s="6"/>
      <c r="G217" s="6"/>
      <c r="H217" s="6"/>
      <c r="I217" s="6"/>
      <c r="J217" s="6"/>
    </row>
    <row r="218" spans="3:10">
      <c r="C218" s="6"/>
      <c r="D218" s="6"/>
      <c r="E218" s="6"/>
      <c r="F218" s="6"/>
      <c r="G218" s="6"/>
      <c r="H218" s="6"/>
      <c r="I218" s="6"/>
      <c r="J218" s="6"/>
    </row>
    <row r="219" spans="3:10">
      <c r="C219" s="6"/>
      <c r="D219" s="6"/>
      <c r="E219" s="6"/>
      <c r="F219" s="6"/>
      <c r="G219" s="6"/>
      <c r="H219" s="6"/>
      <c r="I219" s="6"/>
      <c r="J219" s="6"/>
    </row>
    <row r="220" spans="3:10">
      <c r="C220" s="6"/>
      <c r="D220" s="6"/>
      <c r="E220" s="6"/>
      <c r="F220" s="6"/>
      <c r="G220" s="6"/>
      <c r="H220" s="6"/>
      <c r="I220" s="6"/>
      <c r="J220" s="6"/>
    </row>
    <row r="221" spans="3:10">
      <c r="C221" s="6"/>
      <c r="D221" s="6"/>
      <c r="E221" s="6"/>
      <c r="F221" s="6"/>
      <c r="G221" s="6"/>
      <c r="H221" s="6"/>
      <c r="I221" s="6"/>
      <c r="J221" s="6"/>
    </row>
    <row r="222" spans="3:10">
      <c r="C222" s="6"/>
      <c r="D222" s="6"/>
      <c r="E222" s="6"/>
      <c r="F222" s="6"/>
      <c r="G222" s="6"/>
      <c r="H222" s="6"/>
      <c r="I222" s="6"/>
      <c r="J222" s="6"/>
    </row>
    <row r="223" spans="3:10">
      <c r="C223" s="6"/>
      <c r="D223" s="6"/>
      <c r="E223" s="6"/>
      <c r="F223" s="6"/>
      <c r="G223" s="6"/>
      <c r="H223" s="6"/>
      <c r="I223" s="6"/>
      <c r="J223" s="6"/>
    </row>
    <row r="224" spans="3:10">
      <c r="C224" s="6"/>
      <c r="D224" s="6"/>
      <c r="E224" s="6"/>
      <c r="F224" s="6"/>
      <c r="G224" s="6"/>
      <c r="H224" s="6"/>
      <c r="I224" s="6"/>
      <c r="J224" s="6"/>
    </row>
    <row r="225" spans="3:10">
      <c r="C225" s="6"/>
      <c r="D225" s="6"/>
      <c r="E225" s="6"/>
      <c r="F225" s="6"/>
      <c r="G225" s="6"/>
      <c r="H225" s="6"/>
      <c r="I225" s="6"/>
      <c r="J225" s="6"/>
    </row>
    <row r="226" spans="3:10">
      <c r="C226" s="6"/>
      <c r="D226" s="6"/>
      <c r="E226" s="6"/>
      <c r="F226" s="6"/>
      <c r="G226" s="6"/>
      <c r="H226" s="6"/>
      <c r="I226" s="6"/>
      <c r="J226" s="6"/>
    </row>
    <row r="227" spans="3:10">
      <c r="C227" s="6"/>
      <c r="D227" s="6"/>
      <c r="E227" s="6"/>
      <c r="F227" s="6"/>
      <c r="G227" s="6"/>
      <c r="H227" s="6"/>
      <c r="I227" s="6"/>
      <c r="J227" s="6"/>
    </row>
  </sheetData>
  <mergeCells count="1">
    <mergeCell ref="E1:J3"/>
  </mergeCells>
  <phoneticPr fontId="2" type="noConversion"/>
  <hyperlinks>
    <hyperlink ref="A8" r:id="rId1" display="TEL:(82)2-5460066   FAX:(82)2-5404106" xr:uid="{00000000-0004-0000-0700-000000000000}"/>
  </hyperlinks>
  <printOptions horizontalCentered="1"/>
  <pageMargins left="0.15748031496062992" right="0.15748031496062992" top="0.19685039370078741" bottom="0.31496062992125984" header="0.15748031496062992" footer="0.15748031496062992"/>
  <pageSetup paperSize="9" orientation="portrait" r:id="rId2"/>
  <headerFooter scaleWithDoc="0" alignWithMargins="0">
    <oddFooter>&amp;C&amp;"+,굵게"&amp;8&amp;K00-032SEWANG TEXTILE&amp;R&amp;"+,굵게"&amp;8&amp;K00-032&amp;POF &amp;N</oddFooter>
  </headerFooter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58"/>
  <sheetViews>
    <sheetView showGridLines="0" view="pageBreakPreview" topLeftCell="A19" zoomScaleSheetLayoutView="100" workbookViewId="0">
      <selection activeCell="E48" sqref="E48"/>
    </sheetView>
  </sheetViews>
  <sheetFormatPr defaultColWidth="8.88671875" defaultRowHeight="13.5"/>
  <cols>
    <col min="1" max="1" width="8.33203125" customWidth="1"/>
    <col min="2" max="2" width="7.77734375" customWidth="1"/>
    <col min="3" max="3" width="13.33203125" customWidth="1"/>
    <col min="4" max="4" width="5.88671875" customWidth="1"/>
    <col min="5" max="5" width="8.21875" customWidth="1"/>
    <col min="6" max="9" width="10.77734375" customWidth="1"/>
  </cols>
  <sheetData>
    <row r="1" spans="1:10" ht="17.100000000000001" customHeight="1">
      <c r="E1" s="696" t="s">
        <v>330</v>
      </c>
      <c r="F1" s="696"/>
      <c r="G1" s="696"/>
      <c r="H1" s="696"/>
      <c r="I1" s="696"/>
    </row>
    <row r="2" spans="1:10" ht="17.100000000000001" customHeight="1">
      <c r="E2" s="696"/>
      <c r="F2" s="696"/>
      <c r="G2" s="696"/>
      <c r="H2" s="696"/>
      <c r="I2" s="696"/>
    </row>
    <row r="3" spans="1:10" ht="17.100000000000001" customHeight="1">
      <c r="A3" s="1"/>
      <c r="B3" s="1"/>
      <c r="C3" s="1"/>
      <c r="D3" s="1"/>
      <c r="E3" s="698"/>
      <c r="F3" s="698"/>
      <c r="G3" s="698"/>
      <c r="H3" s="698"/>
      <c r="I3" s="698"/>
    </row>
    <row r="4" spans="1:10" s="85" customFormat="1" ht="9.9499999999999993" customHeight="1">
      <c r="A4" s="82" t="s">
        <v>301</v>
      </c>
      <c r="B4" s="82"/>
      <c r="C4" s="82"/>
      <c r="D4" s="82"/>
      <c r="E4" s="144" t="s">
        <v>2</v>
      </c>
      <c r="F4" s="152"/>
      <c r="G4" s="145"/>
      <c r="H4" s="145"/>
      <c r="I4" s="146"/>
    </row>
    <row r="5" spans="1:10" s="91" customFormat="1" ht="12" customHeight="1">
      <c r="A5" s="86" t="s">
        <v>3</v>
      </c>
      <c r="B5" s="87"/>
      <c r="C5" s="87"/>
      <c r="D5" s="87"/>
      <c r="E5" s="88" t="s">
        <v>359</v>
      </c>
      <c r="F5" s="153"/>
      <c r="G5" s="89"/>
      <c r="H5" s="89"/>
      <c r="I5" s="90">
        <v>43236</v>
      </c>
      <c r="J5" s="90"/>
    </row>
    <row r="6" spans="1:10" s="85" customFormat="1" ht="12" customHeight="1">
      <c r="A6" s="86" t="s">
        <v>4</v>
      </c>
      <c r="B6" s="87"/>
      <c r="C6" s="87"/>
      <c r="D6" s="87"/>
      <c r="E6" s="83" t="s">
        <v>5</v>
      </c>
      <c r="F6" s="100"/>
      <c r="G6" s="82"/>
      <c r="H6" s="82"/>
      <c r="I6" s="92"/>
    </row>
    <row r="7" spans="1:10" s="91" customFormat="1" ht="12" customHeight="1">
      <c r="A7" s="86" t="s">
        <v>6</v>
      </c>
      <c r="B7" s="87"/>
      <c r="C7" s="87"/>
      <c r="D7" s="87" t="s">
        <v>7</v>
      </c>
      <c r="E7" s="213" t="s">
        <v>342</v>
      </c>
      <c r="F7" s="214"/>
      <c r="G7" s="130"/>
      <c r="H7" s="130"/>
      <c r="I7" s="216">
        <v>43215</v>
      </c>
    </row>
    <row r="8" spans="1:10" s="91" customFormat="1" ht="12" customHeight="1">
      <c r="A8" s="86" t="s">
        <v>8</v>
      </c>
      <c r="B8" s="87"/>
      <c r="C8" s="87"/>
      <c r="D8" s="87"/>
      <c r="E8" s="156" t="s">
        <v>346</v>
      </c>
      <c r="F8" s="117"/>
      <c r="G8" s="87"/>
      <c r="H8" s="87"/>
      <c r="I8" s="96"/>
    </row>
    <row r="9" spans="1:10" s="91" customFormat="1" ht="12" customHeight="1">
      <c r="A9" s="87"/>
      <c r="B9" s="87"/>
      <c r="C9" s="87"/>
      <c r="D9" s="87"/>
      <c r="E9" s="97"/>
      <c r="F9" s="106"/>
      <c r="G9" s="87"/>
      <c r="H9" s="87"/>
      <c r="I9" s="98"/>
    </row>
    <row r="10" spans="1:10" s="85" customFormat="1" ht="9.9499999999999993" customHeight="1">
      <c r="A10" s="82" t="s">
        <v>309</v>
      </c>
      <c r="B10" s="82"/>
      <c r="C10" s="82"/>
      <c r="D10" s="99"/>
      <c r="E10" s="100" t="s">
        <v>10</v>
      </c>
      <c r="F10" s="100"/>
      <c r="G10" s="82"/>
      <c r="H10" s="101"/>
      <c r="I10" s="147"/>
    </row>
    <row r="11" spans="1:10" s="91" customFormat="1" ht="12" customHeight="1">
      <c r="A11" s="87" t="s">
        <v>11</v>
      </c>
      <c r="B11" s="87"/>
      <c r="C11" s="87"/>
      <c r="D11" s="104"/>
      <c r="E11" s="86" t="s">
        <v>49</v>
      </c>
      <c r="F11" s="86"/>
      <c r="G11" s="87"/>
      <c r="H11" s="87"/>
      <c r="I11" s="105"/>
    </row>
    <row r="12" spans="1:10" s="91" customFormat="1" ht="12" customHeight="1">
      <c r="A12" s="87" t="s">
        <v>12</v>
      </c>
      <c r="B12" s="87"/>
      <c r="C12" s="87"/>
      <c r="D12" s="104"/>
      <c r="E12" s="106" t="s">
        <v>50</v>
      </c>
      <c r="F12" s="106"/>
      <c r="G12" s="87"/>
      <c r="H12" s="87"/>
      <c r="I12" s="105"/>
    </row>
    <row r="13" spans="1:10" s="91" customFormat="1" ht="12" customHeight="1">
      <c r="A13" s="87" t="s">
        <v>13</v>
      </c>
      <c r="B13" s="87"/>
      <c r="C13" s="87"/>
      <c r="D13" s="104"/>
      <c r="E13" s="106"/>
      <c r="F13" s="106"/>
      <c r="G13" s="87"/>
      <c r="H13" s="87"/>
      <c r="I13" s="105"/>
    </row>
    <row r="14" spans="1:10" s="91" customFormat="1" ht="12" customHeight="1">
      <c r="A14" s="87"/>
      <c r="B14" s="87"/>
      <c r="C14" s="87"/>
      <c r="D14" s="104"/>
      <c r="E14" s="107"/>
      <c r="F14" s="107"/>
      <c r="G14" s="87"/>
      <c r="H14" s="87"/>
      <c r="I14" s="122"/>
    </row>
    <row r="15" spans="1:10" s="85" customFormat="1" ht="9.9499999999999993" customHeight="1">
      <c r="A15" s="82" t="s">
        <v>296</v>
      </c>
      <c r="B15" s="108"/>
      <c r="C15" s="102"/>
      <c r="D15" s="99"/>
      <c r="E15" s="100" t="s">
        <v>15</v>
      </c>
      <c r="F15" s="100"/>
      <c r="G15" s="101"/>
      <c r="H15" s="102"/>
      <c r="I15" s="147"/>
    </row>
    <row r="16" spans="1:10" s="91" customFormat="1" ht="12" customHeight="1">
      <c r="A16" s="87" t="s">
        <v>312</v>
      </c>
      <c r="B16" s="87"/>
      <c r="C16" s="87"/>
      <c r="D16" s="104"/>
      <c r="E16" s="109" t="s">
        <v>17</v>
      </c>
      <c r="F16" s="109"/>
      <c r="G16" s="87"/>
      <c r="H16" s="87"/>
      <c r="I16" s="105"/>
    </row>
    <row r="17" spans="1:11" s="91" customFormat="1" ht="12" customHeight="1">
      <c r="A17" s="87" t="s">
        <v>314</v>
      </c>
      <c r="B17" s="87"/>
      <c r="C17" s="87"/>
      <c r="D17" s="104"/>
      <c r="E17" s="110" t="s">
        <v>16</v>
      </c>
      <c r="F17" s="110"/>
      <c r="G17" s="87"/>
      <c r="H17" s="87"/>
      <c r="I17" s="105"/>
    </row>
    <row r="18" spans="1:11" s="91" customFormat="1" ht="12" customHeight="1">
      <c r="A18" s="87" t="s">
        <v>315</v>
      </c>
      <c r="B18" s="87"/>
      <c r="C18" s="87"/>
      <c r="D18" s="104"/>
      <c r="E18" s="110" t="s">
        <v>18</v>
      </c>
      <c r="F18" s="110"/>
      <c r="G18" s="87"/>
      <c r="H18" s="87"/>
      <c r="I18" s="105"/>
    </row>
    <row r="19" spans="1:11" s="91" customFormat="1" ht="12" customHeight="1">
      <c r="A19" s="87" t="s">
        <v>316</v>
      </c>
      <c r="B19" s="87"/>
      <c r="C19" s="87"/>
      <c r="D19" s="104"/>
      <c r="E19" s="110" t="s">
        <v>19</v>
      </c>
      <c r="F19" s="110"/>
      <c r="G19" s="87"/>
      <c r="H19" s="87"/>
      <c r="I19" s="105"/>
    </row>
    <row r="20" spans="1:11" s="91" customFormat="1" ht="12" customHeight="1">
      <c r="A20" s="87"/>
      <c r="B20" s="87"/>
      <c r="C20" s="87"/>
      <c r="D20" s="104"/>
      <c r="E20" s="87"/>
      <c r="F20" s="87"/>
      <c r="H20" s="87"/>
      <c r="I20" s="112"/>
    </row>
    <row r="21" spans="1:11" s="85" customFormat="1" ht="9.9499999999999993" customHeight="1">
      <c r="A21" s="82" t="s">
        <v>20</v>
      </c>
      <c r="B21" s="82"/>
      <c r="C21" s="113" t="s">
        <v>21</v>
      </c>
      <c r="D21" s="114"/>
      <c r="E21" s="87"/>
      <c r="F21" s="87"/>
      <c r="G21" s="87"/>
      <c r="H21" s="87"/>
      <c r="I21" s="105"/>
    </row>
    <row r="22" spans="1:11" s="91" customFormat="1" ht="12" customHeight="1">
      <c r="A22" s="89" t="s">
        <v>317</v>
      </c>
      <c r="B22" s="115"/>
      <c r="C22" s="116" t="s">
        <v>300</v>
      </c>
      <c r="D22" s="115"/>
      <c r="E22" s="87"/>
      <c r="F22" s="87"/>
      <c r="G22" s="87"/>
      <c r="H22" s="87"/>
      <c r="I22" s="105"/>
    </row>
    <row r="23" spans="1:11" s="85" customFormat="1" ht="9.9499999999999993" customHeight="1">
      <c r="A23" s="82" t="s">
        <v>44</v>
      </c>
      <c r="B23" s="82"/>
      <c r="C23" s="113" t="s">
        <v>45</v>
      </c>
      <c r="D23" s="114"/>
      <c r="E23" s="117" t="s">
        <v>320</v>
      </c>
      <c r="F23" s="117"/>
      <c r="G23" s="87"/>
      <c r="H23" s="118"/>
      <c r="I23" s="105"/>
    </row>
    <row r="24" spans="1:11" s="91" customFormat="1" ht="12" customHeight="1">
      <c r="A24" s="119" t="s">
        <v>329</v>
      </c>
      <c r="B24" s="115"/>
      <c r="C24" s="142">
        <v>43236</v>
      </c>
      <c r="D24" s="120"/>
      <c r="E24" s="121">
        <f>+'INV(TTL)_A'!E24</f>
        <v>0</v>
      </c>
      <c r="F24" s="121"/>
      <c r="G24" s="87"/>
      <c r="H24" s="118"/>
      <c r="I24" s="122"/>
    </row>
    <row r="25" spans="1:11" ht="9.9499999999999993" customHeight="1">
      <c r="A25" s="2" t="s">
        <v>23</v>
      </c>
      <c r="B25" s="2"/>
      <c r="C25" s="34" t="s">
        <v>24</v>
      </c>
      <c r="D25" s="2"/>
      <c r="E25" s="34" t="s">
        <v>28</v>
      </c>
      <c r="F25" s="2"/>
      <c r="G25" s="2"/>
      <c r="H25" s="34" t="s">
        <v>29</v>
      </c>
      <c r="I25" s="148" t="s">
        <v>30</v>
      </c>
    </row>
    <row r="26" spans="1:11" s="47" customFormat="1" ht="12" customHeight="1">
      <c r="A26" s="6"/>
      <c r="B26" s="6"/>
      <c r="C26" s="6"/>
      <c r="D26" s="6"/>
      <c r="E26" s="27"/>
      <c r="F26" s="27"/>
      <c r="G26" s="6"/>
      <c r="H26" s="6"/>
      <c r="I26" s="6"/>
    </row>
    <row r="27" spans="1:11" s="47" customFormat="1" ht="12" customHeight="1">
      <c r="A27" s="13"/>
      <c r="B27" s="6"/>
      <c r="C27" s="6"/>
      <c r="D27" s="6"/>
      <c r="E27" s="42"/>
      <c r="F27" s="42"/>
      <c r="G27" s="6"/>
      <c r="H27" s="6"/>
      <c r="I27" s="6"/>
      <c r="J27" s="6"/>
    </row>
    <row r="28" spans="1:11" ht="12" customHeight="1">
      <c r="A28" s="31"/>
      <c r="B28" s="87"/>
      <c r="C28" s="125" t="s">
        <v>26</v>
      </c>
      <c r="D28" s="154"/>
      <c r="E28" s="128"/>
      <c r="F28" s="129"/>
      <c r="H28" s="150"/>
      <c r="I28" s="150"/>
      <c r="J28" s="143"/>
      <c r="K28" s="87"/>
    </row>
    <row r="29" spans="1:11" ht="12" customHeight="1">
      <c r="A29" s="31"/>
      <c r="B29" s="124" t="s">
        <v>325</v>
      </c>
      <c r="C29" s="177" t="s">
        <v>348</v>
      </c>
      <c r="D29" s="127"/>
      <c r="E29" s="126"/>
      <c r="F29" s="125"/>
      <c r="H29" s="150"/>
      <c r="I29" s="150"/>
      <c r="J29" s="143"/>
      <c r="K29" s="87"/>
    </row>
    <row r="30" spans="1:11" ht="12" customHeight="1">
      <c r="A30" s="31"/>
      <c r="B30" s="87"/>
      <c r="C30" s="177" t="s">
        <v>349</v>
      </c>
      <c r="D30" s="127"/>
      <c r="E30" s="126"/>
      <c r="F30" s="125"/>
      <c r="H30" s="150"/>
      <c r="I30" s="150"/>
      <c r="J30" s="143"/>
      <c r="K30" s="87"/>
    </row>
    <row r="31" spans="1:11" ht="12" customHeight="1">
      <c r="A31" s="31"/>
      <c r="B31" s="87"/>
      <c r="C31" s="47" t="s">
        <v>339</v>
      </c>
      <c r="D31" s="127"/>
      <c r="E31" s="126"/>
      <c r="F31" s="125"/>
      <c r="H31" s="150"/>
      <c r="I31" s="150"/>
      <c r="J31" s="143"/>
      <c r="K31" s="87"/>
    </row>
    <row r="32" spans="1:11" ht="12" customHeight="1">
      <c r="A32" s="31"/>
      <c r="B32" s="87"/>
      <c r="C32" s="47" t="s">
        <v>340</v>
      </c>
      <c r="D32" s="127"/>
      <c r="E32" s="126"/>
      <c r="F32" s="125"/>
      <c r="H32" s="150"/>
      <c r="I32" s="150"/>
      <c r="J32" s="143"/>
      <c r="K32" s="87"/>
    </row>
    <row r="33" spans="1:11" ht="12" customHeight="1">
      <c r="A33" s="31"/>
      <c r="B33" s="87"/>
      <c r="C33" s="47" t="s">
        <v>341</v>
      </c>
      <c r="D33" s="127"/>
      <c r="E33" s="126"/>
      <c r="F33" s="125"/>
      <c r="H33" s="150"/>
      <c r="I33" s="150"/>
      <c r="J33" s="143"/>
      <c r="K33" s="87"/>
    </row>
    <row r="34" spans="1:11" ht="12" customHeight="1">
      <c r="A34" s="31"/>
      <c r="B34" s="87"/>
      <c r="C34" s="47" t="s">
        <v>350</v>
      </c>
      <c r="D34" s="127"/>
      <c r="E34" s="126"/>
      <c r="F34" s="125"/>
      <c r="H34" s="150"/>
      <c r="I34" s="150"/>
      <c r="J34" s="143"/>
      <c r="K34" s="87"/>
    </row>
    <row r="35" spans="1:11" ht="12" customHeight="1">
      <c r="A35" s="31"/>
      <c r="C35" s="171"/>
      <c r="D35" s="157" t="s">
        <v>332</v>
      </c>
      <c r="E35" s="158" t="s">
        <v>333</v>
      </c>
      <c r="F35" s="158" t="s">
        <v>334</v>
      </c>
      <c r="G35" s="158" t="s">
        <v>338</v>
      </c>
      <c r="H35" s="158" t="s">
        <v>335</v>
      </c>
      <c r="I35" s="159" t="s">
        <v>336</v>
      </c>
      <c r="J35" s="143"/>
      <c r="K35" s="87"/>
    </row>
    <row r="36" spans="1:11" ht="12" customHeight="1">
      <c r="A36" s="31"/>
      <c r="C36" s="171"/>
      <c r="D36" s="160" t="s">
        <v>361</v>
      </c>
      <c r="E36" s="161">
        <v>1</v>
      </c>
      <c r="F36" s="204">
        <v>77</v>
      </c>
      <c r="G36" s="204">
        <f>+H36/0.4536</f>
        <v>42.548500881834215</v>
      </c>
      <c r="H36" s="170">
        <v>19.3</v>
      </c>
      <c r="I36" s="164">
        <f t="shared" ref="I36" si="0">E36*0.1+H36</f>
        <v>19.400000000000002</v>
      </c>
      <c r="J36" s="143"/>
      <c r="K36" s="87"/>
    </row>
    <row r="37" spans="1:11" ht="12" customHeight="1">
      <c r="A37" s="31"/>
      <c r="C37" s="171"/>
      <c r="D37" s="165" t="s">
        <v>355</v>
      </c>
      <c r="E37" s="166">
        <f>SUM(E36:E36)</f>
        <v>1</v>
      </c>
      <c r="F37" s="167">
        <f>SUM(F36:F36)</f>
        <v>77</v>
      </c>
      <c r="G37" s="167">
        <f>SUM(G36:G36)</f>
        <v>42.548500881834215</v>
      </c>
      <c r="H37" s="168">
        <f>SUM(H36:H36)</f>
        <v>19.3</v>
      </c>
      <c r="I37" s="172">
        <f>SUM(I36:I36)</f>
        <v>19.400000000000002</v>
      </c>
      <c r="J37" s="143"/>
      <c r="K37" s="87"/>
    </row>
    <row r="38" spans="1:11" ht="12" customHeight="1">
      <c r="A38" s="31"/>
      <c r="B38" s="6"/>
      <c r="C38" s="6"/>
      <c r="D38" s="6"/>
      <c r="E38" s="27"/>
      <c r="F38" s="27"/>
      <c r="G38" s="6"/>
      <c r="H38" s="6"/>
      <c r="I38" s="6"/>
      <c r="J38" s="143"/>
      <c r="K38" s="87"/>
    </row>
    <row r="39" spans="1:11" ht="12" customHeight="1">
      <c r="A39" s="31"/>
      <c r="B39" s="6"/>
      <c r="C39" s="6"/>
      <c r="D39" s="6"/>
      <c r="E39" s="27"/>
      <c r="F39" s="27"/>
      <c r="G39" s="6"/>
      <c r="H39" s="6"/>
      <c r="I39" s="6"/>
      <c r="J39" s="143"/>
      <c r="K39" s="87"/>
    </row>
    <row r="40" spans="1:11" ht="12" customHeight="1">
      <c r="A40" s="31"/>
      <c r="B40" s="124" t="s">
        <v>327</v>
      </c>
      <c r="C40" s="177" t="s">
        <v>352</v>
      </c>
      <c r="D40" s="127"/>
      <c r="E40" s="126"/>
      <c r="F40" s="125"/>
      <c r="H40" s="150"/>
      <c r="I40" s="150"/>
      <c r="J40" s="143"/>
      <c r="K40" s="87"/>
    </row>
    <row r="41" spans="1:11" ht="12" customHeight="1">
      <c r="A41" s="31"/>
      <c r="B41" s="87"/>
      <c r="C41" s="177" t="s">
        <v>353</v>
      </c>
      <c r="D41" s="127"/>
      <c r="E41" s="126"/>
      <c r="F41" s="125"/>
      <c r="H41" s="150"/>
      <c r="I41" s="150"/>
      <c r="J41" s="143"/>
      <c r="K41" s="87"/>
    </row>
    <row r="42" spans="1:11" ht="12" customHeight="1">
      <c r="A42" s="31"/>
      <c r="B42" s="87"/>
      <c r="C42" s="47" t="s">
        <v>339</v>
      </c>
      <c r="D42" s="127"/>
      <c r="E42" s="126"/>
      <c r="F42" s="125"/>
      <c r="H42" s="150"/>
      <c r="I42" s="150"/>
      <c r="J42" s="143"/>
      <c r="K42" s="87"/>
    </row>
    <row r="43" spans="1:11" ht="12" customHeight="1">
      <c r="A43" s="31"/>
      <c r="B43" s="87"/>
      <c r="C43" s="47" t="s">
        <v>340</v>
      </c>
      <c r="D43" s="127"/>
      <c r="E43" s="126"/>
      <c r="F43" s="125"/>
      <c r="H43" s="150"/>
      <c r="I43" s="150"/>
      <c r="J43" s="143"/>
      <c r="K43" s="87"/>
    </row>
    <row r="44" spans="1:11" ht="12" customHeight="1">
      <c r="A44" s="31"/>
      <c r="B44" s="87"/>
      <c r="C44" s="47" t="s">
        <v>341</v>
      </c>
      <c r="D44" s="127"/>
      <c r="E44" s="126"/>
      <c r="F44" s="125"/>
      <c r="H44" s="150"/>
      <c r="I44" s="150"/>
      <c r="J44" s="143"/>
      <c r="K44" s="87"/>
    </row>
    <row r="45" spans="1:11" ht="12" customHeight="1">
      <c r="A45" s="31"/>
      <c r="B45" s="87"/>
      <c r="C45" s="47" t="s">
        <v>354</v>
      </c>
      <c r="D45" s="127"/>
      <c r="E45" s="126"/>
      <c r="F45" s="125"/>
      <c r="H45" s="150"/>
      <c r="I45" s="150"/>
      <c r="J45" s="143"/>
      <c r="K45" s="87"/>
    </row>
    <row r="46" spans="1:11" ht="12" customHeight="1">
      <c r="A46" s="31"/>
      <c r="C46" s="171"/>
      <c r="D46" s="157" t="s">
        <v>332</v>
      </c>
      <c r="E46" s="158" t="s">
        <v>333</v>
      </c>
      <c r="F46" s="158" t="s">
        <v>334</v>
      </c>
      <c r="G46" s="158" t="s">
        <v>338</v>
      </c>
      <c r="H46" s="158" t="s">
        <v>335</v>
      </c>
      <c r="I46" s="159" t="s">
        <v>336</v>
      </c>
      <c r="J46" s="143"/>
      <c r="K46" s="87"/>
    </row>
    <row r="47" spans="1:11" ht="12" customHeight="1">
      <c r="A47" s="31"/>
      <c r="C47" s="171"/>
      <c r="D47" s="160" t="s">
        <v>356</v>
      </c>
      <c r="E47" s="161">
        <v>1</v>
      </c>
      <c r="F47" s="204">
        <v>76</v>
      </c>
      <c r="G47" s="204">
        <f>+H47/0.4536</f>
        <v>41.005291005291006</v>
      </c>
      <c r="H47" s="170">
        <v>18.600000000000001</v>
      </c>
      <c r="I47" s="164">
        <f t="shared" ref="I47" si="1">E47*0.1+H47</f>
        <v>18.700000000000003</v>
      </c>
      <c r="J47" s="143"/>
      <c r="K47" s="87"/>
    </row>
    <row r="48" spans="1:11" ht="12" customHeight="1">
      <c r="A48" s="31"/>
      <c r="C48" s="171"/>
      <c r="D48" s="165" t="s">
        <v>355</v>
      </c>
      <c r="E48" s="166">
        <f>SUM(E47:E47)</f>
        <v>1</v>
      </c>
      <c r="F48" s="167">
        <f>SUM(F47:F47)</f>
        <v>76</v>
      </c>
      <c r="G48" s="167">
        <f>SUM(G47:G47)</f>
        <v>41.005291005291006</v>
      </c>
      <c r="H48" s="168">
        <f>SUM(H47:H47)</f>
        <v>18.600000000000001</v>
      </c>
      <c r="I48" s="172">
        <f>SUM(I47:I47)</f>
        <v>18.700000000000003</v>
      </c>
      <c r="J48" s="143"/>
      <c r="K48" s="87"/>
    </row>
    <row r="49" spans="1:11" ht="12" customHeight="1">
      <c r="A49" s="31"/>
      <c r="C49" s="171"/>
      <c r="D49" s="203"/>
      <c r="E49" s="169"/>
      <c r="F49" s="169"/>
      <c r="G49" s="204"/>
      <c r="H49" s="204"/>
      <c r="I49" s="204"/>
      <c r="J49" s="143"/>
      <c r="K49" s="87"/>
    </row>
    <row r="50" spans="1:11" ht="14.25" thickBot="1">
      <c r="C50" s="87"/>
      <c r="D50" s="87"/>
      <c r="E50" s="131"/>
      <c r="F50" s="131"/>
      <c r="G50" s="129"/>
      <c r="H50" s="151"/>
      <c r="I50" s="151"/>
    </row>
    <row r="51" spans="1:11" ht="15" thickTop="1" thickBot="1">
      <c r="C51" s="132" t="s">
        <v>328</v>
      </c>
      <c r="D51" s="133"/>
      <c r="E51" s="155">
        <f>SUM(E36:E48)/2</f>
        <v>2</v>
      </c>
      <c r="F51" s="134">
        <f>SUM(F36:F48)/2</f>
        <v>153</v>
      </c>
      <c r="G51" s="174">
        <v>83.56</v>
      </c>
      <c r="H51" s="173">
        <f>SUM(H36:H48)/2</f>
        <v>37.900000000000006</v>
      </c>
      <c r="I51" s="173">
        <f>SUM(I36:I48)/2</f>
        <v>38.100000000000009</v>
      </c>
    </row>
    <row r="52" spans="1:11" ht="14.25" thickTop="1">
      <c r="C52" s="135"/>
      <c r="D52" s="135"/>
      <c r="E52" s="135"/>
      <c r="F52" s="135"/>
      <c r="G52" s="137"/>
      <c r="H52" s="143"/>
      <c r="I52" s="143"/>
    </row>
    <row r="53" spans="1:11">
      <c r="C53" s="135"/>
      <c r="D53" s="135"/>
      <c r="E53" s="135"/>
      <c r="F53" s="135"/>
      <c r="G53" s="137"/>
      <c r="H53" s="143"/>
      <c r="I53" s="143"/>
    </row>
    <row r="54" spans="1:11">
      <c r="C54" s="44"/>
      <c r="D54" s="44"/>
      <c r="E54" s="44"/>
      <c r="F54" s="44"/>
      <c r="G54" s="45"/>
      <c r="H54" s="48"/>
      <c r="I54" s="48"/>
    </row>
    <row r="55" spans="1:11">
      <c r="C55" s="44"/>
      <c r="D55" s="44"/>
      <c r="E55" s="44"/>
      <c r="F55" s="44"/>
      <c r="G55" s="45"/>
      <c r="H55" s="44"/>
      <c r="I55" s="44"/>
    </row>
    <row r="56" spans="1:11">
      <c r="B56" s="6"/>
      <c r="C56" s="51"/>
      <c r="D56" s="52"/>
      <c r="E56" s="52"/>
      <c r="F56" s="52"/>
      <c r="G56" s="46" t="s">
        <v>27</v>
      </c>
      <c r="H56" s="8"/>
      <c r="I56" s="8"/>
    </row>
    <row r="57" spans="1:11">
      <c r="A57" s="1"/>
      <c r="B57" s="8"/>
      <c r="C57" s="53"/>
      <c r="D57" s="53"/>
      <c r="E57" s="53"/>
      <c r="F57" s="53"/>
      <c r="G57" s="53"/>
      <c r="H57" s="8"/>
      <c r="I57" s="8"/>
    </row>
    <row r="58" spans="1:11">
      <c r="H58" s="54"/>
    </row>
  </sheetData>
  <mergeCells count="1">
    <mergeCell ref="E1:I3"/>
  </mergeCells>
  <phoneticPr fontId="2" type="noConversion"/>
  <hyperlinks>
    <hyperlink ref="A8" r:id="rId1" display="TEL:(82)2-5460066   FAX:(82)2-5404106" xr:uid="{00000000-0004-0000-0800-000000000000}"/>
  </hyperlinks>
  <printOptions horizontalCentered="1"/>
  <pageMargins left="0.15748031496062992" right="0.15748031496062992" top="0.19685039370078741" bottom="0.31496062992125984" header="0.15748031496062992" footer="0.15748031496062992"/>
  <pageSetup paperSize="9" fitToHeight="2" orientation="portrait" r:id="rId2"/>
  <headerFooter alignWithMargins="0">
    <oddFooter>&amp;C&amp;"+,굵게"&amp;8&amp;K00-034SEWANG TEXTILE &amp;R&amp;"돋움,굵게"&amp;8&amp;K00-034&amp;P OF &amp;N</oddFooter>
  </headerFooter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  <pageSetUpPr fitToPage="1"/>
  </sheetPr>
  <dimension ref="A1:I60"/>
  <sheetViews>
    <sheetView showGridLines="0" view="pageBreakPreview" topLeftCell="A37" zoomScaleSheetLayoutView="100" workbookViewId="0">
      <selection activeCell="F35" sqref="F35"/>
    </sheetView>
  </sheetViews>
  <sheetFormatPr defaultColWidth="8.88671875" defaultRowHeight="13.5"/>
  <cols>
    <col min="1" max="1" width="9.109375" customWidth="1"/>
    <col min="2" max="2" width="8.77734375" customWidth="1"/>
    <col min="3" max="3" width="11.77734375" customWidth="1"/>
    <col min="4" max="4" width="7" customWidth="1"/>
    <col min="5" max="5" width="10.109375" customWidth="1"/>
    <col min="6" max="6" width="9.21875" customWidth="1"/>
    <col min="7" max="7" width="10" customWidth="1"/>
    <col min="8" max="8" width="6.44140625" customWidth="1"/>
    <col min="9" max="9" width="11.44140625" customWidth="1"/>
  </cols>
  <sheetData>
    <row r="1" spans="1:9" ht="17.100000000000001" customHeight="1">
      <c r="E1" s="696" t="s">
        <v>0</v>
      </c>
      <c r="F1" s="696"/>
      <c r="G1" s="696"/>
      <c r="H1" s="696"/>
      <c r="I1" s="696"/>
    </row>
    <row r="2" spans="1:9" ht="17.100000000000001" customHeight="1">
      <c r="E2" s="696"/>
      <c r="F2" s="696"/>
      <c r="G2" s="696"/>
      <c r="H2" s="696"/>
      <c r="I2" s="696"/>
    </row>
    <row r="3" spans="1:9" ht="17.100000000000001" customHeight="1">
      <c r="A3" s="1"/>
      <c r="B3" s="1"/>
      <c r="C3" s="1"/>
      <c r="D3" s="1"/>
      <c r="E3" s="698"/>
      <c r="F3" s="698"/>
      <c r="G3" s="698"/>
      <c r="H3" s="698"/>
      <c r="I3" s="698"/>
    </row>
    <row r="4" spans="1:9" s="85" customFormat="1" ht="9.9499999999999993" customHeight="1">
      <c r="A4" s="82" t="s">
        <v>301</v>
      </c>
      <c r="B4" s="82"/>
      <c r="C4" s="82"/>
      <c r="D4" s="82"/>
      <c r="E4" s="83" t="s">
        <v>302</v>
      </c>
      <c r="F4" s="100"/>
      <c r="G4" s="82"/>
      <c r="H4" s="82"/>
      <c r="I4" s="84"/>
    </row>
    <row r="5" spans="1:9" s="91" customFormat="1" ht="12" customHeight="1">
      <c r="A5" s="86" t="s">
        <v>303</v>
      </c>
      <c r="B5" s="87"/>
      <c r="C5" s="87"/>
      <c r="D5" s="87"/>
      <c r="E5" s="88" t="s">
        <v>381</v>
      </c>
      <c r="F5" s="153"/>
      <c r="G5" s="89"/>
      <c r="H5" s="89"/>
      <c r="I5" s="90">
        <v>43368</v>
      </c>
    </row>
    <row r="6" spans="1:9" s="85" customFormat="1" ht="12" customHeight="1">
      <c r="A6" s="86" t="s">
        <v>304</v>
      </c>
      <c r="B6" s="87"/>
      <c r="C6" s="87"/>
      <c r="D6" s="87"/>
      <c r="E6" s="83" t="s">
        <v>305</v>
      </c>
      <c r="F6" s="100"/>
      <c r="G6" s="82"/>
      <c r="H6" s="82"/>
      <c r="I6" s="92"/>
    </row>
    <row r="7" spans="1:9" s="91" customFormat="1" ht="12" customHeight="1">
      <c r="A7" s="86" t="s">
        <v>306</v>
      </c>
      <c r="B7" s="87"/>
      <c r="C7" s="87"/>
      <c r="D7" s="87" t="s">
        <v>307</v>
      </c>
      <c r="E7" s="213" t="s">
        <v>375</v>
      </c>
      <c r="F7" s="214"/>
      <c r="G7" s="130"/>
      <c r="H7" s="216"/>
      <c r="I7" s="216"/>
    </row>
    <row r="8" spans="1:9" s="91" customFormat="1" ht="12" customHeight="1">
      <c r="A8" s="86" t="s">
        <v>308</v>
      </c>
      <c r="B8" s="87"/>
      <c r="C8" s="87"/>
      <c r="D8" s="87"/>
      <c r="E8" s="94"/>
      <c r="F8" s="117"/>
      <c r="G8" s="87"/>
      <c r="H8" s="87"/>
      <c r="I8" s="96"/>
    </row>
    <row r="9" spans="1:9" s="91" customFormat="1" ht="12" customHeight="1">
      <c r="A9" s="87"/>
      <c r="B9" s="87"/>
      <c r="C9" s="87"/>
      <c r="D9" s="87"/>
      <c r="E9" s="97"/>
      <c r="F9" s="106"/>
      <c r="G9" s="87"/>
      <c r="H9" s="87"/>
      <c r="I9" s="98"/>
    </row>
    <row r="10" spans="1:9" s="85" customFormat="1" ht="9.9499999999999993" customHeight="1">
      <c r="A10" s="82" t="s">
        <v>309</v>
      </c>
      <c r="B10" s="82"/>
      <c r="C10" s="82"/>
      <c r="D10" s="99"/>
      <c r="E10" s="100" t="s">
        <v>10</v>
      </c>
      <c r="F10" s="100"/>
      <c r="G10" s="82"/>
      <c r="H10" s="101"/>
      <c r="I10" s="103"/>
    </row>
    <row r="11" spans="1:9" s="91" customFormat="1" ht="12" customHeight="1">
      <c r="A11" s="87" t="s">
        <v>377</v>
      </c>
      <c r="B11" s="87"/>
      <c r="C11" s="87"/>
      <c r="D11" s="104"/>
      <c r="E11" s="86"/>
      <c r="F11" s="86"/>
      <c r="G11" s="87"/>
      <c r="H11" s="87"/>
      <c r="I11" s="105"/>
    </row>
    <row r="12" spans="1:9" s="91" customFormat="1" ht="12" customHeight="1">
      <c r="A12" s="714" t="s">
        <v>378</v>
      </c>
      <c r="B12" s="714"/>
      <c r="C12" s="714"/>
      <c r="D12" s="715"/>
      <c r="E12" s="106"/>
      <c r="F12" s="106"/>
      <c r="G12" s="87"/>
      <c r="H12" s="87"/>
      <c r="I12" s="105"/>
    </row>
    <row r="13" spans="1:9" s="91" customFormat="1" ht="12" customHeight="1">
      <c r="A13" s="714" t="s">
        <v>379</v>
      </c>
      <c r="B13" s="714"/>
      <c r="C13" s="714"/>
      <c r="D13" s="715"/>
      <c r="E13" s="106"/>
      <c r="F13" s="106"/>
      <c r="G13" s="87"/>
      <c r="H13" s="87"/>
      <c r="I13" s="105"/>
    </row>
    <row r="14" spans="1:9" s="91" customFormat="1" ht="12" customHeight="1">
      <c r="A14" s="87"/>
      <c r="B14" s="87"/>
      <c r="C14" s="87"/>
      <c r="D14" s="104"/>
      <c r="E14" s="107"/>
      <c r="F14" s="107"/>
      <c r="G14" s="87"/>
      <c r="H14" s="87"/>
      <c r="I14" s="105"/>
    </row>
    <row r="15" spans="1:9" s="85" customFormat="1" ht="9.9499999999999993" customHeight="1">
      <c r="A15" s="82" t="s">
        <v>296</v>
      </c>
      <c r="B15" s="108"/>
      <c r="C15" s="102"/>
      <c r="D15" s="99"/>
      <c r="E15" s="100" t="s">
        <v>15</v>
      </c>
      <c r="F15" s="100"/>
      <c r="G15" s="101"/>
      <c r="H15" s="102"/>
      <c r="I15" s="103"/>
    </row>
    <row r="16" spans="1:9" s="91" customFormat="1" ht="12" customHeight="1">
      <c r="A16" s="87" t="s">
        <v>312</v>
      </c>
      <c r="B16" s="87"/>
      <c r="C16" s="87"/>
      <c r="D16" s="104"/>
      <c r="E16" s="109"/>
      <c r="F16" s="109"/>
      <c r="G16" s="87"/>
      <c r="H16" s="87"/>
      <c r="I16" s="105"/>
    </row>
    <row r="17" spans="1:9" s="91" customFormat="1" ht="12" customHeight="1">
      <c r="A17" s="87" t="s">
        <v>314</v>
      </c>
      <c r="B17" s="87"/>
      <c r="C17" s="87"/>
      <c r="D17" s="104"/>
      <c r="E17" s="109" t="s">
        <v>313</v>
      </c>
      <c r="F17" s="87"/>
      <c r="G17" s="87"/>
      <c r="H17" s="87"/>
      <c r="I17" s="105"/>
    </row>
    <row r="18" spans="1:9" s="91" customFormat="1" ht="12" customHeight="1">
      <c r="A18" s="87" t="s">
        <v>315</v>
      </c>
      <c r="B18" s="87"/>
      <c r="C18" s="87"/>
      <c r="D18" s="104"/>
      <c r="E18" s="110" t="s">
        <v>399</v>
      </c>
      <c r="F18" s="87"/>
      <c r="G18" s="87"/>
      <c r="H18" s="87"/>
      <c r="I18" s="105"/>
    </row>
    <row r="19" spans="1:9" s="91" customFormat="1" ht="12" customHeight="1">
      <c r="A19" s="87" t="s">
        <v>316</v>
      </c>
      <c r="B19" s="87"/>
      <c r="C19" s="87"/>
      <c r="D19" s="104"/>
      <c r="E19" s="705" t="s">
        <v>401</v>
      </c>
      <c r="F19" s="706"/>
      <c r="G19" s="706"/>
      <c r="H19" s="706"/>
      <c r="I19" s="706"/>
    </row>
    <row r="20" spans="1:9" s="91" customFormat="1" ht="12" customHeight="1">
      <c r="A20" s="87"/>
      <c r="B20" s="87"/>
      <c r="C20" s="87"/>
      <c r="D20" s="104"/>
      <c r="E20" s="705"/>
      <c r="F20" s="706"/>
      <c r="G20" s="706"/>
      <c r="H20" s="706"/>
      <c r="I20" s="706"/>
    </row>
    <row r="21" spans="1:9" s="85" customFormat="1" ht="9.9499999999999993" customHeight="1">
      <c r="A21" s="82" t="s">
        <v>299</v>
      </c>
      <c r="B21" s="82"/>
      <c r="C21" s="113" t="s">
        <v>21</v>
      </c>
      <c r="D21" s="114"/>
      <c r="E21" s="87" t="s">
        <v>400</v>
      </c>
      <c r="F21" s="87"/>
      <c r="G21" s="87"/>
      <c r="H21" s="87"/>
      <c r="I21" s="105"/>
    </row>
    <row r="22" spans="1:9" s="91" customFormat="1" ht="12" customHeight="1">
      <c r="A22" s="718" t="s">
        <v>376</v>
      </c>
      <c r="B22" s="711"/>
      <c r="C22" s="710" t="s">
        <v>390</v>
      </c>
      <c r="D22" s="711"/>
      <c r="E22" s="87"/>
      <c r="F22" s="87"/>
      <c r="G22" s="87"/>
      <c r="H22" s="87"/>
      <c r="I22" s="105"/>
    </row>
    <row r="23" spans="1:9" s="85" customFormat="1" ht="9.9499999999999993" customHeight="1">
      <c r="A23" s="82" t="s">
        <v>318</v>
      </c>
      <c r="B23" s="82"/>
      <c r="C23" s="113" t="s">
        <v>319</v>
      </c>
      <c r="D23" s="114"/>
      <c r="E23" s="117" t="s">
        <v>320</v>
      </c>
      <c r="F23" s="87"/>
      <c r="G23" s="118"/>
      <c r="H23" s="87"/>
      <c r="I23" s="105"/>
    </row>
    <row r="24" spans="1:9" s="91" customFormat="1" ht="12" customHeight="1">
      <c r="A24" s="719" t="s">
        <v>389</v>
      </c>
      <c r="B24" s="709"/>
      <c r="C24" s="700">
        <v>43375</v>
      </c>
      <c r="D24" s="701"/>
      <c r="E24" s="121"/>
      <c r="F24" s="121"/>
      <c r="G24" s="87"/>
      <c r="H24" s="118"/>
      <c r="I24" s="122"/>
    </row>
    <row r="25" spans="1:9" s="85" customFormat="1" ht="9.9499999999999993" customHeight="1">
      <c r="A25" s="82" t="s">
        <v>321</v>
      </c>
      <c r="B25" s="82"/>
      <c r="C25" s="113" t="s">
        <v>24</v>
      </c>
      <c r="D25" s="82"/>
      <c r="E25" s="83" t="s">
        <v>322</v>
      </c>
      <c r="F25" s="100"/>
      <c r="G25" s="82"/>
      <c r="H25" s="113" t="s">
        <v>25</v>
      </c>
      <c r="I25" s="113" t="s">
        <v>323</v>
      </c>
    </row>
    <row r="26" spans="1:9" s="91" customFormat="1" ht="12" customHeight="1">
      <c r="A26" s="87"/>
      <c r="B26" s="87"/>
      <c r="C26" s="87"/>
      <c r="D26" s="87"/>
      <c r="E26" s="121"/>
      <c r="F26" s="121"/>
      <c r="G26" s="87"/>
      <c r="H26" s="87"/>
      <c r="I26" s="87"/>
    </row>
    <row r="27" spans="1:9" s="10" customFormat="1" ht="12" customHeight="1">
      <c r="A27" s="13"/>
      <c r="B27" s="6"/>
      <c r="C27" s="6"/>
      <c r="D27" s="6"/>
      <c r="E27" s="42"/>
      <c r="F27" s="42"/>
      <c r="G27" s="6"/>
      <c r="H27" s="175" t="s">
        <v>392</v>
      </c>
      <c r="I27" s="6"/>
    </row>
    <row r="28" spans="1:9" s="181" customFormat="1" ht="12" customHeight="1">
      <c r="A28" s="31"/>
      <c r="B28" s="6"/>
      <c r="C28" s="6"/>
      <c r="D28" s="6"/>
      <c r="E28" s="42"/>
      <c r="F28" s="42"/>
      <c r="G28" s="6"/>
      <c r="H28" s="6"/>
      <c r="I28" s="6"/>
    </row>
    <row r="29" spans="1:9" s="181" customFormat="1" ht="12" customHeight="1">
      <c r="A29" s="31"/>
      <c r="B29" s="6"/>
      <c r="C29" s="13" t="s">
        <v>26</v>
      </c>
      <c r="D29" s="13"/>
      <c r="E29" s="13"/>
      <c r="F29" s="13"/>
      <c r="G29" s="13"/>
      <c r="H29" s="13"/>
      <c r="I29" s="13"/>
    </row>
    <row r="30" spans="1:9" ht="12" customHeight="1">
      <c r="B30" s="176" t="s">
        <v>374</v>
      </c>
      <c r="C30" s="205" t="s">
        <v>384</v>
      </c>
      <c r="D30" s="205"/>
      <c r="E30" s="222"/>
      <c r="F30" s="223"/>
      <c r="G30" s="206"/>
      <c r="H30" s="205"/>
      <c r="I30" s="207"/>
    </row>
    <row r="31" spans="1:9" ht="12" customHeight="1">
      <c r="B31" s="176"/>
      <c r="C31" s="47" t="s">
        <v>383</v>
      </c>
      <c r="D31" s="205"/>
      <c r="E31" s="222"/>
      <c r="F31" s="223"/>
      <c r="G31" s="206"/>
      <c r="H31" s="205"/>
      <c r="I31" s="207"/>
    </row>
    <row r="32" spans="1:9" ht="12" customHeight="1">
      <c r="B32" s="6"/>
      <c r="C32" s="233" t="s">
        <v>385</v>
      </c>
      <c r="D32" s="205"/>
      <c r="E32" s="222"/>
      <c r="F32" s="223"/>
      <c r="G32" s="206"/>
      <c r="H32" s="205"/>
      <c r="I32" s="207"/>
    </row>
    <row r="33" spans="1:9" ht="12" customHeight="1">
      <c r="B33" s="6"/>
      <c r="C33" s="233" t="s">
        <v>386</v>
      </c>
      <c r="D33" s="205"/>
      <c r="E33" s="222"/>
      <c r="F33" s="223"/>
      <c r="G33" s="206"/>
      <c r="H33" s="205"/>
      <c r="I33" s="207"/>
    </row>
    <row r="34" spans="1:9" ht="12" customHeight="1">
      <c r="B34" s="6"/>
      <c r="C34" s="233"/>
      <c r="D34" s="233"/>
      <c r="E34" s="251"/>
      <c r="F34" s="233"/>
      <c r="G34" s="206"/>
      <c r="H34" s="205"/>
      <c r="I34" s="207"/>
    </row>
    <row r="35" spans="1:9" ht="12" customHeight="1">
      <c r="B35" s="6"/>
      <c r="C35" s="222"/>
      <c r="D35" s="205"/>
      <c r="E35" s="252">
        <v>29</v>
      </c>
      <c r="F35" s="224">
        <v>2530</v>
      </c>
      <c r="G35" s="206">
        <v>1.23</v>
      </c>
      <c r="H35" s="205" t="s">
        <v>326</v>
      </c>
      <c r="I35" s="207">
        <f>ROUND(G35*F35,2)</f>
        <v>3111.9</v>
      </c>
    </row>
    <row r="36" spans="1:9" ht="12" customHeight="1">
      <c r="B36" s="6"/>
      <c r="C36" s="222"/>
      <c r="D36" s="205"/>
      <c r="E36" s="252"/>
      <c r="F36" s="224"/>
      <c r="G36" s="206"/>
      <c r="H36" s="205"/>
      <c r="I36" s="207"/>
    </row>
    <row r="37" spans="1:9" ht="12" customHeight="1">
      <c r="B37" s="6"/>
      <c r="C37" s="222"/>
      <c r="D37" s="205"/>
      <c r="E37" s="252"/>
      <c r="F37" s="224"/>
      <c r="G37" s="206"/>
      <c r="H37" s="205"/>
      <c r="I37" s="207"/>
    </row>
    <row r="38" spans="1:9" ht="12" customHeight="1">
      <c r="B38" s="176" t="s">
        <v>391</v>
      </c>
      <c r="C38" s="205" t="s">
        <v>384</v>
      </c>
      <c r="D38" s="205"/>
      <c r="E38" s="254"/>
      <c r="F38" s="223"/>
      <c r="G38" s="206"/>
      <c r="H38" s="205"/>
      <c r="I38" s="207"/>
    </row>
    <row r="39" spans="1:9" ht="12" customHeight="1">
      <c r="B39" s="176"/>
      <c r="C39" s="47" t="s">
        <v>383</v>
      </c>
      <c r="D39" s="205"/>
      <c r="E39" s="254"/>
      <c r="F39" s="223"/>
      <c r="G39" s="206"/>
      <c r="H39" s="205"/>
      <c r="I39" s="207"/>
    </row>
    <row r="40" spans="1:9" ht="12" customHeight="1">
      <c r="B40" s="6"/>
      <c r="C40" s="233" t="s">
        <v>385</v>
      </c>
      <c r="D40" s="205"/>
      <c r="E40" s="254"/>
      <c r="F40" s="223"/>
      <c r="G40" s="206"/>
      <c r="H40" s="205"/>
      <c r="I40" s="207"/>
    </row>
    <row r="41" spans="1:9" ht="12" customHeight="1">
      <c r="B41" s="6"/>
      <c r="C41" s="233" t="s">
        <v>388</v>
      </c>
      <c r="D41" s="205"/>
      <c r="E41" s="254"/>
      <c r="F41" s="223"/>
      <c r="G41" s="206"/>
      <c r="H41" s="205"/>
      <c r="I41" s="207"/>
    </row>
    <row r="42" spans="1:9" ht="12" customHeight="1">
      <c r="B42" s="6"/>
      <c r="C42" s="233"/>
      <c r="D42" s="233"/>
      <c r="E42" s="251"/>
      <c r="F42" s="233"/>
      <c r="G42" s="206"/>
      <c r="H42" s="205"/>
      <c r="I42" s="207"/>
    </row>
    <row r="43" spans="1:9" ht="12" customHeight="1">
      <c r="B43" s="6"/>
      <c r="C43" s="222"/>
      <c r="D43" s="205"/>
      <c r="E43" s="252">
        <v>26</v>
      </c>
      <c r="F43" s="224">
        <v>2184</v>
      </c>
      <c r="G43" s="206">
        <v>1.23</v>
      </c>
      <c r="H43" s="205" t="s">
        <v>326</v>
      </c>
      <c r="I43" s="207">
        <f>ROUND(G43*F43,2)</f>
        <v>2686.32</v>
      </c>
    </row>
    <row r="44" spans="1:9" ht="12" customHeight="1">
      <c r="A44" s="31" t="s">
        <v>393</v>
      </c>
      <c r="B44" s="6"/>
      <c r="C44" s="222"/>
      <c r="D44" s="205"/>
      <c r="E44" s="252"/>
      <c r="F44" s="224"/>
      <c r="G44" s="206"/>
      <c r="H44" s="205"/>
      <c r="I44" s="207"/>
    </row>
    <row r="45" spans="1:9" ht="12" customHeight="1">
      <c r="A45" s="31" t="s">
        <v>394</v>
      </c>
      <c r="B45" s="6"/>
      <c r="C45" s="222"/>
      <c r="D45" s="205"/>
      <c r="E45" s="252"/>
      <c r="F45" s="224"/>
      <c r="G45" s="206"/>
      <c r="H45" s="205"/>
      <c r="I45" s="207"/>
    </row>
    <row r="46" spans="1:9" ht="12" customHeight="1">
      <c r="B46" s="6"/>
      <c r="C46" s="222"/>
      <c r="D46" s="205"/>
      <c r="E46" s="252"/>
      <c r="F46" s="224"/>
      <c r="G46" s="206"/>
      <c r="H46" s="205"/>
      <c r="I46" s="207"/>
    </row>
    <row r="47" spans="1:9" ht="12" customHeight="1" thickBot="1">
      <c r="B47" s="6"/>
      <c r="C47" s="222"/>
      <c r="D47" s="205"/>
      <c r="E47" s="252"/>
      <c r="F47" s="224"/>
      <c r="G47" s="206"/>
      <c r="H47" s="205"/>
      <c r="I47" s="207"/>
    </row>
    <row r="48" spans="1:9" ht="12" customHeight="1" thickTop="1" thickBot="1">
      <c r="B48" s="6"/>
      <c r="C48" s="195" t="s">
        <v>328</v>
      </c>
      <c r="D48" s="196"/>
      <c r="E48" s="255">
        <f>SUM(E30:E47)</f>
        <v>55</v>
      </c>
      <c r="F48" s="198">
        <f>SUM(F30:F47)</f>
        <v>4714</v>
      </c>
      <c r="G48" s="200"/>
      <c r="H48" s="200"/>
      <c r="I48" s="201">
        <f>SUM(I30:I47)</f>
        <v>5798.22</v>
      </c>
    </row>
    <row r="49" spans="2:9" ht="12" customHeight="1" thickTop="1">
      <c r="B49" s="123"/>
      <c r="C49" s="135"/>
      <c r="D49" s="135"/>
      <c r="E49" s="136"/>
      <c r="F49" s="136"/>
      <c r="G49" s="93"/>
      <c r="H49" s="93"/>
      <c r="I49" s="93"/>
    </row>
    <row r="50" spans="2:9" ht="12" customHeight="1">
      <c r="B50" s="123"/>
      <c r="C50" s="135"/>
      <c r="D50" s="135"/>
      <c r="E50" s="136"/>
      <c r="F50" s="136"/>
      <c r="G50" s="93"/>
      <c r="H50" s="93"/>
      <c r="I50" s="93"/>
    </row>
    <row r="51" spans="2:9" ht="12" customHeight="1">
      <c r="B51" s="123"/>
      <c r="C51" s="135"/>
      <c r="D51" s="135"/>
      <c r="E51" s="136"/>
      <c r="F51" s="136"/>
      <c r="G51" s="93"/>
      <c r="H51" s="93"/>
      <c r="I51" s="93"/>
    </row>
    <row r="52" spans="2:9" ht="12" customHeight="1">
      <c r="B52" s="123"/>
      <c r="C52" s="135"/>
      <c r="D52" s="135"/>
      <c r="E52" s="136"/>
      <c r="F52" s="136"/>
      <c r="G52" s="93"/>
      <c r="H52" s="93"/>
      <c r="I52" s="93"/>
    </row>
    <row r="53" spans="2:9" ht="12" customHeight="1">
      <c r="B53" s="123"/>
      <c r="C53" s="135"/>
      <c r="D53" s="135"/>
      <c r="E53" s="136"/>
      <c r="F53" s="136"/>
      <c r="G53" s="93"/>
      <c r="H53" s="93"/>
      <c r="I53" s="93"/>
    </row>
    <row r="54" spans="2:9" ht="12" customHeight="1">
      <c r="B54" s="123"/>
      <c r="C54" s="135"/>
      <c r="D54" s="135"/>
      <c r="E54" s="136"/>
      <c r="F54" s="136"/>
      <c r="G54" s="93"/>
      <c r="H54" s="93"/>
      <c r="I54" s="93"/>
    </row>
    <row r="55" spans="2:9" ht="12" customHeight="1">
      <c r="B55" s="123"/>
      <c r="C55" s="135"/>
      <c r="D55" s="135"/>
      <c r="E55" s="136"/>
      <c r="F55" s="136"/>
      <c r="G55" s="93"/>
      <c r="H55" s="93"/>
      <c r="I55" s="93"/>
    </row>
    <row r="56" spans="2:9" ht="12" customHeight="1">
      <c r="B56" s="123"/>
      <c r="C56" s="135"/>
      <c r="D56" s="135"/>
      <c r="E56" s="135"/>
      <c r="F56" s="135"/>
      <c r="G56" s="93"/>
      <c r="H56" s="93"/>
      <c r="I56" s="93"/>
    </row>
    <row r="57" spans="2:9">
      <c r="B57" s="123"/>
      <c r="C57" s="135"/>
      <c r="D57" s="135"/>
      <c r="E57" s="135"/>
      <c r="F57" s="135"/>
      <c r="G57" s="93"/>
      <c r="H57" s="93"/>
      <c r="I57" s="93"/>
    </row>
    <row r="58" spans="2:9">
      <c r="B58" s="87"/>
      <c r="C58" s="135"/>
      <c r="D58" s="135"/>
      <c r="E58" s="135"/>
      <c r="F58" s="135"/>
      <c r="G58" s="93"/>
      <c r="H58" s="93"/>
      <c r="I58" s="93"/>
    </row>
    <row r="59" spans="2:9" ht="12" customHeight="1">
      <c r="B59" s="87"/>
      <c r="C59" s="87"/>
      <c r="D59" s="105"/>
      <c r="E59" s="121"/>
      <c r="F59" s="121"/>
      <c r="G59" s="226" t="s">
        <v>370</v>
      </c>
      <c r="H59" s="226"/>
      <c r="I59" s="89"/>
    </row>
    <row r="60" spans="2:9" ht="12" customHeight="1">
      <c r="B60" s="123"/>
      <c r="C60" s="135"/>
      <c r="D60" s="135"/>
      <c r="E60" s="136"/>
      <c r="F60" s="136"/>
      <c r="G60" s="93"/>
      <c r="H60" s="93"/>
      <c r="I60" s="93"/>
    </row>
  </sheetData>
  <mergeCells count="8">
    <mergeCell ref="A24:B24"/>
    <mergeCell ref="E1:I3"/>
    <mergeCell ref="C24:D24"/>
    <mergeCell ref="A12:D12"/>
    <mergeCell ref="A13:D13"/>
    <mergeCell ref="C22:D22"/>
    <mergeCell ref="A22:B22"/>
    <mergeCell ref="E19:I20"/>
  </mergeCells>
  <phoneticPr fontId="2" type="noConversion"/>
  <hyperlinks>
    <hyperlink ref="A8" r:id="rId1" display="TEL:(82)2-5460066   FAX:(82)2-5404106" xr:uid="{00000000-0004-0000-0900-000000000000}"/>
  </hyperlinks>
  <printOptions horizontalCentered="1"/>
  <pageMargins left="0.15748031496062992" right="0.15748031496062992" top="0.19685039370078741" bottom="0.31496062992125984" header="0.15748031496062992" footer="0.15748031496062992"/>
  <pageSetup paperSize="9" fitToHeight="0" orientation="portrait" r:id="rId2"/>
  <headerFooter scaleWithDoc="0" alignWithMargins="0">
    <oddFooter>&amp;C&amp;"+,굵게"&amp;8&amp;K00-032SEWANG TEXTILE&amp;R&amp;"+,굵게"&amp;8&amp;K00-032&amp;POF &amp;N</oddFooter>
  </headerFooter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</sheetPr>
  <dimension ref="A1:J59"/>
  <sheetViews>
    <sheetView showGridLines="0" view="pageBreakPreview" topLeftCell="A10" zoomScaleSheetLayoutView="100" workbookViewId="0">
      <selection activeCell="E18" sqref="E18:I43"/>
    </sheetView>
  </sheetViews>
  <sheetFormatPr defaultColWidth="8.88671875" defaultRowHeight="13.5"/>
  <cols>
    <col min="1" max="1" width="8.33203125" customWidth="1"/>
    <col min="2" max="2" width="7.77734375" customWidth="1"/>
    <col min="3" max="3" width="13.33203125" customWidth="1"/>
    <col min="4" max="4" width="5.88671875" customWidth="1"/>
    <col min="5" max="5" width="8.21875" customWidth="1"/>
    <col min="6" max="8" width="10.77734375" customWidth="1"/>
  </cols>
  <sheetData>
    <row r="1" spans="1:9" ht="17.100000000000001" customHeight="1">
      <c r="E1" s="696" t="s">
        <v>330</v>
      </c>
      <c r="F1" s="696"/>
      <c r="G1" s="696"/>
      <c r="H1" s="696"/>
    </row>
    <row r="2" spans="1:9" ht="17.100000000000001" customHeight="1">
      <c r="E2" s="696"/>
      <c r="F2" s="696"/>
      <c r="G2" s="696"/>
      <c r="H2" s="696"/>
    </row>
    <row r="3" spans="1:9" ht="17.100000000000001" customHeight="1">
      <c r="A3" s="1"/>
      <c r="B3" s="1"/>
      <c r="C3" s="1"/>
      <c r="D3" s="1"/>
      <c r="E3" s="698"/>
      <c r="F3" s="698"/>
      <c r="G3" s="698"/>
      <c r="H3" s="698"/>
    </row>
    <row r="4" spans="1:9" s="85" customFormat="1" ht="9.9499999999999993" customHeight="1">
      <c r="A4" s="82" t="s">
        <v>301</v>
      </c>
      <c r="B4" s="82"/>
      <c r="C4" s="82"/>
      <c r="D4" s="82"/>
      <c r="E4" s="144" t="s">
        <v>2</v>
      </c>
      <c r="F4" s="152"/>
      <c r="G4" s="145"/>
      <c r="H4" s="146"/>
    </row>
    <row r="5" spans="1:9" s="91" customFormat="1" ht="12" customHeight="1">
      <c r="A5" s="86" t="s">
        <v>303</v>
      </c>
      <c r="B5" s="87"/>
      <c r="C5" s="87"/>
      <c r="D5" s="87"/>
      <c r="E5" s="88" t="s">
        <v>382</v>
      </c>
      <c r="F5" s="153"/>
      <c r="G5" s="89"/>
      <c r="H5" s="90">
        <v>43368</v>
      </c>
      <c r="I5" s="96"/>
    </row>
    <row r="6" spans="1:9" s="85" customFormat="1" ht="12" customHeight="1">
      <c r="A6" s="86" t="s">
        <v>4</v>
      </c>
      <c r="B6" s="87"/>
      <c r="C6" s="87"/>
      <c r="D6" s="87"/>
      <c r="E6" s="83" t="s">
        <v>347</v>
      </c>
      <c r="F6" s="100"/>
      <c r="G6" s="82"/>
      <c r="H6" s="149"/>
    </row>
    <row r="7" spans="1:9" s="91" customFormat="1" ht="12" customHeight="1">
      <c r="A7" s="86" t="s">
        <v>6</v>
      </c>
      <c r="B7" s="87"/>
      <c r="C7" s="87"/>
      <c r="D7" s="87" t="s">
        <v>307</v>
      </c>
      <c r="E7" s="213" t="s">
        <v>375</v>
      </c>
      <c r="F7" s="214"/>
      <c r="G7" s="130"/>
      <c r="H7" s="216"/>
      <c r="I7" s="216"/>
    </row>
    <row r="8" spans="1:9" s="91" customFormat="1" ht="12" customHeight="1">
      <c r="A8" s="86" t="s">
        <v>308</v>
      </c>
      <c r="B8" s="87"/>
      <c r="C8" s="87"/>
      <c r="D8" s="87"/>
      <c r="E8" s="94"/>
      <c r="F8" s="117"/>
      <c r="G8" s="87"/>
      <c r="H8" s="96"/>
    </row>
    <row r="9" spans="1:9" s="91" customFormat="1" ht="12" customHeight="1">
      <c r="A9" s="87"/>
      <c r="B9" s="87"/>
      <c r="C9" s="87"/>
      <c r="D9" s="87"/>
      <c r="E9" s="97"/>
      <c r="F9" s="106"/>
      <c r="G9" s="87"/>
      <c r="H9" s="98"/>
    </row>
    <row r="10" spans="1:9" s="85" customFormat="1" ht="9.9499999999999993" customHeight="1">
      <c r="A10" s="82" t="s">
        <v>309</v>
      </c>
      <c r="B10" s="82"/>
      <c r="C10" s="82"/>
      <c r="D10" s="99"/>
      <c r="E10" s="100" t="s">
        <v>10</v>
      </c>
      <c r="F10" s="100"/>
      <c r="G10" s="101"/>
      <c r="H10" s="147"/>
    </row>
    <row r="11" spans="1:9" s="91" customFormat="1" ht="12" customHeight="1">
      <c r="A11" s="87" t="s">
        <v>377</v>
      </c>
      <c r="B11" s="87"/>
      <c r="C11" s="87"/>
      <c r="D11" s="104"/>
      <c r="E11" s="86"/>
      <c r="F11" s="86"/>
      <c r="G11" s="87"/>
      <c r="H11" s="105"/>
    </row>
    <row r="12" spans="1:9" s="91" customFormat="1" ht="12" customHeight="1">
      <c r="A12" s="714" t="s">
        <v>378</v>
      </c>
      <c r="B12" s="714"/>
      <c r="C12" s="714"/>
      <c r="D12" s="715"/>
      <c r="E12" s="106"/>
      <c r="F12" s="106"/>
      <c r="G12" s="87"/>
      <c r="H12" s="105"/>
    </row>
    <row r="13" spans="1:9" s="91" customFormat="1" ht="12" customHeight="1">
      <c r="A13" s="714" t="s">
        <v>379</v>
      </c>
      <c r="B13" s="714"/>
      <c r="C13" s="714"/>
      <c r="D13" s="715"/>
      <c r="E13" s="106"/>
      <c r="F13" s="106"/>
      <c r="G13" s="87"/>
      <c r="H13" s="105"/>
    </row>
    <row r="14" spans="1:9" s="91" customFormat="1" ht="12" customHeight="1">
      <c r="A14" s="87"/>
      <c r="B14" s="87"/>
      <c r="C14" s="87"/>
      <c r="D14" s="104"/>
      <c r="E14" s="107"/>
      <c r="F14" s="107"/>
      <c r="G14" s="87"/>
      <c r="H14" s="122"/>
    </row>
    <row r="15" spans="1:9" s="85" customFormat="1" ht="9.9499999999999993" customHeight="1">
      <c r="A15" s="82" t="s">
        <v>296</v>
      </c>
      <c r="B15" s="108"/>
      <c r="C15" s="102"/>
      <c r="D15" s="99"/>
      <c r="E15" s="100" t="s">
        <v>15</v>
      </c>
      <c r="F15" s="100"/>
      <c r="G15" s="102"/>
      <c r="H15" s="147"/>
    </row>
    <row r="16" spans="1:9" s="91" customFormat="1" ht="12" customHeight="1">
      <c r="A16" s="87" t="s">
        <v>312</v>
      </c>
      <c r="B16" s="87"/>
      <c r="C16" s="87"/>
      <c r="D16" s="104"/>
      <c r="E16" s="109"/>
      <c r="F16" s="109"/>
      <c r="G16" s="87"/>
      <c r="H16" s="105"/>
    </row>
    <row r="17" spans="1:10" s="91" customFormat="1" ht="12" customHeight="1">
      <c r="A17" s="87" t="s">
        <v>314</v>
      </c>
      <c r="B17" s="87"/>
      <c r="C17" s="87"/>
      <c r="D17" s="104"/>
      <c r="E17" s="109" t="s">
        <v>313</v>
      </c>
      <c r="F17" s="87"/>
      <c r="G17" s="87"/>
      <c r="H17" s="87"/>
      <c r="I17" s="105"/>
    </row>
    <row r="18" spans="1:10" s="91" customFormat="1" ht="12" customHeight="1">
      <c r="A18" s="87" t="s">
        <v>315</v>
      </c>
      <c r="B18" s="87"/>
      <c r="C18" s="87"/>
      <c r="D18" s="104"/>
      <c r="E18" s="110" t="s">
        <v>399</v>
      </c>
      <c r="F18" s="87"/>
      <c r="G18" s="87"/>
      <c r="H18" s="87"/>
      <c r="I18" s="105"/>
    </row>
    <row r="19" spans="1:10" s="91" customFormat="1" ht="12" customHeight="1">
      <c r="A19" s="87" t="s">
        <v>316</v>
      </c>
      <c r="B19" s="87"/>
      <c r="C19" s="87"/>
      <c r="D19" s="104"/>
      <c r="E19" s="705" t="s">
        <v>401</v>
      </c>
      <c r="F19" s="706"/>
      <c r="G19" s="706"/>
      <c r="H19" s="706"/>
      <c r="I19" s="706"/>
    </row>
    <row r="20" spans="1:10" s="91" customFormat="1" ht="12" customHeight="1">
      <c r="A20" s="87"/>
      <c r="B20" s="87"/>
      <c r="C20" s="87"/>
      <c r="D20" s="104"/>
      <c r="E20" s="705"/>
      <c r="F20" s="706"/>
      <c r="G20" s="706"/>
      <c r="H20" s="706"/>
      <c r="I20" s="706"/>
    </row>
    <row r="21" spans="1:10" s="85" customFormat="1" ht="9.9499999999999993" customHeight="1">
      <c r="A21" s="82" t="s">
        <v>20</v>
      </c>
      <c r="B21" s="82"/>
      <c r="C21" s="113" t="s">
        <v>21</v>
      </c>
      <c r="D21" s="114"/>
      <c r="E21" s="87" t="s">
        <v>400</v>
      </c>
      <c r="F21" s="87"/>
      <c r="G21" s="87"/>
      <c r="H21" s="87"/>
      <c r="I21" s="105"/>
    </row>
    <row r="22" spans="1:10" s="91" customFormat="1" ht="12" customHeight="1">
      <c r="A22" s="718" t="s">
        <v>376</v>
      </c>
      <c r="B22" s="711"/>
      <c r="C22" s="710" t="s">
        <v>390</v>
      </c>
      <c r="D22" s="711"/>
      <c r="E22" s="87"/>
      <c r="F22" s="87"/>
      <c r="G22" s="87"/>
      <c r="H22" s="87"/>
      <c r="I22" s="105"/>
    </row>
    <row r="23" spans="1:10" s="85" customFormat="1" ht="9.9499999999999993" customHeight="1">
      <c r="A23" s="82" t="s">
        <v>318</v>
      </c>
      <c r="B23" s="82"/>
      <c r="C23" s="113" t="s">
        <v>319</v>
      </c>
      <c r="D23" s="114"/>
      <c r="E23" s="117" t="s">
        <v>320</v>
      </c>
      <c r="F23" s="87"/>
      <c r="G23" s="118"/>
      <c r="H23" s="87"/>
      <c r="I23" s="105"/>
    </row>
    <row r="24" spans="1:10" s="91" customFormat="1" ht="12" customHeight="1">
      <c r="A24" s="719" t="s">
        <v>389</v>
      </c>
      <c r="B24" s="709"/>
      <c r="C24" s="700">
        <v>43375</v>
      </c>
      <c r="D24" s="701"/>
      <c r="E24" s="121"/>
      <c r="F24" s="121"/>
      <c r="G24" s="118"/>
      <c r="H24" s="122"/>
    </row>
    <row r="25" spans="1:10" ht="9.9499999999999993" customHeight="1">
      <c r="A25" s="2" t="s">
        <v>23</v>
      </c>
      <c r="B25" s="2"/>
      <c r="C25" s="34" t="s">
        <v>24</v>
      </c>
      <c r="D25" s="2"/>
      <c r="E25" s="34" t="s">
        <v>28</v>
      </c>
      <c r="F25" s="2"/>
      <c r="G25" s="34" t="s">
        <v>29</v>
      </c>
      <c r="H25" s="148" t="s">
        <v>30</v>
      </c>
    </row>
    <row r="26" spans="1:10" s="47" customFormat="1" ht="12" customHeight="1">
      <c r="A26" s="6"/>
      <c r="B26" s="6"/>
      <c r="C26" s="6"/>
      <c r="D26" s="6"/>
      <c r="E26" s="27"/>
      <c r="F26" s="27"/>
      <c r="G26" s="6"/>
      <c r="H26" s="6"/>
    </row>
    <row r="27" spans="1:10" s="47" customFormat="1" ht="12" customHeight="1">
      <c r="A27" s="6"/>
      <c r="B27" s="6"/>
      <c r="C27" s="6"/>
      <c r="D27" s="6"/>
      <c r="E27" s="27"/>
      <c r="F27" s="27"/>
      <c r="G27" s="6"/>
      <c r="H27" s="6"/>
    </row>
    <row r="28" spans="1:10" s="47" customFormat="1" ht="12" customHeight="1">
      <c r="A28" s="6"/>
      <c r="B28" s="6"/>
      <c r="C28" s="246" t="s">
        <v>371</v>
      </c>
      <c r="D28" s="6"/>
      <c r="E28" s="27"/>
      <c r="F28" s="27"/>
      <c r="G28" s="6"/>
      <c r="H28" s="6"/>
    </row>
    <row r="29" spans="1:10" s="181" customFormat="1" ht="12" customHeight="1">
      <c r="A29" s="31"/>
      <c r="B29" s="227" t="s">
        <v>373</v>
      </c>
      <c r="C29" s="205" t="s">
        <v>384</v>
      </c>
      <c r="D29" s="205"/>
      <c r="E29" s="222"/>
      <c r="F29" s="223"/>
      <c r="G29" s="150"/>
      <c r="H29" s="150"/>
      <c r="I29" s="48"/>
      <c r="J29" s="6"/>
    </row>
    <row r="30" spans="1:10" ht="12" customHeight="1">
      <c r="B30" s="124"/>
      <c r="C30" s="47" t="s">
        <v>383</v>
      </c>
      <c r="D30" s="205"/>
      <c r="E30" s="222"/>
      <c r="F30" s="223"/>
      <c r="G30" s="150"/>
      <c r="H30" s="150"/>
    </row>
    <row r="31" spans="1:10" ht="12" customHeight="1">
      <c r="B31" s="87"/>
      <c r="C31" s="233" t="s">
        <v>385</v>
      </c>
      <c r="D31" s="205"/>
      <c r="E31" s="222"/>
      <c r="F31" s="223"/>
      <c r="G31" s="150"/>
      <c r="H31" s="150"/>
    </row>
    <row r="32" spans="1:10" ht="12" customHeight="1">
      <c r="B32" s="87"/>
      <c r="C32" s="233" t="s">
        <v>386</v>
      </c>
      <c r="D32" s="205"/>
      <c r="E32" s="222"/>
      <c r="F32" s="223"/>
      <c r="G32" s="150"/>
      <c r="H32" s="150"/>
    </row>
    <row r="33" spans="2:8" ht="12" customHeight="1">
      <c r="B33" s="87"/>
      <c r="C33" s="233"/>
      <c r="D33" s="205"/>
      <c r="E33" s="222"/>
      <c r="F33" s="223"/>
      <c r="G33" s="150"/>
      <c r="H33" s="150"/>
    </row>
    <row r="34" spans="2:8" ht="12" customHeight="1">
      <c r="B34" s="87"/>
      <c r="C34" s="171"/>
      <c r="D34" s="157" t="s">
        <v>332</v>
      </c>
      <c r="E34" s="158" t="s">
        <v>396</v>
      </c>
      <c r="F34" s="158" t="s">
        <v>334</v>
      </c>
      <c r="G34" s="158" t="s">
        <v>335</v>
      </c>
      <c r="H34" s="159" t="s">
        <v>336</v>
      </c>
    </row>
    <row r="35" spans="2:8" ht="12" customHeight="1">
      <c r="B35" s="87"/>
      <c r="C35" s="171"/>
      <c r="D35" s="241">
        <v>10</v>
      </c>
      <c r="E35" s="242">
        <v>29</v>
      </c>
      <c r="F35" s="248">
        <v>2530</v>
      </c>
      <c r="G35" s="243">
        <v>606.51</v>
      </c>
      <c r="H35" s="244">
        <f>G35+0.1*E35</f>
        <v>609.41</v>
      </c>
    </row>
    <row r="36" spans="2:8" ht="12" customHeight="1">
      <c r="B36" s="87"/>
      <c r="C36" s="171"/>
      <c r="D36" s="165" t="s">
        <v>337</v>
      </c>
      <c r="E36" s="166">
        <f>SUM(E35:E35)</f>
        <v>29</v>
      </c>
      <c r="F36" s="250">
        <f>SUM(F35:F35)</f>
        <v>2530</v>
      </c>
      <c r="G36" s="247">
        <f>SUM(G35:G35)</f>
        <v>606.51</v>
      </c>
      <c r="H36" s="247">
        <f>SUM(H35:H35)</f>
        <v>609.41</v>
      </c>
    </row>
    <row r="37" spans="2:8" ht="12" customHeight="1">
      <c r="B37" s="87"/>
      <c r="C37" s="171"/>
      <c r="D37" s="203"/>
      <c r="E37" s="169"/>
      <c r="F37" s="204"/>
      <c r="G37" s="204"/>
      <c r="H37" s="204"/>
    </row>
    <row r="38" spans="2:8" ht="12" customHeight="1">
      <c r="B38" s="87"/>
      <c r="C38" s="171"/>
      <c r="D38" s="203"/>
      <c r="E38" s="169"/>
      <c r="F38" s="204"/>
      <c r="G38" s="204"/>
      <c r="H38" s="204"/>
    </row>
    <row r="39" spans="2:8" ht="12" customHeight="1">
      <c r="B39" s="87"/>
      <c r="C39" s="171"/>
      <c r="D39" s="203"/>
      <c r="E39" s="169"/>
      <c r="F39" s="204"/>
      <c r="G39" s="204"/>
      <c r="H39" s="204"/>
    </row>
    <row r="40" spans="2:8" ht="12" customHeight="1">
      <c r="B40" s="227" t="s">
        <v>387</v>
      </c>
      <c r="C40" s="205" t="s">
        <v>384</v>
      </c>
      <c r="D40" s="205"/>
      <c r="E40" s="222"/>
      <c r="F40" s="223"/>
      <c r="G40" s="150"/>
      <c r="H40" s="150"/>
    </row>
    <row r="41" spans="2:8" ht="12" customHeight="1">
      <c r="B41" s="124"/>
      <c r="C41" s="47" t="s">
        <v>383</v>
      </c>
      <c r="D41" s="205"/>
      <c r="E41" s="222"/>
      <c r="F41" s="223"/>
      <c r="G41" s="150"/>
      <c r="H41" s="150"/>
    </row>
    <row r="42" spans="2:8" ht="12" customHeight="1">
      <c r="B42" s="87"/>
      <c r="C42" s="233" t="s">
        <v>385</v>
      </c>
      <c r="D42" s="205"/>
      <c r="E42" s="222"/>
      <c r="F42" s="223"/>
      <c r="G42" s="150"/>
      <c r="H42" s="150"/>
    </row>
    <row r="43" spans="2:8" ht="12" customHeight="1">
      <c r="B43" s="87"/>
      <c r="C43" s="233" t="s">
        <v>388</v>
      </c>
      <c r="D43" s="205"/>
      <c r="E43" s="222"/>
      <c r="F43" s="223"/>
      <c r="G43" s="150"/>
      <c r="H43" s="150"/>
    </row>
    <row r="44" spans="2:8" ht="12" customHeight="1">
      <c r="B44" s="87"/>
      <c r="C44" s="233"/>
      <c r="D44" s="205"/>
      <c r="E44" s="222"/>
      <c r="F44" s="223"/>
      <c r="G44" s="150"/>
      <c r="H44" s="150"/>
    </row>
    <row r="45" spans="2:8" ht="12" customHeight="1">
      <c r="B45" s="87"/>
      <c r="C45" s="171"/>
      <c r="D45" s="157" t="s">
        <v>332</v>
      </c>
      <c r="E45" s="158" t="s">
        <v>397</v>
      </c>
      <c r="F45" s="158" t="s">
        <v>334</v>
      </c>
      <c r="G45" s="158" t="s">
        <v>335</v>
      </c>
      <c r="H45" s="159" t="s">
        <v>336</v>
      </c>
    </row>
    <row r="46" spans="2:8" ht="12" customHeight="1">
      <c r="B46" s="87"/>
      <c r="C46" s="171"/>
      <c r="D46" s="241">
        <v>1</v>
      </c>
      <c r="E46" s="242">
        <v>26</v>
      </c>
      <c r="F46" s="248">
        <v>2184</v>
      </c>
      <c r="G46" s="243">
        <v>535.29999999999995</v>
      </c>
      <c r="H46" s="244">
        <f>G46+0.1*E46</f>
        <v>537.9</v>
      </c>
    </row>
    <row r="47" spans="2:8" ht="12" customHeight="1">
      <c r="B47" s="87"/>
      <c r="C47" s="171"/>
      <c r="D47" s="165" t="s">
        <v>337</v>
      </c>
      <c r="E47" s="166">
        <f>SUM(E46:E46)</f>
        <v>26</v>
      </c>
      <c r="F47" s="250">
        <f>SUM(F46:F46)</f>
        <v>2184</v>
      </c>
      <c r="G47" s="167">
        <f>SUM(G46:G46)</f>
        <v>535.29999999999995</v>
      </c>
      <c r="H47" s="167">
        <f>SUM(H46:H46)</f>
        <v>537.9</v>
      </c>
    </row>
    <row r="48" spans="2:8" ht="12" customHeight="1">
      <c r="B48" s="87"/>
      <c r="C48" s="171"/>
      <c r="D48" s="203"/>
      <c r="E48" s="169"/>
      <c r="F48" s="204"/>
      <c r="G48" s="204"/>
      <c r="H48" s="204"/>
    </row>
    <row r="49" spans="2:8" ht="12" customHeight="1" thickBot="1">
      <c r="B49" s="87"/>
      <c r="C49" s="171"/>
      <c r="D49" s="203"/>
      <c r="E49" s="169"/>
      <c r="F49" s="204"/>
      <c r="G49" s="204"/>
      <c r="H49" s="204"/>
    </row>
    <row r="50" spans="2:8" ht="12" customHeight="1" thickTop="1" thickBot="1">
      <c r="C50" s="132" t="s">
        <v>328</v>
      </c>
      <c r="D50" s="133"/>
      <c r="E50" s="256">
        <f>SUM(E29:E49)/2</f>
        <v>55</v>
      </c>
      <c r="F50" s="225">
        <f>SUM(F29:F49)/2</f>
        <v>4714</v>
      </c>
      <c r="G50" s="173">
        <f>SUM(G29:G49)/2</f>
        <v>1141.81</v>
      </c>
      <c r="H50" s="173">
        <f>SUM(H29:H49)/2</f>
        <v>1147.31</v>
      </c>
    </row>
    <row r="51" spans="2:8" ht="12" customHeight="1" thickTop="1">
      <c r="B51" s="87"/>
      <c r="C51" s="171"/>
      <c r="D51" s="203"/>
      <c r="E51" s="169"/>
      <c r="F51" s="204"/>
      <c r="G51" s="204"/>
      <c r="H51" s="204"/>
    </row>
    <row r="52" spans="2:8" ht="12" customHeight="1">
      <c r="B52" s="87"/>
      <c r="C52" s="171"/>
      <c r="D52" s="203"/>
      <c r="E52" s="169"/>
      <c r="F52" s="204"/>
      <c r="G52" s="204"/>
      <c r="H52" s="204"/>
    </row>
    <row r="53" spans="2:8" ht="12" customHeight="1">
      <c r="B53" s="87"/>
      <c r="C53" s="171"/>
      <c r="D53" s="203"/>
      <c r="E53" s="169"/>
      <c r="F53" s="204"/>
      <c r="G53" s="204"/>
      <c r="H53" s="204"/>
    </row>
    <row r="54" spans="2:8" ht="12" customHeight="1">
      <c r="B54" s="87"/>
      <c r="C54" s="171"/>
      <c r="D54" s="203"/>
      <c r="E54" s="169"/>
      <c r="F54" s="204"/>
      <c r="G54" s="204"/>
      <c r="H54" s="204"/>
    </row>
    <row r="55" spans="2:8" ht="12" customHeight="1">
      <c r="B55" s="87"/>
      <c r="C55" s="171"/>
      <c r="D55" s="203"/>
      <c r="E55" s="169"/>
      <c r="F55" s="204"/>
      <c r="G55" s="204"/>
      <c r="H55" s="204"/>
    </row>
    <row r="56" spans="2:8" ht="12" customHeight="1">
      <c r="B56" s="87"/>
      <c r="C56" s="171"/>
      <c r="D56" s="203"/>
      <c r="E56" s="169"/>
      <c r="F56" s="204"/>
      <c r="G56" s="204"/>
      <c r="H56" s="204"/>
    </row>
    <row r="57" spans="2:8" ht="12" customHeight="1"/>
    <row r="58" spans="2:8" ht="12" customHeight="1">
      <c r="G58" s="226" t="s">
        <v>370</v>
      </c>
      <c r="H58" s="1"/>
    </row>
    <row r="59" spans="2:8" ht="12" customHeight="1"/>
  </sheetData>
  <mergeCells count="8">
    <mergeCell ref="A24:B24"/>
    <mergeCell ref="E1:H3"/>
    <mergeCell ref="C24:D24"/>
    <mergeCell ref="A12:D12"/>
    <mergeCell ref="A13:D13"/>
    <mergeCell ref="C22:D22"/>
    <mergeCell ref="A22:B22"/>
    <mergeCell ref="E19:I20"/>
  </mergeCells>
  <phoneticPr fontId="2" type="noConversion"/>
  <hyperlinks>
    <hyperlink ref="A8" r:id="rId1" display="TEL:(82)2-5460066   FAX:(82)2-5404106" xr:uid="{00000000-0004-0000-0A00-000000000000}"/>
  </hyperlinks>
  <printOptions horizontalCentered="1"/>
  <pageMargins left="0.15748031496062992" right="0.15748031496062992" top="0.19685039370078741" bottom="0.31496062992125984" header="0.15748031496062992" footer="0.15748031496062992"/>
  <pageSetup paperSize="9" fitToHeight="2" orientation="portrait" r:id="rId2"/>
  <headerFooter alignWithMargins="0">
    <oddFooter>&amp;C&amp;"+,굵게"&amp;8&amp;K00-034SEWANG TEXTILE &amp;R&amp;"돋움,굵게"&amp;8&amp;K00-034&amp;P OF &amp;N</oddFooter>
  </headerFooter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</sheetPr>
  <dimension ref="A1:J215"/>
  <sheetViews>
    <sheetView showGridLines="0" view="pageBreakPreview" topLeftCell="A10" zoomScaleSheetLayoutView="100" workbookViewId="0">
      <selection activeCell="E41" sqref="E41"/>
    </sheetView>
  </sheetViews>
  <sheetFormatPr defaultColWidth="8.88671875" defaultRowHeight="13.5"/>
  <cols>
    <col min="1" max="1" width="9.109375" customWidth="1"/>
    <col min="2" max="2" width="8.77734375" customWidth="1"/>
    <col min="3" max="3" width="11.77734375" customWidth="1"/>
    <col min="4" max="4" width="7" customWidth="1"/>
    <col min="5" max="5" width="10.109375" customWidth="1"/>
    <col min="6" max="6" width="9.21875" customWidth="1"/>
    <col min="7" max="7" width="9.77734375" customWidth="1"/>
    <col min="8" max="8" width="6.44140625" customWidth="1"/>
    <col min="9" max="9" width="4" customWidth="1"/>
    <col min="10" max="10" width="11.44140625" customWidth="1"/>
  </cols>
  <sheetData>
    <row r="1" spans="1:10" ht="17.100000000000001" customHeight="1">
      <c r="E1" s="696" t="s">
        <v>0</v>
      </c>
      <c r="F1" s="696"/>
      <c r="G1" s="696"/>
      <c r="H1" s="696"/>
      <c r="I1" s="696"/>
      <c r="J1" s="696"/>
    </row>
    <row r="2" spans="1:10" ht="17.100000000000001" customHeight="1">
      <c r="E2" s="696"/>
      <c r="F2" s="696"/>
      <c r="G2" s="696"/>
      <c r="H2" s="696"/>
      <c r="I2" s="696"/>
      <c r="J2" s="696"/>
    </row>
    <row r="3" spans="1:10" ht="17.100000000000001" customHeight="1">
      <c r="A3" s="1"/>
      <c r="B3" s="1"/>
      <c r="C3" s="1"/>
      <c r="D3" s="1"/>
      <c r="E3" s="698"/>
      <c r="F3" s="698"/>
      <c r="G3" s="698"/>
      <c r="H3" s="698"/>
      <c r="I3" s="698"/>
      <c r="J3" s="698"/>
    </row>
    <row r="4" spans="1:10" s="85" customFormat="1" ht="9.9499999999999993" customHeight="1">
      <c r="A4" s="82" t="s">
        <v>301</v>
      </c>
      <c r="B4" s="82"/>
      <c r="C4" s="82"/>
      <c r="D4" s="82"/>
      <c r="E4" s="83" t="s">
        <v>2</v>
      </c>
      <c r="F4" s="100"/>
      <c r="G4" s="82"/>
      <c r="H4" s="82"/>
      <c r="I4" s="82"/>
      <c r="J4" s="84"/>
    </row>
    <row r="5" spans="1:10" s="91" customFormat="1" ht="12" customHeight="1">
      <c r="A5" s="86" t="s">
        <v>303</v>
      </c>
      <c r="B5" s="87"/>
      <c r="C5" s="87"/>
      <c r="D5" s="87"/>
      <c r="E5" s="88" t="s">
        <v>368</v>
      </c>
      <c r="F5" s="153"/>
      <c r="G5" s="89"/>
      <c r="H5" s="89"/>
      <c r="I5" s="90"/>
      <c r="J5" s="90">
        <v>43238</v>
      </c>
    </row>
    <row r="6" spans="1:10" s="85" customFormat="1" ht="12" customHeight="1">
      <c r="A6" s="86" t="s">
        <v>4</v>
      </c>
      <c r="B6" s="87"/>
      <c r="C6" s="87"/>
      <c r="D6" s="87"/>
      <c r="E6" s="83" t="s">
        <v>305</v>
      </c>
      <c r="F6" s="100"/>
      <c r="G6" s="82"/>
      <c r="H6" s="82"/>
      <c r="I6" s="92"/>
      <c r="J6" s="92"/>
    </row>
    <row r="7" spans="1:10" s="91" customFormat="1" ht="12" customHeight="1">
      <c r="A7" s="86" t="s">
        <v>6</v>
      </c>
      <c r="B7" s="87"/>
      <c r="C7" s="87"/>
      <c r="D7" s="87" t="s">
        <v>307</v>
      </c>
      <c r="E7" s="213" t="s">
        <v>342</v>
      </c>
      <c r="F7" s="214"/>
      <c r="G7" s="130"/>
      <c r="H7" s="130"/>
      <c r="I7" s="216"/>
      <c r="J7" s="216">
        <v>43215</v>
      </c>
    </row>
    <row r="8" spans="1:10" s="91" customFormat="1" ht="12" customHeight="1">
      <c r="A8" s="86" t="s">
        <v>308</v>
      </c>
      <c r="B8" s="87"/>
      <c r="C8" s="87"/>
      <c r="D8" s="87"/>
      <c r="E8" s="94"/>
      <c r="F8" s="117"/>
      <c r="G8" s="87"/>
      <c r="H8" s="87"/>
      <c r="I8" s="95"/>
      <c r="J8" s="96"/>
    </row>
    <row r="9" spans="1:10" s="91" customFormat="1" ht="12" customHeight="1">
      <c r="A9" s="87"/>
      <c r="B9" s="87"/>
      <c r="C9" s="87"/>
      <c r="D9" s="87"/>
      <c r="E9" s="97"/>
      <c r="F9" s="106"/>
      <c r="G9" s="87"/>
      <c r="H9" s="87"/>
      <c r="I9" s="87"/>
      <c r="J9" s="98"/>
    </row>
    <row r="10" spans="1:10" s="85" customFormat="1" ht="9.9499999999999993" customHeight="1">
      <c r="A10" s="82" t="s">
        <v>309</v>
      </c>
      <c r="B10" s="82"/>
      <c r="C10" s="82"/>
      <c r="D10" s="99"/>
      <c r="E10" s="100" t="s">
        <v>10</v>
      </c>
      <c r="F10" s="100"/>
      <c r="G10" s="82"/>
      <c r="H10" s="101"/>
      <c r="I10" s="102"/>
      <c r="J10" s="103"/>
    </row>
    <row r="11" spans="1:10" s="91" customFormat="1" ht="12" customHeight="1">
      <c r="A11" s="87" t="s">
        <v>310</v>
      </c>
      <c r="B11" s="87"/>
      <c r="C11" s="87"/>
      <c r="D11" s="104"/>
      <c r="E11" s="86" t="s">
        <v>49</v>
      </c>
      <c r="F11" s="86"/>
      <c r="G11" s="87"/>
      <c r="H11" s="87"/>
      <c r="I11" s="87"/>
      <c r="J11" s="105"/>
    </row>
    <row r="12" spans="1:10" s="91" customFormat="1" ht="12" customHeight="1">
      <c r="A12" s="87" t="s">
        <v>311</v>
      </c>
      <c r="B12" s="87"/>
      <c r="C12" s="87"/>
      <c r="D12" s="104"/>
      <c r="E12" s="106" t="s">
        <v>50</v>
      </c>
      <c r="F12" s="106"/>
      <c r="G12" s="87"/>
      <c r="H12" s="87"/>
      <c r="I12" s="87"/>
      <c r="J12" s="105"/>
    </row>
    <row r="13" spans="1:10" s="91" customFormat="1" ht="12" customHeight="1">
      <c r="A13" s="87" t="s">
        <v>13</v>
      </c>
      <c r="B13" s="87"/>
      <c r="C13" s="87"/>
      <c r="D13" s="104"/>
      <c r="E13" s="106"/>
      <c r="F13" s="106"/>
      <c r="G13" s="87"/>
      <c r="H13" s="87"/>
      <c r="I13" s="87"/>
      <c r="J13" s="105"/>
    </row>
    <row r="14" spans="1:10" s="91" customFormat="1" ht="12" customHeight="1">
      <c r="A14" s="87"/>
      <c r="B14" s="87"/>
      <c r="C14" s="87"/>
      <c r="D14" s="104"/>
      <c r="E14" s="107"/>
      <c r="F14" s="107"/>
      <c r="G14" s="87"/>
      <c r="H14" s="87"/>
      <c r="I14" s="87"/>
      <c r="J14" s="105"/>
    </row>
    <row r="15" spans="1:10" s="85" customFormat="1" ht="9.9499999999999993" customHeight="1">
      <c r="A15" s="82" t="s">
        <v>296</v>
      </c>
      <c r="B15" s="108"/>
      <c r="C15" s="102"/>
      <c r="D15" s="99"/>
      <c r="E15" s="100" t="s">
        <v>15</v>
      </c>
      <c r="F15" s="100"/>
      <c r="G15" s="101"/>
      <c r="H15" s="102"/>
      <c r="I15" s="102"/>
      <c r="J15" s="103"/>
    </row>
    <row r="16" spans="1:10" s="91" customFormat="1" ht="12" customHeight="1">
      <c r="A16" s="87" t="s">
        <v>312</v>
      </c>
      <c r="B16" s="87"/>
      <c r="C16" s="87"/>
      <c r="D16" s="104"/>
      <c r="E16" s="109" t="s">
        <v>313</v>
      </c>
      <c r="F16" s="109"/>
      <c r="G16" s="87"/>
      <c r="H16" s="87"/>
      <c r="I16" s="87"/>
      <c r="J16" s="105"/>
    </row>
    <row r="17" spans="1:10" s="91" customFormat="1" ht="12" customHeight="1">
      <c r="A17" s="87" t="s">
        <v>314</v>
      </c>
      <c r="B17" s="87"/>
      <c r="C17" s="87"/>
      <c r="D17" s="104"/>
      <c r="E17" s="110" t="s">
        <v>16</v>
      </c>
      <c r="F17" s="110"/>
      <c r="G17" s="87"/>
      <c r="H17" s="87"/>
      <c r="I17" s="87"/>
      <c r="J17" s="105"/>
    </row>
    <row r="18" spans="1:10" s="91" customFormat="1" ht="12" customHeight="1">
      <c r="A18" s="87" t="s">
        <v>315</v>
      </c>
      <c r="B18" s="87"/>
      <c r="C18" s="87"/>
      <c r="D18" s="104"/>
      <c r="E18" s="110" t="s">
        <v>297</v>
      </c>
      <c r="F18" s="110"/>
      <c r="G18" s="87"/>
      <c r="H18" s="87"/>
      <c r="I18" s="87"/>
      <c r="J18" s="105"/>
    </row>
    <row r="19" spans="1:10" s="91" customFormat="1" ht="12" customHeight="1">
      <c r="A19" s="87" t="s">
        <v>316</v>
      </c>
      <c r="B19" s="87"/>
      <c r="C19" s="87"/>
      <c r="D19" s="104"/>
      <c r="E19" s="110" t="s">
        <v>298</v>
      </c>
      <c r="F19" s="110"/>
      <c r="G19" s="87"/>
      <c r="H19" s="87"/>
      <c r="I19" s="87"/>
      <c r="J19" s="105"/>
    </row>
    <row r="20" spans="1:10" s="91" customFormat="1" ht="12" customHeight="1">
      <c r="A20" s="87"/>
      <c r="B20" s="87"/>
      <c r="C20" s="87"/>
      <c r="D20" s="104"/>
      <c r="E20" s="87"/>
      <c r="F20" s="87"/>
      <c r="H20" s="87"/>
      <c r="I20" s="111"/>
      <c r="J20" s="112"/>
    </row>
    <row r="21" spans="1:10" s="85" customFormat="1" ht="9.9499999999999993" customHeight="1">
      <c r="A21" s="82" t="s">
        <v>20</v>
      </c>
      <c r="B21" s="82"/>
      <c r="C21" s="113" t="s">
        <v>21</v>
      </c>
      <c r="D21" s="114"/>
      <c r="E21" s="87"/>
      <c r="F21" s="87"/>
      <c r="G21" s="87"/>
      <c r="H21" s="87"/>
      <c r="I21" s="87"/>
      <c r="J21" s="105"/>
    </row>
    <row r="22" spans="1:10" s="91" customFormat="1" ht="12" customHeight="1">
      <c r="A22" s="89" t="s">
        <v>317</v>
      </c>
      <c r="B22" s="115"/>
      <c r="C22" s="116" t="s">
        <v>300</v>
      </c>
      <c r="D22" s="115"/>
      <c r="E22" s="87"/>
      <c r="F22" s="87"/>
      <c r="G22" s="87"/>
      <c r="H22" s="87"/>
      <c r="I22" s="87"/>
      <c r="J22" s="105"/>
    </row>
    <row r="23" spans="1:10" s="85" customFormat="1" ht="9.9499999999999993" customHeight="1">
      <c r="A23" s="82" t="s">
        <v>318</v>
      </c>
      <c r="B23" s="82"/>
      <c r="C23" s="113" t="s">
        <v>319</v>
      </c>
      <c r="D23" s="114"/>
      <c r="E23" s="117" t="s">
        <v>320</v>
      </c>
      <c r="F23" s="117"/>
      <c r="G23" s="87"/>
      <c r="H23" s="118"/>
      <c r="I23" s="87"/>
      <c r="J23" s="105"/>
    </row>
    <row r="24" spans="1:10" s="91" customFormat="1" ht="12" customHeight="1">
      <c r="A24" s="119" t="s">
        <v>329</v>
      </c>
      <c r="B24" s="115"/>
      <c r="C24" s="142">
        <v>43238</v>
      </c>
      <c r="D24" s="120"/>
      <c r="E24" s="121"/>
      <c r="F24" s="121"/>
      <c r="G24" s="87"/>
      <c r="H24" s="118"/>
      <c r="I24" s="89"/>
      <c r="J24" s="122"/>
    </row>
    <row r="25" spans="1:10" s="85" customFormat="1" ht="9.9499999999999993" customHeight="1">
      <c r="A25" s="82" t="s">
        <v>321</v>
      </c>
      <c r="B25" s="82"/>
      <c r="C25" s="113" t="s">
        <v>24</v>
      </c>
      <c r="D25" s="82"/>
      <c r="E25" s="83" t="s">
        <v>322</v>
      </c>
      <c r="F25" s="100"/>
      <c r="G25" s="82"/>
      <c r="H25" s="113" t="s">
        <v>25</v>
      </c>
      <c r="I25" s="82"/>
      <c r="J25" s="113" t="s">
        <v>323</v>
      </c>
    </row>
    <row r="26" spans="1:10" s="91" customFormat="1" ht="12" customHeight="1">
      <c r="A26" s="87"/>
      <c r="B26" s="87"/>
      <c r="C26" s="87"/>
      <c r="D26" s="87"/>
      <c r="E26" s="121"/>
      <c r="F26" s="121"/>
      <c r="G26" s="87"/>
      <c r="H26" s="87"/>
      <c r="I26" s="87"/>
      <c r="J26" s="87"/>
    </row>
    <row r="27" spans="1:10" s="10" customFormat="1" ht="12" customHeight="1">
      <c r="A27" s="13"/>
      <c r="B27" s="6"/>
      <c r="C27" s="6"/>
      <c r="D27" s="6"/>
      <c r="E27" s="42"/>
      <c r="F27" s="42"/>
      <c r="G27" s="6"/>
      <c r="H27" s="6"/>
      <c r="I27" s="175" t="s">
        <v>324</v>
      </c>
      <c r="J27" s="6"/>
    </row>
    <row r="28" spans="1:10" s="10" customFormat="1" ht="12" customHeight="1">
      <c r="A28" s="31"/>
      <c r="B28" s="6"/>
      <c r="C28" s="13" t="s">
        <v>26</v>
      </c>
      <c r="D28" s="13"/>
      <c r="E28" s="13"/>
      <c r="F28" s="13"/>
      <c r="G28" s="6"/>
      <c r="H28" s="13"/>
      <c r="I28" s="13"/>
      <c r="J28" s="13"/>
    </row>
    <row r="29" spans="1:10" s="181" customFormat="1" ht="12" customHeight="1">
      <c r="A29" s="31"/>
      <c r="B29" s="176" t="s">
        <v>325</v>
      </c>
      <c r="C29" s="177" t="s">
        <v>348</v>
      </c>
      <c r="D29" s="47"/>
      <c r="F29" s="178"/>
      <c r="G29" s="47"/>
      <c r="H29" s="179"/>
      <c r="I29" s="47"/>
      <c r="J29" s="180"/>
    </row>
    <row r="30" spans="1:10" s="181" customFormat="1" ht="12" customHeight="1">
      <c r="A30" s="31"/>
      <c r="B30" s="6"/>
      <c r="C30" s="177" t="s">
        <v>349</v>
      </c>
      <c r="D30" s="47"/>
      <c r="F30" s="178"/>
      <c r="G30" s="47"/>
      <c r="H30" s="179"/>
      <c r="I30" s="47"/>
      <c r="J30" s="180"/>
    </row>
    <row r="31" spans="1:10" s="181" customFormat="1" ht="12" customHeight="1">
      <c r="A31" s="31"/>
      <c r="B31" s="6"/>
      <c r="C31" s="47" t="s">
        <v>339</v>
      </c>
      <c r="D31" s="47"/>
      <c r="F31" s="178"/>
      <c r="G31" s="47"/>
      <c r="H31" s="179"/>
      <c r="I31" s="47"/>
      <c r="J31" s="180"/>
    </row>
    <row r="32" spans="1:10" s="181" customFormat="1" ht="12" customHeight="1">
      <c r="A32" s="31"/>
      <c r="B32" s="6"/>
      <c r="C32" s="47" t="s">
        <v>340</v>
      </c>
      <c r="D32" s="47"/>
      <c r="F32" s="178"/>
      <c r="G32" s="47"/>
      <c r="H32" s="179"/>
      <c r="I32" s="47"/>
      <c r="J32" s="180"/>
    </row>
    <row r="33" spans="1:10" s="181" customFormat="1" ht="12" customHeight="1">
      <c r="A33" s="31"/>
      <c r="B33" s="6"/>
      <c r="C33" s="47" t="s">
        <v>341</v>
      </c>
      <c r="D33" s="47"/>
      <c r="F33" s="178"/>
      <c r="G33" s="47"/>
      <c r="H33" s="179"/>
      <c r="I33" s="47"/>
      <c r="J33" s="180"/>
    </row>
    <row r="34" spans="1:10" s="181" customFormat="1" ht="12" customHeight="1">
      <c r="A34" s="31"/>
      <c r="B34" s="6"/>
      <c r="C34" s="47" t="s">
        <v>358</v>
      </c>
      <c r="D34" s="47"/>
      <c r="F34" s="178"/>
      <c r="G34" s="47"/>
      <c r="H34" s="179"/>
      <c r="I34" s="47"/>
      <c r="J34" s="180"/>
    </row>
    <row r="35" spans="1:10" s="181" customFormat="1" ht="12" customHeight="1">
      <c r="A35" s="31"/>
      <c r="B35" s="6"/>
      <c r="D35" s="47"/>
      <c r="E35" s="208">
        <v>305</v>
      </c>
      <c r="F35" s="191">
        <v>23225</v>
      </c>
      <c r="G35" s="209">
        <v>12328.49</v>
      </c>
      <c r="H35" s="206">
        <v>1.51</v>
      </c>
      <c r="I35" s="205" t="s">
        <v>326</v>
      </c>
      <c r="J35" s="207">
        <f>ROUND(F35*H35,2)</f>
        <v>35069.75</v>
      </c>
    </row>
    <row r="36" spans="1:10" s="181" customFormat="1" ht="12" customHeight="1">
      <c r="A36" s="31"/>
      <c r="B36" s="6"/>
      <c r="D36" s="47"/>
      <c r="E36" s="182"/>
      <c r="F36" s="191"/>
      <c r="G36" s="183"/>
      <c r="H36" s="179"/>
      <c r="I36" s="47"/>
      <c r="J36" s="180"/>
    </row>
    <row r="37" spans="1:10" s="181" customFormat="1" ht="12" customHeight="1">
      <c r="A37" s="31"/>
      <c r="B37" s="6"/>
      <c r="C37" s="6"/>
      <c r="D37" s="6"/>
      <c r="F37" s="193"/>
      <c r="G37" s="194"/>
      <c r="H37" s="6"/>
      <c r="I37" s="6"/>
      <c r="J37" s="6"/>
    </row>
    <row r="38" spans="1:10" s="189" customFormat="1" ht="12" customHeight="1" thickBot="1">
      <c r="A38" s="78"/>
      <c r="B38" s="184"/>
      <c r="C38" s="192"/>
      <c r="D38" s="185"/>
      <c r="F38" s="186"/>
      <c r="G38" s="190"/>
      <c r="H38" s="187"/>
      <c r="I38" s="185"/>
      <c r="J38" s="188"/>
    </row>
    <row r="39" spans="1:10" s="181" customFormat="1" ht="12" customHeight="1" thickTop="1" thickBot="1">
      <c r="A39" s="31"/>
      <c r="B39" s="6"/>
      <c r="C39" s="195" t="s">
        <v>328</v>
      </c>
      <c r="D39" s="196"/>
      <c r="E39" s="197">
        <f>E35</f>
        <v>305</v>
      </c>
      <c r="F39" s="212">
        <f>SUM(F29:F38)</f>
        <v>23225</v>
      </c>
      <c r="G39" s="174">
        <f>G35</f>
        <v>12328.49</v>
      </c>
      <c r="H39" s="200"/>
      <c r="I39" s="200"/>
      <c r="J39" s="201">
        <f>J35</f>
        <v>35069.75</v>
      </c>
    </row>
    <row r="40" spans="1:10" s="181" customFormat="1" ht="12" customHeight="1" thickTop="1">
      <c r="A40" s="31"/>
      <c r="B40" s="6"/>
      <c r="D40" s="47"/>
      <c r="E40" s="182"/>
      <c r="F40" s="191"/>
      <c r="G40" s="183"/>
      <c r="H40" s="179"/>
      <c r="I40" s="47"/>
      <c r="J40" s="180"/>
    </row>
    <row r="41" spans="1:10" s="127" customFormat="1" ht="12" customHeight="1">
      <c r="A41" s="87"/>
      <c r="B41" s="87"/>
      <c r="C41" s="87"/>
      <c r="D41" s="105"/>
      <c r="E41" s="121"/>
      <c r="F41" s="121"/>
      <c r="G41" s="138" t="s">
        <v>27</v>
      </c>
      <c r="H41" s="89"/>
      <c r="I41" s="89"/>
      <c r="J41" s="89"/>
    </row>
    <row r="42" spans="1:10" s="127" customFormat="1" ht="12" customHeight="1">
      <c r="A42" s="89"/>
      <c r="B42" s="89"/>
      <c r="C42" s="89"/>
      <c r="D42" s="89"/>
      <c r="E42" s="89"/>
      <c r="F42" s="89"/>
      <c r="G42" s="89"/>
      <c r="H42" s="89"/>
      <c r="I42" s="89"/>
      <c r="J42" s="89"/>
    </row>
    <row r="43" spans="1:10" s="127" customFormat="1" ht="12" customHeight="1">
      <c r="A43" s="87"/>
      <c r="B43" s="87"/>
      <c r="C43" s="87"/>
      <c r="D43" s="87"/>
      <c r="E43" s="87"/>
      <c r="F43" s="87"/>
      <c r="G43" s="87"/>
      <c r="H43" s="87"/>
      <c r="I43" s="87"/>
      <c r="J43" s="87"/>
    </row>
    <row r="44" spans="1:10" s="127" customFormat="1" ht="12" customHeight="1">
      <c r="A44" s="87"/>
      <c r="B44" s="87"/>
      <c r="C44" s="87"/>
      <c r="D44" s="87"/>
      <c r="E44" s="87"/>
      <c r="F44" s="87"/>
      <c r="G44" s="87"/>
      <c r="H44" s="87"/>
      <c r="I44" s="87"/>
      <c r="J44" s="87"/>
    </row>
    <row r="45" spans="1:10" s="127" customFormat="1" ht="12" customHeight="1">
      <c r="A45" s="87"/>
      <c r="B45" s="87"/>
      <c r="C45" s="87"/>
      <c r="D45" s="87"/>
      <c r="E45" s="87"/>
      <c r="F45" s="87"/>
      <c r="G45" s="87"/>
      <c r="H45" s="87"/>
      <c r="I45" s="87"/>
      <c r="J45" s="87"/>
    </row>
    <row r="46" spans="1:10" s="127" customFormat="1" ht="12" customHeight="1">
      <c r="A46" s="87"/>
      <c r="B46" s="87"/>
      <c r="C46" s="87"/>
      <c r="D46" s="87"/>
      <c r="E46" s="87"/>
      <c r="F46" s="87"/>
      <c r="G46" s="87"/>
      <c r="H46" s="87"/>
      <c r="I46" s="87"/>
      <c r="J46" s="87"/>
    </row>
    <row r="47" spans="1:10" s="127" customFormat="1" ht="12" customHeight="1">
      <c r="A47" s="87"/>
      <c r="B47" s="87"/>
      <c r="C47" s="87"/>
      <c r="D47" s="87"/>
      <c r="E47" s="87"/>
      <c r="F47" s="87"/>
      <c r="G47" s="87"/>
      <c r="H47" s="87"/>
      <c r="I47" s="87"/>
      <c r="J47" s="87"/>
    </row>
    <row r="48" spans="1:10" s="127" customFormat="1" ht="12" customHeight="1">
      <c r="A48" s="87"/>
      <c r="B48" s="87"/>
      <c r="C48" s="87"/>
      <c r="D48" s="87"/>
      <c r="E48" s="87"/>
      <c r="F48" s="87"/>
      <c r="G48" s="87"/>
      <c r="H48" s="87"/>
      <c r="I48" s="87"/>
      <c r="J48" s="87"/>
    </row>
    <row r="49" spans="1:10" s="127" customFormat="1" ht="12" customHeight="1">
      <c r="A49" s="87"/>
      <c r="B49" s="87"/>
      <c r="C49" s="87"/>
      <c r="D49" s="87"/>
      <c r="E49" s="87"/>
      <c r="F49" s="87"/>
      <c r="G49" s="87"/>
      <c r="H49" s="87"/>
      <c r="I49" s="87"/>
      <c r="J49" s="87"/>
    </row>
    <row r="50" spans="1:10" s="127" customFormat="1" ht="12" customHeight="1">
      <c r="A50" s="87"/>
      <c r="B50" s="87"/>
      <c r="C50" s="87"/>
      <c r="D50" s="87"/>
      <c r="E50" s="87"/>
      <c r="F50" s="87"/>
      <c r="G50" s="87"/>
      <c r="H50" s="87"/>
      <c r="I50" s="87"/>
      <c r="J50" s="87"/>
    </row>
    <row r="51" spans="1:10" s="127" customFormat="1" ht="12" customHeight="1">
      <c r="A51" s="87"/>
      <c r="B51" s="87"/>
      <c r="C51" s="87"/>
      <c r="D51" s="87"/>
      <c r="E51" s="87"/>
      <c r="F51" s="87"/>
      <c r="G51" s="87"/>
      <c r="H51" s="87"/>
      <c r="I51" s="87"/>
      <c r="J51" s="87"/>
    </row>
    <row r="52" spans="1:10" s="127" customFormat="1" ht="12" customHeight="1">
      <c r="A52" s="87"/>
      <c r="B52" s="87"/>
      <c r="C52" s="87"/>
      <c r="D52" s="87"/>
      <c r="E52" s="87"/>
      <c r="F52" s="87"/>
      <c r="G52" s="87"/>
      <c r="H52" s="87"/>
      <c r="I52" s="87"/>
      <c r="J52" s="87"/>
    </row>
    <row r="53" spans="1:10" s="127" customFormat="1" ht="12" customHeight="1">
      <c r="A53" s="87"/>
      <c r="B53" s="87"/>
      <c r="C53" s="87"/>
      <c r="D53" s="87"/>
      <c r="E53" s="139"/>
      <c r="F53" s="139"/>
      <c r="G53" s="87"/>
      <c r="H53" s="140"/>
      <c r="I53" s="87"/>
      <c r="J53" s="141"/>
    </row>
    <row r="54" spans="1:10" s="127" customFormat="1" ht="12" customHeight="1">
      <c r="A54" s="87"/>
      <c r="B54" s="87"/>
      <c r="C54" s="87"/>
      <c r="D54" s="87"/>
      <c r="E54" s="87"/>
      <c r="F54" s="87"/>
      <c r="G54" s="87"/>
      <c r="H54" s="87"/>
      <c r="I54" s="87"/>
      <c r="J54" s="87"/>
    </row>
    <row r="55" spans="1:10" s="127" customFormat="1" ht="12" customHeight="1">
      <c r="A55" s="87"/>
      <c r="B55" s="87"/>
      <c r="C55" s="87"/>
      <c r="D55" s="87"/>
      <c r="E55" s="87"/>
      <c r="F55" s="87"/>
      <c r="G55" s="87"/>
      <c r="H55" s="87"/>
      <c r="I55" s="87"/>
      <c r="J55" s="87"/>
    </row>
    <row r="56" spans="1:10" s="127" customFormat="1" ht="12" customHeight="1">
      <c r="A56" s="87"/>
      <c r="B56" s="87"/>
      <c r="C56" s="87"/>
      <c r="D56" s="87"/>
      <c r="E56" s="87"/>
      <c r="F56" s="87"/>
      <c r="G56" s="87"/>
      <c r="H56" s="87"/>
      <c r="I56" s="87"/>
      <c r="J56" s="87"/>
    </row>
    <row r="57" spans="1:10" s="127" customFormat="1" ht="12" customHeight="1">
      <c r="A57" s="87"/>
      <c r="B57" s="87"/>
      <c r="C57" s="87"/>
      <c r="D57" s="87"/>
      <c r="E57" s="87"/>
      <c r="F57" s="87"/>
      <c r="G57" s="87"/>
      <c r="H57" s="87"/>
      <c r="I57" s="87"/>
      <c r="J57" s="87"/>
    </row>
    <row r="58" spans="1:10" s="127" customFormat="1" ht="12" customHeight="1">
      <c r="A58" s="87"/>
      <c r="B58" s="87"/>
      <c r="C58" s="87"/>
      <c r="D58" s="87"/>
      <c r="E58" s="87"/>
      <c r="F58" s="87"/>
      <c r="G58" s="87"/>
      <c r="H58" s="87"/>
      <c r="I58" s="87"/>
      <c r="J58" s="87"/>
    </row>
    <row r="59" spans="1:10" s="127" customFormat="1" ht="12" customHeight="1">
      <c r="A59" s="87"/>
      <c r="B59" s="87"/>
      <c r="C59" s="87"/>
      <c r="D59" s="87"/>
      <c r="E59" s="87"/>
      <c r="F59" s="87"/>
      <c r="G59" s="87"/>
      <c r="H59" s="87"/>
      <c r="I59" s="87"/>
      <c r="J59" s="87"/>
    </row>
    <row r="60" spans="1:10" s="127" customFormat="1" ht="12" customHeight="1">
      <c r="A60" s="87"/>
      <c r="B60" s="87"/>
      <c r="C60" s="87"/>
      <c r="D60" s="87"/>
      <c r="E60" s="87"/>
      <c r="F60" s="87"/>
      <c r="G60" s="87"/>
      <c r="H60" s="87"/>
      <c r="I60" s="87"/>
      <c r="J60" s="87"/>
    </row>
    <row r="61" spans="1:10" s="127" customFormat="1" ht="12" customHeight="1">
      <c r="A61" s="87"/>
      <c r="B61" s="87"/>
      <c r="C61" s="87"/>
      <c r="D61" s="87"/>
      <c r="E61" s="87"/>
      <c r="F61" s="87"/>
      <c r="G61" s="87"/>
      <c r="H61" s="87"/>
      <c r="I61" s="87"/>
      <c r="J61" s="87"/>
    </row>
    <row r="62" spans="1:10" s="127" customFormat="1" ht="12" customHeight="1">
      <c r="A62" s="87"/>
      <c r="B62" s="87"/>
      <c r="C62" s="87"/>
      <c r="D62" s="87"/>
      <c r="E62" s="87"/>
      <c r="F62" s="87"/>
      <c r="G62" s="87"/>
      <c r="H62" s="87"/>
      <c r="I62" s="87"/>
      <c r="J62" s="87"/>
    </row>
    <row r="63" spans="1:10" s="127" customFormat="1" ht="12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</row>
    <row r="64" spans="1:10" s="127" customFormat="1" ht="12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</row>
    <row r="65" spans="1:10" s="127" customFormat="1" ht="12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</row>
    <row r="66" spans="1:10" s="127" customFormat="1" ht="12" customHeight="1">
      <c r="A66" s="87"/>
      <c r="B66" s="87"/>
      <c r="C66" s="87"/>
      <c r="D66" s="87"/>
      <c r="E66" s="87"/>
      <c r="F66" s="87"/>
      <c r="G66" s="87"/>
      <c r="H66" s="87"/>
      <c r="I66" s="87"/>
      <c r="J66" s="87"/>
    </row>
    <row r="67" spans="1:10" s="127" customFormat="1" ht="12" customHeight="1">
      <c r="A67" s="87"/>
      <c r="B67" s="87"/>
      <c r="C67" s="87"/>
      <c r="D67" s="87"/>
      <c r="E67" s="87"/>
      <c r="F67" s="87"/>
      <c r="G67" s="87"/>
      <c r="H67" s="87"/>
      <c r="I67" s="87"/>
      <c r="J67" s="87"/>
    </row>
    <row r="68" spans="1:10" s="127" customFormat="1" ht="12" customHeight="1">
      <c r="A68" s="87"/>
      <c r="B68" s="87"/>
      <c r="C68" s="87"/>
      <c r="D68" s="87"/>
      <c r="E68" s="87"/>
      <c r="F68" s="87"/>
      <c r="G68" s="87"/>
      <c r="H68" s="87"/>
      <c r="I68" s="87"/>
      <c r="J68" s="87"/>
    </row>
    <row r="69" spans="1:10" s="127" customFormat="1" ht="12" customHeight="1">
      <c r="A69" s="87"/>
      <c r="B69" s="87"/>
      <c r="C69" s="87"/>
      <c r="D69" s="87"/>
      <c r="E69" s="87"/>
      <c r="F69" s="87"/>
      <c r="G69" s="87"/>
      <c r="H69" s="87"/>
      <c r="I69" s="87"/>
      <c r="J69" s="87"/>
    </row>
    <row r="70" spans="1:10" s="127" customFormat="1" ht="12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</row>
    <row r="71" spans="1:10" s="127" customFormat="1" ht="12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</row>
    <row r="72" spans="1:10" s="127" customFormat="1" ht="12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</row>
    <row r="73" spans="1:10" s="127" customFormat="1" ht="12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</row>
    <row r="74" spans="1:10" s="127" customFormat="1" ht="12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</row>
    <row r="75" spans="1:10" s="127" customFormat="1" ht="12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</row>
    <row r="76" spans="1:10" s="127" customFormat="1" ht="12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</row>
    <row r="77" spans="1:10" s="127" customFormat="1" ht="12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</row>
    <row r="78" spans="1:10" s="127" customFormat="1" ht="12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</row>
    <row r="79" spans="1:10" s="127" customFormat="1" ht="12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</row>
    <row r="80" spans="1:10" s="127" customFormat="1" ht="12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</row>
    <row r="81" spans="1:10" s="127" customFormat="1" ht="12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</row>
    <row r="82" spans="1:10" s="127" customFormat="1" ht="12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</row>
    <row r="83" spans="1:10" s="127" customFormat="1" ht="12" customHeight="1">
      <c r="A83" s="87"/>
      <c r="B83" s="87"/>
      <c r="C83" s="87"/>
      <c r="D83" s="87"/>
      <c r="E83" s="87"/>
      <c r="F83" s="87"/>
      <c r="G83" s="87"/>
      <c r="H83" s="87"/>
      <c r="I83" s="87"/>
      <c r="J83" s="87"/>
    </row>
    <row r="84" spans="1:10" s="127" customFormat="1" ht="12" customHeight="1">
      <c r="A84" s="87"/>
      <c r="B84" s="87"/>
      <c r="C84" s="87"/>
      <c r="D84" s="87"/>
      <c r="E84" s="87"/>
      <c r="F84" s="87"/>
      <c r="G84" s="87"/>
      <c r="H84" s="87"/>
      <c r="I84" s="87"/>
      <c r="J84" s="87"/>
    </row>
    <row r="85" spans="1:10" s="127" customFormat="1" ht="12" customHeight="1">
      <c r="A85" s="87"/>
      <c r="B85" s="87"/>
      <c r="C85" s="87"/>
      <c r="D85" s="87"/>
      <c r="E85" s="87"/>
      <c r="F85" s="87"/>
      <c r="G85" s="87"/>
      <c r="H85" s="87"/>
      <c r="I85" s="87"/>
      <c r="J85" s="87"/>
    </row>
    <row r="86" spans="1:10" s="127" customFormat="1" ht="12" customHeight="1">
      <c r="A86" s="87"/>
      <c r="B86" s="87"/>
      <c r="C86" s="87"/>
      <c r="D86" s="87"/>
      <c r="E86" s="87"/>
      <c r="F86" s="87"/>
      <c r="G86" s="87"/>
      <c r="H86" s="87"/>
      <c r="I86" s="87"/>
      <c r="J86" s="87"/>
    </row>
    <row r="87" spans="1:10" s="127" customFormat="1" ht="12" customHeight="1">
      <c r="A87" s="87"/>
      <c r="B87" s="87"/>
      <c r="C87" s="87"/>
      <c r="D87" s="87"/>
      <c r="E87" s="87"/>
      <c r="F87" s="87"/>
      <c r="G87" s="87"/>
      <c r="H87" s="87"/>
      <c r="I87" s="87"/>
      <c r="J87" s="87"/>
    </row>
    <row r="88" spans="1:10" s="127" customFormat="1" ht="12" customHeight="1">
      <c r="A88" s="87"/>
      <c r="B88" s="87"/>
      <c r="C88" s="87"/>
      <c r="D88" s="87"/>
      <c r="E88" s="87"/>
      <c r="F88" s="87"/>
      <c r="G88" s="87"/>
      <c r="H88" s="87"/>
      <c r="I88" s="87"/>
      <c r="J88" s="87"/>
    </row>
    <row r="89" spans="1:10" s="127" customFormat="1" ht="12" customHeight="1">
      <c r="A89" s="87"/>
      <c r="B89" s="87"/>
      <c r="C89" s="87"/>
      <c r="D89" s="87"/>
      <c r="E89" s="87"/>
      <c r="F89" s="87"/>
      <c r="G89" s="87"/>
      <c r="H89" s="87"/>
      <c r="I89" s="87"/>
      <c r="J89" s="87"/>
    </row>
    <row r="90" spans="1:10" s="127" customFormat="1" ht="12" customHeight="1">
      <c r="A90" s="87"/>
      <c r="B90" s="87"/>
      <c r="C90" s="87"/>
      <c r="D90" s="87"/>
      <c r="E90" s="87"/>
      <c r="F90" s="87"/>
      <c r="G90" s="87"/>
      <c r="H90" s="87"/>
      <c r="I90" s="87"/>
      <c r="J90" s="87"/>
    </row>
    <row r="91" spans="1:10" s="127" customFormat="1" ht="12" customHeight="1">
      <c r="A91" s="87"/>
      <c r="B91" s="87"/>
      <c r="C91" s="87"/>
      <c r="D91" s="87"/>
      <c r="E91" s="87"/>
      <c r="F91" s="87"/>
      <c r="G91" s="87"/>
      <c r="H91" s="87"/>
      <c r="I91" s="87"/>
      <c r="J91" s="87"/>
    </row>
    <row r="92" spans="1:10" s="127" customFormat="1" ht="12" customHeight="1">
      <c r="A92" s="87"/>
      <c r="B92" s="87"/>
      <c r="C92" s="87"/>
      <c r="D92" s="87"/>
      <c r="E92" s="87"/>
      <c r="F92" s="87"/>
      <c r="G92" s="87"/>
      <c r="H92" s="87"/>
      <c r="I92" s="87"/>
      <c r="J92" s="87"/>
    </row>
    <row r="93" spans="1:10" s="127" customFormat="1" ht="12" customHeight="1">
      <c r="A93" s="87"/>
      <c r="B93" s="87"/>
      <c r="C93" s="87"/>
      <c r="D93" s="87"/>
      <c r="E93" s="87"/>
      <c r="F93" s="87"/>
      <c r="G93" s="87"/>
      <c r="H93" s="87"/>
      <c r="I93" s="87"/>
      <c r="J93" s="87"/>
    </row>
    <row r="94" spans="1:10" s="127" customFormat="1" ht="12" customHeight="1">
      <c r="A94" s="87"/>
      <c r="B94" s="87"/>
      <c r="C94" s="87"/>
      <c r="D94" s="87"/>
      <c r="E94" s="87"/>
      <c r="F94" s="87"/>
      <c r="G94" s="87"/>
      <c r="H94" s="87"/>
      <c r="I94" s="87"/>
      <c r="J94" s="87"/>
    </row>
    <row r="95" spans="1:10" s="127" customFormat="1" ht="12" customHeight="1">
      <c r="A95" s="87"/>
      <c r="B95" s="87"/>
      <c r="C95" s="87"/>
      <c r="D95" s="87"/>
      <c r="E95" s="87"/>
      <c r="F95" s="87"/>
      <c r="G95" s="87"/>
      <c r="H95" s="87"/>
      <c r="I95" s="87"/>
      <c r="J95" s="87"/>
    </row>
    <row r="96" spans="1:10" s="127" customFormat="1" ht="12" customHeight="1">
      <c r="A96" s="87"/>
      <c r="B96" s="87"/>
      <c r="C96" s="87"/>
      <c r="D96" s="87"/>
      <c r="E96" s="87"/>
      <c r="F96" s="87"/>
      <c r="G96" s="87"/>
      <c r="H96" s="87"/>
      <c r="I96" s="87"/>
      <c r="J96" s="87"/>
    </row>
    <row r="97" spans="1:10" s="127" customFormat="1" ht="12" customHeight="1">
      <c r="A97" s="87"/>
      <c r="B97" s="87"/>
      <c r="C97" s="87"/>
      <c r="D97" s="87"/>
      <c r="E97" s="87"/>
      <c r="F97" s="87"/>
      <c r="G97" s="87"/>
      <c r="H97" s="87"/>
      <c r="I97" s="87"/>
      <c r="J97" s="87"/>
    </row>
    <row r="98" spans="1:10" s="127" customFormat="1" ht="12" customHeight="1">
      <c r="A98" s="87"/>
      <c r="B98" s="87"/>
      <c r="C98" s="87"/>
      <c r="D98" s="87"/>
      <c r="E98" s="87"/>
      <c r="F98" s="87"/>
      <c r="G98" s="87"/>
      <c r="H98" s="87"/>
      <c r="I98" s="87"/>
      <c r="J98" s="87"/>
    </row>
    <row r="99" spans="1:10" s="127" customFormat="1" ht="12" customHeight="1">
      <c r="A99" s="87"/>
      <c r="B99" s="87"/>
      <c r="C99" s="87"/>
      <c r="D99" s="87"/>
      <c r="E99" s="87"/>
      <c r="F99" s="87"/>
      <c r="G99" s="87"/>
      <c r="H99" s="87"/>
      <c r="I99" s="87"/>
      <c r="J99" s="87"/>
    </row>
    <row r="100" spans="1:10" s="127" customFormat="1" ht="12" customHeight="1">
      <c r="A100" s="87"/>
      <c r="B100" s="87"/>
      <c r="C100" s="87"/>
      <c r="D100" s="87"/>
      <c r="E100" s="87"/>
      <c r="F100" s="87"/>
      <c r="G100" s="87"/>
      <c r="H100" s="87"/>
      <c r="I100" s="87"/>
      <c r="J100" s="87"/>
    </row>
    <row r="101" spans="1:10" s="127" customFormat="1" ht="12" customHeight="1">
      <c r="A101" s="87"/>
      <c r="B101" s="87"/>
      <c r="C101" s="87"/>
      <c r="D101" s="87"/>
      <c r="E101" s="87"/>
      <c r="F101" s="87"/>
      <c r="G101" s="87"/>
      <c r="H101" s="87"/>
      <c r="I101" s="87"/>
      <c r="J101" s="87"/>
    </row>
    <row r="102" spans="1:10" s="127" customFormat="1" ht="12" customHeight="1">
      <c r="A102" s="87"/>
      <c r="B102" s="87"/>
      <c r="C102" s="87"/>
      <c r="D102" s="87"/>
      <c r="E102" s="87"/>
      <c r="F102" s="87"/>
      <c r="G102" s="87"/>
      <c r="H102" s="87"/>
      <c r="I102" s="87"/>
      <c r="J102" s="87"/>
    </row>
    <row r="103" spans="1:10" s="127" customFormat="1" ht="12" customHeight="1">
      <c r="A103" s="87"/>
      <c r="B103" s="87"/>
      <c r="C103" s="87"/>
      <c r="D103" s="87"/>
      <c r="E103" s="87"/>
      <c r="F103" s="87"/>
      <c r="G103" s="87"/>
      <c r="H103" s="87"/>
      <c r="I103" s="87"/>
      <c r="J103" s="87"/>
    </row>
    <row r="104" spans="1:10" s="127" customFormat="1" ht="12" customHeight="1">
      <c r="A104" s="87"/>
      <c r="B104" s="87"/>
      <c r="C104" s="87"/>
      <c r="D104" s="87"/>
      <c r="E104" s="87"/>
      <c r="F104" s="87"/>
      <c r="G104" s="87"/>
      <c r="H104" s="87"/>
      <c r="I104" s="87"/>
      <c r="J104" s="87"/>
    </row>
    <row r="105" spans="1:10" s="127" customFormat="1" ht="12" customHeight="1">
      <c r="A105" s="87"/>
      <c r="B105" s="87"/>
      <c r="C105" s="87"/>
      <c r="D105" s="87"/>
      <c r="E105" s="87"/>
      <c r="F105" s="87"/>
      <c r="G105" s="87"/>
      <c r="H105" s="87"/>
      <c r="I105" s="87"/>
      <c r="J105" s="87"/>
    </row>
    <row r="106" spans="1:10" s="127" customFormat="1" ht="12" customHeight="1">
      <c r="A106" s="87"/>
      <c r="B106" s="87"/>
      <c r="C106" s="87"/>
      <c r="D106" s="87"/>
      <c r="E106" s="87"/>
      <c r="F106" s="87"/>
      <c r="G106" s="87"/>
      <c r="H106" s="87"/>
      <c r="I106" s="87"/>
      <c r="J106" s="87"/>
    </row>
    <row r="107" spans="1:10" s="127" customFormat="1" ht="12" customHeight="1">
      <c r="A107" s="87"/>
      <c r="B107" s="87"/>
      <c r="C107" s="87"/>
      <c r="D107" s="87"/>
      <c r="E107" s="87"/>
      <c r="F107" s="87"/>
      <c r="G107" s="87"/>
      <c r="H107" s="87"/>
      <c r="I107" s="87"/>
      <c r="J107" s="87"/>
    </row>
    <row r="108" spans="1:10" s="127" customFormat="1" ht="12" customHeight="1">
      <c r="A108" s="87"/>
      <c r="B108" s="87"/>
      <c r="C108" s="87"/>
      <c r="D108" s="87"/>
      <c r="E108" s="87"/>
      <c r="F108" s="87"/>
      <c r="G108" s="87"/>
      <c r="H108" s="87"/>
      <c r="I108" s="87"/>
      <c r="J108" s="87"/>
    </row>
    <row r="109" spans="1:10" s="127" customFormat="1" ht="12" customHeight="1">
      <c r="A109" s="87"/>
      <c r="B109" s="87"/>
      <c r="C109" s="87"/>
      <c r="D109" s="87"/>
      <c r="E109" s="87"/>
      <c r="F109" s="87"/>
      <c r="G109" s="87"/>
      <c r="H109" s="87"/>
      <c r="I109" s="87"/>
      <c r="J109" s="87"/>
    </row>
    <row r="110" spans="1:10" s="127" customFormat="1" ht="12" customHeight="1">
      <c r="A110" s="87"/>
      <c r="B110" s="87"/>
      <c r="C110" s="87"/>
      <c r="D110" s="87"/>
      <c r="E110" s="87"/>
      <c r="F110" s="87"/>
      <c r="G110" s="87"/>
      <c r="H110" s="87"/>
      <c r="I110" s="87"/>
      <c r="J110" s="87"/>
    </row>
    <row r="111" spans="1:10" s="127" customFormat="1" ht="12" customHeight="1">
      <c r="A111" s="87"/>
      <c r="B111" s="87"/>
      <c r="C111" s="87"/>
      <c r="D111" s="87"/>
      <c r="E111" s="87"/>
      <c r="F111" s="87"/>
      <c r="G111" s="87"/>
      <c r="H111" s="87"/>
      <c r="I111" s="87"/>
      <c r="J111" s="87"/>
    </row>
    <row r="112" spans="1:10" s="127" customFormat="1" ht="12" customHeight="1">
      <c r="A112" s="87"/>
      <c r="B112" s="87"/>
      <c r="C112" s="87"/>
      <c r="D112" s="87"/>
      <c r="E112" s="87"/>
      <c r="F112" s="87"/>
      <c r="G112" s="87"/>
      <c r="H112" s="87"/>
      <c r="I112" s="87"/>
      <c r="J112" s="87"/>
    </row>
    <row r="113" spans="1:10" s="127" customFormat="1" ht="12" customHeight="1">
      <c r="A113" s="87"/>
      <c r="B113" s="87"/>
      <c r="C113" s="87"/>
      <c r="D113" s="87"/>
      <c r="E113" s="87"/>
      <c r="F113" s="87"/>
      <c r="G113" s="87"/>
      <c r="H113" s="87"/>
      <c r="I113" s="87"/>
      <c r="J113" s="87"/>
    </row>
    <row r="114" spans="1:10" s="127" customFormat="1" ht="12" customHeight="1">
      <c r="A114" s="87"/>
      <c r="B114" s="87"/>
      <c r="C114" s="87"/>
      <c r="D114" s="87"/>
      <c r="E114" s="87"/>
      <c r="F114" s="87"/>
      <c r="G114" s="87"/>
      <c r="H114" s="87"/>
      <c r="I114" s="87"/>
      <c r="J114" s="87"/>
    </row>
    <row r="115" spans="1:10" s="127" customFormat="1" ht="12" customHeight="1">
      <c r="A115" s="87"/>
      <c r="B115" s="87"/>
      <c r="C115" s="87"/>
      <c r="D115" s="87"/>
      <c r="E115" s="87"/>
      <c r="F115" s="87"/>
      <c r="G115" s="87"/>
      <c r="H115" s="87"/>
      <c r="I115" s="87"/>
      <c r="J115" s="87"/>
    </row>
    <row r="116" spans="1:10" s="127" customFormat="1" ht="12" customHeight="1">
      <c r="A116" s="87"/>
      <c r="B116" s="87"/>
      <c r="C116" s="87"/>
      <c r="D116" s="87"/>
      <c r="E116" s="87"/>
      <c r="F116" s="87"/>
      <c r="G116" s="87"/>
      <c r="H116" s="87"/>
      <c r="I116" s="87"/>
      <c r="J116" s="87"/>
    </row>
    <row r="117" spans="1:10" s="127" customFormat="1" ht="12" customHeight="1">
      <c r="A117" s="87"/>
      <c r="B117" s="87"/>
      <c r="C117" s="87"/>
      <c r="D117" s="87"/>
      <c r="E117" s="87"/>
      <c r="F117" s="87"/>
      <c r="G117" s="87"/>
      <c r="H117" s="87"/>
      <c r="I117" s="87"/>
      <c r="J117" s="87"/>
    </row>
    <row r="118" spans="1:10" s="127" customFormat="1" ht="12" customHeight="1">
      <c r="A118" s="87"/>
      <c r="B118" s="87"/>
      <c r="C118" s="87"/>
      <c r="D118" s="87"/>
      <c r="E118" s="87"/>
      <c r="F118" s="87"/>
      <c r="G118" s="87"/>
      <c r="H118" s="87"/>
      <c r="I118" s="87"/>
      <c r="J118" s="87"/>
    </row>
    <row r="119" spans="1:10" s="127" customFormat="1" ht="12" customHeight="1">
      <c r="A119" s="87"/>
      <c r="B119" s="87"/>
      <c r="C119" s="87"/>
      <c r="D119" s="87"/>
      <c r="E119" s="87"/>
      <c r="F119" s="87"/>
      <c r="G119" s="87"/>
      <c r="H119" s="87"/>
      <c r="I119" s="87"/>
      <c r="J119" s="87"/>
    </row>
    <row r="120" spans="1:10" s="127" customFormat="1" ht="12" customHeight="1">
      <c r="A120" s="87"/>
      <c r="B120" s="87"/>
      <c r="C120" s="87"/>
      <c r="D120" s="87"/>
      <c r="E120" s="87"/>
      <c r="F120" s="87"/>
      <c r="G120" s="87"/>
      <c r="H120" s="87"/>
      <c r="I120" s="87"/>
      <c r="J120" s="87"/>
    </row>
    <row r="121" spans="1:10" s="127" customFormat="1" ht="12" customHeight="1">
      <c r="A121" s="87"/>
      <c r="B121" s="87"/>
      <c r="C121" s="87"/>
      <c r="D121" s="87"/>
      <c r="E121" s="87"/>
      <c r="F121" s="87"/>
      <c r="G121" s="87"/>
      <c r="H121" s="87"/>
      <c r="I121" s="87"/>
      <c r="J121" s="87"/>
    </row>
    <row r="122" spans="1:10" s="127" customFormat="1" ht="12" customHeight="1">
      <c r="A122" s="87"/>
      <c r="B122" s="87"/>
      <c r="C122" s="87"/>
      <c r="D122" s="87"/>
      <c r="E122" s="87"/>
      <c r="F122" s="87"/>
      <c r="G122" s="87"/>
      <c r="H122" s="87"/>
      <c r="I122" s="87"/>
      <c r="J122" s="87"/>
    </row>
    <row r="123" spans="1:10" s="127" customFormat="1" ht="12" customHeight="1">
      <c r="A123" s="87"/>
      <c r="B123" s="87"/>
      <c r="C123" s="87"/>
      <c r="D123" s="87"/>
      <c r="E123" s="87"/>
      <c r="F123" s="87"/>
      <c r="G123" s="87"/>
      <c r="H123" s="87"/>
      <c r="I123" s="87"/>
      <c r="J123" s="87"/>
    </row>
    <row r="124" spans="1:10" s="127" customFormat="1" ht="12" customHeight="1">
      <c r="A124" s="87"/>
      <c r="B124" s="87"/>
      <c r="C124" s="87"/>
      <c r="D124" s="87"/>
      <c r="E124" s="87"/>
      <c r="F124" s="87"/>
      <c r="G124" s="87"/>
      <c r="H124" s="87"/>
      <c r="I124" s="87"/>
      <c r="J124" s="87"/>
    </row>
    <row r="125" spans="1:10" s="127" customFormat="1" ht="12" customHeight="1">
      <c r="A125" s="87"/>
      <c r="B125" s="87"/>
      <c r="C125" s="87"/>
      <c r="D125" s="87"/>
      <c r="E125" s="87"/>
      <c r="F125" s="87"/>
      <c r="G125" s="87"/>
      <c r="H125" s="87"/>
      <c r="I125" s="87"/>
      <c r="J125" s="87"/>
    </row>
    <row r="126" spans="1:10" s="127" customFormat="1" ht="12" customHeight="1">
      <c r="A126" s="87"/>
      <c r="B126" s="87"/>
      <c r="C126" s="87"/>
      <c r="D126" s="87"/>
      <c r="E126" s="87"/>
      <c r="F126" s="87"/>
      <c r="G126" s="87"/>
      <c r="H126" s="87"/>
      <c r="I126" s="87"/>
      <c r="J126" s="87"/>
    </row>
    <row r="127" spans="1:10" s="127" customFormat="1" ht="12" customHeight="1">
      <c r="A127" s="87"/>
      <c r="B127" s="87"/>
      <c r="C127" s="87"/>
      <c r="D127" s="87"/>
      <c r="E127" s="87"/>
      <c r="F127" s="87"/>
      <c r="G127" s="87"/>
      <c r="H127" s="87"/>
      <c r="I127" s="87"/>
      <c r="J127" s="87"/>
    </row>
    <row r="128" spans="1:10" s="127" customFormat="1" ht="12" customHeight="1">
      <c r="A128" s="87"/>
      <c r="B128" s="87"/>
      <c r="C128" s="87"/>
      <c r="D128" s="87"/>
      <c r="E128" s="87"/>
      <c r="F128" s="87"/>
      <c r="G128" s="87"/>
      <c r="H128" s="87"/>
      <c r="I128" s="87"/>
      <c r="J128" s="87"/>
    </row>
    <row r="129" spans="1:10" s="127" customFormat="1" ht="14.25">
      <c r="A129" s="87"/>
      <c r="B129" s="87"/>
      <c r="C129" s="87"/>
      <c r="D129" s="87"/>
      <c r="E129" s="87"/>
      <c r="F129" s="87"/>
      <c r="G129" s="87"/>
      <c r="H129" s="87"/>
      <c r="I129" s="87"/>
      <c r="J129" s="87"/>
    </row>
    <row r="130" spans="1:10" s="127" customFormat="1" ht="14.25">
      <c r="A130" s="87"/>
      <c r="B130" s="87"/>
      <c r="C130" s="87"/>
      <c r="D130" s="87"/>
      <c r="E130" s="87"/>
      <c r="F130" s="87"/>
      <c r="G130" s="87"/>
      <c r="H130" s="87"/>
      <c r="I130" s="87"/>
      <c r="J130" s="87"/>
    </row>
    <row r="131" spans="1:10" s="127" customFormat="1" ht="14.25">
      <c r="A131" s="87"/>
      <c r="B131" s="87"/>
      <c r="C131" s="87"/>
      <c r="D131" s="87"/>
      <c r="E131" s="87"/>
      <c r="F131" s="87"/>
      <c r="G131" s="87"/>
      <c r="H131" s="87"/>
      <c r="I131" s="87"/>
      <c r="J131" s="87"/>
    </row>
    <row r="132" spans="1:10" s="127" customFormat="1" ht="14.25">
      <c r="A132" s="87"/>
      <c r="B132" s="87"/>
      <c r="C132" s="87"/>
      <c r="D132" s="87"/>
      <c r="E132" s="87"/>
      <c r="F132" s="87"/>
      <c r="G132" s="87"/>
      <c r="H132" s="87"/>
      <c r="I132" s="87"/>
      <c r="J132" s="87"/>
    </row>
    <row r="133" spans="1:10" s="127" customFormat="1" ht="14.25">
      <c r="A133" s="87"/>
      <c r="B133" s="87"/>
      <c r="C133" s="87"/>
      <c r="D133" s="87"/>
      <c r="E133" s="87"/>
      <c r="F133" s="87"/>
      <c r="G133" s="87"/>
      <c r="H133" s="87"/>
      <c r="I133" s="87"/>
      <c r="J133" s="87"/>
    </row>
    <row r="134" spans="1:10" s="127" customFormat="1" ht="14.25">
      <c r="A134" s="87"/>
      <c r="B134" s="87"/>
      <c r="C134" s="87"/>
      <c r="D134" s="87"/>
      <c r="E134" s="87"/>
      <c r="F134" s="87"/>
      <c r="G134" s="87"/>
      <c r="H134" s="87"/>
      <c r="I134" s="87"/>
      <c r="J134" s="87"/>
    </row>
    <row r="135" spans="1:10" s="127" customFormat="1" ht="14.25">
      <c r="A135" s="87"/>
      <c r="B135" s="87"/>
      <c r="C135" s="87"/>
      <c r="D135" s="87"/>
      <c r="E135" s="87"/>
      <c r="F135" s="87"/>
      <c r="G135" s="87"/>
      <c r="H135" s="87"/>
      <c r="I135" s="87"/>
      <c r="J135" s="87"/>
    </row>
    <row r="136" spans="1:10" s="127" customFormat="1" ht="14.25">
      <c r="A136" s="87"/>
      <c r="B136" s="87"/>
      <c r="C136" s="87"/>
      <c r="D136" s="87"/>
      <c r="E136" s="87"/>
      <c r="F136" s="87"/>
      <c r="G136" s="87"/>
      <c r="H136" s="87"/>
      <c r="I136" s="87"/>
      <c r="J136" s="87"/>
    </row>
    <row r="137" spans="1:10" s="127" customFormat="1" ht="14.25">
      <c r="A137" s="87"/>
      <c r="B137" s="87"/>
      <c r="C137" s="87"/>
      <c r="D137" s="87"/>
      <c r="E137" s="87"/>
      <c r="F137" s="87"/>
      <c r="G137" s="87"/>
      <c r="H137" s="87"/>
      <c r="I137" s="87"/>
      <c r="J137" s="87"/>
    </row>
    <row r="138" spans="1:10" s="127" customFormat="1" ht="14.25">
      <c r="A138" s="87"/>
      <c r="B138" s="87"/>
      <c r="C138" s="87"/>
      <c r="D138" s="87"/>
      <c r="E138" s="87"/>
      <c r="F138" s="87"/>
      <c r="G138" s="87"/>
      <c r="H138" s="87"/>
      <c r="I138" s="87"/>
      <c r="J138" s="87"/>
    </row>
    <row r="139" spans="1:10">
      <c r="A139" s="6"/>
      <c r="B139" s="6"/>
      <c r="C139" s="6"/>
      <c r="D139" s="6"/>
      <c r="E139" s="6"/>
      <c r="F139" s="6"/>
      <c r="G139" s="6"/>
      <c r="H139" s="6"/>
      <c r="I139" s="6"/>
      <c r="J139" s="6"/>
    </row>
    <row r="140" spans="1:10">
      <c r="A140" s="6"/>
      <c r="B140" s="6"/>
      <c r="C140" s="6"/>
      <c r="D140" s="6"/>
      <c r="E140" s="6"/>
      <c r="F140" s="6"/>
      <c r="G140" s="6"/>
      <c r="H140" s="6"/>
      <c r="I140" s="6"/>
      <c r="J140" s="6"/>
    </row>
    <row r="141" spans="1:10">
      <c r="A141" s="6"/>
      <c r="B141" s="6"/>
      <c r="C141" s="6"/>
      <c r="D141" s="6"/>
      <c r="E141" s="6"/>
      <c r="F141" s="6"/>
      <c r="G141" s="6"/>
      <c r="H141" s="6"/>
      <c r="I141" s="6"/>
      <c r="J141" s="6"/>
    </row>
    <row r="142" spans="1:10">
      <c r="A142" s="6"/>
      <c r="B142" s="6"/>
      <c r="C142" s="6"/>
      <c r="D142" s="6"/>
      <c r="E142" s="6"/>
      <c r="F142" s="6"/>
      <c r="G142" s="6"/>
      <c r="H142" s="6"/>
      <c r="I142" s="6"/>
      <c r="J142" s="6"/>
    </row>
    <row r="143" spans="1:10">
      <c r="A143" s="6"/>
      <c r="B143" s="6"/>
      <c r="C143" s="6"/>
      <c r="D143" s="6"/>
      <c r="E143" s="6"/>
      <c r="F143" s="6"/>
      <c r="G143" s="6"/>
      <c r="H143" s="6"/>
      <c r="I143" s="6"/>
      <c r="J143" s="6"/>
    </row>
    <row r="144" spans="1:10">
      <c r="A144" s="6"/>
      <c r="B144" s="6"/>
      <c r="C144" s="6"/>
      <c r="D144" s="6"/>
      <c r="E144" s="6"/>
      <c r="F144" s="6"/>
      <c r="G144" s="6"/>
      <c r="H144" s="6"/>
      <c r="I144" s="6"/>
      <c r="J144" s="6"/>
    </row>
    <row r="145" spans="1:10">
      <c r="A145" s="6"/>
      <c r="B145" s="6"/>
      <c r="C145" s="6"/>
      <c r="D145" s="6"/>
      <c r="E145" s="6"/>
      <c r="F145" s="6"/>
      <c r="G145" s="6"/>
      <c r="H145" s="6"/>
      <c r="I145" s="6"/>
      <c r="J145" s="6"/>
    </row>
    <row r="146" spans="1:10">
      <c r="A146" s="6"/>
      <c r="B146" s="6"/>
      <c r="C146" s="6"/>
      <c r="D146" s="6"/>
      <c r="E146" s="6"/>
      <c r="F146" s="6"/>
      <c r="G146" s="6"/>
      <c r="H146" s="6"/>
      <c r="I146" s="6"/>
      <c r="J146" s="6"/>
    </row>
    <row r="147" spans="1:10">
      <c r="A147" s="6"/>
      <c r="B147" s="6"/>
      <c r="C147" s="6"/>
      <c r="D147" s="6"/>
      <c r="E147" s="6"/>
      <c r="F147" s="6"/>
      <c r="G147" s="6"/>
      <c r="H147" s="6"/>
      <c r="I147" s="6"/>
      <c r="J147" s="6"/>
    </row>
    <row r="148" spans="1:10">
      <c r="A148" s="6"/>
      <c r="B148" s="6"/>
      <c r="C148" s="6"/>
      <c r="D148" s="6"/>
      <c r="E148" s="6"/>
      <c r="F148" s="6"/>
      <c r="G148" s="6"/>
      <c r="H148" s="6"/>
      <c r="I148" s="6"/>
      <c r="J148" s="6"/>
    </row>
    <row r="149" spans="1:10">
      <c r="A149" s="6"/>
      <c r="B149" s="6"/>
      <c r="C149" s="6"/>
      <c r="D149" s="6"/>
      <c r="E149" s="6"/>
      <c r="F149" s="6"/>
      <c r="G149" s="6"/>
      <c r="H149" s="6"/>
      <c r="I149" s="6"/>
      <c r="J149" s="6"/>
    </row>
    <row r="150" spans="1:10">
      <c r="A150" s="6"/>
      <c r="B150" s="6"/>
      <c r="C150" s="6"/>
      <c r="D150" s="6"/>
      <c r="E150" s="6"/>
      <c r="F150" s="6"/>
      <c r="G150" s="6"/>
      <c r="H150" s="6"/>
      <c r="I150" s="6"/>
      <c r="J150" s="6"/>
    </row>
    <row r="151" spans="1:10">
      <c r="A151" s="6"/>
      <c r="B151" s="6"/>
      <c r="C151" s="6"/>
      <c r="D151" s="6"/>
      <c r="E151" s="6"/>
      <c r="F151" s="6"/>
      <c r="G151" s="6"/>
      <c r="H151" s="6"/>
      <c r="I151" s="6"/>
      <c r="J151" s="6"/>
    </row>
    <row r="152" spans="1:10">
      <c r="A152" s="6"/>
      <c r="B152" s="6"/>
      <c r="C152" s="6"/>
      <c r="D152" s="6"/>
      <c r="E152" s="6"/>
      <c r="F152" s="6"/>
      <c r="G152" s="6"/>
      <c r="H152" s="6"/>
      <c r="I152" s="6"/>
      <c r="J152" s="6"/>
    </row>
    <row r="153" spans="1:10">
      <c r="A153" s="6"/>
      <c r="B153" s="6"/>
      <c r="C153" s="6"/>
      <c r="D153" s="6"/>
      <c r="E153" s="6"/>
      <c r="F153" s="6"/>
      <c r="G153" s="6"/>
      <c r="H153" s="6"/>
      <c r="I153" s="6"/>
      <c r="J153" s="6"/>
    </row>
    <row r="154" spans="1:10">
      <c r="A154" s="6"/>
      <c r="B154" s="6"/>
      <c r="C154" s="6"/>
      <c r="D154" s="6"/>
      <c r="E154" s="6"/>
      <c r="F154" s="6"/>
      <c r="G154" s="6"/>
      <c r="H154" s="6"/>
      <c r="I154" s="6"/>
      <c r="J154" s="6"/>
    </row>
    <row r="155" spans="1:10">
      <c r="A155" s="6"/>
      <c r="B155" s="6"/>
      <c r="C155" s="6"/>
      <c r="D155" s="6"/>
      <c r="E155" s="6"/>
      <c r="F155" s="6"/>
      <c r="G155" s="6"/>
      <c r="H155" s="6"/>
      <c r="I155" s="6"/>
      <c r="J155" s="6"/>
    </row>
    <row r="156" spans="1:10">
      <c r="A156" s="6"/>
      <c r="B156" s="6"/>
      <c r="C156" s="6"/>
      <c r="D156" s="6"/>
      <c r="E156" s="6"/>
      <c r="F156" s="6"/>
      <c r="G156" s="6"/>
      <c r="H156" s="6"/>
      <c r="I156" s="6"/>
      <c r="J156" s="6"/>
    </row>
    <row r="157" spans="1:10">
      <c r="A157" s="6"/>
      <c r="B157" s="6"/>
      <c r="C157" s="6"/>
      <c r="D157" s="6"/>
      <c r="E157" s="6"/>
      <c r="F157" s="6"/>
      <c r="G157" s="6"/>
      <c r="H157" s="6"/>
      <c r="I157" s="6"/>
      <c r="J157" s="6"/>
    </row>
    <row r="158" spans="1:10">
      <c r="A158" s="6"/>
      <c r="B158" s="6"/>
      <c r="C158" s="6"/>
      <c r="D158" s="6"/>
      <c r="E158" s="6"/>
      <c r="F158" s="6"/>
      <c r="G158" s="6"/>
      <c r="H158" s="6"/>
      <c r="I158" s="6"/>
      <c r="J158" s="6"/>
    </row>
    <row r="159" spans="1:10">
      <c r="A159" s="6"/>
      <c r="B159" s="6"/>
      <c r="C159" s="6"/>
      <c r="D159" s="6"/>
      <c r="E159" s="6"/>
      <c r="F159" s="6"/>
      <c r="G159" s="6"/>
      <c r="H159" s="6"/>
      <c r="I159" s="6"/>
      <c r="J159" s="6"/>
    </row>
    <row r="160" spans="1:10">
      <c r="A160" s="6"/>
      <c r="B160" s="6"/>
      <c r="C160" s="6"/>
      <c r="D160" s="6"/>
      <c r="E160" s="6"/>
      <c r="F160" s="6"/>
      <c r="G160" s="6"/>
      <c r="H160" s="6"/>
      <c r="I160" s="6"/>
      <c r="J160" s="6"/>
    </row>
    <row r="161" spans="1:10">
      <c r="A161" s="6"/>
      <c r="B161" s="6"/>
      <c r="C161" s="6"/>
      <c r="D161" s="6"/>
      <c r="E161" s="6"/>
      <c r="F161" s="6"/>
      <c r="G161" s="6"/>
      <c r="H161" s="6"/>
      <c r="I161" s="6"/>
      <c r="J161" s="6"/>
    </row>
    <row r="162" spans="1:10">
      <c r="A162" s="6"/>
      <c r="B162" s="6"/>
      <c r="C162" s="6"/>
      <c r="D162" s="6"/>
      <c r="E162" s="6"/>
      <c r="F162" s="6"/>
      <c r="G162" s="6"/>
      <c r="H162" s="6"/>
      <c r="I162" s="6"/>
      <c r="J162" s="6"/>
    </row>
    <row r="163" spans="1:10">
      <c r="A163" s="6"/>
      <c r="B163" s="6"/>
      <c r="C163" s="6"/>
      <c r="D163" s="6"/>
      <c r="E163" s="6"/>
      <c r="F163" s="6"/>
      <c r="G163" s="6"/>
      <c r="H163" s="6"/>
      <c r="I163" s="6"/>
      <c r="J163" s="6"/>
    </row>
    <row r="164" spans="1:10">
      <c r="A164" s="6"/>
      <c r="B164" s="6"/>
      <c r="C164" s="6"/>
      <c r="D164" s="6"/>
      <c r="E164" s="6"/>
      <c r="F164" s="6"/>
      <c r="G164" s="6"/>
      <c r="H164" s="6"/>
      <c r="I164" s="6"/>
      <c r="J164" s="6"/>
    </row>
    <row r="165" spans="1:10">
      <c r="A165" s="6"/>
      <c r="B165" s="6"/>
      <c r="C165" s="6"/>
      <c r="D165" s="6"/>
      <c r="E165" s="6"/>
      <c r="F165" s="6"/>
      <c r="G165" s="6"/>
      <c r="H165" s="6"/>
      <c r="I165" s="6"/>
      <c r="J165" s="6"/>
    </row>
    <row r="166" spans="1:10">
      <c r="A166" s="6"/>
      <c r="B166" s="6"/>
      <c r="C166" s="6"/>
      <c r="D166" s="6"/>
      <c r="E166" s="6"/>
      <c r="F166" s="6"/>
      <c r="G166" s="6"/>
      <c r="H166" s="6"/>
      <c r="I166" s="6"/>
      <c r="J166" s="6"/>
    </row>
    <row r="167" spans="1:10">
      <c r="A167" s="6"/>
      <c r="B167" s="6"/>
      <c r="C167" s="6"/>
      <c r="D167" s="6"/>
      <c r="E167" s="6"/>
      <c r="F167" s="6"/>
      <c r="G167" s="6"/>
      <c r="H167" s="6"/>
      <c r="I167" s="6"/>
      <c r="J167" s="6"/>
    </row>
    <row r="168" spans="1:10">
      <c r="A168" s="6"/>
      <c r="B168" s="6"/>
      <c r="C168" s="6"/>
      <c r="D168" s="6"/>
      <c r="E168" s="6"/>
      <c r="F168" s="6"/>
      <c r="G168" s="6"/>
      <c r="H168" s="6"/>
      <c r="I168" s="6"/>
      <c r="J168" s="6"/>
    </row>
    <row r="169" spans="1:10">
      <c r="A169" s="6"/>
      <c r="B169" s="6"/>
      <c r="C169" s="6"/>
      <c r="D169" s="6"/>
      <c r="E169" s="6"/>
      <c r="F169" s="6"/>
      <c r="G169" s="6"/>
      <c r="H169" s="6"/>
      <c r="I169" s="6"/>
      <c r="J169" s="6"/>
    </row>
    <row r="170" spans="1:10">
      <c r="A170" s="6"/>
      <c r="B170" s="6"/>
      <c r="C170" s="6"/>
      <c r="D170" s="6"/>
      <c r="E170" s="6"/>
      <c r="F170" s="6"/>
      <c r="G170" s="6"/>
      <c r="H170" s="6"/>
      <c r="I170" s="6"/>
      <c r="J170" s="6"/>
    </row>
    <row r="171" spans="1:10">
      <c r="A171" s="6"/>
      <c r="B171" s="6"/>
      <c r="C171" s="6"/>
      <c r="D171" s="6"/>
      <c r="E171" s="6"/>
      <c r="F171" s="6"/>
      <c r="G171" s="6"/>
      <c r="H171" s="6"/>
      <c r="I171" s="6"/>
      <c r="J171" s="6"/>
    </row>
    <row r="172" spans="1:10">
      <c r="A172" s="6"/>
      <c r="B172" s="6"/>
      <c r="C172" s="6"/>
      <c r="D172" s="6"/>
      <c r="E172" s="6"/>
      <c r="F172" s="6"/>
      <c r="G172" s="6"/>
      <c r="H172" s="6"/>
      <c r="I172" s="6"/>
      <c r="J172" s="6"/>
    </row>
    <row r="173" spans="1:10">
      <c r="A173" s="6"/>
      <c r="B173" s="6"/>
      <c r="C173" s="6"/>
      <c r="D173" s="6"/>
      <c r="E173" s="6"/>
      <c r="F173" s="6"/>
      <c r="G173" s="6"/>
      <c r="H173" s="6"/>
      <c r="I173" s="6"/>
      <c r="J173" s="6"/>
    </row>
    <row r="174" spans="1:10">
      <c r="A174" s="6"/>
      <c r="B174" s="6"/>
      <c r="C174" s="6"/>
      <c r="D174" s="6"/>
      <c r="E174" s="6"/>
      <c r="F174" s="6"/>
      <c r="G174" s="6"/>
      <c r="H174" s="6"/>
      <c r="I174" s="6"/>
      <c r="J174" s="6"/>
    </row>
    <row r="175" spans="1:10">
      <c r="C175" s="6"/>
      <c r="D175" s="6"/>
      <c r="E175" s="6"/>
      <c r="F175" s="6"/>
      <c r="G175" s="6"/>
      <c r="H175" s="6"/>
      <c r="I175" s="6"/>
      <c r="J175" s="6"/>
    </row>
    <row r="176" spans="1:10">
      <c r="C176" s="6"/>
      <c r="D176" s="6"/>
      <c r="E176" s="6"/>
      <c r="F176" s="6"/>
      <c r="G176" s="6"/>
      <c r="H176" s="6"/>
      <c r="I176" s="6"/>
      <c r="J176" s="6"/>
    </row>
    <row r="177" spans="3:10">
      <c r="C177" s="6"/>
      <c r="D177" s="6"/>
      <c r="E177" s="6"/>
      <c r="F177" s="6"/>
      <c r="G177" s="6"/>
      <c r="H177" s="6"/>
      <c r="I177" s="6"/>
      <c r="J177" s="6"/>
    </row>
    <row r="178" spans="3:10">
      <c r="C178" s="6"/>
      <c r="D178" s="6"/>
      <c r="E178" s="6"/>
      <c r="F178" s="6"/>
      <c r="G178" s="6"/>
      <c r="H178" s="6"/>
      <c r="I178" s="6"/>
      <c r="J178" s="6"/>
    </row>
    <row r="179" spans="3:10">
      <c r="C179" s="6"/>
      <c r="D179" s="6"/>
      <c r="E179" s="6"/>
      <c r="F179" s="6"/>
      <c r="G179" s="6"/>
      <c r="H179" s="6"/>
      <c r="I179" s="6"/>
      <c r="J179" s="6"/>
    </row>
    <row r="180" spans="3:10">
      <c r="C180" s="6"/>
      <c r="D180" s="6"/>
      <c r="E180" s="6"/>
      <c r="F180" s="6"/>
      <c r="G180" s="6"/>
      <c r="H180" s="6"/>
      <c r="I180" s="6"/>
      <c r="J180" s="6"/>
    </row>
    <row r="181" spans="3:10">
      <c r="C181" s="6"/>
      <c r="D181" s="6"/>
      <c r="E181" s="6"/>
      <c r="F181" s="6"/>
      <c r="G181" s="6"/>
      <c r="H181" s="6"/>
      <c r="I181" s="6"/>
      <c r="J181" s="6"/>
    </row>
    <row r="182" spans="3:10">
      <c r="C182" s="6"/>
      <c r="D182" s="6"/>
      <c r="E182" s="6"/>
      <c r="F182" s="6"/>
      <c r="G182" s="6"/>
      <c r="H182" s="6"/>
      <c r="I182" s="6"/>
      <c r="J182" s="6"/>
    </row>
    <row r="183" spans="3:10">
      <c r="C183" s="6"/>
      <c r="D183" s="6"/>
      <c r="E183" s="6"/>
      <c r="F183" s="6"/>
      <c r="G183" s="6"/>
      <c r="H183" s="6"/>
      <c r="I183" s="6"/>
      <c r="J183" s="6"/>
    </row>
    <row r="184" spans="3:10">
      <c r="C184" s="6"/>
      <c r="D184" s="6"/>
      <c r="E184" s="6"/>
      <c r="F184" s="6"/>
      <c r="G184" s="6"/>
      <c r="H184" s="6"/>
      <c r="I184" s="6"/>
      <c r="J184" s="6"/>
    </row>
    <row r="185" spans="3:10">
      <c r="C185" s="6"/>
      <c r="D185" s="6"/>
      <c r="E185" s="6"/>
      <c r="F185" s="6"/>
      <c r="G185" s="6"/>
      <c r="H185" s="6"/>
      <c r="I185" s="6"/>
      <c r="J185" s="6"/>
    </row>
    <row r="186" spans="3:10">
      <c r="C186" s="6"/>
      <c r="D186" s="6"/>
      <c r="E186" s="6"/>
      <c r="F186" s="6"/>
      <c r="G186" s="6"/>
      <c r="H186" s="6"/>
      <c r="I186" s="6"/>
      <c r="J186" s="6"/>
    </row>
    <row r="187" spans="3:10">
      <c r="C187" s="6"/>
      <c r="D187" s="6"/>
      <c r="E187" s="6"/>
      <c r="F187" s="6"/>
      <c r="G187" s="6"/>
      <c r="H187" s="6"/>
      <c r="I187" s="6"/>
      <c r="J187" s="6"/>
    </row>
    <row r="188" spans="3:10">
      <c r="C188" s="6"/>
      <c r="D188" s="6"/>
      <c r="E188" s="6"/>
      <c r="F188" s="6"/>
      <c r="G188" s="6"/>
      <c r="H188" s="6"/>
      <c r="I188" s="6"/>
      <c r="J188" s="6"/>
    </row>
    <row r="189" spans="3:10">
      <c r="C189" s="6"/>
      <c r="D189" s="6"/>
      <c r="E189" s="6"/>
      <c r="F189" s="6"/>
      <c r="G189" s="6"/>
      <c r="H189" s="6"/>
      <c r="I189" s="6"/>
      <c r="J189" s="6"/>
    </row>
    <row r="190" spans="3:10">
      <c r="C190" s="6"/>
      <c r="D190" s="6"/>
      <c r="E190" s="6"/>
      <c r="F190" s="6"/>
      <c r="G190" s="6"/>
      <c r="H190" s="6"/>
      <c r="I190" s="6"/>
      <c r="J190" s="6"/>
    </row>
    <row r="191" spans="3:10">
      <c r="C191" s="6"/>
      <c r="D191" s="6"/>
      <c r="E191" s="6"/>
      <c r="F191" s="6"/>
      <c r="G191" s="6"/>
      <c r="H191" s="6"/>
      <c r="I191" s="6"/>
      <c r="J191" s="6"/>
    </row>
    <row r="192" spans="3:10">
      <c r="C192" s="6"/>
      <c r="D192" s="6"/>
      <c r="E192" s="6"/>
      <c r="F192" s="6"/>
      <c r="G192" s="6"/>
      <c r="H192" s="6"/>
      <c r="I192" s="6"/>
      <c r="J192" s="6"/>
    </row>
    <row r="193" spans="3:10">
      <c r="C193" s="6"/>
      <c r="D193" s="6"/>
      <c r="E193" s="6"/>
      <c r="F193" s="6"/>
      <c r="G193" s="6"/>
      <c r="H193" s="6"/>
      <c r="I193" s="6"/>
      <c r="J193" s="6"/>
    </row>
    <row r="194" spans="3:10">
      <c r="C194" s="6"/>
      <c r="D194" s="6"/>
      <c r="E194" s="6"/>
      <c r="F194" s="6"/>
      <c r="G194" s="6"/>
      <c r="H194" s="6"/>
      <c r="I194" s="6"/>
      <c r="J194" s="6"/>
    </row>
    <row r="195" spans="3:10">
      <c r="C195" s="6"/>
      <c r="D195" s="6"/>
      <c r="E195" s="6"/>
      <c r="F195" s="6"/>
      <c r="G195" s="6"/>
      <c r="H195" s="6"/>
      <c r="I195" s="6"/>
      <c r="J195" s="6"/>
    </row>
    <row r="196" spans="3:10">
      <c r="C196" s="6"/>
      <c r="D196" s="6"/>
      <c r="E196" s="6"/>
      <c r="F196" s="6"/>
      <c r="G196" s="6"/>
      <c r="H196" s="6"/>
      <c r="I196" s="6"/>
      <c r="J196" s="6"/>
    </row>
    <row r="197" spans="3:10">
      <c r="C197" s="6"/>
      <c r="D197" s="6"/>
      <c r="E197" s="6"/>
      <c r="F197" s="6"/>
      <c r="G197" s="6"/>
      <c r="H197" s="6"/>
      <c r="I197" s="6"/>
      <c r="J197" s="6"/>
    </row>
    <row r="198" spans="3:10">
      <c r="C198" s="6"/>
      <c r="D198" s="6"/>
      <c r="E198" s="6"/>
      <c r="F198" s="6"/>
      <c r="G198" s="6"/>
      <c r="H198" s="6"/>
      <c r="I198" s="6"/>
      <c r="J198" s="6"/>
    </row>
    <row r="199" spans="3:10">
      <c r="C199" s="6"/>
      <c r="D199" s="6"/>
      <c r="E199" s="6"/>
      <c r="F199" s="6"/>
      <c r="G199" s="6"/>
      <c r="H199" s="6"/>
      <c r="I199" s="6"/>
      <c r="J199" s="6"/>
    </row>
    <row r="200" spans="3:10">
      <c r="C200" s="6"/>
      <c r="D200" s="6"/>
      <c r="E200" s="6"/>
      <c r="F200" s="6"/>
      <c r="G200" s="6"/>
      <c r="H200" s="6"/>
      <c r="I200" s="6"/>
      <c r="J200" s="6"/>
    </row>
    <row r="201" spans="3:10">
      <c r="C201" s="6"/>
      <c r="D201" s="6"/>
      <c r="E201" s="6"/>
      <c r="F201" s="6"/>
      <c r="G201" s="6"/>
      <c r="H201" s="6"/>
      <c r="I201" s="6"/>
      <c r="J201" s="6"/>
    </row>
    <row r="202" spans="3:10">
      <c r="C202" s="6"/>
      <c r="D202" s="6"/>
      <c r="E202" s="6"/>
      <c r="F202" s="6"/>
      <c r="G202" s="6"/>
      <c r="H202" s="6"/>
      <c r="I202" s="6"/>
      <c r="J202" s="6"/>
    </row>
    <row r="203" spans="3:10">
      <c r="C203" s="6"/>
      <c r="D203" s="6"/>
      <c r="E203" s="6"/>
      <c r="F203" s="6"/>
      <c r="G203" s="6"/>
      <c r="H203" s="6"/>
      <c r="I203" s="6"/>
      <c r="J203" s="6"/>
    </row>
    <row r="204" spans="3:10">
      <c r="C204" s="6"/>
      <c r="D204" s="6"/>
      <c r="E204" s="6"/>
      <c r="F204" s="6"/>
      <c r="G204" s="6"/>
      <c r="H204" s="6"/>
      <c r="I204" s="6"/>
      <c r="J204" s="6"/>
    </row>
    <row r="205" spans="3:10">
      <c r="C205" s="6"/>
      <c r="D205" s="6"/>
      <c r="E205" s="6"/>
      <c r="F205" s="6"/>
      <c r="G205" s="6"/>
      <c r="H205" s="6"/>
      <c r="I205" s="6"/>
      <c r="J205" s="6"/>
    </row>
    <row r="206" spans="3:10">
      <c r="C206" s="6"/>
      <c r="D206" s="6"/>
      <c r="E206" s="6"/>
      <c r="F206" s="6"/>
      <c r="G206" s="6"/>
      <c r="H206" s="6"/>
      <c r="I206" s="6"/>
      <c r="J206" s="6"/>
    </row>
    <row r="207" spans="3:10">
      <c r="C207" s="6"/>
      <c r="D207" s="6"/>
      <c r="E207" s="6"/>
      <c r="F207" s="6"/>
      <c r="G207" s="6"/>
      <c r="H207" s="6"/>
      <c r="I207" s="6"/>
      <c r="J207" s="6"/>
    </row>
    <row r="208" spans="3:10">
      <c r="C208" s="6"/>
      <c r="D208" s="6"/>
      <c r="E208" s="6"/>
      <c r="F208" s="6"/>
      <c r="G208" s="6"/>
      <c r="H208" s="6"/>
      <c r="I208" s="6"/>
      <c r="J208" s="6"/>
    </row>
    <row r="209" spans="3:10">
      <c r="C209" s="6"/>
      <c r="D209" s="6"/>
      <c r="E209" s="6"/>
      <c r="F209" s="6"/>
      <c r="G209" s="6"/>
      <c r="H209" s="6"/>
      <c r="I209" s="6"/>
      <c r="J209" s="6"/>
    </row>
    <row r="210" spans="3:10">
      <c r="C210" s="6"/>
      <c r="D210" s="6"/>
      <c r="E210" s="6"/>
      <c r="F210" s="6"/>
      <c r="G210" s="6"/>
      <c r="H210" s="6"/>
      <c r="I210" s="6"/>
      <c r="J210" s="6"/>
    </row>
    <row r="211" spans="3:10">
      <c r="C211" s="6"/>
      <c r="D211" s="6"/>
      <c r="E211" s="6"/>
      <c r="F211" s="6"/>
      <c r="G211" s="6"/>
      <c r="H211" s="6"/>
      <c r="I211" s="6"/>
      <c r="J211" s="6"/>
    </row>
    <row r="212" spans="3:10">
      <c r="C212" s="6"/>
      <c r="D212" s="6"/>
      <c r="E212" s="6"/>
      <c r="F212" s="6"/>
      <c r="G212" s="6"/>
      <c r="H212" s="6"/>
      <c r="I212" s="6"/>
      <c r="J212" s="6"/>
    </row>
    <row r="213" spans="3:10">
      <c r="C213" s="6"/>
      <c r="D213" s="6"/>
      <c r="E213" s="6"/>
      <c r="F213" s="6"/>
      <c r="G213" s="6"/>
      <c r="H213" s="6"/>
      <c r="I213" s="6"/>
      <c r="J213" s="6"/>
    </row>
    <row r="214" spans="3:10">
      <c r="C214" s="6"/>
      <c r="D214" s="6"/>
      <c r="E214" s="6"/>
      <c r="F214" s="6"/>
      <c r="G214" s="6"/>
      <c r="H214" s="6"/>
      <c r="I214" s="6"/>
      <c r="J214" s="6"/>
    </row>
    <row r="215" spans="3:10">
      <c r="C215" s="6"/>
      <c r="D215" s="6"/>
      <c r="E215" s="6"/>
      <c r="F215" s="6"/>
      <c r="G215" s="6"/>
      <c r="H215" s="6"/>
      <c r="I215" s="6"/>
      <c r="J215" s="6"/>
    </row>
  </sheetData>
  <mergeCells count="1">
    <mergeCell ref="E1:J3"/>
  </mergeCells>
  <phoneticPr fontId="2" type="noConversion"/>
  <hyperlinks>
    <hyperlink ref="A8" r:id="rId1" display="TEL:(82)2-5460066   FAX:(82)2-5404106" xr:uid="{00000000-0004-0000-0B00-000000000000}"/>
  </hyperlinks>
  <printOptions horizontalCentered="1"/>
  <pageMargins left="0.15748031496062992" right="0.15748031496062992" top="0.19685039370078741" bottom="0.31496062992125984" header="0.15748031496062992" footer="0.15748031496062992"/>
  <pageSetup paperSize="9" orientation="portrait" r:id="rId2"/>
  <headerFooter scaleWithDoc="0" alignWithMargins="0">
    <oddFooter>&amp;C&amp;"+,굵게"&amp;8&amp;K00-032SEWANG TEXTILE&amp;R&amp;"+,굵게"&amp;8&amp;K00-032&amp;POF &amp;N</oddFooter>
  </headerFooter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</sheetPr>
  <dimension ref="A1:K50"/>
  <sheetViews>
    <sheetView showGridLines="0" view="pageBreakPreview" topLeftCell="A16" zoomScaleSheetLayoutView="100" workbookViewId="0">
      <selection activeCell="E41" sqref="E41"/>
    </sheetView>
  </sheetViews>
  <sheetFormatPr defaultColWidth="8.88671875" defaultRowHeight="13.5"/>
  <cols>
    <col min="1" max="1" width="8.33203125" customWidth="1"/>
    <col min="2" max="2" width="7.77734375" customWidth="1"/>
    <col min="3" max="3" width="13.33203125" customWidth="1"/>
    <col min="4" max="4" width="5.88671875" customWidth="1"/>
    <col min="5" max="5" width="8.21875" customWidth="1"/>
    <col min="6" max="9" width="10.77734375" customWidth="1"/>
  </cols>
  <sheetData>
    <row r="1" spans="1:10" ht="17.100000000000001" customHeight="1">
      <c r="E1" s="696" t="s">
        <v>330</v>
      </c>
      <c r="F1" s="696"/>
      <c r="G1" s="696"/>
      <c r="H1" s="696"/>
      <c r="I1" s="696"/>
    </row>
    <row r="2" spans="1:10" ht="17.100000000000001" customHeight="1">
      <c r="E2" s="696"/>
      <c r="F2" s="696"/>
      <c r="G2" s="696"/>
      <c r="H2" s="696"/>
      <c r="I2" s="696"/>
    </row>
    <row r="3" spans="1:10" ht="17.100000000000001" customHeight="1">
      <c r="A3" s="1"/>
      <c r="B3" s="1"/>
      <c r="C3" s="1"/>
      <c r="D3" s="1"/>
      <c r="E3" s="698"/>
      <c r="F3" s="698"/>
      <c r="G3" s="698"/>
      <c r="H3" s="698"/>
      <c r="I3" s="698"/>
    </row>
    <row r="4" spans="1:10" s="85" customFormat="1" ht="9.9499999999999993" customHeight="1">
      <c r="A4" s="82" t="s">
        <v>301</v>
      </c>
      <c r="B4" s="82"/>
      <c r="C4" s="82"/>
      <c r="D4" s="82"/>
      <c r="E4" s="144" t="s">
        <v>2</v>
      </c>
      <c r="F4" s="152"/>
      <c r="G4" s="145"/>
      <c r="H4" s="145"/>
      <c r="I4" s="146"/>
    </row>
    <row r="5" spans="1:10" s="91" customFormat="1" ht="12" customHeight="1">
      <c r="A5" s="86" t="s">
        <v>303</v>
      </c>
      <c r="B5" s="87"/>
      <c r="C5" s="87"/>
      <c r="D5" s="87"/>
      <c r="E5" s="88" t="s">
        <v>368</v>
      </c>
      <c r="F5" s="153"/>
      <c r="G5" s="89"/>
      <c r="H5" s="89"/>
      <c r="I5" s="90">
        <v>43238</v>
      </c>
    </row>
    <row r="6" spans="1:10" s="85" customFormat="1" ht="12" customHeight="1">
      <c r="A6" s="86" t="s">
        <v>4</v>
      </c>
      <c r="B6" s="87"/>
      <c r="C6" s="87"/>
      <c r="D6" s="87"/>
      <c r="E6" s="83" t="s">
        <v>305</v>
      </c>
      <c r="F6" s="100"/>
      <c r="G6" s="82"/>
      <c r="H6" s="82"/>
      <c r="I6" s="149"/>
    </row>
    <row r="7" spans="1:10" s="91" customFormat="1" ht="12" customHeight="1">
      <c r="A7" s="86" t="s">
        <v>6</v>
      </c>
      <c r="B7" s="87"/>
      <c r="C7" s="87"/>
      <c r="D7" s="87" t="s">
        <v>307</v>
      </c>
      <c r="E7" s="213" t="s">
        <v>342</v>
      </c>
      <c r="F7" s="214"/>
      <c r="G7" s="130"/>
      <c r="H7" s="130"/>
      <c r="I7" s="216">
        <v>43215</v>
      </c>
      <c r="J7" s="216"/>
    </row>
    <row r="8" spans="1:10" s="91" customFormat="1" ht="12" customHeight="1">
      <c r="A8" s="86" t="s">
        <v>308</v>
      </c>
      <c r="B8" s="87"/>
      <c r="C8" s="87"/>
      <c r="D8" s="87"/>
      <c r="E8" s="94"/>
      <c r="F8" s="117"/>
      <c r="G8" s="87"/>
      <c r="H8" s="87"/>
      <c r="I8" s="96"/>
    </row>
    <row r="9" spans="1:10" s="91" customFormat="1" ht="12" customHeight="1">
      <c r="A9" s="87"/>
      <c r="B9" s="87"/>
      <c r="C9" s="87"/>
      <c r="D9" s="87"/>
      <c r="E9" s="97"/>
      <c r="F9" s="106"/>
      <c r="G9" s="87"/>
      <c r="H9" s="87"/>
      <c r="I9" s="98"/>
    </row>
    <row r="10" spans="1:10" s="85" customFormat="1" ht="9.9499999999999993" customHeight="1">
      <c r="A10" s="82" t="s">
        <v>309</v>
      </c>
      <c r="B10" s="82"/>
      <c r="C10" s="82"/>
      <c r="D10" s="99"/>
      <c r="E10" s="100" t="s">
        <v>10</v>
      </c>
      <c r="F10" s="100"/>
      <c r="G10" s="82"/>
      <c r="H10" s="101"/>
      <c r="I10" s="147"/>
    </row>
    <row r="11" spans="1:10" s="91" customFormat="1" ht="12" customHeight="1">
      <c r="A11" s="87" t="s">
        <v>310</v>
      </c>
      <c r="B11" s="87"/>
      <c r="C11" s="87"/>
      <c r="D11" s="104"/>
      <c r="E11" s="86" t="s">
        <v>49</v>
      </c>
      <c r="F11" s="86"/>
      <c r="G11" s="87"/>
      <c r="H11" s="87"/>
      <c r="I11" s="105"/>
    </row>
    <row r="12" spans="1:10" s="91" customFormat="1" ht="12" customHeight="1">
      <c r="A12" s="87" t="s">
        <v>311</v>
      </c>
      <c r="B12" s="87"/>
      <c r="C12" s="87"/>
      <c r="D12" s="104"/>
      <c r="E12" s="106" t="s">
        <v>50</v>
      </c>
      <c r="F12" s="106"/>
      <c r="G12" s="87"/>
      <c r="H12" s="87"/>
      <c r="I12" s="105"/>
    </row>
    <row r="13" spans="1:10" s="91" customFormat="1" ht="12" customHeight="1">
      <c r="A13" s="87" t="s">
        <v>13</v>
      </c>
      <c r="B13" s="87"/>
      <c r="C13" s="87"/>
      <c r="D13" s="104"/>
      <c r="E13" s="106"/>
      <c r="F13" s="106"/>
      <c r="G13" s="87"/>
      <c r="H13" s="87"/>
      <c r="I13" s="105"/>
    </row>
    <row r="14" spans="1:10" s="91" customFormat="1" ht="12" customHeight="1">
      <c r="A14" s="87"/>
      <c r="B14" s="87"/>
      <c r="C14" s="87"/>
      <c r="D14" s="104"/>
      <c r="E14" s="107"/>
      <c r="F14" s="107"/>
      <c r="G14" s="87"/>
      <c r="H14" s="87"/>
      <c r="I14" s="122"/>
    </row>
    <row r="15" spans="1:10" s="85" customFormat="1" ht="9.9499999999999993" customHeight="1">
      <c r="A15" s="82" t="s">
        <v>296</v>
      </c>
      <c r="B15" s="108"/>
      <c r="C15" s="102"/>
      <c r="D15" s="99"/>
      <c r="E15" s="100" t="s">
        <v>15</v>
      </c>
      <c r="F15" s="100"/>
      <c r="G15" s="101"/>
      <c r="H15" s="102"/>
      <c r="I15" s="147"/>
    </row>
    <row r="16" spans="1:10" s="91" customFormat="1" ht="12" customHeight="1">
      <c r="A16" s="87" t="s">
        <v>312</v>
      </c>
      <c r="B16" s="87"/>
      <c r="C16" s="87"/>
      <c r="D16" s="104"/>
      <c r="E16" s="109" t="s">
        <v>313</v>
      </c>
      <c r="F16" s="109"/>
      <c r="G16" s="87"/>
      <c r="H16" s="87"/>
      <c r="I16" s="105"/>
    </row>
    <row r="17" spans="1:11" s="91" customFormat="1" ht="12" customHeight="1">
      <c r="A17" s="87" t="s">
        <v>314</v>
      </c>
      <c r="B17" s="87"/>
      <c r="C17" s="87"/>
      <c r="D17" s="104"/>
      <c r="E17" s="110" t="s">
        <v>16</v>
      </c>
      <c r="F17" s="110"/>
      <c r="G17" s="87"/>
      <c r="H17" s="87"/>
      <c r="I17" s="105"/>
    </row>
    <row r="18" spans="1:11" s="91" customFormat="1" ht="12" customHeight="1">
      <c r="A18" s="87" t="s">
        <v>315</v>
      </c>
      <c r="B18" s="87"/>
      <c r="C18" s="87"/>
      <c r="D18" s="104"/>
      <c r="E18" s="110" t="s">
        <v>297</v>
      </c>
      <c r="F18" s="110"/>
      <c r="G18" s="87"/>
      <c r="H18" s="87"/>
      <c r="I18" s="105"/>
    </row>
    <row r="19" spans="1:11" s="91" customFormat="1" ht="12" customHeight="1">
      <c r="A19" s="87" t="s">
        <v>316</v>
      </c>
      <c r="B19" s="87"/>
      <c r="C19" s="87"/>
      <c r="D19" s="104"/>
      <c r="E19" s="110" t="s">
        <v>298</v>
      </c>
      <c r="F19" s="110"/>
      <c r="G19" s="87"/>
      <c r="H19" s="87"/>
      <c r="I19" s="105"/>
    </row>
    <row r="20" spans="1:11" s="91" customFormat="1" ht="12" customHeight="1">
      <c r="A20" s="87"/>
      <c r="B20" s="87"/>
      <c r="C20" s="87"/>
      <c r="D20" s="104"/>
      <c r="E20" s="87"/>
      <c r="F20" s="87"/>
      <c r="H20" s="87"/>
      <c r="I20" s="112"/>
    </row>
    <row r="21" spans="1:11" s="85" customFormat="1" ht="9.9499999999999993" customHeight="1">
      <c r="A21" s="82" t="s">
        <v>20</v>
      </c>
      <c r="B21" s="82"/>
      <c r="C21" s="113" t="s">
        <v>21</v>
      </c>
      <c r="D21" s="114"/>
      <c r="E21" s="87"/>
      <c r="F21" s="87"/>
      <c r="G21" s="87"/>
      <c r="H21" s="87"/>
      <c r="I21" s="105"/>
    </row>
    <row r="22" spans="1:11" s="91" customFormat="1" ht="12" customHeight="1">
      <c r="A22" s="89" t="s">
        <v>317</v>
      </c>
      <c r="B22" s="115"/>
      <c r="C22" s="116" t="s">
        <v>300</v>
      </c>
      <c r="D22" s="115"/>
      <c r="E22" s="87"/>
      <c r="F22" s="87"/>
      <c r="G22" s="87"/>
      <c r="H22" s="87"/>
      <c r="I22" s="105"/>
    </row>
    <row r="23" spans="1:11" s="85" customFormat="1" ht="9.9499999999999993" customHeight="1">
      <c r="A23" s="82" t="s">
        <v>318</v>
      </c>
      <c r="B23" s="82"/>
      <c r="C23" s="113" t="s">
        <v>319</v>
      </c>
      <c r="D23" s="114"/>
      <c r="E23" s="117" t="s">
        <v>320</v>
      </c>
      <c r="F23" s="117"/>
      <c r="G23" s="87"/>
      <c r="H23" s="118"/>
      <c r="I23" s="105"/>
    </row>
    <row r="24" spans="1:11" s="91" customFormat="1" ht="12" customHeight="1">
      <c r="A24" s="119" t="s">
        <v>329</v>
      </c>
      <c r="B24" s="115"/>
      <c r="C24" s="142">
        <v>43238</v>
      </c>
      <c r="D24" s="120"/>
      <c r="E24" s="121"/>
      <c r="F24" s="121"/>
      <c r="G24" s="87"/>
      <c r="H24" s="118"/>
      <c r="I24" s="122"/>
    </row>
    <row r="25" spans="1:11" ht="9.9499999999999993" customHeight="1">
      <c r="A25" s="2" t="s">
        <v>23</v>
      </c>
      <c r="B25" s="2"/>
      <c r="C25" s="34" t="s">
        <v>24</v>
      </c>
      <c r="D25" s="2"/>
      <c r="E25" s="34" t="s">
        <v>28</v>
      </c>
      <c r="F25" s="2"/>
      <c r="G25" s="2"/>
      <c r="H25" s="34" t="s">
        <v>29</v>
      </c>
      <c r="I25" s="148" t="s">
        <v>30</v>
      </c>
    </row>
    <row r="26" spans="1:11" s="47" customFormat="1" ht="12" customHeight="1">
      <c r="A26" s="6"/>
      <c r="B26" s="6"/>
      <c r="C26" s="6"/>
      <c r="D26" s="6"/>
      <c r="E26" s="27"/>
      <c r="F26" s="27"/>
      <c r="G26" s="6"/>
      <c r="H26" s="6"/>
      <c r="I26" s="6"/>
    </row>
    <row r="27" spans="1:11" s="47" customFormat="1" ht="12" customHeight="1">
      <c r="A27" s="13"/>
      <c r="B27" s="6"/>
      <c r="C27" s="6"/>
      <c r="D27" s="6"/>
      <c r="E27" s="42"/>
      <c r="F27" s="42"/>
      <c r="G27" s="6"/>
      <c r="H27" s="6"/>
      <c r="I27" s="6"/>
      <c r="J27" s="6"/>
    </row>
    <row r="28" spans="1:11" s="181" customFormat="1" ht="12" customHeight="1">
      <c r="A28" s="31"/>
      <c r="B28" s="6"/>
      <c r="C28" s="13"/>
      <c r="D28" s="13"/>
      <c r="E28" s="13"/>
      <c r="F28" s="13"/>
      <c r="G28" s="6"/>
      <c r="H28" s="6"/>
      <c r="I28" s="6"/>
      <c r="J28" s="48"/>
      <c r="K28" s="6"/>
    </row>
    <row r="29" spans="1:11" s="181" customFormat="1" ht="12" customHeight="1">
      <c r="A29" s="31"/>
      <c r="B29" s="6"/>
      <c r="C29" s="13" t="s">
        <v>26</v>
      </c>
      <c r="D29" s="13"/>
      <c r="E29" s="13"/>
      <c r="F29" s="13"/>
      <c r="G29" s="6"/>
      <c r="H29" s="26"/>
      <c r="I29" s="26"/>
      <c r="J29" s="48"/>
      <c r="K29" s="6"/>
    </row>
    <row r="30" spans="1:11" s="189" customFormat="1" ht="12" customHeight="1">
      <c r="A30" s="78"/>
      <c r="B30" s="124" t="s">
        <v>325</v>
      </c>
      <c r="C30" s="177" t="s">
        <v>348</v>
      </c>
      <c r="D30" s="127"/>
      <c r="E30" s="126"/>
      <c r="F30" s="125"/>
      <c r="G30"/>
      <c r="H30" s="150"/>
      <c r="I30" s="150"/>
      <c r="J30" s="202"/>
      <c r="K30" s="184"/>
    </row>
    <row r="31" spans="1:11" s="189" customFormat="1" ht="12" customHeight="1">
      <c r="A31" s="78"/>
      <c r="B31" s="87"/>
      <c r="C31" s="177" t="s">
        <v>349</v>
      </c>
      <c r="D31" s="127"/>
      <c r="E31" s="126"/>
      <c r="F31" s="125"/>
      <c r="G31"/>
      <c r="H31" s="150"/>
      <c r="I31" s="150"/>
      <c r="J31" s="202"/>
      <c r="K31" s="184"/>
    </row>
    <row r="32" spans="1:11" s="189" customFormat="1" ht="12" customHeight="1">
      <c r="A32" s="78"/>
      <c r="B32" s="87"/>
      <c r="C32" s="47" t="s">
        <v>339</v>
      </c>
      <c r="D32" s="127"/>
      <c r="E32" s="126"/>
      <c r="F32" s="125"/>
      <c r="G32"/>
      <c r="H32" s="150"/>
      <c r="I32" s="150"/>
      <c r="J32" s="202"/>
      <c r="K32" s="184"/>
    </row>
    <row r="33" spans="1:11" s="189" customFormat="1" ht="12" customHeight="1">
      <c r="A33" s="78"/>
      <c r="B33" s="87"/>
      <c r="C33" s="47" t="s">
        <v>340</v>
      </c>
      <c r="D33" s="127"/>
      <c r="E33" s="126"/>
      <c r="F33" s="125"/>
      <c r="G33"/>
      <c r="H33" s="150"/>
      <c r="I33" s="150"/>
      <c r="J33" s="202"/>
      <c r="K33" s="184"/>
    </row>
    <row r="34" spans="1:11" s="189" customFormat="1" ht="12" customHeight="1">
      <c r="A34" s="78"/>
      <c r="B34" s="87"/>
      <c r="C34" s="47" t="s">
        <v>341</v>
      </c>
      <c r="D34" s="127"/>
      <c r="E34" s="126"/>
      <c r="F34" s="125"/>
      <c r="G34"/>
      <c r="H34" s="150"/>
      <c r="I34" s="150"/>
      <c r="J34" s="202"/>
      <c r="K34" s="184"/>
    </row>
    <row r="35" spans="1:11" s="189" customFormat="1" ht="12" customHeight="1">
      <c r="A35" s="78"/>
      <c r="B35" s="87"/>
      <c r="C35" s="47" t="s">
        <v>358</v>
      </c>
      <c r="D35" s="127"/>
      <c r="E35" s="126"/>
      <c r="F35" s="125"/>
      <c r="G35"/>
      <c r="H35" s="150"/>
      <c r="I35" s="150"/>
      <c r="J35" s="202"/>
      <c r="K35" s="184"/>
    </row>
    <row r="36" spans="1:11" s="189" customFormat="1" ht="12" customHeight="1">
      <c r="A36" s="78"/>
      <c r="B36"/>
      <c r="C36" s="171"/>
      <c r="D36" s="157" t="s">
        <v>332</v>
      </c>
      <c r="E36" s="158" t="s">
        <v>333</v>
      </c>
      <c r="F36" s="158" t="s">
        <v>334</v>
      </c>
      <c r="G36" s="158" t="s">
        <v>338</v>
      </c>
      <c r="H36" s="158" t="s">
        <v>335</v>
      </c>
      <c r="I36" s="159" t="s">
        <v>336</v>
      </c>
      <c r="J36" s="202"/>
      <c r="K36" s="184"/>
    </row>
    <row r="37" spans="1:11" s="189" customFormat="1" ht="12" customHeight="1">
      <c r="A37" s="78"/>
      <c r="B37"/>
      <c r="C37" s="171"/>
      <c r="D37" s="160" t="s">
        <v>362</v>
      </c>
      <c r="E37" s="161">
        <v>48</v>
      </c>
      <c r="F37" s="162">
        <v>3682</v>
      </c>
      <c r="G37" s="162">
        <f>ROUND(+H37/0.4536,2)</f>
        <v>1980.38</v>
      </c>
      <c r="H37" s="163">
        <v>898.3</v>
      </c>
      <c r="I37" s="164">
        <f>E37*0.1+H37</f>
        <v>903.09999999999991</v>
      </c>
      <c r="J37" s="202"/>
      <c r="K37" s="184"/>
    </row>
    <row r="38" spans="1:11" s="189" customFormat="1" ht="12" customHeight="1">
      <c r="A38" s="78"/>
      <c r="B38"/>
      <c r="C38" s="171"/>
      <c r="D38" s="160" t="s">
        <v>363</v>
      </c>
      <c r="E38" s="161">
        <v>48</v>
      </c>
      <c r="F38" s="162">
        <v>3728</v>
      </c>
      <c r="G38" s="162">
        <f t="shared" ref="G38:G43" si="0">ROUND(+H38/0.4536,2)</f>
        <v>1970.9</v>
      </c>
      <c r="H38" s="163">
        <v>894</v>
      </c>
      <c r="I38" s="164">
        <f t="shared" ref="I38:I43" si="1">E38*0.1+H38</f>
        <v>898.8</v>
      </c>
      <c r="J38" s="202"/>
      <c r="K38" s="184"/>
    </row>
    <row r="39" spans="1:11" s="189" customFormat="1" ht="12" customHeight="1">
      <c r="A39" s="78"/>
      <c r="B39"/>
      <c r="C39" s="171"/>
      <c r="D39" s="160" t="s">
        <v>364</v>
      </c>
      <c r="E39" s="161">
        <v>48</v>
      </c>
      <c r="F39" s="162">
        <v>3715</v>
      </c>
      <c r="G39" s="162">
        <f t="shared" si="0"/>
        <v>1998.68</v>
      </c>
      <c r="H39" s="163">
        <v>906.6</v>
      </c>
      <c r="I39" s="164">
        <f t="shared" si="1"/>
        <v>911.4</v>
      </c>
      <c r="J39" s="202"/>
      <c r="K39" s="184"/>
    </row>
    <row r="40" spans="1:11" s="189" customFormat="1" ht="12" customHeight="1">
      <c r="A40" s="78"/>
      <c r="B40"/>
      <c r="C40" s="171"/>
      <c r="D40" s="160" t="s">
        <v>365</v>
      </c>
      <c r="E40" s="161">
        <v>43</v>
      </c>
      <c r="F40" s="162">
        <v>3374</v>
      </c>
      <c r="G40" s="162">
        <f t="shared" si="0"/>
        <v>1786.16</v>
      </c>
      <c r="H40" s="163">
        <v>810.2</v>
      </c>
      <c r="I40" s="164">
        <f t="shared" si="1"/>
        <v>814.5</v>
      </c>
      <c r="J40" s="202"/>
      <c r="K40" s="184"/>
    </row>
    <row r="41" spans="1:11" s="189" customFormat="1" ht="12" customHeight="1">
      <c r="A41" s="78"/>
      <c r="B41"/>
      <c r="C41" s="171"/>
      <c r="D41" s="160" t="s">
        <v>366</v>
      </c>
      <c r="E41" s="161">
        <v>47</v>
      </c>
      <c r="F41" s="162">
        <v>3327</v>
      </c>
      <c r="G41" s="162">
        <f t="shared" si="0"/>
        <v>1758.6</v>
      </c>
      <c r="H41" s="163">
        <v>797.7</v>
      </c>
      <c r="I41" s="164">
        <f t="shared" si="1"/>
        <v>802.40000000000009</v>
      </c>
      <c r="J41" s="202"/>
      <c r="K41" s="184"/>
    </row>
    <row r="42" spans="1:11">
      <c r="C42" s="171"/>
      <c r="D42" s="160" t="s">
        <v>367</v>
      </c>
      <c r="E42" s="161">
        <v>48</v>
      </c>
      <c r="F42" s="162">
        <v>3593</v>
      </c>
      <c r="G42" s="162">
        <f t="shared" si="0"/>
        <v>1861.77</v>
      </c>
      <c r="H42" s="163">
        <v>844.5</v>
      </c>
      <c r="I42" s="164">
        <f t="shared" si="1"/>
        <v>849.3</v>
      </c>
    </row>
    <row r="43" spans="1:11">
      <c r="B43" s="87"/>
      <c r="C43" s="171"/>
      <c r="D43" s="160" t="s">
        <v>369</v>
      </c>
      <c r="E43" s="161">
        <v>23</v>
      </c>
      <c r="F43" s="162">
        <v>1806</v>
      </c>
      <c r="G43" s="162">
        <f t="shared" si="0"/>
        <v>972</v>
      </c>
      <c r="H43" s="163">
        <v>440.9</v>
      </c>
      <c r="I43" s="221">
        <f t="shared" si="1"/>
        <v>443.2</v>
      </c>
    </row>
    <row r="44" spans="1:11">
      <c r="B44" s="87"/>
      <c r="C44" s="87"/>
      <c r="D44" s="165" t="s">
        <v>337</v>
      </c>
      <c r="E44" s="166">
        <f>SUM(E37:E43)</f>
        <v>305</v>
      </c>
      <c r="F44" s="167">
        <f>SUM(F37:F43)</f>
        <v>23225</v>
      </c>
      <c r="G44" s="167">
        <f>SUM(G37:G43)</f>
        <v>12328.49</v>
      </c>
      <c r="H44" s="168">
        <f>SUM(H37:H43)</f>
        <v>5592.2</v>
      </c>
      <c r="I44" s="167">
        <f>SUM(I37:I43)</f>
        <v>5622.7</v>
      </c>
    </row>
    <row r="45" spans="1:11" ht="14.25" thickBot="1">
      <c r="B45" s="87"/>
      <c r="C45" s="87"/>
      <c r="D45" s="203"/>
      <c r="E45" s="169"/>
      <c r="F45" s="204"/>
      <c r="G45" s="204"/>
      <c r="H45" s="170"/>
      <c r="I45" s="204"/>
    </row>
    <row r="46" spans="1:11" ht="15" thickTop="1" thickBot="1">
      <c r="B46" s="6"/>
      <c r="C46" s="132" t="s">
        <v>328</v>
      </c>
      <c r="D46" s="133"/>
      <c r="E46" s="155">
        <f>SUM(E35:E44)/2</f>
        <v>305</v>
      </c>
      <c r="F46" s="134">
        <f>SUM(F35:F44)/2</f>
        <v>23225</v>
      </c>
      <c r="G46" s="174">
        <f>ROUND(SUM(G35:G44)/2,2)</f>
        <v>12328.49</v>
      </c>
      <c r="H46" s="173">
        <f>SUM(H34:H44)/2</f>
        <v>5592.2</v>
      </c>
      <c r="I46" s="173">
        <f>SUM(I35:I44)/2</f>
        <v>5622.7</v>
      </c>
    </row>
    <row r="47" spans="1:11" ht="14.25" thickTop="1">
      <c r="G47" s="45"/>
      <c r="H47" s="48"/>
      <c r="I47" s="48"/>
    </row>
    <row r="48" spans="1:11">
      <c r="G48" s="45"/>
      <c r="H48" s="44"/>
      <c r="I48" s="44"/>
    </row>
    <row r="49" spans="7:9">
      <c r="G49" s="46" t="s">
        <v>27</v>
      </c>
      <c r="H49" s="8"/>
      <c r="I49" s="8"/>
    </row>
    <row r="50" spans="7:9">
      <c r="G50" s="53"/>
      <c r="H50" s="8"/>
      <c r="I50" s="8"/>
    </row>
  </sheetData>
  <mergeCells count="1">
    <mergeCell ref="E1:I3"/>
  </mergeCells>
  <phoneticPr fontId="2" type="noConversion"/>
  <hyperlinks>
    <hyperlink ref="A8" r:id="rId1" display="TEL:(82)2-5460066   FAX:(82)2-5404106" xr:uid="{00000000-0004-0000-0C00-000000000000}"/>
  </hyperlinks>
  <printOptions horizontalCentered="1"/>
  <pageMargins left="0.15748031496062992" right="0.15748031496062992" top="0.19685039370078741" bottom="0.31496062992125984" header="0.15748031496062992" footer="0.15748031496062992"/>
  <pageSetup paperSize="9" fitToHeight="2" orientation="portrait" r:id="rId2"/>
  <headerFooter alignWithMargins="0">
    <oddFooter>&amp;C&amp;"+,굵게"&amp;8&amp;K00-034SEWANG TEXTILE &amp;R&amp;"돋움,굵게"&amp;8&amp;K00-034&amp;P OF &amp;N</oddFooter>
  </headerFooter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  <pageSetUpPr fitToPage="1"/>
  </sheetPr>
  <dimension ref="A1:I58"/>
  <sheetViews>
    <sheetView showGridLines="0" view="pageBreakPreview" topLeftCell="A34" zoomScaleSheetLayoutView="100" workbookViewId="0">
      <selection activeCell="E18" sqref="E18:I43"/>
    </sheetView>
  </sheetViews>
  <sheetFormatPr defaultColWidth="8.88671875" defaultRowHeight="13.5"/>
  <cols>
    <col min="1" max="1" width="9.109375" customWidth="1"/>
    <col min="2" max="2" width="8.77734375" customWidth="1"/>
    <col min="3" max="3" width="11.77734375" customWidth="1"/>
    <col min="4" max="4" width="7" customWidth="1"/>
    <col min="5" max="5" width="10.109375" customWidth="1"/>
    <col min="6" max="6" width="8" bestFit="1" customWidth="1"/>
    <col min="7" max="7" width="6.44140625" customWidth="1"/>
    <col min="8" max="8" width="4" customWidth="1"/>
    <col min="9" max="9" width="11.44140625" customWidth="1"/>
  </cols>
  <sheetData>
    <row r="1" spans="1:9" ht="17.100000000000001" customHeight="1">
      <c r="E1" s="696" t="s">
        <v>0</v>
      </c>
      <c r="F1" s="696"/>
      <c r="G1" s="696"/>
      <c r="H1" s="696"/>
      <c r="I1" s="696"/>
    </row>
    <row r="2" spans="1:9" ht="17.100000000000001" customHeight="1">
      <c r="E2" s="696"/>
      <c r="F2" s="696"/>
      <c r="G2" s="696"/>
      <c r="H2" s="696"/>
      <c r="I2" s="696"/>
    </row>
    <row r="3" spans="1:9" ht="17.100000000000001" customHeight="1">
      <c r="A3" s="1"/>
      <c r="B3" s="1"/>
      <c r="C3" s="1"/>
      <c r="D3" s="1"/>
      <c r="E3" s="698"/>
      <c r="F3" s="698"/>
      <c r="G3" s="698"/>
      <c r="H3" s="698"/>
      <c r="I3" s="698"/>
    </row>
    <row r="4" spans="1:9" s="85" customFormat="1" ht="9.9499999999999993" customHeight="1">
      <c r="A4" s="82" t="s">
        <v>301</v>
      </c>
      <c r="B4" s="82"/>
      <c r="C4" s="82"/>
      <c r="D4" s="82"/>
      <c r="E4" s="83" t="s">
        <v>302</v>
      </c>
      <c r="F4" s="82"/>
      <c r="G4" s="82"/>
      <c r="H4" s="82"/>
      <c r="I4" s="84"/>
    </row>
    <row r="5" spans="1:9" s="91" customFormat="1" ht="12" customHeight="1">
      <c r="A5" s="86" t="s">
        <v>303</v>
      </c>
      <c r="B5" s="87"/>
      <c r="C5" s="87"/>
      <c r="D5" s="87"/>
      <c r="E5" s="88" t="s">
        <v>382</v>
      </c>
      <c r="F5" s="89"/>
      <c r="G5" s="89"/>
      <c r="H5" s="90"/>
      <c r="I5" s="90">
        <v>43368</v>
      </c>
    </row>
    <row r="6" spans="1:9" s="85" customFormat="1" ht="12" customHeight="1">
      <c r="A6" s="86" t="s">
        <v>304</v>
      </c>
      <c r="B6" s="87"/>
      <c r="C6" s="87"/>
      <c r="D6" s="87"/>
      <c r="E6" s="83" t="s">
        <v>305</v>
      </c>
      <c r="F6" s="82"/>
      <c r="G6" s="82"/>
      <c r="H6" s="92"/>
      <c r="I6" s="92"/>
    </row>
    <row r="7" spans="1:9" s="91" customFormat="1" ht="12" customHeight="1">
      <c r="A7" s="86" t="s">
        <v>306</v>
      </c>
      <c r="B7" s="87"/>
      <c r="C7" s="87"/>
      <c r="D7" s="87" t="s">
        <v>307</v>
      </c>
      <c r="E7" s="213" t="s">
        <v>375</v>
      </c>
      <c r="F7" s="214"/>
      <c r="G7" s="130"/>
      <c r="H7" s="216"/>
      <c r="I7" s="216"/>
    </row>
    <row r="8" spans="1:9" s="91" customFormat="1" ht="12" customHeight="1">
      <c r="A8" s="86" t="s">
        <v>308</v>
      </c>
      <c r="B8" s="87"/>
      <c r="C8" s="87"/>
      <c r="D8" s="87"/>
      <c r="E8" s="156" t="s">
        <v>346</v>
      </c>
      <c r="F8" s="87"/>
      <c r="G8" s="87"/>
      <c r="H8" s="95"/>
      <c r="I8" s="96"/>
    </row>
    <row r="9" spans="1:9" s="91" customFormat="1" ht="12" customHeight="1">
      <c r="A9" s="87"/>
      <c r="B9" s="87"/>
      <c r="C9" s="87"/>
      <c r="D9" s="87"/>
      <c r="E9" s="97"/>
      <c r="F9" s="87"/>
      <c r="G9" s="87"/>
      <c r="H9" s="87"/>
      <c r="I9" s="98"/>
    </row>
    <row r="10" spans="1:9" s="85" customFormat="1" ht="9.9499999999999993" customHeight="1">
      <c r="A10" s="82" t="s">
        <v>309</v>
      </c>
      <c r="B10" s="82"/>
      <c r="C10" s="82"/>
      <c r="D10" s="99"/>
      <c r="E10" s="100" t="s">
        <v>10</v>
      </c>
      <c r="F10" s="82"/>
      <c r="G10" s="101"/>
      <c r="H10" s="102"/>
      <c r="I10" s="103"/>
    </row>
    <row r="11" spans="1:9" s="91" customFormat="1" ht="12" customHeight="1">
      <c r="A11" s="87" t="s">
        <v>377</v>
      </c>
      <c r="B11" s="87"/>
      <c r="C11" s="87"/>
      <c r="D11" s="104"/>
      <c r="E11" s="86"/>
      <c r="F11" s="87"/>
      <c r="G11" s="87"/>
      <c r="H11" s="87"/>
      <c r="I11" s="105"/>
    </row>
    <row r="12" spans="1:9" s="91" customFormat="1" ht="12" customHeight="1">
      <c r="A12" s="714" t="s">
        <v>378</v>
      </c>
      <c r="B12" s="714"/>
      <c r="C12" s="714"/>
      <c r="D12" s="715"/>
      <c r="E12" s="106"/>
      <c r="F12" s="87"/>
      <c r="G12" s="87"/>
      <c r="H12" s="87"/>
      <c r="I12" s="105"/>
    </row>
    <row r="13" spans="1:9" s="91" customFormat="1" ht="12" customHeight="1">
      <c r="A13" s="714" t="s">
        <v>379</v>
      </c>
      <c r="B13" s="714"/>
      <c r="C13" s="714"/>
      <c r="D13" s="715"/>
      <c r="E13" s="106"/>
      <c r="F13" s="87"/>
      <c r="G13" s="87"/>
      <c r="H13" s="87"/>
      <c r="I13" s="105"/>
    </row>
    <row r="14" spans="1:9" s="91" customFormat="1" ht="12" customHeight="1">
      <c r="A14" s="87"/>
      <c r="B14" s="87"/>
      <c r="C14" s="87"/>
      <c r="D14" s="104"/>
      <c r="E14" s="107"/>
      <c r="F14" s="87"/>
      <c r="G14" s="87"/>
      <c r="H14" s="87"/>
      <c r="I14" s="105"/>
    </row>
    <row r="15" spans="1:9" s="85" customFormat="1" ht="9.9499999999999993" customHeight="1">
      <c r="A15" s="82" t="s">
        <v>296</v>
      </c>
      <c r="B15" s="108"/>
      <c r="C15" s="102"/>
      <c r="D15" s="99"/>
      <c r="E15" s="100" t="s">
        <v>15</v>
      </c>
      <c r="F15" s="101"/>
      <c r="G15" s="102"/>
      <c r="H15" s="102"/>
      <c r="I15" s="103"/>
    </row>
    <row r="16" spans="1:9" s="91" customFormat="1" ht="12" customHeight="1">
      <c r="A16" s="87" t="s">
        <v>312</v>
      </c>
      <c r="B16" s="87"/>
      <c r="C16" s="87"/>
      <c r="D16" s="104"/>
      <c r="E16" s="109"/>
      <c r="F16" s="87"/>
      <c r="G16" s="87"/>
      <c r="H16" s="87"/>
      <c r="I16" s="105"/>
    </row>
    <row r="17" spans="1:9" s="91" customFormat="1" ht="12" customHeight="1">
      <c r="A17" s="87" t="s">
        <v>314</v>
      </c>
      <c r="B17" s="87"/>
      <c r="C17" s="87"/>
      <c r="D17" s="104"/>
      <c r="E17" s="109" t="s">
        <v>313</v>
      </c>
      <c r="F17" s="87"/>
      <c r="G17" s="87"/>
      <c r="H17" s="87"/>
      <c r="I17" s="105"/>
    </row>
    <row r="18" spans="1:9" s="91" customFormat="1" ht="12" customHeight="1">
      <c r="A18" s="87" t="s">
        <v>315</v>
      </c>
      <c r="B18" s="87"/>
      <c r="C18" s="87"/>
      <c r="D18" s="104"/>
      <c r="E18" s="110" t="s">
        <v>399</v>
      </c>
      <c r="F18" s="87"/>
      <c r="G18" s="87"/>
      <c r="H18" s="87"/>
      <c r="I18" s="105"/>
    </row>
    <row r="19" spans="1:9" s="91" customFormat="1" ht="12" customHeight="1">
      <c r="A19" s="87" t="s">
        <v>316</v>
      </c>
      <c r="B19" s="87"/>
      <c r="C19" s="87"/>
      <c r="D19" s="104"/>
      <c r="E19" s="705" t="s">
        <v>402</v>
      </c>
      <c r="F19" s="706"/>
      <c r="G19" s="706"/>
      <c r="H19" s="706"/>
      <c r="I19" s="706"/>
    </row>
    <row r="20" spans="1:9" s="91" customFormat="1" ht="12" customHeight="1">
      <c r="A20" s="87"/>
      <c r="B20" s="87"/>
      <c r="C20" s="87"/>
      <c r="D20" s="104"/>
      <c r="E20" s="705"/>
      <c r="F20" s="706"/>
      <c r="G20" s="706"/>
      <c r="H20" s="706"/>
      <c r="I20" s="706"/>
    </row>
    <row r="21" spans="1:9" s="85" customFormat="1" ht="9.9499999999999993" customHeight="1">
      <c r="A21" s="82" t="s">
        <v>299</v>
      </c>
      <c r="B21" s="82"/>
      <c r="C21" s="113" t="s">
        <v>21</v>
      </c>
      <c r="D21" s="114"/>
      <c r="E21" s="87" t="s">
        <v>400</v>
      </c>
      <c r="F21" s="87"/>
      <c r="G21" s="87"/>
      <c r="H21" s="87"/>
      <c r="I21" s="105"/>
    </row>
    <row r="22" spans="1:9" s="91" customFormat="1" ht="12" customHeight="1">
      <c r="A22" s="718" t="s">
        <v>376</v>
      </c>
      <c r="B22" s="711"/>
      <c r="C22" s="710" t="s">
        <v>390</v>
      </c>
      <c r="D22" s="711"/>
      <c r="E22" s="87"/>
      <c r="F22" s="87"/>
      <c r="G22" s="87"/>
      <c r="H22" s="87"/>
      <c r="I22" s="105"/>
    </row>
    <row r="23" spans="1:9" s="85" customFormat="1" ht="9.9499999999999993" customHeight="1">
      <c r="A23" s="82" t="s">
        <v>318</v>
      </c>
      <c r="B23" s="82"/>
      <c r="C23" s="113" t="s">
        <v>319</v>
      </c>
      <c r="D23" s="114"/>
      <c r="E23" s="117" t="s">
        <v>320</v>
      </c>
      <c r="F23" s="87"/>
      <c r="G23" s="118"/>
      <c r="H23" s="87"/>
      <c r="I23" s="105"/>
    </row>
    <row r="24" spans="1:9" s="91" customFormat="1" ht="12" customHeight="1">
      <c r="A24" s="719" t="s">
        <v>389</v>
      </c>
      <c r="B24" s="709"/>
      <c r="C24" s="700">
        <v>43375</v>
      </c>
      <c r="D24" s="701"/>
      <c r="E24" s="121"/>
      <c r="F24" s="87"/>
      <c r="G24" s="118"/>
      <c r="H24" s="89"/>
      <c r="I24" s="122"/>
    </row>
    <row r="25" spans="1:9" s="85" customFormat="1" ht="9.9499999999999993" customHeight="1">
      <c r="A25" s="82" t="s">
        <v>321</v>
      </c>
      <c r="B25" s="82"/>
      <c r="C25" s="113" t="s">
        <v>24</v>
      </c>
      <c r="D25" s="82"/>
      <c r="E25" s="83" t="s">
        <v>322</v>
      </c>
      <c r="F25" s="82"/>
      <c r="G25" s="113" t="s">
        <v>25</v>
      </c>
      <c r="H25" s="82"/>
      <c r="I25" s="113" t="s">
        <v>323</v>
      </c>
    </row>
    <row r="26" spans="1:9" s="91" customFormat="1" ht="12" customHeight="1">
      <c r="A26" s="87"/>
      <c r="B26" s="87"/>
      <c r="C26" s="87"/>
      <c r="D26" s="87"/>
      <c r="E26" s="121"/>
      <c r="F26" s="87"/>
      <c r="G26" s="87"/>
      <c r="H26" s="87"/>
      <c r="I26" s="87"/>
    </row>
    <row r="27" spans="1:9" s="91" customFormat="1" ht="12" customHeight="1">
      <c r="A27" s="93"/>
      <c r="B27" s="6"/>
      <c r="C27" s="6"/>
      <c r="D27" s="6"/>
      <c r="E27" s="42"/>
      <c r="F27" s="42"/>
      <c r="G27" s="6"/>
      <c r="H27" s="175" t="s">
        <v>392</v>
      </c>
      <c r="I27" s="6"/>
    </row>
    <row r="28" spans="1:9" s="91" customFormat="1" ht="12" customHeight="1">
      <c r="A28" s="93"/>
      <c r="B28" s="6"/>
      <c r="C28" s="6"/>
      <c r="D28" s="6"/>
      <c r="E28" s="42"/>
      <c r="F28" s="42"/>
      <c r="G28" s="6"/>
      <c r="H28" s="6"/>
      <c r="I28" s="6"/>
    </row>
    <row r="29" spans="1:9" s="181" customFormat="1" ht="12" customHeight="1">
      <c r="A29" s="31"/>
      <c r="B29" s="6"/>
      <c r="C29" s="13" t="s">
        <v>26</v>
      </c>
      <c r="D29" s="13"/>
      <c r="E29" s="13"/>
      <c r="F29" s="13"/>
      <c r="G29" s="13"/>
      <c r="H29" s="13"/>
      <c r="I29" s="13"/>
    </row>
    <row r="30" spans="1:9" s="181" customFormat="1" ht="12" customHeight="1">
      <c r="A30" s="31"/>
      <c r="B30" s="176" t="s">
        <v>374</v>
      </c>
      <c r="C30" s="205" t="s">
        <v>384</v>
      </c>
      <c r="D30" s="205"/>
      <c r="E30" s="222"/>
      <c r="F30" s="223"/>
      <c r="G30" s="206"/>
      <c r="H30" s="205"/>
      <c r="I30" s="207"/>
    </row>
    <row r="31" spans="1:9" s="181" customFormat="1" ht="12" customHeight="1">
      <c r="A31" s="31"/>
      <c r="B31" s="176"/>
      <c r="C31" s="47" t="s">
        <v>383</v>
      </c>
      <c r="D31" s="205"/>
      <c r="E31" s="222"/>
      <c r="F31" s="223"/>
      <c r="G31" s="206"/>
      <c r="H31" s="205"/>
      <c r="I31" s="207"/>
    </row>
    <row r="32" spans="1:9" s="181" customFormat="1" ht="12" customHeight="1">
      <c r="A32" s="31"/>
      <c r="B32" s="6"/>
      <c r="C32" s="233" t="s">
        <v>385</v>
      </c>
      <c r="D32" s="205"/>
      <c r="E32" s="222"/>
      <c r="F32" s="223"/>
      <c r="G32" s="206"/>
      <c r="H32" s="205"/>
      <c r="I32" s="207"/>
    </row>
    <row r="33" spans="1:9" s="181" customFormat="1" ht="12" customHeight="1">
      <c r="A33" s="31"/>
      <c r="B33" s="6"/>
      <c r="C33" s="233" t="s">
        <v>386</v>
      </c>
      <c r="D33" s="205"/>
      <c r="E33" s="254"/>
      <c r="F33" s="223"/>
      <c r="G33" s="206"/>
      <c r="H33" s="205"/>
      <c r="I33" s="207"/>
    </row>
    <row r="34" spans="1:9" s="181" customFormat="1" ht="12" customHeight="1">
      <c r="A34" s="31"/>
      <c r="B34" s="6"/>
      <c r="C34" s="233"/>
      <c r="D34" s="233"/>
      <c r="E34" s="251"/>
      <c r="F34" s="233"/>
      <c r="G34" s="206"/>
      <c r="H34" s="205"/>
      <c r="I34" s="207"/>
    </row>
    <row r="35" spans="1:9" s="127" customFormat="1" ht="12" customHeight="1">
      <c r="A35" s="87"/>
      <c r="B35" s="6"/>
      <c r="C35" s="222"/>
      <c r="D35" s="205"/>
      <c r="E35" s="253">
        <v>1</v>
      </c>
      <c r="F35" s="238">
        <v>52</v>
      </c>
      <c r="G35" s="219">
        <v>1.23</v>
      </c>
      <c r="H35" s="210" t="s">
        <v>326</v>
      </c>
      <c r="I35" s="220" t="s">
        <v>372</v>
      </c>
    </row>
    <row r="36" spans="1:9" s="127" customFormat="1" ht="12" customHeight="1">
      <c r="A36" s="87"/>
      <c r="B36" s="6"/>
      <c r="C36" s="222"/>
      <c r="D36" s="205"/>
      <c r="E36" s="252"/>
      <c r="F36" s="224"/>
      <c r="G36" s="206"/>
      <c r="H36" s="205"/>
      <c r="I36" s="207"/>
    </row>
    <row r="37" spans="1:9" s="127" customFormat="1" ht="12" customHeight="1">
      <c r="A37" s="87"/>
      <c r="B37" s="6"/>
      <c r="C37" s="222"/>
      <c r="D37" s="205"/>
      <c r="E37" s="252"/>
      <c r="F37" s="224"/>
      <c r="G37" s="206"/>
      <c r="H37" s="205"/>
      <c r="I37" s="207"/>
    </row>
    <row r="38" spans="1:9" s="127" customFormat="1" ht="12" customHeight="1">
      <c r="A38" s="87"/>
      <c r="B38" s="176" t="s">
        <v>391</v>
      </c>
      <c r="C38" s="205" t="s">
        <v>384</v>
      </c>
      <c r="D38" s="205"/>
      <c r="E38" s="254"/>
      <c r="F38" s="223"/>
      <c r="G38" s="206"/>
      <c r="H38" s="205"/>
      <c r="I38" s="207"/>
    </row>
    <row r="39" spans="1:9" s="127" customFormat="1" ht="12" customHeight="1">
      <c r="A39" s="87"/>
      <c r="B39" s="176"/>
      <c r="C39" s="47" t="s">
        <v>383</v>
      </c>
      <c r="D39" s="205"/>
      <c r="E39" s="254"/>
      <c r="F39" s="223"/>
      <c r="G39" s="206"/>
      <c r="H39" s="205"/>
      <c r="I39" s="207"/>
    </row>
    <row r="40" spans="1:9" s="127" customFormat="1" ht="12" customHeight="1">
      <c r="A40" s="87"/>
      <c r="B40" s="6"/>
      <c r="C40" s="233" t="s">
        <v>385</v>
      </c>
      <c r="D40" s="205"/>
      <c r="E40" s="254"/>
      <c r="F40" s="223"/>
      <c r="G40" s="206"/>
      <c r="H40" s="205"/>
      <c r="I40" s="207"/>
    </row>
    <row r="41" spans="1:9" s="127" customFormat="1" ht="12" customHeight="1">
      <c r="A41" s="87"/>
      <c r="B41" s="6"/>
      <c r="C41" s="233" t="s">
        <v>388</v>
      </c>
      <c r="D41" s="205"/>
      <c r="E41" s="254"/>
      <c r="F41" s="223"/>
      <c r="G41" s="206"/>
      <c r="H41" s="205"/>
      <c r="I41" s="207"/>
    </row>
    <row r="42" spans="1:9" s="127" customFormat="1" ht="12" customHeight="1">
      <c r="A42" s="87"/>
      <c r="B42" s="6"/>
      <c r="C42" s="233"/>
      <c r="D42" s="233"/>
      <c r="E42" s="251"/>
      <c r="F42" s="233"/>
      <c r="G42" s="206"/>
      <c r="H42" s="205"/>
      <c r="I42" s="207"/>
    </row>
    <row r="43" spans="1:9" s="127" customFormat="1" ht="12" customHeight="1">
      <c r="A43" s="87"/>
      <c r="B43" s="6"/>
      <c r="C43" s="222"/>
      <c r="D43" s="205"/>
      <c r="E43" s="253">
        <v>1</v>
      </c>
      <c r="F43" s="238">
        <v>31</v>
      </c>
      <c r="G43" s="219">
        <v>1.23</v>
      </c>
      <c r="H43" s="210" t="s">
        <v>326</v>
      </c>
      <c r="I43" s="220" t="s">
        <v>372</v>
      </c>
    </row>
    <row r="44" spans="1:9" s="127" customFormat="1" ht="12" customHeight="1">
      <c r="A44" s="31" t="s">
        <v>393</v>
      </c>
      <c r="B44" s="6"/>
      <c r="C44" s="222"/>
      <c r="D44" s="205"/>
      <c r="E44" s="252"/>
      <c r="F44" s="224"/>
      <c r="G44" s="206"/>
      <c r="H44" s="205"/>
      <c r="I44" s="207"/>
    </row>
    <row r="45" spans="1:9" s="127" customFormat="1" ht="12" customHeight="1">
      <c r="A45" s="31" t="s">
        <v>394</v>
      </c>
      <c r="B45" s="6"/>
      <c r="C45" s="222"/>
      <c r="D45" s="205"/>
      <c r="E45" s="252"/>
      <c r="F45" s="224"/>
      <c r="G45" s="206"/>
      <c r="H45" s="205"/>
      <c r="I45" s="207"/>
    </row>
    <row r="46" spans="1:9" s="127" customFormat="1" ht="12" customHeight="1">
      <c r="A46" s="87"/>
      <c r="B46" s="6"/>
      <c r="C46" s="222"/>
      <c r="D46" s="205"/>
      <c r="E46" s="252"/>
      <c r="F46" s="224"/>
      <c r="G46" s="206"/>
      <c r="H46" s="205"/>
      <c r="I46" s="207"/>
    </row>
    <row r="47" spans="1:9" s="127" customFormat="1" ht="12" customHeight="1" thickBot="1">
      <c r="A47" s="87"/>
      <c r="B47" s="6"/>
      <c r="C47" s="222"/>
      <c r="D47" s="205"/>
      <c r="E47" s="252"/>
      <c r="F47" s="224"/>
      <c r="G47" s="206"/>
      <c r="H47" s="205"/>
      <c r="I47" s="207"/>
    </row>
    <row r="48" spans="1:9" s="127" customFormat="1" ht="12" customHeight="1" thickTop="1" thickBot="1">
      <c r="A48" s="87"/>
      <c r="B48" s="6"/>
      <c r="C48" s="195" t="s">
        <v>328</v>
      </c>
      <c r="D48" s="196"/>
      <c r="E48" s="255">
        <f>SUM(E30:E47)</f>
        <v>2</v>
      </c>
      <c r="F48" s="198">
        <f>SUM(F30:F47)</f>
        <v>83</v>
      </c>
      <c r="G48" s="200"/>
      <c r="H48" s="200"/>
      <c r="I48" s="201">
        <f>SUM(I30:I47)</f>
        <v>0</v>
      </c>
    </row>
    <row r="49" spans="1:9" s="127" customFormat="1" ht="12" customHeight="1" thickTop="1">
      <c r="A49" s="87"/>
      <c r="B49" s="123"/>
      <c r="C49" s="135"/>
      <c r="D49" s="135"/>
      <c r="E49" s="136"/>
      <c r="F49" s="136"/>
      <c r="G49" s="93"/>
      <c r="H49" s="93"/>
      <c r="I49" s="93"/>
    </row>
    <row r="50" spans="1:9" s="127" customFormat="1" ht="12" customHeight="1">
      <c r="A50" s="87"/>
      <c r="B50" s="123"/>
      <c r="C50" s="135"/>
      <c r="D50" s="135"/>
      <c r="E50" s="136"/>
      <c r="F50" s="136"/>
      <c r="G50" s="93"/>
      <c r="H50" s="93"/>
      <c r="I50" s="93"/>
    </row>
    <row r="51" spans="1:9">
      <c r="B51" s="123"/>
      <c r="C51" s="135"/>
      <c r="D51" s="135"/>
      <c r="E51" s="136"/>
      <c r="F51" s="136"/>
      <c r="G51" s="93"/>
      <c r="H51" s="93"/>
      <c r="I51" s="93"/>
    </row>
    <row r="52" spans="1:9">
      <c r="B52" s="123"/>
      <c r="C52" s="135"/>
      <c r="D52" s="135"/>
      <c r="E52" s="136"/>
      <c r="F52" s="136"/>
      <c r="G52" s="93"/>
      <c r="H52" s="93"/>
      <c r="I52" s="93"/>
    </row>
    <row r="53" spans="1:9">
      <c r="B53" s="123"/>
      <c r="C53" s="135"/>
      <c r="D53" s="135"/>
      <c r="E53" s="135"/>
      <c r="F53" s="135"/>
      <c r="G53" s="93"/>
      <c r="H53" s="93"/>
      <c r="I53" s="93"/>
    </row>
    <row r="54" spans="1:9">
      <c r="B54" s="123"/>
      <c r="C54" s="135"/>
      <c r="D54" s="135"/>
      <c r="E54" s="135"/>
      <c r="F54" s="135"/>
      <c r="G54" s="93"/>
      <c r="H54" s="93"/>
      <c r="I54" s="93"/>
    </row>
    <row r="55" spans="1:9">
      <c r="B55" s="87"/>
      <c r="C55" s="135"/>
      <c r="D55" s="135"/>
      <c r="E55" s="135"/>
      <c r="F55" s="135"/>
      <c r="G55" s="93"/>
      <c r="H55" s="93"/>
      <c r="I55" s="93"/>
    </row>
    <row r="56" spans="1:9">
      <c r="B56" s="87"/>
      <c r="C56" s="87"/>
      <c r="D56" s="105"/>
      <c r="E56" s="121"/>
      <c r="F56" s="121"/>
      <c r="G56" s="226" t="s">
        <v>370</v>
      </c>
      <c r="H56" s="226"/>
      <c r="I56" s="89"/>
    </row>
    <row r="57" spans="1:9">
      <c r="B57" s="123"/>
      <c r="C57" s="135"/>
      <c r="D57" s="135"/>
      <c r="E57" s="136"/>
      <c r="F57" s="136"/>
      <c r="G57" s="93"/>
      <c r="H57" s="93"/>
      <c r="I57" s="93"/>
    </row>
    <row r="58" spans="1:9">
      <c r="B58" s="87"/>
      <c r="C58" s="87"/>
      <c r="D58" s="105"/>
      <c r="E58" s="121"/>
      <c r="F58" s="121"/>
      <c r="G58" s="226"/>
      <c r="H58" s="226"/>
      <c r="I58" s="89"/>
    </row>
  </sheetData>
  <mergeCells count="8">
    <mergeCell ref="E1:I3"/>
    <mergeCell ref="C24:D24"/>
    <mergeCell ref="A12:D12"/>
    <mergeCell ref="A13:D13"/>
    <mergeCell ref="C22:D22"/>
    <mergeCell ref="A22:B22"/>
    <mergeCell ref="A24:B24"/>
    <mergeCell ref="E19:I20"/>
  </mergeCells>
  <phoneticPr fontId="2" type="noConversion"/>
  <hyperlinks>
    <hyperlink ref="A8" r:id="rId1" display="TEL:(82)2-5460066   FAX:(82)2-5404106" xr:uid="{00000000-0004-0000-0D00-000000000000}"/>
  </hyperlinks>
  <printOptions horizontalCentered="1"/>
  <pageMargins left="0.15748031496062992" right="0.15748031496062992" top="0.19685039370078741" bottom="0.31496062992125984" header="0.15748031496062992" footer="0.15748031496062992"/>
  <pageSetup paperSize="9" fitToHeight="0" orientation="portrait" r:id="rId2"/>
  <headerFooter scaleWithDoc="0" alignWithMargins="0">
    <oddFooter>&amp;C&amp;"+,굵게"&amp;8&amp;K00-032SEWANG TEXTILE&amp;R&amp;"+,굵게"&amp;8&amp;K00-032&amp;POF &amp;N</oddFooter>
  </headerFooter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</sheetPr>
  <dimension ref="A1:I57"/>
  <sheetViews>
    <sheetView showGridLines="0" view="pageBreakPreview" topLeftCell="A4" zoomScaleSheetLayoutView="100" workbookViewId="0">
      <selection activeCell="E18" sqref="E18:I43"/>
    </sheetView>
  </sheetViews>
  <sheetFormatPr defaultColWidth="8.88671875" defaultRowHeight="13.5"/>
  <cols>
    <col min="1" max="1" width="8.33203125" customWidth="1"/>
    <col min="2" max="2" width="7.77734375" customWidth="1"/>
    <col min="3" max="3" width="13.33203125" customWidth="1"/>
    <col min="4" max="4" width="5.88671875" customWidth="1"/>
    <col min="5" max="5" width="8.21875" customWidth="1"/>
    <col min="6" max="7" width="10.77734375" customWidth="1"/>
    <col min="8" max="8" width="15.6640625" customWidth="1"/>
  </cols>
  <sheetData>
    <row r="1" spans="1:9" ht="17.100000000000001" customHeight="1">
      <c r="E1" s="696" t="s">
        <v>330</v>
      </c>
      <c r="F1" s="696"/>
      <c r="G1" s="696"/>
      <c r="H1" s="696"/>
    </row>
    <row r="2" spans="1:9" ht="17.100000000000001" customHeight="1">
      <c r="E2" s="696"/>
      <c r="F2" s="696"/>
      <c r="G2" s="696"/>
      <c r="H2" s="696"/>
    </row>
    <row r="3" spans="1:9" ht="17.100000000000001" customHeight="1">
      <c r="A3" s="1"/>
      <c r="B3" s="1"/>
      <c r="C3" s="1"/>
      <c r="D3" s="1"/>
      <c r="E3" s="698"/>
      <c r="F3" s="698"/>
      <c r="G3" s="698"/>
      <c r="H3" s="698"/>
    </row>
    <row r="4" spans="1:9" s="85" customFormat="1" ht="9.9499999999999993" customHeight="1">
      <c r="A4" s="82" t="s">
        <v>301</v>
      </c>
      <c r="B4" s="82"/>
      <c r="C4" s="82"/>
      <c r="D4" s="82"/>
      <c r="E4" s="144" t="s">
        <v>302</v>
      </c>
      <c r="F4" s="152"/>
      <c r="G4" s="145"/>
      <c r="H4" s="146"/>
    </row>
    <row r="5" spans="1:9" s="91" customFormat="1" ht="12" customHeight="1">
      <c r="A5" s="86" t="s">
        <v>303</v>
      </c>
      <c r="B5" s="87"/>
      <c r="C5" s="87"/>
      <c r="D5" s="87"/>
      <c r="E5" s="88" t="s">
        <v>380</v>
      </c>
      <c r="F5" s="153"/>
      <c r="G5" s="89"/>
      <c r="H5" s="90">
        <v>43368</v>
      </c>
    </row>
    <row r="6" spans="1:9" s="85" customFormat="1" ht="12" customHeight="1">
      <c r="A6" s="86" t="s">
        <v>304</v>
      </c>
      <c r="B6" s="87"/>
      <c r="C6" s="87"/>
      <c r="D6" s="87"/>
      <c r="E6" s="83" t="s">
        <v>305</v>
      </c>
      <c r="F6" s="100"/>
      <c r="G6" s="82"/>
      <c r="H6" s="149"/>
    </row>
    <row r="7" spans="1:9" s="91" customFormat="1" ht="12" customHeight="1">
      <c r="A7" s="86" t="s">
        <v>306</v>
      </c>
      <c r="B7" s="87"/>
      <c r="C7" s="87"/>
      <c r="D7" s="87" t="s">
        <v>307</v>
      </c>
      <c r="E7" s="213" t="s">
        <v>375</v>
      </c>
      <c r="F7" s="214"/>
      <c r="G7" s="130"/>
      <c r="H7" s="216"/>
      <c r="I7" s="216"/>
    </row>
    <row r="8" spans="1:9" s="91" customFormat="1" ht="12" customHeight="1">
      <c r="A8" s="86" t="s">
        <v>308</v>
      </c>
      <c r="B8" s="87"/>
      <c r="C8" s="87"/>
      <c r="D8" s="87"/>
      <c r="E8" s="156" t="s">
        <v>345</v>
      </c>
      <c r="F8" s="117"/>
      <c r="G8" s="87"/>
      <c r="H8" s="96"/>
    </row>
    <row r="9" spans="1:9" s="91" customFormat="1" ht="12" customHeight="1">
      <c r="A9" s="87"/>
      <c r="B9" s="87"/>
      <c r="C9" s="87"/>
      <c r="D9" s="87"/>
      <c r="E9" s="97"/>
      <c r="F9" s="106"/>
      <c r="G9" s="87"/>
      <c r="H9" s="98"/>
    </row>
    <row r="10" spans="1:9" s="85" customFormat="1" ht="9.9499999999999993" customHeight="1">
      <c r="A10" s="82" t="s">
        <v>309</v>
      </c>
      <c r="B10" s="82"/>
      <c r="C10" s="82"/>
      <c r="D10" s="99"/>
      <c r="E10" s="100" t="s">
        <v>10</v>
      </c>
      <c r="F10" s="100"/>
      <c r="G10" s="101"/>
      <c r="H10" s="147"/>
    </row>
    <row r="11" spans="1:9" s="91" customFormat="1" ht="12" customHeight="1">
      <c r="A11" s="87" t="s">
        <v>377</v>
      </c>
      <c r="B11" s="87"/>
      <c r="C11" s="87"/>
      <c r="D11" s="104"/>
      <c r="E11" s="86"/>
      <c r="F11" s="86"/>
      <c r="G11" s="87"/>
      <c r="H11" s="105"/>
    </row>
    <row r="12" spans="1:9" s="91" customFormat="1" ht="12" customHeight="1">
      <c r="A12" s="714" t="s">
        <v>378</v>
      </c>
      <c r="B12" s="714"/>
      <c r="C12" s="714"/>
      <c r="D12" s="715"/>
      <c r="E12" s="106"/>
      <c r="F12" s="106"/>
      <c r="G12" s="87"/>
      <c r="H12" s="105"/>
    </row>
    <row r="13" spans="1:9" s="91" customFormat="1" ht="12" customHeight="1">
      <c r="A13" s="714" t="s">
        <v>379</v>
      </c>
      <c r="B13" s="714"/>
      <c r="C13" s="714"/>
      <c r="D13" s="715"/>
      <c r="E13" s="106"/>
      <c r="F13" s="106"/>
      <c r="G13" s="87"/>
      <c r="H13" s="105"/>
    </row>
    <row r="14" spans="1:9" s="91" customFormat="1" ht="12" customHeight="1">
      <c r="A14" s="87"/>
      <c r="B14" s="87"/>
      <c r="C14" s="87"/>
      <c r="D14" s="104"/>
      <c r="E14" s="107"/>
      <c r="F14" s="107"/>
      <c r="G14" s="87"/>
      <c r="H14" s="122"/>
    </row>
    <row r="15" spans="1:9" s="85" customFormat="1" ht="9.9499999999999993" customHeight="1">
      <c r="A15" s="82" t="s">
        <v>296</v>
      </c>
      <c r="B15" s="108"/>
      <c r="C15" s="102"/>
      <c r="D15" s="99"/>
      <c r="E15" s="100" t="s">
        <v>15</v>
      </c>
      <c r="F15" s="100"/>
      <c r="G15" s="102"/>
      <c r="H15" s="147"/>
    </row>
    <row r="16" spans="1:9" s="91" customFormat="1" ht="12" customHeight="1">
      <c r="A16" s="87" t="s">
        <v>312</v>
      </c>
      <c r="B16" s="87"/>
      <c r="C16" s="87"/>
      <c r="D16" s="104"/>
      <c r="E16" s="109"/>
      <c r="F16" s="109"/>
      <c r="G16" s="87"/>
      <c r="H16" s="105"/>
    </row>
    <row r="17" spans="1:9" s="91" customFormat="1" ht="12" customHeight="1">
      <c r="A17" s="87" t="s">
        <v>314</v>
      </c>
      <c r="B17" s="87"/>
      <c r="C17" s="87"/>
      <c r="D17" s="104"/>
      <c r="E17" s="109" t="s">
        <v>313</v>
      </c>
      <c r="F17" s="87"/>
      <c r="G17" s="87"/>
      <c r="H17" s="87"/>
      <c r="I17" s="105"/>
    </row>
    <row r="18" spans="1:9" s="91" customFormat="1" ht="12" customHeight="1">
      <c r="A18" s="87" t="s">
        <v>315</v>
      </c>
      <c r="B18" s="87"/>
      <c r="C18" s="87"/>
      <c r="D18" s="104"/>
      <c r="E18" s="110" t="s">
        <v>399</v>
      </c>
      <c r="F18" s="87"/>
      <c r="G18" s="87"/>
      <c r="H18" s="87"/>
      <c r="I18" s="105"/>
    </row>
    <row r="19" spans="1:9" s="91" customFormat="1" ht="12" customHeight="1">
      <c r="A19" s="87" t="s">
        <v>316</v>
      </c>
      <c r="B19" s="87"/>
      <c r="C19" s="87"/>
      <c r="D19" s="104"/>
      <c r="E19" s="705" t="s">
        <v>403</v>
      </c>
      <c r="F19" s="706"/>
      <c r="G19" s="706"/>
      <c r="H19" s="706"/>
      <c r="I19" s="706"/>
    </row>
    <row r="20" spans="1:9" s="91" customFormat="1" ht="12" customHeight="1">
      <c r="A20" s="87"/>
      <c r="B20" s="87"/>
      <c r="C20" s="87"/>
      <c r="D20" s="104"/>
      <c r="E20" s="705"/>
      <c r="F20" s="706"/>
      <c r="G20" s="706"/>
      <c r="H20" s="706"/>
      <c r="I20" s="706"/>
    </row>
    <row r="21" spans="1:9" s="85" customFormat="1" ht="9.9499999999999993" customHeight="1">
      <c r="A21" s="82" t="s">
        <v>299</v>
      </c>
      <c r="B21" s="82"/>
      <c r="C21" s="113" t="s">
        <v>21</v>
      </c>
      <c r="D21" s="114"/>
      <c r="E21" s="87" t="s">
        <v>400</v>
      </c>
      <c r="F21" s="87"/>
      <c r="G21" s="87"/>
      <c r="H21" s="87"/>
      <c r="I21" s="105"/>
    </row>
    <row r="22" spans="1:9" s="91" customFormat="1" ht="12" customHeight="1">
      <c r="A22" s="718" t="s">
        <v>376</v>
      </c>
      <c r="B22" s="711"/>
      <c r="C22" s="710" t="s">
        <v>390</v>
      </c>
      <c r="D22" s="711"/>
      <c r="E22" s="87"/>
      <c r="F22" s="87"/>
      <c r="G22" s="87"/>
      <c r="H22" s="87"/>
      <c r="I22" s="105"/>
    </row>
    <row r="23" spans="1:9" s="85" customFormat="1" ht="9.9499999999999993" customHeight="1">
      <c r="A23" s="82" t="s">
        <v>318</v>
      </c>
      <c r="B23" s="82"/>
      <c r="C23" s="113" t="s">
        <v>319</v>
      </c>
      <c r="D23" s="114"/>
      <c r="E23" s="117" t="s">
        <v>320</v>
      </c>
      <c r="F23" s="87"/>
      <c r="G23" s="118"/>
      <c r="H23" s="87"/>
      <c r="I23" s="105"/>
    </row>
    <row r="24" spans="1:9" s="91" customFormat="1" ht="12" customHeight="1">
      <c r="A24" s="719" t="s">
        <v>389</v>
      </c>
      <c r="B24" s="709"/>
      <c r="C24" s="700">
        <v>43375</v>
      </c>
      <c r="D24" s="701"/>
      <c r="E24" s="121">
        <f>+'INV(TTL)_A'!E24</f>
        <v>0</v>
      </c>
      <c r="F24" s="121"/>
      <c r="G24" s="118"/>
      <c r="H24" s="122"/>
    </row>
    <row r="25" spans="1:9" ht="9.9499999999999993" customHeight="1">
      <c r="A25" s="2" t="s">
        <v>23</v>
      </c>
      <c r="B25" s="2"/>
      <c r="C25" s="34" t="s">
        <v>24</v>
      </c>
      <c r="D25" s="2"/>
      <c r="E25" s="34" t="s">
        <v>28</v>
      </c>
      <c r="F25" s="2"/>
      <c r="G25" s="34" t="s">
        <v>29</v>
      </c>
      <c r="H25" s="148" t="s">
        <v>30</v>
      </c>
    </row>
    <row r="26" spans="1:9" s="47" customFormat="1" ht="12" customHeight="1">
      <c r="A26" s="6"/>
      <c r="B26" s="6"/>
      <c r="C26" s="6"/>
      <c r="D26" s="6"/>
      <c r="E26" s="27"/>
      <c r="F26" s="27"/>
      <c r="G26" s="6"/>
      <c r="H26" s="6"/>
    </row>
    <row r="27" spans="1:9" s="47" customFormat="1" ht="12" customHeight="1">
      <c r="A27" s="6"/>
      <c r="B27" s="6"/>
      <c r="C27" s="6"/>
      <c r="D27" s="6"/>
      <c r="E27" s="27"/>
      <c r="F27" s="27"/>
      <c r="G27" s="87"/>
      <c r="H27" s="6"/>
    </row>
    <row r="28" spans="1:9" ht="12" customHeight="1">
      <c r="B28" s="6"/>
      <c r="C28" s="246" t="s">
        <v>371</v>
      </c>
      <c r="D28" s="6"/>
      <c r="E28" s="27"/>
      <c r="F28" s="27"/>
      <c r="G28" s="6"/>
      <c r="H28" s="6"/>
    </row>
    <row r="29" spans="1:9" ht="12" customHeight="1">
      <c r="B29" s="227" t="s">
        <v>373</v>
      </c>
      <c r="C29" s="205" t="s">
        <v>384</v>
      </c>
      <c r="D29" s="205"/>
      <c r="E29" s="222"/>
      <c r="F29" s="223"/>
      <c r="G29" s="150"/>
      <c r="H29" s="150"/>
    </row>
    <row r="30" spans="1:9" ht="12" customHeight="1">
      <c r="B30" s="124"/>
      <c r="C30" s="47" t="s">
        <v>383</v>
      </c>
      <c r="D30" s="205"/>
      <c r="E30" s="222"/>
      <c r="F30" s="223"/>
      <c r="G30" s="150"/>
      <c r="H30" s="150"/>
    </row>
    <row r="31" spans="1:9" ht="12" customHeight="1">
      <c r="B31" s="87"/>
      <c r="C31" s="233" t="s">
        <v>385</v>
      </c>
      <c r="D31" s="205"/>
      <c r="E31" s="222"/>
      <c r="F31" s="223"/>
      <c r="G31" s="150"/>
      <c r="H31" s="150"/>
    </row>
    <row r="32" spans="1:9" ht="12" customHeight="1">
      <c r="B32" s="87"/>
      <c r="C32" s="233" t="s">
        <v>386</v>
      </c>
      <c r="D32" s="205"/>
      <c r="E32" s="222"/>
      <c r="F32" s="223"/>
      <c r="G32" s="150"/>
      <c r="H32" s="150"/>
    </row>
    <row r="33" spans="2:8" ht="12" customHeight="1">
      <c r="B33" s="87"/>
      <c r="C33" s="233"/>
      <c r="D33" s="205"/>
      <c r="E33" s="222"/>
      <c r="F33" s="223"/>
      <c r="G33" s="150"/>
      <c r="H33" s="150"/>
    </row>
    <row r="34" spans="2:8" ht="12" customHeight="1">
      <c r="B34" s="87"/>
      <c r="C34" s="171"/>
      <c r="D34" s="157" t="s">
        <v>332</v>
      </c>
      <c r="E34" s="158" t="s">
        <v>398</v>
      </c>
      <c r="F34" s="158" t="s">
        <v>334</v>
      </c>
      <c r="G34" s="158" t="s">
        <v>335</v>
      </c>
      <c r="H34" s="159" t="s">
        <v>336</v>
      </c>
    </row>
    <row r="35" spans="2:8" ht="12" customHeight="1">
      <c r="B35" s="87"/>
      <c r="C35" s="171"/>
      <c r="D35" s="234">
        <v>10</v>
      </c>
      <c r="E35" s="235">
        <v>1</v>
      </c>
      <c r="F35" s="249">
        <v>52</v>
      </c>
      <c r="G35" s="236">
        <v>12.47</v>
      </c>
      <c r="H35" s="237">
        <f>G35+0.1*E35</f>
        <v>12.57</v>
      </c>
    </row>
    <row r="36" spans="2:8" ht="12" customHeight="1">
      <c r="B36" s="87"/>
      <c r="C36" s="171"/>
      <c r="D36" s="165" t="s">
        <v>337</v>
      </c>
      <c r="E36" s="166">
        <f>SUM(E35:E35)</f>
        <v>1</v>
      </c>
      <c r="F36" s="250">
        <f>SUM(F35:F35)</f>
        <v>52</v>
      </c>
      <c r="G36" s="247">
        <f>SUM(G35:G35)</f>
        <v>12.47</v>
      </c>
      <c r="H36" s="247">
        <f>SUM(H35:H35)</f>
        <v>12.57</v>
      </c>
    </row>
    <row r="37" spans="2:8" ht="12" customHeight="1">
      <c r="B37" s="87"/>
      <c r="C37" s="171"/>
      <c r="D37" s="203"/>
      <c r="E37" s="169"/>
      <c r="F37" s="204"/>
      <c r="G37" s="204"/>
      <c r="H37" s="204"/>
    </row>
    <row r="38" spans="2:8" ht="12" customHeight="1">
      <c r="B38" s="87"/>
      <c r="C38" s="171"/>
      <c r="D38" s="203"/>
      <c r="E38" s="169"/>
      <c r="F38" s="204"/>
      <c r="G38" s="204"/>
      <c r="H38" s="204"/>
    </row>
    <row r="39" spans="2:8" ht="12" customHeight="1">
      <c r="B39" s="87"/>
      <c r="C39" s="171"/>
      <c r="D39" s="203"/>
      <c r="E39" s="169"/>
      <c r="F39" s="204"/>
      <c r="G39" s="204"/>
      <c r="H39" s="204"/>
    </row>
    <row r="40" spans="2:8" ht="12" customHeight="1">
      <c r="B40" s="227" t="s">
        <v>387</v>
      </c>
      <c r="C40" s="205" t="s">
        <v>384</v>
      </c>
      <c r="D40" s="205"/>
      <c r="E40" s="222"/>
      <c r="F40" s="223"/>
      <c r="G40" s="150"/>
      <c r="H40" s="150"/>
    </row>
    <row r="41" spans="2:8" ht="12" customHeight="1">
      <c r="B41" s="124"/>
      <c r="C41" s="47" t="s">
        <v>383</v>
      </c>
      <c r="D41" s="205"/>
      <c r="E41" s="222"/>
      <c r="F41" s="223"/>
      <c r="G41" s="150"/>
      <c r="H41" s="150"/>
    </row>
    <row r="42" spans="2:8" ht="12" customHeight="1">
      <c r="B42" s="87"/>
      <c r="C42" s="233" t="s">
        <v>385</v>
      </c>
      <c r="D42" s="205"/>
      <c r="E42" s="222"/>
      <c r="F42" s="223"/>
      <c r="G42" s="150"/>
      <c r="H42" s="150"/>
    </row>
    <row r="43" spans="2:8" ht="12" customHeight="1">
      <c r="B43" s="87"/>
      <c r="C43" s="233" t="s">
        <v>388</v>
      </c>
      <c r="D43" s="205"/>
      <c r="E43" s="222"/>
      <c r="F43" s="223"/>
      <c r="G43" s="150"/>
      <c r="H43" s="150"/>
    </row>
    <row r="44" spans="2:8" ht="12" customHeight="1">
      <c r="B44" s="87"/>
      <c r="C44" s="233"/>
      <c r="D44" s="205"/>
      <c r="E44" s="222"/>
      <c r="F44" s="223"/>
      <c r="G44" s="150"/>
      <c r="H44" s="150"/>
    </row>
    <row r="45" spans="2:8" ht="12" customHeight="1">
      <c r="B45" s="87"/>
      <c r="C45" s="171"/>
      <c r="D45" s="157" t="s">
        <v>332</v>
      </c>
      <c r="E45" s="158" t="s">
        <v>398</v>
      </c>
      <c r="F45" s="158" t="s">
        <v>334</v>
      </c>
      <c r="G45" s="158" t="s">
        <v>335</v>
      </c>
      <c r="H45" s="159" t="s">
        <v>336</v>
      </c>
    </row>
    <row r="46" spans="2:8" ht="12" customHeight="1">
      <c r="B46" s="87"/>
      <c r="C46" s="171"/>
      <c r="D46" s="234">
        <v>1</v>
      </c>
      <c r="E46" s="235">
        <v>1</v>
      </c>
      <c r="F46" s="249">
        <v>31</v>
      </c>
      <c r="G46" s="236">
        <v>7.6</v>
      </c>
      <c r="H46" s="237">
        <f>G46+0.1*E46</f>
        <v>7.6999999999999993</v>
      </c>
    </row>
    <row r="47" spans="2:8" ht="12" customHeight="1">
      <c r="B47" s="87"/>
      <c r="C47" s="171"/>
      <c r="D47" s="165" t="s">
        <v>337</v>
      </c>
      <c r="E47" s="166">
        <f>SUM(E46:E46)</f>
        <v>1</v>
      </c>
      <c r="F47" s="250">
        <f>SUM(F46:F46)</f>
        <v>31</v>
      </c>
      <c r="G47" s="167">
        <f>SUM(G46:G46)</f>
        <v>7.6</v>
      </c>
      <c r="H47" s="167">
        <f>SUM(H46:H46)</f>
        <v>7.6999999999999993</v>
      </c>
    </row>
    <row r="48" spans="2:8" ht="12" customHeight="1" thickBot="1">
      <c r="B48" s="87"/>
      <c r="C48" s="171"/>
      <c r="D48" s="203"/>
      <c r="E48" s="169"/>
      <c r="F48" s="204"/>
      <c r="G48" s="204"/>
      <c r="H48" s="204"/>
    </row>
    <row r="49" spans="2:8" ht="12" customHeight="1" thickTop="1" thickBot="1">
      <c r="C49" s="132" t="s">
        <v>328</v>
      </c>
      <c r="D49" s="133"/>
      <c r="E49" s="256">
        <f>SUM(E29:E48)/2</f>
        <v>2</v>
      </c>
      <c r="F49" s="225">
        <f>SUM(F29:F48)/2</f>
        <v>83</v>
      </c>
      <c r="G49" s="173">
        <f>SUM(G29:G48)/2</f>
        <v>20.07</v>
      </c>
      <c r="H49" s="173">
        <f>SUM(H29:H48)/2</f>
        <v>20.270000000000003</v>
      </c>
    </row>
    <row r="50" spans="2:8" ht="14.25" thickTop="1">
      <c r="B50" s="87"/>
      <c r="C50" s="171"/>
      <c r="D50" s="203"/>
      <c r="E50" s="169"/>
      <c r="F50" s="204"/>
      <c r="G50" s="204"/>
      <c r="H50" s="204"/>
    </row>
    <row r="51" spans="2:8">
      <c r="B51" s="87"/>
      <c r="C51" s="171"/>
      <c r="D51" s="203"/>
      <c r="E51" s="169"/>
      <c r="F51" s="204"/>
      <c r="G51" s="204"/>
      <c r="H51" s="204"/>
    </row>
    <row r="52" spans="2:8">
      <c r="B52" s="87"/>
      <c r="C52" s="171"/>
      <c r="D52" s="203"/>
      <c r="E52" s="169"/>
      <c r="F52" s="204"/>
      <c r="G52" s="204"/>
      <c r="H52" s="204"/>
    </row>
    <row r="53" spans="2:8">
      <c r="B53" s="87"/>
      <c r="C53" s="171"/>
      <c r="D53" s="203"/>
      <c r="E53" s="169"/>
      <c r="F53" s="204"/>
      <c r="G53" s="204"/>
      <c r="H53" s="204"/>
    </row>
    <row r="54" spans="2:8">
      <c r="B54" s="87"/>
      <c r="C54" s="171"/>
      <c r="D54" s="203"/>
      <c r="E54" s="169"/>
      <c r="F54" s="204"/>
      <c r="G54" s="204"/>
      <c r="H54" s="204"/>
    </row>
    <row r="55" spans="2:8">
      <c r="B55" s="87"/>
      <c r="C55" s="171"/>
      <c r="D55" s="203"/>
      <c r="E55" s="169"/>
      <c r="F55" s="204"/>
      <c r="G55" s="204"/>
      <c r="H55" s="204"/>
    </row>
    <row r="57" spans="2:8">
      <c r="G57" s="226" t="s">
        <v>370</v>
      </c>
      <c r="H57" s="1"/>
    </row>
  </sheetData>
  <mergeCells count="8">
    <mergeCell ref="E1:H3"/>
    <mergeCell ref="C24:D24"/>
    <mergeCell ref="A12:D12"/>
    <mergeCell ref="A13:D13"/>
    <mergeCell ref="C22:D22"/>
    <mergeCell ref="A22:B22"/>
    <mergeCell ref="A24:B24"/>
    <mergeCell ref="E19:I20"/>
  </mergeCells>
  <phoneticPr fontId="2" type="noConversion"/>
  <hyperlinks>
    <hyperlink ref="A8" r:id="rId1" display="TEL:(82)2-5460066   FAX:(82)2-5404106" xr:uid="{00000000-0004-0000-0E00-000000000000}"/>
  </hyperlinks>
  <printOptions horizontalCentered="1"/>
  <pageMargins left="0.15748031496062992" right="0.15748031496062992" top="0.19685039370078741" bottom="0.31496062992125984" header="0.15748031496062992" footer="0.15748031496062992"/>
  <pageSetup paperSize="9" fitToHeight="2" orientation="portrait" r:id="rId2"/>
  <headerFooter alignWithMargins="0">
    <oddFooter>&amp;C&amp;"+,굵게"&amp;8&amp;K00-034SEWANG TEXTILE &amp;R&amp;"돋움,굵게"&amp;8&amp;K00-034&amp;P OF &amp;N</oddFooter>
  </headerFooter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0">
    <pageSetUpPr fitToPage="1"/>
  </sheetPr>
  <dimension ref="A1:V1043"/>
  <sheetViews>
    <sheetView showGridLines="0" view="pageBreakPreview" zoomScaleSheetLayoutView="100" workbookViewId="0">
      <selection activeCell="B7" sqref="B7"/>
    </sheetView>
  </sheetViews>
  <sheetFormatPr defaultColWidth="8.88671875" defaultRowHeight="12"/>
  <cols>
    <col min="1" max="1" width="11.33203125" style="69" customWidth="1"/>
    <col min="2" max="2" width="11.21875" style="70" bestFit="1" customWidth="1"/>
    <col min="3" max="3" width="20.33203125" style="70" bestFit="1" customWidth="1"/>
    <col min="4" max="4" width="7.44140625" style="69" customWidth="1"/>
    <col min="5" max="5" width="9.6640625" style="71" customWidth="1"/>
    <col min="6" max="6" width="7.77734375" style="62" bestFit="1" customWidth="1"/>
    <col min="7" max="7" width="7.109375" style="62" customWidth="1"/>
    <col min="8" max="8" width="9.44140625" style="72" customWidth="1"/>
    <col min="9" max="9" width="8.33203125" style="72" customWidth="1"/>
    <col min="10" max="11" width="7.33203125" style="72" customWidth="1"/>
    <col min="12" max="12" width="8.44140625" style="72" bestFit="1" customWidth="1"/>
    <col min="13" max="16384" width="8.88671875" style="62"/>
  </cols>
  <sheetData>
    <row r="1" spans="1:12" s="55" customFormat="1" ht="16.5" customHeight="1">
      <c r="F1" s="723" t="s">
        <v>31</v>
      </c>
      <c r="G1" s="723"/>
      <c r="H1" s="723"/>
      <c r="I1" s="723"/>
      <c r="J1" s="723"/>
      <c r="K1" s="723"/>
      <c r="L1" s="723"/>
    </row>
    <row r="2" spans="1:12" s="55" customFormat="1" ht="16.5" customHeight="1">
      <c r="F2" s="723"/>
      <c r="G2" s="723"/>
      <c r="H2" s="723"/>
      <c r="I2" s="723"/>
      <c r="J2" s="723"/>
      <c r="K2" s="723"/>
      <c r="L2" s="723"/>
    </row>
    <row r="3" spans="1:12" s="55" customFormat="1" ht="16.5" customHeight="1">
      <c r="A3" s="56"/>
      <c r="B3" s="56"/>
      <c r="C3" s="56"/>
      <c r="D3" s="56"/>
      <c r="E3" s="56"/>
      <c r="F3" s="724"/>
      <c r="G3" s="724"/>
      <c r="H3" s="724"/>
      <c r="I3" s="724"/>
      <c r="J3" s="724"/>
      <c r="K3" s="724"/>
      <c r="L3" s="724"/>
    </row>
    <row r="4" spans="1:12" s="57" customFormat="1" ht="9.9499999999999993" customHeight="1">
      <c r="A4" s="2" t="s">
        <v>1</v>
      </c>
      <c r="B4" s="2"/>
      <c r="C4" s="2"/>
      <c r="D4" s="2"/>
      <c r="E4" s="3" t="s">
        <v>2</v>
      </c>
      <c r="F4" s="2"/>
      <c r="G4" s="2"/>
      <c r="H4" s="2"/>
      <c r="I4" s="4"/>
      <c r="J4" s="4"/>
      <c r="K4" s="4"/>
      <c r="L4" s="4"/>
    </row>
    <row r="5" spans="1:12" s="57" customFormat="1" ht="12.75" customHeight="1">
      <c r="A5" s="5" t="s">
        <v>3</v>
      </c>
      <c r="B5" s="6"/>
      <c r="C5" s="6"/>
      <c r="D5" s="6"/>
      <c r="E5" s="7" t="s">
        <v>83</v>
      </c>
      <c r="F5" s="8"/>
      <c r="G5" s="8"/>
      <c r="H5" s="9"/>
      <c r="I5" s="9"/>
      <c r="J5" s="9"/>
      <c r="K5" s="9"/>
      <c r="L5" s="9">
        <v>43203</v>
      </c>
    </row>
    <row r="6" spans="1:12" s="57" customFormat="1" ht="12.75" customHeight="1">
      <c r="A6" s="5" t="s">
        <v>4</v>
      </c>
      <c r="B6" s="6"/>
      <c r="C6" s="6"/>
      <c r="D6" s="6"/>
      <c r="E6" s="3" t="s">
        <v>5</v>
      </c>
      <c r="F6" s="2"/>
      <c r="G6" s="2"/>
      <c r="H6" s="11"/>
      <c r="I6" s="11"/>
      <c r="J6" s="11"/>
      <c r="K6" s="11"/>
      <c r="L6" s="11"/>
    </row>
    <row r="7" spans="1:12" s="57" customFormat="1" ht="12.75" customHeight="1">
      <c r="A7" s="5" t="s">
        <v>6</v>
      </c>
      <c r="B7" s="6"/>
      <c r="C7" s="6"/>
      <c r="D7" s="6" t="s">
        <v>7</v>
      </c>
      <c r="E7" s="12" t="s">
        <v>48</v>
      </c>
      <c r="F7" s="6"/>
      <c r="G7" s="6"/>
      <c r="H7" s="13"/>
      <c r="I7" s="14"/>
      <c r="J7" s="14"/>
      <c r="K7" s="14"/>
      <c r="L7" s="14">
        <v>43178</v>
      </c>
    </row>
    <row r="8" spans="1:12" s="57" customFormat="1" ht="12.75" customHeight="1">
      <c r="A8" s="5" t="s">
        <v>8</v>
      </c>
      <c r="B8" s="6"/>
      <c r="C8" s="6"/>
      <c r="D8" s="6"/>
      <c r="E8" s="15"/>
      <c r="F8" s="6"/>
      <c r="G8" s="6"/>
      <c r="H8" s="16"/>
      <c r="I8" s="17"/>
      <c r="J8" s="17"/>
      <c r="K8" s="17"/>
      <c r="L8" s="17"/>
    </row>
    <row r="9" spans="1:12" s="57" customFormat="1" ht="12.75" customHeight="1">
      <c r="A9" s="6"/>
      <c r="B9" s="6"/>
      <c r="C9" s="6"/>
      <c r="D9" s="6"/>
      <c r="E9" s="18"/>
      <c r="F9" s="6"/>
      <c r="G9" s="6"/>
      <c r="H9" s="6"/>
      <c r="I9" s="19"/>
      <c r="J9" s="19"/>
      <c r="K9" s="19"/>
      <c r="L9" s="19"/>
    </row>
    <row r="10" spans="1:12" s="57" customFormat="1" ht="9.9499999999999993" customHeight="1">
      <c r="A10" s="2" t="s">
        <v>9</v>
      </c>
      <c r="B10" s="2"/>
      <c r="C10" s="2"/>
      <c r="D10" s="20"/>
      <c r="E10" s="21" t="s">
        <v>10</v>
      </c>
      <c r="F10" s="2"/>
      <c r="G10" s="22"/>
      <c r="H10" s="23"/>
      <c r="I10" s="24"/>
      <c r="J10" s="24"/>
      <c r="K10" s="24"/>
      <c r="L10" s="24"/>
    </row>
    <row r="11" spans="1:12" s="57" customFormat="1" ht="12.75" customHeight="1">
      <c r="A11" s="6" t="s">
        <v>11</v>
      </c>
      <c r="B11" s="6"/>
      <c r="C11" s="6"/>
      <c r="D11" s="25"/>
      <c r="E11" s="5" t="s">
        <v>49</v>
      </c>
      <c r="F11" s="6"/>
      <c r="G11" s="6"/>
      <c r="H11" s="6"/>
      <c r="I11" s="26"/>
      <c r="J11" s="26"/>
      <c r="K11" s="26"/>
      <c r="L11" s="26"/>
    </row>
    <row r="12" spans="1:12" s="57" customFormat="1" ht="12.75" customHeight="1">
      <c r="A12" s="6" t="s">
        <v>12</v>
      </c>
      <c r="B12" s="6"/>
      <c r="C12" s="6"/>
      <c r="D12" s="25"/>
      <c r="E12" s="27" t="s">
        <v>50</v>
      </c>
      <c r="F12" s="6"/>
      <c r="G12" s="6"/>
      <c r="H12" s="6"/>
      <c r="I12" s="26"/>
      <c r="J12" s="26"/>
      <c r="K12" s="26"/>
      <c r="L12" s="26"/>
    </row>
    <row r="13" spans="1:12" s="57" customFormat="1" ht="12.75" customHeight="1">
      <c r="A13" s="6" t="s">
        <v>13</v>
      </c>
      <c r="B13" s="6"/>
      <c r="C13" s="6"/>
      <c r="D13" s="25"/>
      <c r="E13" s="28"/>
      <c r="F13" s="6"/>
      <c r="G13" s="6"/>
      <c r="H13" s="6"/>
      <c r="I13" s="26"/>
      <c r="J13" s="26"/>
      <c r="K13" s="26"/>
      <c r="L13" s="26"/>
    </row>
    <row r="14" spans="1:12" s="57" customFormat="1" ht="9.9499999999999993" customHeight="1">
      <c r="A14" s="2" t="s">
        <v>14</v>
      </c>
      <c r="B14" s="29"/>
      <c r="C14" s="23"/>
      <c r="D14" s="20"/>
      <c r="E14" s="21" t="s">
        <v>15</v>
      </c>
      <c r="F14" s="22"/>
      <c r="G14" s="23"/>
      <c r="H14" s="23"/>
      <c r="I14" s="24"/>
      <c r="J14" s="24"/>
      <c r="K14" s="24"/>
      <c r="L14" s="24"/>
    </row>
    <row r="15" spans="1:12" s="57" customFormat="1" ht="12.75" customHeight="1">
      <c r="A15" s="6" t="s">
        <v>16</v>
      </c>
      <c r="B15" s="6"/>
      <c r="C15" s="6"/>
      <c r="D15" s="25"/>
      <c r="E15" s="30" t="s">
        <v>17</v>
      </c>
      <c r="F15" s="6"/>
      <c r="G15" s="6"/>
      <c r="H15" s="6"/>
      <c r="I15" s="26"/>
      <c r="J15" s="26"/>
      <c r="K15" s="26"/>
      <c r="L15" s="26"/>
    </row>
    <row r="16" spans="1:12" s="57" customFormat="1" ht="12.75" customHeight="1">
      <c r="A16" s="6" t="s">
        <v>18</v>
      </c>
      <c r="B16" s="6"/>
      <c r="C16" s="6"/>
      <c r="D16" s="25"/>
      <c r="E16" s="6" t="s">
        <v>16</v>
      </c>
      <c r="F16" s="6"/>
      <c r="G16" s="6"/>
      <c r="H16" s="6"/>
      <c r="I16" s="26"/>
      <c r="J16" s="26"/>
      <c r="K16" s="26"/>
      <c r="L16" s="26"/>
    </row>
    <row r="17" spans="1:22" s="57" customFormat="1" ht="12.75" customHeight="1">
      <c r="A17" s="6" t="s">
        <v>19</v>
      </c>
      <c r="B17" s="6"/>
      <c r="C17" s="6"/>
      <c r="D17" s="25"/>
      <c r="E17" s="6" t="s">
        <v>18</v>
      </c>
      <c r="F17" s="6"/>
      <c r="G17" s="6"/>
      <c r="H17" s="6"/>
      <c r="I17" s="26"/>
      <c r="J17" s="26"/>
      <c r="K17" s="26"/>
      <c r="L17" s="26"/>
    </row>
    <row r="18" spans="1:22" s="57" customFormat="1" ht="12.75" customHeight="1">
      <c r="A18" s="31"/>
      <c r="B18" s="6"/>
      <c r="C18" s="6"/>
      <c r="D18" s="25"/>
      <c r="E18" s="6" t="s">
        <v>19</v>
      </c>
      <c r="F18" s="6"/>
      <c r="G18" s="6"/>
      <c r="H18" s="6"/>
      <c r="I18" s="26"/>
      <c r="J18" s="26"/>
      <c r="K18" s="26"/>
      <c r="L18" s="26"/>
    </row>
    <row r="19" spans="1:22" s="57" customFormat="1" ht="12.75" customHeight="1">
      <c r="A19" s="31"/>
      <c r="B19" s="6"/>
      <c r="C19" s="6"/>
      <c r="D19" s="25"/>
      <c r="E19" s="6" t="s">
        <v>293</v>
      </c>
      <c r="F19" s="6"/>
      <c r="G19" s="6"/>
      <c r="H19" s="6"/>
      <c r="I19" s="26"/>
      <c r="J19" s="26"/>
      <c r="K19" s="26"/>
      <c r="L19" s="26"/>
    </row>
    <row r="20" spans="1:22" s="57" customFormat="1" ht="12.75" customHeight="1">
      <c r="A20" s="6"/>
      <c r="B20" s="6"/>
      <c r="C20" s="6"/>
      <c r="D20" s="25"/>
      <c r="E20" s="6" t="s">
        <v>51</v>
      </c>
      <c r="F20" s="6"/>
      <c r="G20" s="6"/>
      <c r="H20" s="6"/>
      <c r="I20" s="26"/>
      <c r="J20" s="26"/>
      <c r="K20" s="26"/>
      <c r="L20" s="26"/>
    </row>
    <row r="21" spans="1:22" s="57" customFormat="1" ht="12.75" customHeight="1">
      <c r="A21" s="6"/>
      <c r="B21" s="6"/>
      <c r="C21" s="6"/>
      <c r="D21" s="25"/>
      <c r="E21" s="6" t="s">
        <v>294</v>
      </c>
      <c r="F21" s="10"/>
      <c r="G21" s="6"/>
      <c r="H21" s="32"/>
      <c r="I21" s="33"/>
      <c r="J21" s="33"/>
      <c r="K21" s="26"/>
      <c r="L21" s="26"/>
    </row>
    <row r="22" spans="1:22" s="57" customFormat="1" ht="9.9499999999999993" customHeight="1">
      <c r="A22" s="2" t="s">
        <v>20</v>
      </c>
      <c r="B22" s="2"/>
      <c r="C22" s="34" t="s">
        <v>21</v>
      </c>
      <c r="D22" s="35"/>
      <c r="E22" s="6" t="s">
        <v>295</v>
      </c>
      <c r="F22" s="6"/>
      <c r="G22" s="6"/>
      <c r="H22" s="6"/>
      <c r="I22" s="26"/>
      <c r="J22" s="26"/>
      <c r="K22" s="26"/>
      <c r="L22" s="26"/>
    </row>
    <row r="23" spans="1:22" s="57" customFormat="1" ht="12.75" customHeight="1">
      <c r="A23" s="8" t="s">
        <v>42</v>
      </c>
      <c r="B23" s="36"/>
      <c r="C23" s="37" t="s">
        <v>43</v>
      </c>
      <c r="D23" s="36"/>
      <c r="E23" s="6"/>
      <c r="F23" s="6"/>
      <c r="G23" s="6"/>
      <c r="H23" s="6"/>
      <c r="I23" s="26"/>
      <c r="J23" s="26"/>
      <c r="K23" s="26"/>
      <c r="L23" s="26"/>
    </row>
    <row r="24" spans="1:22" s="57" customFormat="1" ht="9.9499999999999993" customHeight="1">
      <c r="A24" s="2" t="s">
        <v>44</v>
      </c>
      <c r="B24" s="2"/>
      <c r="C24" s="34" t="s">
        <v>45</v>
      </c>
      <c r="D24" s="35"/>
      <c r="E24" s="38" t="s">
        <v>22</v>
      </c>
      <c r="F24" s="6"/>
      <c r="G24" s="39"/>
      <c r="H24" s="6"/>
      <c r="I24" s="26"/>
      <c r="J24" s="26"/>
      <c r="K24" s="26"/>
      <c r="L24" s="26"/>
    </row>
    <row r="25" spans="1:22" s="57" customFormat="1" ht="12.75" customHeight="1">
      <c r="A25" s="8" t="s">
        <v>84</v>
      </c>
      <c r="B25" s="36"/>
      <c r="C25" s="40">
        <v>43206</v>
      </c>
      <c r="D25" s="41"/>
      <c r="E25" s="42" t="s">
        <v>85</v>
      </c>
      <c r="F25" s="6"/>
      <c r="G25" s="39"/>
      <c r="H25" s="8"/>
      <c r="I25" s="43"/>
      <c r="J25" s="43"/>
      <c r="K25" s="26"/>
      <c r="L25" s="26"/>
      <c r="N25" s="58"/>
      <c r="O25" s="58"/>
      <c r="P25" s="58"/>
      <c r="Q25" s="6"/>
      <c r="R25" s="58"/>
      <c r="S25" s="58"/>
      <c r="T25" s="59"/>
      <c r="U25" s="60"/>
      <c r="V25" s="61"/>
    </row>
    <row r="26" spans="1:22" ht="13.5">
      <c r="A26" s="63" t="s">
        <v>32</v>
      </c>
      <c r="B26" s="63" t="s">
        <v>33</v>
      </c>
      <c r="C26" s="63" t="s">
        <v>34</v>
      </c>
      <c r="D26" s="725" t="s">
        <v>35</v>
      </c>
      <c r="E26" s="726"/>
      <c r="F26" s="63" t="s">
        <v>46</v>
      </c>
      <c r="G26" s="63" t="s">
        <v>36</v>
      </c>
      <c r="H26" s="64" t="s">
        <v>37</v>
      </c>
      <c r="I26" s="64" t="s">
        <v>38</v>
      </c>
      <c r="J26" s="64" t="s">
        <v>39</v>
      </c>
      <c r="K26" s="64" t="s">
        <v>40</v>
      </c>
      <c r="L26" s="64" t="s">
        <v>47</v>
      </c>
    </row>
    <row r="27" spans="1:22" ht="13.5">
      <c r="A27" s="81" t="s">
        <v>71</v>
      </c>
      <c r="B27" s="65" t="s">
        <v>54</v>
      </c>
      <c r="C27" s="65" t="s">
        <v>52</v>
      </c>
      <c r="D27" s="66" t="s">
        <v>67</v>
      </c>
      <c r="E27" s="67"/>
      <c r="F27" s="65" t="s">
        <v>86</v>
      </c>
      <c r="G27" s="73">
        <v>1</v>
      </c>
      <c r="H27" s="74">
        <v>58</v>
      </c>
      <c r="I27" s="77">
        <f>+J27/0.4536</f>
        <v>30.202821448997216</v>
      </c>
      <c r="J27" s="77">
        <v>13.699999809265137</v>
      </c>
      <c r="K27" s="77">
        <f>+J27*1.01</f>
        <v>13.836999807357788</v>
      </c>
      <c r="L27" s="68" t="s">
        <v>283</v>
      </c>
    </row>
    <row r="28" spans="1:22" ht="13.5">
      <c r="A28" s="81" t="s">
        <v>71</v>
      </c>
      <c r="B28" s="65" t="s">
        <v>54</v>
      </c>
      <c r="C28" s="65" t="s">
        <v>52</v>
      </c>
      <c r="D28" s="66" t="s">
        <v>67</v>
      </c>
      <c r="E28" s="67"/>
      <c r="F28" s="65" t="s">
        <v>86</v>
      </c>
      <c r="G28" s="73">
        <v>2</v>
      </c>
      <c r="H28" s="74">
        <v>74</v>
      </c>
      <c r="I28" s="77">
        <f t="shared" ref="I28:I91" si="0">+J28/0.4536</f>
        <v>38.580246913580247</v>
      </c>
      <c r="J28" s="77">
        <v>17.5</v>
      </c>
      <c r="K28" s="77">
        <f t="shared" ref="K28:K91" si="1">+J28*1.01</f>
        <v>17.675000000000001</v>
      </c>
      <c r="L28" s="68" t="s">
        <v>283</v>
      </c>
    </row>
    <row r="29" spans="1:22" ht="13.5">
      <c r="A29" s="81" t="s">
        <v>71</v>
      </c>
      <c r="B29" s="65" t="s">
        <v>54</v>
      </c>
      <c r="C29" s="65" t="s">
        <v>52</v>
      </c>
      <c r="D29" s="66" t="s">
        <v>67</v>
      </c>
      <c r="E29" s="67"/>
      <c r="F29" s="65" t="s">
        <v>86</v>
      </c>
      <c r="G29" s="73">
        <v>3</v>
      </c>
      <c r="H29" s="74">
        <v>72</v>
      </c>
      <c r="I29" s="77">
        <f t="shared" si="0"/>
        <v>37.698413539395339</v>
      </c>
      <c r="J29" s="77">
        <v>17.100000381469727</v>
      </c>
      <c r="K29" s="77">
        <f t="shared" si="1"/>
        <v>17.271000385284424</v>
      </c>
      <c r="L29" s="68" t="s">
        <v>283</v>
      </c>
    </row>
    <row r="30" spans="1:22" ht="13.5">
      <c r="A30" s="81" t="s">
        <v>71</v>
      </c>
      <c r="B30" s="65" t="s">
        <v>54</v>
      </c>
      <c r="C30" s="65" t="s">
        <v>52</v>
      </c>
      <c r="D30" s="66" t="s">
        <v>67</v>
      </c>
      <c r="E30" s="67"/>
      <c r="F30" s="65" t="s">
        <v>86</v>
      </c>
      <c r="G30" s="73">
        <v>4</v>
      </c>
      <c r="H30" s="74">
        <v>73</v>
      </c>
      <c r="I30" s="77">
        <f t="shared" si="0"/>
        <v>38.139328124031188</v>
      </c>
      <c r="J30" s="77">
        <v>17.299999237060547</v>
      </c>
      <c r="K30" s="77">
        <f t="shared" si="1"/>
        <v>17.472999229431153</v>
      </c>
      <c r="L30" s="68" t="s">
        <v>283</v>
      </c>
    </row>
    <row r="31" spans="1:22" ht="13.5">
      <c r="A31" s="81" t="s">
        <v>71</v>
      </c>
      <c r="B31" s="65" t="s">
        <v>54</v>
      </c>
      <c r="C31" s="65" t="s">
        <v>52</v>
      </c>
      <c r="D31" s="66" t="s">
        <v>67</v>
      </c>
      <c r="E31" s="67"/>
      <c r="F31" s="65" t="s">
        <v>86</v>
      </c>
      <c r="G31" s="73">
        <v>5</v>
      </c>
      <c r="H31" s="74">
        <v>71</v>
      </c>
      <c r="I31" s="77">
        <f t="shared" si="0"/>
        <v>36.816580165210432</v>
      </c>
      <c r="J31" s="77">
        <v>16.700000762939453</v>
      </c>
      <c r="K31" s="77">
        <f t="shared" si="1"/>
        <v>16.867000770568847</v>
      </c>
      <c r="L31" s="68" t="s">
        <v>283</v>
      </c>
    </row>
    <row r="32" spans="1:22" ht="13.5">
      <c r="A32" s="81" t="s">
        <v>71</v>
      </c>
      <c r="B32" s="65" t="s">
        <v>54</v>
      </c>
      <c r="C32" s="65" t="s">
        <v>52</v>
      </c>
      <c r="D32" s="66" t="s">
        <v>67</v>
      </c>
      <c r="E32" s="67"/>
      <c r="F32" s="65" t="s">
        <v>86</v>
      </c>
      <c r="G32" s="73">
        <v>6</v>
      </c>
      <c r="H32" s="74">
        <v>72</v>
      </c>
      <c r="I32" s="77">
        <f t="shared" si="0"/>
        <v>37.47795414462081</v>
      </c>
      <c r="J32" s="77">
        <v>17</v>
      </c>
      <c r="K32" s="77">
        <f t="shared" si="1"/>
        <v>17.170000000000002</v>
      </c>
      <c r="L32" s="68" t="s">
        <v>283</v>
      </c>
    </row>
    <row r="33" spans="1:12" ht="13.5">
      <c r="A33" s="81" t="s">
        <v>71</v>
      </c>
      <c r="B33" s="65" t="s">
        <v>54</v>
      </c>
      <c r="C33" s="65" t="s">
        <v>52</v>
      </c>
      <c r="D33" s="66" t="s">
        <v>67</v>
      </c>
      <c r="E33" s="67"/>
      <c r="F33" s="65" t="s">
        <v>86</v>
      </c>
      <c r="G33" s="73">
        <v>7</v>
      </c>
      <c r="H33" s="74">
        <v>75</v>
      </c>
      <c r="I33" s="77">
        <f t="shared" si="0"/>
        <v>39.241620892990625</v>
      </c>
      <c r="J33" s="77">
        <v>17.799999237060547</v>
      </c>
      <c r="K33" s="77">
        <f t="shared" si="1"/>
        <v>17.977999229431152</v>
      </c>
      <c r="L33" s="68" t="s">
        <v>283</v>
      </c>
    </row>
    <row r="34" spans="1:12" ht="13.5">
      <c r="A34" s="81" t="s">
        <v>71</v>
      </c>
      <c r="B34" s="65" t="s">
        <v>54</v>
      </c>
      <c r="C34" s="65" t="s">
        <v>52</v>
      </c>
      <c r="D34" s="66" t="s">
        <v>67</v>
      </c>
      <c r="E34" s="67"/>
      <c r="F34" s="65" t="s">
        <v>86</v>
      </c>
      <c r="G34" s="73">
        <v>8</v>
      </c>
      <c r="H34" s="74">
        <v>69</v>
      </c>
      <c r="I34" s="77">
        <f t="shared" si="0"/>
        <v>36.155201980886844</v>
      </c>
      <c r="J34" s="77">
        <v>16.399999618530273</v>
      </c>
      <c r="K34" s="77">
        <f t="shared" si="1"/>
        <v>16.563999614715577</v>
      </c>
      <c r="L34" s="68" t="s">
        <v>283</v>
      </c>
    </row>
    <row r="35" spans="1:12" ht="13.5">
      <c r="A35" s="81" t="s">
        <v>71</v>
      </c>
      <c r="B35" s="65" t="s">
        <v>54</v>
      </c>
      <c r="C35" s="65" t="s">
        <v>52</v>
      </c>
      <c r="D35" s="66" t="s">
        <v>67</v>
      </c>
      <c r="E35" s="67"/>
      <c r="F35" s="65" t="s">
        <v>86</v>
      </c>
      <c r="G35" s="73">
        <v>9</v>
      </c>
      <c r="H35" s="74">
        <v>74</v>
      </c>
      <c r="I35" s="77">
        <f t="shared" si="0"/>
        <v>38.359787518805717</v>
      </c>
      <c r="J35" s="77">
        <v>17.399999618530273</v>
      </c>
      <c r="K35" s="77">
        <f t="shared" si="1"/>
        <v>17.573999614715575</v>
      </c>
      <c r="L35" s="68" t="s">
        <v>283</v>
      </c>
    </row>
    <row r="36" spans="1:12" ht="13.5">
      <c r="A36" s="81" t="s">
        <v>71</v>
      </c>
      <c r="B36" s="65" t="s">
        <v>54</v>
      </c>
      <c r="C36" s="65" t="s">
        <v>52</v>
      </c>
      <c r="D36" s="66" t="s">
        <v>67</v>
      </c>
      <c r="E36" s="67"/>
      <c r="F36" s="65" t="s">
        <v>86</v>
      </c>
      <c r="G36" s="73">
        <v>10</v>
      </c>
      <c r="H36" s="74">
        <v>72</v>
      </c>
      <c r="I36" s="77">
        <f t="shared" si="0"/>
        <v>37.47795414462081</v>
      </c>
      <c r="J36" s="77">
        <v>17</v>
      </c>
      <c r="K36" s="77">
        <f t="shared" si="1"/>
        <v>17.170000000000002</v>
      </c>
      <c r="L36" s="68" t="s">
        <v>283</v>
      </c>
    </row>
    <row r="37" spans="1:12" ht="13.5">
      <c r="A37" s="81" t="s">
        <v>71</v>
      </c>
      <c r="B37" s="65" t="s">
        <v>54</v>
      </c>
      <c r="C37" s="65" t="s">
        <v>52</v>
      </c>
      <c r="D37" s="66" t="s">
        <v>67</v>
      </c>
      <c r="E37" s="67"/>
      <c r="F37" s="65" t="s">
        <v>86</v>
      </c>
      <c r="G37" s="73">
        <v>11</v>
      </c>
      <c r="H37" s="74">
        <v>75</v>
      </c>
      <c r="I37" s="77">
        <f t="shared" si="0"/>
        <v>38.800706308354776</v>
      </c>
      <c r="J37" s="77">
        <v>17.600000381469727</v>
      </c>
      <c r="K37" s="77">
        <f t="shared" si="1"/>
        <v>17.776000385284423</v>
      </c>
      <c r="L37" s="68" t="s">
        <v>283</v>
      </c>
    </row>
    <row r="38" spans="1:12" ht="13.5">
      <c r="A38" s="81" t="s">
        <v>71</v>
      </c>
      <c r="B38" s="65" t="s">
        <v>54</v>
      </c>
      <c r="C38" s="65" t="s">
        <v>52</v>
      </c>
      <c r="D38" s="66" t="s">
        <v>67</v>
      </c>
      <c r="E38" s="67"/>
      <c r="F38" s="65" t="s">
        <v>86</v>
      </c>
      <c r="G38" s="73">
        <v>12</v>
      </c>
      <c r="H38" s="74">
        <v>74</v>
      </c>
      <c r="I38" s="77">
        <f t="shared" si="0"/>
        <v>38.359787518805717</v>
      </c>
      <c r="J38" s="77">
        <v>17.399999618530273</v>
      </c>
      <c r="K38" s="77">
        <f t="shared" si="1"/>
        <v>17.573999614715575</v>
      </c>
      <c r="L38" s="68" t="s">
        <v>283</v>
      </c>
    </row>
    <row r="39" spans="1:12" ht="13.5">
      <c r="A39" s="81" t="s">
        <v>71</v>
      </c>
      <c r="B39" s="65" t="s">
        <v>54</v>
      </c>
      <c r="C39" s="65" t="s">
        <v>52</v>
      </c>
      <c r="D39" s="66" t="s">
        <v>67</v>
      </c>
      <c r="E39" s="67"/>
      <c r="F39" s="65" t="s">
        <v>86</v>
      </c>
      <c r="G39" s="73">
        <v>13</v>
      </c>
      <c r="H39" s="74">
        <v>72</v>
      </c>
      <c r="I39" s="77">
        <f t="shared" si="0"/>
        <v>37.698413539395339</v>
      </c>
      <c r="J39" s="77">
        <v>17.100000381469727</v>
      </c>
      <c r="K39" s="77">
        <f t="shared" si="1"/>
        <v>17.271000385284424</v>
      </c>
      <c r="L39" s="68" t="s">
        <v>283</v>
      </c>
    </row>
    <row r="40" spans="1:12" ht="13.5">
      <c r="A40" s="81" t="s">
        <v>71</v>
      </c>
      <c r="B40" s="65" t="s">
        <v>54</v>
      </c>
      <c r="C40" s="65" t="s">
        <v>52</v>
      </c>
      <c r="D40" s="66" t="s">
        <v>67</v>
      </c>
      <c r="E40" s="67"/>
      <c r="F40" s="65" t="s">
        <v>86</v>
      </c>
      <c r="G40" s="73">
        <v>14</v>
      </c>
      <c r="H40" s="74">
        <v>73</v>
      </c>
      <c r="I40" s="77">
        <f t="shared" si="0"/>
        <v>38.139328124031188</v>
      </c>
      <c r="J40" s="77">
        <v>17.299999237060547</v>
      </c>
      <c r="K40" s="77">
        <f t="shared" si="1"/>
        <v>17.472999229431153</v>
      </c>
      <c r="L40" s="68" t="s">
        <v>283</v>
      </c>
    </row>
    <row r="41" spans="1:12" ht="13.5">
      <c r="A41" s="81" t="s">
        <v>71</v>
      </c>
      <c r="B41" s="65" t="s">
        <v>54</v>
      </c>
      <c r="C41" s="65" t="s">
        <v>52</v>
      </c>
      <c r="D41" s="66" t="s">
        <v>67</v>
      </c>
      <c r="E41" s="67"/>
      <c r="F41" s="65" t="s">
        <v>86</v>
      </c>
      <c r="G41" s="73">
        <v>15</v>
      </c>
      <c r="H41" s="74">
        <v>74</v>
      </c>
      <c r="I41" s="77">
        <f t="shared" si="0"/>
        <v>38.359787518805717</v>
      </c>
      <c r="J41" s="77">
        <v>17.399999618530273</v>
      </c>
      <c r="K41" s="77">
        <f t="shared" si="1"/>
        <v>17.573999614715575</v>
      </c>
      <c r="L41" s="68" t="s">
        <v>283</v>
      </c>
    </row>
    <row r="42" spans="1:12" ht="13.5">
      <c r="A42" s="81" t="s">
        <v>71</v>
      </c>
      <c r="B42" s="65" t="s">
        <v>54</v>
      </c>
      <c r="C42" s="65" t="s">
        <v>52</v>
      </c>
      <c r="D42" s="66" t="s">
        <v>67</v>
      </c>
      <c r="E42" s="67"/>
      <c r="F42" s="65" t="s">
        <v>86</v>
      </c>
      <c r="G42" s="73">
        <v>16</v>
      </c>
      <c r="H42" s="74">
        <v>68</v>
      </c>
      <c r="I42" s="77">
        <f t="shared" si="0"/>
        <v>35.493828001476466</v>
      </c>
      <c r="J42" s="77">
        <v>16.100000381469727</v>
      </c>
      <c r="K42" s="77">
        <f t="shared" si="1"/>
        <v>16.261000385284422</v>
      </c>
      <c r="L42" s="68" t="s">
        <v>283</v>
      </c>
    </row>
    <row r="43" spans="1:12" ht="13.5">
      <c r="A43" s="81" t="s">
        <v>71</v>
      </c>
      <c r="B43" s="65" t="s">
        <v>54</v>
      </c>
      <c r="C43" s="65" t="s">
        <v>52</v>
      </c>
      <c r="D43" s="66" t="s">
        <v>67</v>
      </c>
      <c r="E43" s="67"/>
      <c r="F43" s="65" t="s">
        <v>86</v>
      </c>
      <c r="G43" s="73">
        <v>17</v>
      </c>
      <c r="H43" s="74">
        <v>74</v>
      </c>
      <c r="I43" s="77">
        <f t="shared" si="0"/>
        <v>38.359787518805717</v>
      </c>
      <c r="J43" s="77">
        <v>17.399999618530273</v>
      </c>
      <c r="K43" s="77">
        <f t="shared" si="1"/>
        <v>17.573999614715575</v>
      </c>
      <c r="L43" s="68" t="s">
        <v>283</v>
      </c>
    </row>
    <row r="44" spans="1:12" ht="13.5">
      <c r="A44" s="81" t="s">
        <v>71</v>
      </c>
      <c r="B44" s="65" t="s">
        <v>54</v>
      </c>
      <c r="C44" s="65" t="s">
        <v>52</v>
      </c>
      <c r="D44" s="66" t="s">
        <v>67</v>
      </c>
      <c r="E44" s="67"/>
      <c r="F44" s="65" t="s">
        <v>86</v>
      </c>
      <c r="G44" s="73">
        <v>18</v>
      </c>
      <c r="H44" s="74">
        <v>74</v>
      </c>
      <c r="I44" s="77">
        <f t="shared" si="0"/>
        <v>38.580246913580247</v>
      </c>
      <c r="J44" s="77">
        <v>17.5</v>
      </c>
      <c r="K44" s="77">
        <f t="shared" si="1"/>
        <v>17.675000000000001</v>
      </c>
      <c r="L44" s="68" t="s">
        <v>283</v>
      </c>
    </row>
    <row r="45" spans="1:12" ht="13.5">
      <c r="A45" s="81" t="s">
        <v>71</v>
      </c>
      <c r="B45" s="65" t="s">
        <v>54</v>
      </c>
      <c r="C45" s="65" t="s">
        <v>52</v>
      </c>
      <c r="D45" s="66" t="s">
        <v>67</v>
      </c>
      <c r="E45" s="67"/>
      <c r="F45" s="65" t="s">
        <v>86</v>
      </c>
      <c r="G45" s="73">
        <v>19</v>
      </c>
      <c r="H45" s="74">
        <v>75</v>
      </c>
      <c r="I45" s="77">
        <f t="shared" si="0"/>
        <v>38.800706308354776</v>
      </c>
      <c r="J45" s="77">
        <v>17.600000381469727</v>
      </c>
      <c r="K45" s="77">
        <f t="shared" si="1"/>
        <v>17.776000385284423</v>
      </c>
      <c r="L45" s="68" t="s">
        <v>283</v>
      </c>
    </row>
    <row r="46" spans="1:12" ht="13.5">
      <c r="A46" s="81" t="s">
        <v>71</v>
      </c>
      <c r="B46" s="65" t="s">
        <v>54</v>
      </c>
      <c r="C46" s="65" t="s">
        <v>52</v>
      </c>
      <c r="D46" s="66" t="s">
        <v>67</v>
      </c>
      <c r="E46" s="67"/>
      <c r="F46" s="65" t="s">
        <v>86</v>
      </c>
      <c r="G46" s="73">
        <v>20</v>
      </c>
      <c r="H46" s="74">
        <v>74</v>
      </c>
      <c r="I46" s="77">
        <f t="shared" si="0"/>
        <v>38.580246913580247</v>
      </c>
      <c r="J46" s="77">
        <v>17.5</v>
      </c>
      <c r="K46" s="77">
        <f t="shared" si="1"/>
        <v>17.675000000000001</v>
      </c>
      <c r="L46" s="68" t="s">
        <v>283</v>
      </c>
    </row>
    <row r="47" spans="1:12" ht="13.5">
      <c r="A47" s="81" t="s">
        <v>71</v>
      </c>
      <c r="B47" s="65" t="s">
        <v>54</v>
      </c>
      <c r="C47" s="65" t="s">
        <v>52</v>
      </c>
      <c r="D47" s="66" t="s">
        <v>67</v>
      </c>
      <c r="E47" s="67"/>
      <c r="F47" s="65" t="s">
        <v>86</v>
      </c>
      <c r="G47" s="73">
        <v>21</v>
      </c>
      <c r="H47" s="74">
        <v>73</v>
      </c>
      <c r="I47" s="77">
        <f t="shared" si="0"/>
        <v>37.918872934169869</v>
      </c>
      <c r="J47" s="77">
        <v>17.200000762939453</v>
      </c>
      <c r="K47" s="77">
        <f t="shared" si="1"/>
        <v>17.37200077056885</v>
      </c>
      <c r="L47" s="68" t="s">
        <v>283</v>
      </c>
    </row>
    <row r="48" spans="1:12" ht="13.5">
      <c r="A48" s="81" t="s">
        <v>71</v>
      </c>
      <c r="B48" s="65" t="s">
        <v>54</v>
      </c>
      <c r="C48" s="65" t="s">
        <v>52</v>
      </c>
      <c r="D48" s="66" t="s">
        <v>67</v>
      </c>
      <c r="E48" s="67"/>
      <c r="F48" s="65" t="s">
        <v>86</v>
      </c>
      <c r="G48" s="73">
        <v>22</v>
      </c>
      <c r="H48" s="74">
        <v>73</v>
      </c>
      <c r="I48" s="77">
        <f t="shared" si="0"/>
        <v>37.918872934169869</v>
      </c>
      <c r="J48" s="77">
        <v>17.200000762939453</v>
      </c>
      <c r="K48" s="77">
        <f t="shared" si="1"/>
        <v>17.37200077056885</v>
      </c>
      <c r="L48" s="68" t="s">
        <v>283</v>
      </c>
    </row>
    <row r="49" spans="1:12" ht="13.5">
      <c r="A49" s="81" t="s">
        <v>71</v>
      </c>
      <c r="B49" s="65" t="s">
        <v>54</v>
      </c>
      <c r="C49" s="65" t="s">
        <v>52</v>
      </c>
      <c r="D49" s="66" t="s">
        <v>67</v>
      </c>
      <c r="E49" s="67"/>
      <c r="F49" s="65" t="s">
        <v>86</v>
      </c>
      <c r="G49" s="73">
        <v>23</v>
      </c>
      <c r="H49" s="74">
        <v>73</v>
      </c>
      <c r="I49" s="77">
        <f t="shared" si="0"/>
        <v>38.139328124031188</v>
      </c>
      <c r="J49" s="77">
        <v>17.299999237060547</v>
      </c>
      <c r="K49" s="77">
        <f t="shared" si="1"/>
        <v>17.472999229431153</v>
      </c>
      <c r="L49" s="68" t="s">
        <v>283</v>
      </c>
    </row>
    <row r="50" spans="1:12" ht="13.5">
      <c r="A50" s="81" t="s">
        <v>71</v>
      </c>
      <c r="B50" s="65" t="s">
        <v>54</v>
      </c>
      <c r="C50" s="65" t="s">
        <v>52</v>
      </c>
      <c r="D50" s="66" t="s">
        <v>67</v>
      </c>
      <c r="E50" s="67"/>
      <c r="F50" s="65" t="s">
        <v>86</v>
      </c>
      <c r="G50" s="73">
        <v>24</v>
      </c>
      <c r="H50" s="74">
        <v>73</v>
      </c>
      <c r="I50" s="77">
        <f t="shared" si="0"/>
        <v>38.139328124031188</v>
      </c>
      <c r="J50" s="77">
        <v>17.299999237060547</v>
      </c>
      <c r="K50" s="77">
        <f t="shared" si="1"/>
        <v>17.472999229431153</v>
      </c>
      <c r="L50" s="68" t="s">
        <v>283</v>
      </c>
    </row>
    <row r="51" spans="1:12" ht="13.5">
      <c r="A51" s="81" t="s">
        <v>71</v>
      </c>
      <c r="B51" s="65" t="s">
        <v>54</v>
      </c>
      <c r="C51" s="65" t="s">
        <v>52</v>
      </c>
      <c r="D51" s="66" t="s">
        <v>67</v>
      </c>
      <c r="E51" s="67"/>
      <c r="F51" s="65" t="s">
        <v>86</v>
      </c>
      <c r="G51" s="73">
        <v>25</v>
      </c>
      <c r="H51" s="74">
        <v>74</v>
      </c>
      <c r="I51" s="77">
        <f t="shared" si="0"/>
        <v>38.359787518805717</v>
      </c>
      <c r="J51" s="77">
        <v>17.399999618530273</v>
      </c>
      <c r="K51" s="77">
        <f t="shared" si="1"/>
        <v>17.573999614715575</v>
      </c>
      <c r="L51" s="68" t="s">
        <v>283</v>
      </c>
    </row>
    <row r="52" spans="1:12" ht="13.5">
      <c r="A52" s="81" t="s">
        <v>71</v>
      </c>
      <c r="B52" s="65" t="s">
        <v>54</v>
      </c>
      <c r="C52" s="65" t="s">
        <v>52</v>
      </c>
      <c r="D52" s="66" t="s">
        <v>67</v>
      </c>
      <c r="E52" s="67"/>
      <c r="F52" s="65" t="s">
        <v>86</v>
      </c>
      <c r="G52" s="73">
        <v>26</v>
      </c>
      <c r="H52" s="74">
        <v>72</v>
      </c>
      <c r="I52" s="77">
        <f t="shared" si="0"/>
        <v>37.698413539395339</v>
      </c>
      <c r="J52" s="77">
        <v>17.100000381469727</v>
      </c>
      <c r="K52" s="77">
        <f t="shared" si="1"/>
        <v>17.271000385284424</v>
      </c>
      <c r="L52" s="68" t="s">
        <v>283</v>
      </c>
    </row>
    <row r="53" spans="1:12" ht="13.5">
      <c r="A53" s="81" t="s">
        <v>71</v>
      </c>
      <c r="B53" s="65" t="s">
        <v>54</v>
      </c>
      <c r="C53" s="65" t="s">
        <v>52</v>
      </c>
      <c r="D53" s="66" t="s">
        <v>67</v>
      </c>
      <c r="E53" s="67"/>
      <c r="F53" s="65" t="s">
        <v>86</v>
      </c>
      <c r="G53" s="73">
        <v>27</v>
      </c>
      <c r="H53" s="74">
        <v>73</v>
      </c>
      <c r="I53" s="77">
        <f t="shared" si="0"/>
        <v>37.918872934169869</v>
      </c>
      <c r="J53" s="77">
        <v>17.200000762939453</v>
      </c>
      <c r="K53" s="77">
        <f t="shared" si="1"/>
        <v>17.37200077056885</v>
      </c>
      <c r="L53" s="68" t="s">
        <v>283</v>
      </c>
    </row>
    <row r="54" spans="1:12" ht="13.5">
      <c r="A54" s="81" t="s">
        <v>71</v>
      </c>
      <c r="B54" s="65" t="s">
        <v>54</v>
      </c>
      <c r="C54" s="65" t="s">
        <v>52</v>
      </c>
      <c r="D54" s="66" t="s">
        <v>67</v>
      </c>
      <c r="E54" s="67"/>
      <c r="F54" s="65" t="s">
        <v>86</v>
      </c>
      <c r="G54" s="73">
        <v>28</v>
      </c>
      <c r="H54" s="74">
        <v>75</v>
      </c>
      <c r="I54" s="77">
        <f t="shared" si="0"/>
        <v>38.800706308354776</v>
      </c>
      <c r="J54" s="77">
        <v>17.600000381469727</v>
      </c>
      <c r="K54" s="77">
        <f t="shared" si="1"/>
        <v>17.776000385284423</v>
      </c>
      <c r="L54" s="68" t="s">
        <v>283</v>
      </c>
    </row>
    <row r="55" spans="1:12" ht="13.5">
      <c r="A55" s="81" t="s">
        <v>71</v>
      </c>
      <c r="B55" s="65" t="s">
        <v>54</v>
      </c>
      <c r="C55" s="65" t="s">
        <v>52</v>
      </c>
      <c r="D55" s="66" t="s">
        <v>67</v>
      </c>
      <c r="E55" s="67"/>
      <c r="F55" s="65" t="s">
        <v>86</v>
      </c>
      <c r="G55" s="73">
        <v>29</v>
      </c>
      <c r="H55" s="74">
        <v>72</v>
      </c>
      <c r="I55" s="77">
        <f t="shared" si="0"/>
        <v>37.698413539395339</v>
      </c>
      <c r="J55" s="77">
        <v>17.100000381469727</v>
      </c>
      <c r="K55" s="77">
        <f t="shared" si="1"/>
        <v>17.271000385284424</v>
      </c>
      <c r="L55" s="68" t="s">
        <v>283</v>
      </c>
    </row>
    <row r="56" spans="1:12" ht="13.5">
      <c r="A56" s="81" t="s">
        <v>71</v>
      </c>
      <c r="B56" s="65" t="s">
        <v>54</v>
      </c>
      <c r="C56" s="65" t="s">
        <v>52</v>
      </c>
      <c r="D56" s="66" t="s">
        <v>67</v>
      </c>
      <c r="E56" s="67"/>
      <c r="F56" s="65" t="s">
        <v>86</v>
      </c>
      <c r="G56" s="73">
        <v>30</v>
      </c>
      <c r="H56" s="74">
        <v>73</v>
      </c>
      <c r="I56" s="77">
        <f t="shared" si="0"/>
        <v>37.918872934169869</v>
      </c>
      <c r="J56" s="77">
        <v>17.200000762939453</v>
      </c>
      <c r="K56" s="77">
        <f t="shared" si="1"/>
        <v>17.37200077056885</v>
      </c>
      <c r="L56" s="68" t="s">
        <v>283</v>
      </c>
    </row>
    <row r="57" spans="1:12" ht="13.5">
      <c r="A57" s="81" t="s">
        <v>71</v>
      </c>
      <c r="B57" s="65" t="s">
        <v>54</v>
      </c>
      <c r="C57" s="65" t="s">
        <v>52</v>
      </c>
      <c r="D57" s="66" t="s">
        <v>67</v>
      </c>
      <c r="E57" s="67"/>
      <c r="F57" s="65" t="s">
        <v>86</v>
      </c>
      <c r="G57" s="73">
        <v>31</v>
      </c>
      <c r="H57" s="74">
        <v>73</v>
      </c>
      <c r="I57" s="77">
        <f t="shared" si="0"/>
        <v>37.918872934169869</v>
      </c>
      <c r="J57" s="77">
        <v>17.200000762939453</v>
      </c>
      <c r="K57" s="77">
        <f t="shared" si="1"/>
        <v>17.37200077056885</v>
      </c>
      <c r="L57" s="68" t="s">
        <v>283</v>
      </c>
    </row>
    <row r="58" spans="1:12" ht="13.5">
      <c r="A58" s="81" t="s">
        <v>71</v>
      </c>
      <c r="B58" s="65" t="s">
        <v>54</v>
      </c>
      <c r="C58" s="65" t="s">
        <v>52</v>
      </c>
      <c r="D58" s="66" t="s">
        <v>67</v>
      </c>
      <c r="E58" s="67"/>
      <c r="F58" s="65" t="s">
        <v>86</v>
      </c>
      <c r="G58" s="73">
        <v>32</v>
      </c>
      <c r="H58" s="74">
        <v>77</v>
      </c>
      <c r="I58" s="77">
        <f t="shared" si="0"/>
        <v>39.902999077314213</v>
      </c>
      <c r="J58" s="77">
        <v>18.100000381469727</v>
      </c>
      <c r="K58" s="77">
        <f t="shared" si="1"/>
        <v>18.281000385284425</v>
      </c>
      <c r="L58" s="68" t="s">
        <v>283</v>
      </c>
    </row>
    <row r="59" spans="1:12" ht="13.5">
      <c r="A59" s="81" t="s">
        <v>71</v>
      </c>
      <c r="B59" s="65" t="s">
        <v>54</v>
      </c>
      <c r="C59" s="65" t="s">
        <v>52</v>
      </c>
      <c r="D59" s="66" t="s">
        <v>67</v>
      </c>
      <c r="E59" s="67"/>
      <c r="F59" s="65" t="s">
        <v>86</v>
      </c>
      <c r="G59" s="73">
        <v>33</v>
      </c>
      <c r="H59" s="74">
        <v>72</v>
      </c>
      <c r="I59" s="77">
        <f t="shared" si="0"/>
        <v>37.47795414462081</v>
      </c>
      <c r="J59" s="77">
        <v>17</v>
      </c>
      <c r="K59" s="77">
        <f t="shared" si="1"/>
        <v>17.170000000000002</v>
      </c>
      <c r="L59" s="68" t="s">
        <v>283</v>
      </c>
    </row>
    <row r="60" spans="1:12" ht="13.5">
      <c r="A60" s="81" t="s">
        <v>71</v>
      </c>
      <c r="B60" s="65" t="s">
        <v>54</v>
      </c>
      <c r="C60" s="65" t="s">
        <v>52</v>
      </c>
      <c r="D60" s="66" t="s">
        <v>67</v>
      </c>
      <c r="E60" s="67"/>
      <c r="F60" s="65" t="s">
        <v>86</v>
      </c>
      <c r="G60" s="73">
        <v>34</v>
      </c>
      <c r="H60" s="74">
        <v>67</v>
      </c>
      <c r="I60" s="77">
        <f t="shared" si="0"/>
        <v>35.052909211927407</v>
      </c>
      <c r="J60" s="77">
        <v>15.899999618530273</v>
      </c>
      <c r="K60" s="77">
        <f t="shared" si="1"/>
        <v>16.058999614715578</v>
      </c>
      <c r="L60" s="68" t="s">
        <v>283</v>
      </c>
    </row>
    <row r="61" spans="1:12" ht="13.5">
      <c r="A61" s="81" t="s">
        <v>71</v>
      </c>
      <c r="B61" s="65" t="s">
        <v>54</v>
      </c>
      <c r="C61" s="65" t="s">
        <v>52</v>
      </c>
      <c r="D61" s="66" t="s">
        <v>67</v>
      </c>
      <c r="E61" s="67"/>
      <c r="F61" s="65" t="s">
        <v>86</v>
      </c>
      <c r="G61" s="73">
        <v>35</v>
      </c>
      <c r="H61" s="74">
        <v>73</v>
      </c>
      <c r="I61" s="77">
        <f t="shared" si="0"/>
        <v>38.139328124031188</v>
      </c>
      <c r="J61" s="77">
        <v>17.299999237060547</v>
      </c>
      <c r="K61" s="77">
        <f t="shared" si="1"/>
        <v>17.472999229431153</v>
      </c>
      <c r="L61" s="68" t="s">
        <v>283</v>
      </c>
    </row>
    <row r="62" spans="1:12" ht="13.5">
      <c r="A62" s="81" t="s">
        <v>71</v>
      </c>
      <c r="B62" s="65" t="s">
        <v>54</v>
      </c>
      <c r="C62" s="65" t="s">
        <v>52</v>
      </c>
      <c r="D62" s="66" t="s">
        <v>67</v>
      </c>
      <c r="E62" s="67"/>
      <c r="F62" s="65" t="s">
        <v>86</v>
      </c>
      <c r="G62" s="73">
        <v>36</v>
      </c>
      <c r="H62" s="74">
        <v>65</v>
      </c>
      <c r="I62" s="77">
        <f t="shared" si="0"/>
        <v>33.950616442967977</v>
      </c>
      <c r="J62" s="77">
        <v>15.399999618530273</v>
      </c>
      <c r="K62" s="77">
        <f t="shared" si="1"/>
        <v>15.553999614715575</v>
      </c>
      <c r="L62" s="68" t="s">
        <v>283</v>
      </c>
    </row>
    <row r="63" spans="1:12" ht="13.5">
      <c r="A63" s="81" t="s">
        <v>71</v>
      </c>
      <c r="B63" s="65" t="s">
        <v>54</v>
      </c>
      <c r="C63" s="65" t="s">
        <v>52</v>
      </c>
      <c r="D63" s="66" t="s">
        <v>67</v>
      </c>
      <c r="E63" s="67"/>
      <c r="F63" s="65" t="s">
        <v>86</v>
      </c>
      <c r="G63" s="73">
        <v>37</v>
      </c>
      <c r="H63" s="74">
        <v>69</v>
      </c>
      <c r="I63" s="77">
        <f t="shared" si="0"/>
        <v>36.155201980886844</v>
      </c>
      <c r="J63" s="77">
        <v>16.399999618530273</v>
      </c>
      <c r="K63" s="77">
        <f t="shared" si="1"/>
        <v>16.563999614715577</v>
      </c>
      <c r="L63" s="68" t="s">
        <v>283</v>
      </c>
    </row>
    <row r="64" spans="1:12" ht="13.5">
      <c r="A64" s="81" t="s">
        <v>71</v>
      </c>
      <c r="B64" s="65" t="s">
        <v>54</v>
      </c>
      <c r="C64" s="65" t="s">
        <v>52</v>
      </c>
      <c r="D64" s="66" t="s">
        <v>67</v>
      </c>
      <c r="E64" s="67"/>
      <c r="F64" s="65" t="s">
        <v>86</v>
      </c>
      <c r="G64" s="73">
        <v>38</v>
      </c>
      <c r="H64" s="74">
        <v>74</v>
      </c>
      <c r="I64" s="77">
        <f t="shared" si="0"/>
        <v>38.359787518805717</v>
      </c>
      <c r="J64" s="77">
        <v>17.399999618530273</v>
      </c>
      <c r="K64" s="77">
        <f t="shared" si="1"/>
        <v>17.573999614715575</v>
      </c>
      <c r="L64" s="68" t="s">
        <v>283</v>
      </c>
    </row>
    <row r="65" spans="1:12" ht="13.5">
      <c r="A65" s="81" t="s">
        <v>71</v>
      </c>
      <c r="B65" s="65" t="s">
        <v>54</v>
      </c>
      <c r="C65" s="65" t="s">
        <v>52</v>
      </c>
      <c r="D65" s="66" t="s">
        <v>67</v>
      </c>
      <c r="E65" s="67"/>
      <c r="F65" s="65" t="s">
        <v>86</v>
      </c>
      <c r="G65" s="73">
        <v>39</v>
      </c>
      <c r="H65" s="74">
        <v>72</v>
      </c>
      <c r="I65" s="77">
        <f t="shared" si="0"/>
        <v>37.698413539395339</v>
      </c>
      <c r="J65" s="77">
        <v>17.100000381469727</v>
      </c>
      <c r="K65" s="77">
        <f t="shared" si="1"/>
        <v>17.271000385284424</v>
      </c>
      <c r="L65" s="68" t="s">
        <v>283</v>
      </c>
    </row>
    <row r="66" spans="1:12" ht="13.5">
      <c r="A66" s="81" t="s">
        <v>71</v>
      </c>
      <c r="B66" s="65" t="s">
        <v>54</v>
      </c>
      <c r="C66" s="65" t="s">
        <v>52</v>
      </c>
      <c r="D66" s="66" t="s">
        <v>67</v>
      </c>
      <c r="E66" s="67"/>
      <c r="F66" s="65" t="s">
        <v>86</v>
      </c>
      <c r="G66" s="73">
        <v>40</v>
      </c>
      <c r="H66" s="74">
        <v>73</v>
      </c>
      <c r="I66" s="77">
        <f t="shared" si="0"/>
        <v>37.918872934169869</v>
      </c>
      <c r="J66" s="77">
        <v>17.200000762939453</v>
      </c>
      <c r="K66" s="77">
        <f t="shared" si="1"/>
        <v>17.37200077056885</v>
      </c>
      <c r="L66" s="68" t="s">
        <v>283</v>
      </c>
    </row>
    <row r="67" spans="1:12" ht="13.5">
      <c r="A67" s="81" t="s">
        <v>71</v>
      </c>
      <c r="B67" s="65" t="s">
        <v>54</v>
      </c>
      <c r="C67" s="65" t="s">
        <v>52</v>
      </c>
      <c r="D67" s="66" t="s">
        <v>67</v>
      </c>
      <c r="E67" s="67"/>
      <c r="F67" s="65" t="s">
        <v>86</v>
      </c>
      <c r="G67" s="73">
        <v>41</v>
      </c>
      <c r="H67" s="74">
        <v>73</v>
      </c>
      <c r="I67" s="77">
        <f t="shared" si="0"/>
        <v>38.139328124031188</v>
      </c>
      <c r="J67" s="77">
        <v>17.299999237060547</v>
      </c>
      <c r="K67" s="77">
        <f t="shared" si="1"/>
        <v>17.472999229431153</v>
      </c>
      <c r="L67" s="68" t="s">
        <v>283</v>
      </c>
    </row>
    <row r="68" spans="1:12" ht="13.5">
      <c r="A68" s="81" t="s">
        <v>71</v>
      </c>
      <c r="B68" s="65" t="s">
        <v>54</v>
      </c>
      <c r="C68" s="65" t="s">
        <v>52</v>
      </c>
      <c r="D68" s="66" t="s">
        <v>67</v>
      </c>
      <c r="E68" s="67"/>
      <c r="F68" s="65" t="s">
        <v>86</v>
      </c>
      <c r="G68" s="73">
        <v>42</v>
      </c>
      <c r="H68" s="74">
        <v>71</v>
      </c>
      <c r="I68" s="77">
        <f t="shared" si="0"/>
        <v>36.816580165210432</v>
      </c>
      <c r="J68" s="77">
        <v>16.700000762939453</v>
      </c>
      <c r="K68" s="77">
        <f t="shared" si="1"/>
        <v>16.867000770568847</v>
      </c>
      <c r="L68" s="68" t="s">
        <v>283</v>
      </c>
    </row>
    <row r="69" spans="1:12" ht="13.5">
      <c r="A69" s="81"/>
      <c r="B69" s="65"/>
      <c r="C69" s="65"/>
      <c r="D69" s="66" t="s">
        <v>53</v>
      </c>
      <c r="E69" s="67"/>
      <c r="F69" s="65"/>
      <c r="G69" s="73">
        <v>42</v>
      </c>
      <c r="H69" s="74">
        <f>SUM(H27:H68)</f>
        <v>3033</v>
      </c>
      <c r="I69" s="77">
        <f t="shared" si="0"/>
        <v>1579.3650806265532</v>
      </c>
      <c r="J69" s="77">
        <f>SUM(J27:J68)</f>
        <v>716.40000057220459</v>
      </c>
      <c r="K69" s="77">
        <f t="shared" si="1"/>
        <v>723.56400057792666</v>
      </c>
      <c r="L69" s="68" t="s">
        <v>283</v>
      </c>
    </row>
    <row r="70" spans="1:12" ht="13.5">
      <c r="A70" s="81" t="s">
        <v>71</v>
      </c>
      <c r="B70" s="65" t="s">
        <v>54</v>
      </c>
      <c r="C70" s="65" t="s">
        <v>52</v>
      </c>
      <c r="D70" s="66" t="s">
        <v>67</v>
      </c>
      <c r="E70" s="67"/>
      <c r="F70" s="65" t="s">
        <v>88</v>
      </c>
      <c r="G70" s="73">
        <v>1</v>
      </c>
      <c r="H70" s="74">
        <v>71</v>
      </c>
      <c r="I70" s="77">
        <f t="shared" si="0"/>
        <v>37.47795414462081</v>
      </c>
      <c r="J70" s="77">
        <v>17</v>
      </c>
      <c r="K70" s="77">
        <f t="shared" si="1"/>
        <v>17.170000000000002</v>
      </c>
      <c r="L70" s="68" t="s">
        <v>283</v>
      </c>
    </row>
    <row r="71" spans="1:12" ht="13.5">
      <c r="A71" s="81" t="s">
        <v>71</v>
      </c>
      <c r="B71" s="65" t="s">
        <v>54</v>
      </c>
      <c r="C71" s="65" t="s">
        <v>52</v>
      </c>
      <c r="D71" s="66" t="s">
        <v>67</v>
      </c>
      <c r="E71" s="67"/>
      <c r="F71" s="65" t="s">
        <v>88</v>
      </c>
      <c r="G71" s="73">
        <v>2</v>
      </c>
      <c r="H71" s="74">
        <v>68</v>
      </c>
      <c r="I71" s="77">
        <f t="shared" si="0"/>
        <v>35.714287396250995</v>
      </c>
      <c r="J71" s="77">
        <v>16.200000762939453</v>
      </c>
      <c r="K71" s="77">
        <f t="shared" si="1"/>
        <v>16.362000770568848</v>
      </c>
      <c r="L71" s="68" t="s">
        <v>283</v>
      </c>
    </row>
    <row r="72" spans="1:12" ht="13.5">
      <c r="A72" s="81" t="s">
        <v>71</v>
      </c>
      <c r="B72" s="65" t="s">
        <v>54</v>
      </c>
      <c r="C72" s="65" t="s">
        <v>52</v>
      </c>
      <c r="D72" s="66" t="s">
        <v>67</v>
      </c>
      <c r="E72" s="67"/>
      <c r="F72" s="65" t="s">
        <v>88</v>
      </c>
      <c r="G72" s="73">
        <v>3</v>
      </c>
      <c r="H72" s="74">
        <v>73</v>
      </c>
      <c r="I72" s="77">
        <f t="shared" si="0"/>
        <v>38.359787518805717</v>
      </c>
      <c r="J72" s="77">
        <v>17.399999618530273</v>
      </c>
      <c r="K72" s="77">
        <f t="shared" si="1"/>
        <v>17.573999614715575</v>
      </c>
      <c r="L72" s="68" t="s">
        <v>283</v>
      </c>
    </row>
    <row r="73" spans="1:12" ht="13.5">
      <c r="A73" s="81" t="s">
        <v>71</v>
      </c>
      <c r="B73" s="65" t="s">
        <v>54</v>
      </c>
      <c r="C73" s="65" t="s">
        <v>52</v>
      </c>
      <c r="D73" s="66" t="s">
        <v>67</v>
      </c>
      <c r="E73" s="67"/>
      <c r="F73" s="65" t="s">
        <v>88</v>
      </c>
      <c r="G73" s="73">
        <v>4</v>
      </c>
      <c r="H73" s="74">
        <v>72</v>
      </c>
      <c r="I73" s="77">
        <f t="shared" si="0"/>
        <v>38.139328124031188</v>
      </c>
      <c r="J73" s="77">
        <v>17.299999237060547</v>
      </c>
      <c r="K73" s="77">
        <f t="shared" si="1"/>
        <v>17.472999229431153</v>
      </c>
      <c r="L73" s="68" t="s">
        <v>283</v>
      </c>
    </row>
    <row r="74" spans="1:12" ht="13.5">
      <c r="A74" s="81" t="s">
        <v>71</v>
      </c>
      <c r="B74" s="65" t="s">
        <v>54</v>
      </c>
      <c r="C74" s="65" t="s">
        <v>52</v>
      </c>
      <c r="D74" s="66" t="s">
        <v>67</v>
      </c>
      <c r="E74" s="67"/>
      <c r="F74" s="65" t="s">
        <v>88</v>
      </c>
      <c r="G74" s="73">
        <v>5</v>
      </c>
      <c r="H74" s="74">
        <v>74</v>
      </c>
      <c r="I74" s="77">
        <f t="shared" si="0"/>
        <v>39.021165703129306</v>
      </c>
      <c r="J74" s="77">
        <v>17.700000762939453</v>
      </c>
      <c r="K74" s="77">
        <f t="shared" si="1"/>
        <v>17.877000770568849</v>
      </c>
      <c r="L74" s="68" t="s">
        <v>283</v>
      </c>
    </row>
    <row r="75" spans="1:12" ht="13.5">
      <c r="A75" s="81" t="s">
        <v>71</v>
      </c>
      <c r="B75" s="65" t="s">
        <v>54</v>
      </c>
      <c r="C75" s="65" t="s">
        <v>52</v>
      </c>
      <c r="D75" s="66" t="s">
        <v>67</v>
      </c>
      <c r="E75" s="67"/>
      <c r="F75" s="65" t="s">
        <v>88</v>
      </c>
      <c r="G75" s="73">
        <v>6</v>
      </c>
      <c r="H75" s="74">
        <v>75</v>
      </c>
      <c r="I75" s="77">
        <f t="shared" si="0"/>
        <v>39.462080287765154</v>
      </c>
      <c r="J75" s="77">
        <v>17.899999618530273</v>
      </c>
      <c r="K75" s="77">
        <f t="shared" si="1"/>
        <v>18.078999614715578</v>
      </c>
      <c r="L75" s="68" t="s">
        <v>283</v>
      </c>
    </row>
    <row r="76" spans="1:12" ht="13.5">
      <c r="A76" s="81" t="s">
        <v>71</v>
      </c>
      <c r="B76" s="65" t="s">
        <v>54</v>
      </c>
      <c r="C76" s="65" t="s">
        <v>52</v>
      </c>
      <c r="D76" s="66" t="s">
        <v>67</v>
      </c>
      <c r="E76" s="67"/>
      <c r="F76" s="65" t="s">
        <v>88</v>
      </c>
      <c r="G76" s="73">
        <v>7</v>
      </c>
      <c r="H76" s="74">
        <v>71</v>
      </c>
      <c r="I76" s="77">
        <f t="shared" si="0"/>
        <v>37.47795414462081</v>
      </c>
      <c r="J76" s="77">
        <v>17</v>
      </c>
      <c r="K76" s="77">
        <f t="shared" si="1"/>
        <v>17.170000000000002</v>
      </c>
      <c r="L76" s="68" t="s">
        <v>283</v>
      </c>
    </row>
    <row r="77" spans="1:12" ht="13.5">
      <c r="A77" s="81" t="s">
        <v>71</v>
      </c>
      <c r="B77" s="65" t="s">
        <v>54</v>
      </c>
      <c r="C77" s="65" t="s">
        <v>52</v>
      </c>
      <c r="D77" s="66" t="s">
        <v>67</v>
      </c>
      <c r="E77" s="67"/>
      <c r="F77" s="65" t="s">
        <v>88</v>
      </c>
      <c r="G77" s="73">
        <v>8</v>
      </c>
      <c r="H77" s="74">
        <v>70</v>
      </c>
      <c r="I77" s="77">
        <f t="shared" si="0"/>
        <v>37.257494749846281</v>
      </c>
      <c r="J77" s="77">
        <v>16.899999618530273</v>
      </c>
      <c r="K77" s="77">
        <f t="shared" si="1"/>
        <v>17.068999614715576</v>
      </c>
      <c r="L77" s="68" t="s">
        <v>283</v>
      </c>
    </row>
    <row r="78" spans="1:12" ht="13.5">
      <c r="A78" s="81" t="s">
        <v>71</v>
      </c>
      <c r="B78" s="65" t="s">
        <v>54</v>
      </c>
      <c r="C78" s="65" t="s">
        <v>52</v>
      </c>
      <c r="D78" s="66" t="s">
        <v>67</v>
      </c>
      <c r="E78" s="67"/>
      <c r="F78" s="65" t="s">
        <v>88</v>
      </c>
      <c r="G78" s="73">
        <v>9</v>
      </c>
      <c r="H78" s="74">
        <v>73</v>
      </c>
      <c r="I78" s="77">
        <f t="shared" si="0"/>
        <v>38.800706308354776</v>
      </c>
      <c r="J78" s="77">
        <v>17.600000381469727</v>
      </c>
      <c r="K78" s="77">
        <f t="shared" si="1"/>
        <v>17.776000385284423</v>
      </c>
      <c r="L78" s="68" t="s">
        <v>283</v>
      </c>
    </row>
    <row r="79" spans="1:12" ht="13.5">
      <c r="A79" s="81" t="s">
        <v>71</v>
      </c>
      <c r="B79" s="65" t="s">
        <v>54</v>
      </c>
      <c r="C79" s="65" t="s">
        <v>52</v>
      </c>
      <c r="D79" s="66" t="s">
        <v>67</v>
      </c>
      <c r="E79" s="67"/>
      <c r="F79" s="65" t="s">
        <v>88</v>
      </c>
      <c r="G79" s="73">
        <v>10</v>
      </c>
      <c r="H79" s="74">
        <v>73</v>
      </c>
      <c r="I79" s="77">
        <f t="shared" si="0"/>
        <v>38.580246913580247</v>
      </c>
      <c r="J79" s="77">
        <v>17.5</v>
      </c>
      <c r="K79" s="77">
        <f t="shared" si="1"/>
        <v>17.675000000000001</v>
      </c>
      <c r="L79" s="68" t="s">
        <v>283</v>
      </c>
    </row>
    <row r="80" spans="1:12" ht="13.5">
      <c r="A80" s="81" t="s">
        <v>71</v>
      </c>
      <c r="B80" s="65" t="s">
        <v>54</v>
      </c>
      <c r="C80" s="65" t="s">
        <v>52</v>
      </c>
      <c r="D80" s="66" t="s">
        <v>67</v>
      </c>
      <c r="E80" s="67"/>
      <c r="F80" s="65" t="s">
        <v>88</v>
      </c>
      <c r="G80" s="73">
        <v>11</v>
      </c>
      <c r="H80" s="74">
        <v>71</v>
      </c>
      <c r="I80" s="77">
        <f t="shared" si="0"/>
        <v>37.698413539395339</v>
      </c>
      <c r="J80" s="77">
        <v>17.100000381469727</v>
      </c>
      <c r="K80" s="77">
        <f t="shared" si="1"/>
        <v>17.271000385284424</v>
      </c>
      <c r="L80" s="68" t="s">
        <v>283</v>
      </c>
    </row>
    <row r="81" spans="1:12" ht="13.5">
      <c r="A81" s="81" t="s">
        <v>71</v>
      </c>
      <c r="B81" s="65" t="s">
        <v>54</v>
      </c>
      <c r="C81" s="65" t="s">
        <v>52</v>
      </c>
      <c r="D81" s="66" t="s">
        <v>67</v>
      </c>
      <c r="E81" s="67"/>
      <c r="F81" s="65" t="s">
        <v>88</v>
      </c>
      <c r="G81" s="73">
        <v>12</v>
      </c>
      <c r="H81" s="74">
        <v>73</v>
      </c>
      <c r="I81" s="77">
        <f t="shared" si="0"/>
        <v>38.800706308354776</v>
      </c>
      <c r="J81" s="77">
        <v>17.600000381469727</v>
      </c>
      <c r="K81" s="77">
        <f t="shared" si="1"/>
        <v>17.776000385284423</v>
      </c>
      <c r="L81" s="68" t="s">
        <v>283</v>
      </c>
    </row>
    <row r="82" spans="1:12" ht="13.5">
      <c r="A82" s="81" t="s">
        <v>71</v>
      </c>
      <c r="B82" s="65" t="s">
        <v>54</v>
      </c>
      <c r="C82" s="65" t="s">
        <v>52</v>
      </c>
      <c r="D82" s="66" t="s">
        <v>67</v>
      </c>
      <c r="E82" s="67"/>
      <c r="F82" s="65" t="s">
        <v>88</v>
      </c>
      <c r="G82" s="73">
        <v>13</v>
      </c>
      <c r="H82" s="74">
        <v>72</v>
      </c>
      <c r="I82" s="77">
        <f t="shared" si="0"/>
        <v>37.918872934169869</v>
      </c>
      <c r="J82" s="77">
        <v>17.200000762939453</v>
      </c>
      <c r="K82" s="77">
        <f t="shared" si="1"/>
        <v>17.37200077056885</v>
      </c>
      <c r="L82" s="68" t="s">
        <v>283</v>
      </c>
    </row>
    <row r="83" spans="1:12" ht="13.5">
      <c r="A83" s="81" t="s">
        <v>71</v>
      </c>
      <c r="B83" s="65" t="s">
        <v>54</v>
      </c>
      <c r="C83" s="65" t="s">
        <v>52</v>
      </c>
      <c r="D83" s="66" t="s">
        <v>67</v>
      </c>
      <c r="E83" s="67"/>
      <c r="F83" s="65" t="s">
        <v>88</v>
      </c>
      <c r="G83" s="73">
        <v>14</v>
      </c>
      <c r="H83" s="74">
        <v>72</v>
      </c>
      <c r="I83" s="77">
        <f t="shared" si="0"/>
        <v>38.139328124031188</v>
      </c>
      <c r="J83" s="77">
        <v>17.299999237060547</v>
      </c>
      <c r="K83" s="77">
        <f t="shared" si="1"/>
        <v>17.472999229431153</v>
      </c>
      <c r="L83" s="68" t="s">
        <v>283</v>
      </c>
    </row>
    <row r="84" spans="1:12" ht="13.5">
      <c r="A84" s="81" t="s">
        <v>71</v>
      </c>
      <c r="B84" s="65" t="s">
        <v>54</v>
      </c>
      <c r="C84" s="65" t="s">
        <v>52</v>
      </c>
      <c r="D84" s="66" t="s">
        <v>67</v>
      </c>
      <c r="E84" s="67"/>
      <c r="F84" s="65" t="s">
        <v>88</v>
      </c>
      <c r="G84" s="73">
        <v>15</v>
      </c>
      <c r="H84" s="74">
        <v>72</v>
      </c>
      <c r="I84" s="77">
        <f t="shared" si="0"/>
        <v>38.139328124031188</v>
      </c>
      <c r="J84" s="77">
        <v>17.299999237060547</v>
      </c>
      <c r="K84" s="77">
        <f t="shared" si="1"/>
        <v>17.472999229431153</v>
      </c>
      <c r="L84" s="68" t="s">
        <v>283</v>
      </c>
    </row>
    <row r="85" spans="1:12" ht="13.5">
      <c r="A85" s="81" t="s">
        <v>71</v>
      </c>
      <c r="B85" s="65" t="s">
        <v>54</v>
      </c>
      <c r="C85" s="65" t="s">
        <v>52</v>
      </c>
      <c r="D85" s="66" t="s">
        <v>67</v>
      </c>
      <c r="E85" s="67"/>
      <c r="F85" s="65" t="s">
        <v>88</v>
      </c>
      <c r="G85" s="73">
        <v>16</v>
      </c>
      <c r="H85" s="74">
        <v>70</v>
      </c>
      <c r="I85" s="77">
        <f t="shared" si="0"/>
        <v>37.257494749846281</v>
      </c>
      <c r="J85" s="77">
        <v>16.899999618530273</v>
      </c>
      <c r="K85" s="77">
        <f t="shared" si="1"/>
        <v>17.068999614715576</v>
      </c>
      <c r="L85" s="68" t="s">
        <v>283</v>
      </c>
    </row>
    <row r="86" spans="1:12" ht="13.5">
      <c r="A86" s="81" t="s">
        <v>71</v>
      </c>
      <c r="B86" s="65" t="s">
        <v>54</v>
      </c>
      <c r="C86" s="65" t="s">
        <v>52</v>
      </c>
      <c r="D86" s="66" t="s">
        <v>67</v>
      </c>
      <c r="E86" s="67"/>
      <c r="F86" s="65" t="s">
        <v>88</v>
      </c>
      <c r="G86" s="73">
        <v>17</v>
      </c>
      <c r="H86" s="74">
        <v>71</v>
      </c>
      <c r="I86" s="77">
        <f t="shared" si="0"/>
        <v>37.698413539395339</v>
      </c>
      <c r="J86" s="77">
        <v>17.100000381469727</v>
      </c>
      <c r="K86" s="77">
        <f t="shared" si="1"/>
        <v>17.271000385284424</v>
      </c>
      <c r="L86" s="68" t="s">
        <v>283</v>
      </c>
    </row>
    <row r="87" spans="1:12" ht="13.5">
      <c r="A87" s="81" t="s">
        <v>71</v>
      </c>
      <c r="B87" s="65" t="s">
        <v>54</v>
      </c>
      <c r="C87" s="65" t="s">
        <v>52</v>
      </c>
      <c r="D87" s="66" t="s">
        <v>67</v>
      </c>
      <c r="E87" s="67"/>
      <c r="F87" s="65" t="s">
        <v>88</v>
      </c>
      <c r="G87" s="73">
        <v>18</v>
      </c>
      <c r="H87" s="74">
        <v>72</v>
      </c>
      <c r="I87" s="77">
        <f t="shared" si="0"/>
        <v>37.918872934169869</v>
      </c>
      <c r="J87" s="77">
        <v>17.200000762939453</v>
      </c>
      <c r="K87" s="77">
        <f t="shared" si="1"/>
        <v>17.37200077056885</v>
      </c>
      <c r="L87" s="68" t="s">
        <v>283</v>
      </c>
    </row>
    <row r="88" spans="1:12" ht="13.5">
      <c r="A88" s="81" t="s">
        <v>71</v>
      </c>
      <c r="B88" s="65" t="s">
        <v>54</v>
      </c>
      <c r="C88" s="65" t="s">
        <v>52</v>
      </c>
      <c r="D88" s="66" t="s">
        <v>67</v>
      </c>
      <c r="E88" s="67"/>
      <c r="F88" s="65" t="s">
        <v>88</v>
      </c>
      <c r="G88" s="73">
        <v>19</v>
      </c>
      <c r="H88" s="74">
        <v>73</v>
      </c>
      <c r="I88" s="77">
        <f t="shared" si="0"/>
        <v>38.359787518805717</v>
      </c>
      <c r="J88" s="77">
        <v>17.399999618530273</v>
      </c>
      <c r="K88" s="77">
        <f t="shared" si="1"/>
        <v>17.573999614715575</v>
      </c>
      <c r="L88" s="68" t="s">
        <v>283</v>
      </c>
    </row>
    <row r="89" spans="1:12" ht="13.5">
      <c r="A89" s="81" t="s">
        <v>71</v>
      </c>
      <c r="B89" s="65" t="s">
        <v>54</v>
      </c>
      <c r="C89" s="65" t="s">
        <v>52</v>
      </c>
      <c r="D89" s="66" t="s">
        <v>67</v>
      </c>
      <c r="E89" s="67"/>
      <c r="F89" s="65" t="s">
        <v>88</v>
      </c>
      <c r="G89" s="73">
        <v>20</v>
      </c>
      <c r="H89" s="74">
        <v>66</v>
      </c>
      <c r="I89" s="77">
        <f t="shared" si="0"/>
        <v>35.052909211927407</v>
      </c>
      <c r="J89" s="77">
        <v>15.899999618530273</v>
      </c>
      <c r="K89" s="77">
        <f t="shared" si="1"/>
        <v>16.058999614715578</v>
      </c>
      <c r="L89" s="68" t="s">
        <v>283</v>
      </c>
    </row>
    <row r="90" spans="1:12" ht="13.5">
      <c r="A90" s="81" t="s">
        <v>71</v>
      </c>
      <c r="B90" s="65" t="s">
        <v>54</v>
      </c>
      <c r="C90" s="65" t="s">
        <v>52</v>
      </c>
      <c r="D90" s="66" t="s">
        <v>67</v>
      </c>
      <c r="E90" s="67"/>
      <c r="F90" s="65" t="s">
        <v>88</v>
      </c>
      <c r="G90" s="73">
        <v>21</v>
      </c>
      <c r="H90" s="74">
        <v>67</v>
      </c>
      <c r="I90" s="77">
        <f t="shared" si="0"/>
        <v>35.493828001476466</v>
      </c>
      <c r="J90" s="77">
        <v>16.100000381469727</v>
      </c>
      <c r="K90" s="77">
        <f t="shared" si="1"/>
        <v>16.261000385284422</v>
      </c>
      <c r="L90" s="68" t="s">
        <v>283</v>
      </c>
    </row>
    <row r="91" spans="1:12" ht="13.5">
      <c r="A91" s="81" t="s">
        <v>71</v>
      </c>
      <c r="B91" s="65" t="s">
        <v>54</v>
      </c>
      <c r="C91" s="65" t="s">
        <v>52</v>
      </c>
      <c r="D91" s="66" t="s">
        <v>67</v>
      </c>
      <c r="E91" s="67"/>
      <c r="F91" s="65" t="s">
        <v>88</v>
      </c>
      <c r="G91" s="73">
        <v>22</v>
      </c>
      <c r="H91" s="74">
        <v>72</v>
      </c>
      <c r="I91" s="77">
        <f t="shared" si="0"/>
        <v>38.139328124031188</v>
      </c>
      <c r="J91" s="77">
        <v>17.299999237060547</v>
      </c>
      <c r="K91" s="77">
        <f t="shared" si="1"/>
        <v>17.472999229431153</v>
      </c>
      <c r="L91" s="68" t="s">
        <v>283</v>
      </c>
    </row>
    <row r="92" spans="1:12" ht="13.5">
      <c r="A92" s="81" t="s">
        <v>71</v>
      </c>
      <c r="B92" s="65" t="s">
        <v>54</v>
      </c>
      <c r="C92" s="65" t="s">
        <v>52</v>
      </c>
      <c r="D92" s="66" t="s">
        <v>67</v>
      </c>
      <c r="E92" s="67"/>
      <c r="F92" s="65" t="s">
        <v>88</v>
      </c>
      <c r="G92" s="73">
        <v>23</v>
      </c>
      <c r="H92" s="74">
        <v>73</v>
      </c>
      <c r="I92" s="77">
        <f t="shared" ref="I92:I155" si="2">+J92/0.4536</f>
        <v>38.359787518805717</v>
      </c>
      <c r="J92" s="77">
        <v>17.399999618530273</v>
      </c>
      <c r="K92" s="77">
        <f t="shared" ref="K92:K155" si="3">+J92*1.01</f>
        <v>17.573999614715575</v>
      </c>
      <c r="L92" s="68" t="s">
        <v>283</v>
      </c>
    </row>
    <row r="93" spans="1:12" ht="13.5">
      <c r="A93" s="81" t="s">
        <v>71</v>
      </c>
      <c r="B93" s="65" t="s">
        <v>54</v>
      </c>
      <c r="C93" s="65" t="s">
        <v>52</v>
      </c>
      <c r="D93" s="66" t="s">
        <v>67</v>
      </c>
      <c r="E93" s="67"/>
      <c r="F93" s="65" t="s">
        <v>88</v>
      </c>
      <c r="G93" s="73">
        <v>24</v>
      </c>
      <c r="H93" s="74">
        <v>71</v>
      </c>
      <c r="I93" s="77">
        <f t="shared" si="2"/>
        <v>37.47795414462081</v>
      </c>
      <c r="J93" s="77">
        <v>17</v>
      </c>
      <c r="K93" s="77">
        <f t="shared" si="3"/>
        <v>17.170000000000002</v>
      </c>
      <c r="L93" s="68" t="s">
        <v>283</v>
      </c>
    </row>
    <row r="94" spans="1:12" ht="13.5">
      <c r="A94" s="81" t="s">
        <v>71</v>
      </c>
      <c r="B94" s="65" t="s">
        <v>54</v>
      </c>
      <c r="C94" s="65" t="s">
        <v>52</v>
      </c>
      <c r="D94" s="66" t="s">
        <v>67</v>
      </c>
      <c r="E94" s="67"/>
      <c r="F94" s="65" t="s">
        <v>88</v>
      </c>
      <c r="G94" s="73">
        <v>25</v>
      </c>
      <c r="H94" s="74">
        <v>71</v>
      </c>
      <c r="I94" s="77">
        <f t="shared" si="2"/>
        <v>37.47795414462081</v>
      </c>
      <c r="J94" s="77">
        <v>17</v>
      </c>
      <c r="K94" s="77">
        <f t="shared" si="3"/>
        <v>17.170000000000002</v>
      </c>
      <c r="L94" s="68" t="s">
        <v>283</v>
      </c>
    </row>
    <row r="95" spans="1:12" ht="13.5">
      <c r="A95" s="81" t="s">
        <v>71</v>
      </c>
      <c r="B95" s="65" t="s">
        <v>54</v>
      </c>
      <c r="C95" s="65" t="s">
        <v>52</v>
      </c>
      <c r="D95" s="66" t="s">
        <v>67</v>
      </c>
      <c r="E95" s="67"/>
      <c r="F95" s="65" t="s">
        <v>88</v>
      </c>
      <c r="G95" s="73">
        <v>26</v>
      </c>
      <c r="H95" s="74">
        <v>74</v>
      </c>
      <c r="I95" s="77">
        <f t="shared" si="2"/>
        <v>39.241620892990625</v>
      </c>
      <c r="J95" s="77">
        <v>17.799999237060547</v>
      </c>
      <c r="K95" s="77">
        <f t="shared" si="3"/>
        <v>17.977999229431152</v>
      </c>
      <c r="L95" s="68" t="s">
        <v>283</v>
      </c>
    </row>
    <row r="96" spans="1:12" ht="13.5">
      <c r="A96" s="81" t="s">
        <v>71</v>
      </c>
      <c r="B96" s="65" t="s">
        <v>54</v>
      </c>
      <c r="C96" s="65" t="s">
        <v>52</v>
      </c>
      <c r="D96" s="66" t="s">
        <v>67</v>
      </c>
      <c r="E96" s="67"/>
      <c r="F96" s="65" t="s">
        <v>88</v>
      </c>
      <c r="G96" s="73">
        <v>27</v>
      </c>
      <c r="H96" s="74">
        <v>70</v>
      </c>
      <c r="I96" s="77">
        <f t="shared" si="2"/>
        <v>36.816580165210432</v>
      </c>
      <c r="J96" s="77">
        <v>16.700000762939453</v>
      </c>
      <c r="K96" s="77">
        <f t="shared" si="3"/>
        <v>16.867000770568847</v>
      </c>
      <c r="L96" s="68" t="s">
        <v>283</v>
      </c>
    </row>
    <row r="97" spans="1:12" ht="13.5">
      <c r="A97" s="81" t="s">
        <v>71</v>
      </c>
      <c r="B97" s="65" t="s">
        <v>54</v>
      </c>
      <c r="C97" s="65" t="s">
        <v>52</v>
      </c>
      <c r="D97" s="66" t="s">
        <v>67</v>
      </c>
      <c r="E97" s="67"/>
      <c r="F97" s="65" t="s">
        <v>88</v>
      </c>
      <c r="G97" s="73">
        <v>28</v>
      </c>
      <c r="H97" s="74">
        <v>71</v>
      </c>
      <c r="I97" s="77">
        <f t="shared" si="2"/>
        <v>37.698413539395339</v>
      </c>
      <c r="J97" s="77">
        <v>17.100000381469727</v>
      </c>
      <c r="K97" s="77">
        <f t="shared" si="3"/>
        <v>17.271000385284424</v>
      </c>
      <c r="L97" s="68" t="s">
        <v>283</v>
      </c>
    </row>
    <row r="98" spans="1:12" ht="13.5">
      <c r="A98" s="81" t="s">
        <v>71</v>
      </c>
      <c r="B98" s="65" t="s">
        <v>54</v>
      </c>
      <c r="C98" s="65" t="s">
        <v>52</v>
      </c>
      <c r="D98" s="66" t="s">
        <v>67</v>
      </c>
      <c r="E98" s="67"/>
      <c r="F98" s="65" t="s">
        <v>88</v>
      </c>
      <c r="G98" s="73">
        <v>29</v>
      </c>
      <c r="H98" s="74">
        <v>72</v>
      </c>
      <c r="I98" s="77">
        <f t="shared" si="2"/>
        <v>37.918872934169869</v>
      </c>
      <c r="J98" s="77">
        <v>17.200000762939453</v>
      </c>
      <c r="K98" s="77">
        <f t="shared" si="3"/>
        <v>17.37200077056885</v>
      </c>
      <c r="L98" s="68" t="s">
        <v>283</v>
      </c>
    </row>
    <row r="99" spans="1:12" ht="13.5">
      <c r="A99" s="81" t="s">
        <v>71</v>
      </c>
      <c r="B99" s="65" t="s">
        <v>54</v>
      </c>
      <c r="C99" s="65" t="s">
        <v>52</v>
      </c>
      <c r="D99" s="66" t="s">
        <v>67</v>
      </c>
      <c r="E99" s="67"/>
      <c r="F99" s="65" t="s">
        <v>88</v>
      </c>
      <c r="G99" s="73">
        <v>30</v>
      </c>
      <c r="H99" s="74">
        <v>73</v>
      </c>
      <c r="I99" s="77">
        <f t="shared" si="2"/>
        <v>38.800706308354776</v>
      </c>
      <c r="J99" s="77">
        <v>17.600000381469727</v>
      </c>
      <c r="K99" s="77">
        <f t="shared" si="3"/>
        <v>17.776000385284423</v>
      </c>
      <c r="L99" s="68" t="s">
        <v>283</v>
      </c>
    </row>
    <row r="100" spans="1:12" ht="13.5">
      <c r="A100" s="81" t="s">
        <v>71</v>
      </c>
      <c r="B100" s="65" t="s">
        <v>54</v>
      </c>
      <c r="C100" s="65" t="s">
        <v>52</v>
      </c>
      <c r="D100" s="66" t="s">
        <v>67</v>
      </c>
      <c r="E100" s="67"/>
      <c r="F100" s="65" t="s">
        <v>88</v>
      </c>
      <c r="G100" s="73">
        <v>31</v>
      </c>
      <c r="H100" s="74">
        <v>73</v>
      </c>
      <c r="I100" s="77">
        <f t="shared" si="2"/>
        <v>38.800706308354776</v>
      </c>
      <c r="J100" s="77">
        <v>17.600000381469727</v>
      </c>
      <c r="K100" s="77">
        <f t="shared" si="3"/>
        <v>17.776000385284423</v>
      </c>
      <c r="L100" s="68" t="s">
        <v>283</v>
      </c>
    </row>
    <row r="101" spans="1:12" ht="13.5">
      <c r="A101" s="81" t="s">
        <v>71</v>
      </c>
      <c r="B101" s="65" t="s">
        <v>54</v>
      </c>
      <c r="C101" s="65" t="s">
        <v>52</v>
      </c>
      <c r="D101" s="66" t="s">
        <v>67</v>
      </c>
      <c r="E101" s="67"/>
      <c r="F101" s="65" t="s">
        <v>88</v>
      </c>
      <c r="G101" s="73">
        <v>32</v>
      </c>
      <c r="H101" s="74">
        <v>72</v>
      </c>
      <c r="I101" s="77">
        <f t="shared" si="2"/>
        <v>38.139328124031188</v>
      </c>
      <c r="J101" s="77">
        <v>17.299999237060547</v>
      </c>
      <c r="K101" s="77">
        <f t="shared" si="3"/>
        <v>17.472999229431153</v>
      </c>
      <c r="L101" s="68" t="s">
        <v>283</v>
      </c>
    </row>
    <row r="102" spans="1:12" ht="13.5">
      <c r="A102" s="81" t="s">
        <v>71</v>
      </c>
      <c r="B102" s="65" t="s">
        <v>54</v>
      </c>
      <c r="C102" s="65" t="s">
        <v>52</v>
      </c>
      <c r="D102" s="66" t="s">
        <v>67</v>
      </c>
      <c r="E102" s="67"/>
      <c r="F102" s="65" t="s">
        <v>88</v>
      </c>
      <c r="G102" s="73">
        <v>33</v>
      </c>
      <c r="H102" s="74">
        <v>74</v>
      </c>
      <c r="I102" s="77">
        <f t="shared" si="2"/>
        <v>39.021165703129306</v>
      </c>
      <c r="J102" s="77">
        <v>17.700000762939453</v>
      </c>
      <c r="K102" s="77">
        <f t="shared" si="3"/>
        <v>17.877000770568849</v>
      </c>
      <c r="L102" s="68" t="s">
        <v>283</v>
      </c>
    </row>
    <row r="103" spans="1:12" ht="13.5">
      <c r="A103" s="81" t="s">
        <v>71</v>
      </c>
      <c r="B103" s="65" t="s">
        <v>54</v>
      </c>
      <c r="C103" s="65" t="s">
        <v>52</v>
      </c>
      <c r="D103" s="66" t="s">
        <v>67</v>
      </c>
      <c r="E103" s="67"/>
      <c r="F103" s="65" t="s">
        <v>88</v>
      </c>
      <c r="G103" s="73">
        <v>34</v>
      </c>
      <c r="H103" s="74">
        <v>71</v>
      </c>
      <c r="I103" s="77">
        <f t="shared" si="2"/>
        <v>37.698413539395339</v>
      </c>
      <c r="J103" s="77">
        <v>17.100000381469727</v>
      </c>
      <c r="K103" s="77">
        <f t="shared" si="3"/>
        <v>17.271000385284424</v>
      </c>
      <c r="L103" s="68" t="s">
        <v>283</v>
      </c>
    </row>
    <row r="104" spans="1:12" ht="13.5">
      <c r="A104" s="81" t="s">
        <v>71</v>
      </c>
      <c r="B104" s="65" t="s">
        <v>54</v>
      </c>
      <c r="C104" s="65" t="s">
        <v>52</v>
      </c>
      <c r="D104" s="66" t="s">
        <v>67</v>
      </c>
      <c r="E104" s="67"/>
      <c r="F104" s="65" t="s">
        <v>88</v>
      </c>
      <c r="G104" s="73">
        <v>35</v>
      </c>
      <c r="H104" s="74">
        <v>74</v>
      </c>
      <c r="I104" s="77">
        <f t="shared" si="2"/>
        <v>39.021165703129306</v>
      </c>
      <c r="J104" s="77">
        <v>17.700000762939453</v>
      </c>
      <c r="K104" s="77">
        <f t="shared" si="3"/>
        <v>17.877000770568849</v>
      </c>
      <c r="L104" s="68" t="s">
        <v>283</v>
      </c>
    </row>
    <row r="105" spans="1:12" ht="13.5">
      <c r="A105" s="81" t="s">
        <v>71</v>
      </c>
      <c r="B105" s="65" t="s">
        <v>54</v>
      </c>
      <c r="C105" s="65" t="s">
        <v>52</v>
      </c>
      <c r="D105" s="66" t="s">
        <v>67</v>
      </c>
      <c r="E105" s="67"/>
      <c r="F105" s="65" t="s">
        <v>88</v>
      </c>
      <c r="G105" s="73">
        <v>36</v>
      </c>
      <c r="H105" s="74">
        <v>73</v>
      </c>
      <c r="I105" s="77">
        <f t="shared" si="2"/>
        <v>38.580246913580247</v>
      </c>
      <c r="J105" s="77">
        <v>17.5</v>
      </c>
      <c r="K105" s="77">
        <f t="shared" si="3"/>
        <v>17.675000000000001</v>
      </c>
      <c r="L105" s="68" t="s">
        <v>283</v>
      </c>
    </row>
    <row r="106" spans="1:12" ht="13.5">
      <c r="A106" s="81" t="s">
        <v>71</v>
      </c>
      <c r="B106" s="65" t="s">
        <v>54</v>
      </c>
      <c r="C106" s="65" t="s">
        <v>52</v>
      </c>
      <c r="D106" s="66" t="s">
        <v>67</v>
      </c>
      <c r="E106" s="67"/>
      <c r="F106" s="65" t="s">
        <v>88</v>
      </c>
      <c r="G106" s="73">
        <v>37</v>
      </c>
      <c r="H106" s="74">
        <v>68</v>
      </c>
      <c r="I106" s="77">
        <f t="shared" si="2"/>
        <v>36.155201980886844</v>
      </c>
      <c r="J106" s="77">
        <v>16.399999618530273</v>
      </c>
      <c r="K106" s="77">
        <f t="shared" si="3"/>
        <v>16.563999614715577</v>
      </c>
      <c r="L106" s="68" t="s">
        <v>283</v>
      </c>
    </row>
    <row r="107" spans="1:12" ht="13.5">
      <c r="A107" s="81" t="s">
        <v>71</v>
      </c>
      <c r="B107" s="65" t="s">
        <v>54</v>
      </c>
      <c r="C107" s="65" t="s">
        <v>52</v>
      </c>
      <c r="D107" s="66" t="s">
        <v>67</v>
      </c>
      <c r="E107" s="67"/>
      <c r="F107" s="65" t="s">
        <v>88</v>
      </c>
      <c r="G107" s="73">
        <v>38</v>
      </c>
      <c r="H107" s="74">
        <v>72</v>
      </c>
      <c r="I107" s="77">
        <f t="shared" si="2"/>
        <v>37.918872934169869</v>
      </c>
      <c r="J107" s="77">
        <v>17.200000762939453</v>
      </c>
      <c r="K107" s="77">
        <f t="shared" si="3"/>
        <v>17.37200077056885</v>
      </c>
      <c r="L107" s="68" t="s">
        <v>283</v>
      </c>
    </row>
    <row r="108" spans="1:12" ht="13.5">
      <c r="A108" s="81" t="s">
        <v>71</v>
      </c>
      <c r="B108" s="65" t="s">
        <v>54</v>
      </c>
      <c r="C108" s="65" t="s">
        <v>52</v>
      </c>
      <c r="D108" s="66" t="s">
        <v>67</v>
      </c>
      <c r="E108" s="67"/>
      <c r="F108" s="65" t="s">
        <v>88</v>
      </c>
      <c r="G108" s="73">
        <v>39</v>
      </c>
      <c r="H108" s="74">
        <v>75</v>
      </c>
      <c r="I108" s="77">
        <f t="shared" si="2"/>
        <v>39.462080287765154</v>
      </c>
      <c r="J108" s="77">
        <v>17.899999618530273</v>
      </c>
      <c r="K108" s="77">
        <f t="shared" si="3"/>
        <v>18.078999614715578</v>
      </c>
      <c r="L108" s="68" t="s">
        <v>283</v>
      </c>
    </row>
    <row r="109" spans="1:12" ht="13.5">
      <c r="A109" s="81" t="s">
        <v>71</v>
      </c>
      <c r="B109" s="65" t="s">
        <v>54</v>
      </c>
      <c r="C109" s="65" t="s">
        <v>52</v>
      </c>
      <c r="D109" s="66" t="s">
        <v>67</v>
      </c>
      <c r="E109" s="67"/>
      <c r="F109" s="65" t="s">
        <v>88</v>
      </c>
      <c r="G109" s="73">
        <v>40</v>
      </c>
      <c r="H109" s="74">
        <v>73</v>
      </c>
      <c r="I109" s="77">
        <f t="shared" si="2"/>
        <v>38.580246913580247</v>
      </c>
      <c r="J109" s="77">
        <v>17.5</v>
      </c>
      <c r="K109" s="77">
        <f t="shared" si="3"/>
        <v>17.675000000000001</v>
      </c>
      <c r="L109" s="68" t="s">
        <v>283</v>
      </c>
    </row>
    <row r="110" spans="1:12" ht="13.5">
      <c r="A110" s="81" t="s">
        <v>71</v>
      </c>
      <c r="B110" s="65" t="s">
        <v>54</v>
      </c>
      <c r="C110" s="65" t="s">
        <v>52</v>
      </c>
      <c r="D110" s="66" t="s">
        <v>67</v>
      </c>
      <c r="E110" s="67"/>
      <c r="F110" s="65" t="s">
        <v>88</v>
      </c>
      <c r="G110" s="73">
        <v>41</v>
      </c>
      <c r="H110" s="74">
        <v>74</v>
      </c>
      <c r="I110" s="77">
        <f t="shared" si="2"/>
        <v>39.241620892990625</v>
      </c>
      <c r="J110" s="77">
        <v>17.799999237060547</v>
      </c>
      <c r="K110" s="77">
        <f t="shared" si="3"/>
        <v>17.977999229431152</v>
      </c>
      <c r="L110" s="68" t="s">
        <v>283</v>
      </c>
    </row>
    <row r="111" spans="1:12" ht="13.5">
      <c r="A111" s="81" t="s">
        <v>71</v>
      </c>
      <c r="B111" s="65" t="s">
        <v>54</v>
      </c>
      <c r="C111" s="65" t="s">
        <v>52</v>
      </c>
      <c r="D111" s="66" t="s">
        <v>67</v>
      </c>
      <c r="E111" s="67"/>
      <c r="F111" s="65" t="s">
        <v>88</v>
      </c>
      <c r="G111" s="73">
        <v>42</v>
      </c>
      <c r="H111" s="74">
        <v>73</v>
      </c>
      <c r="I111" s="77">
        <f t="shared" si="2"/>
        <v>38.580246913580247</v>
      </c>
      <c r="J111" s="77">
        <v>17.5</v>
      </c>
      <c r="K111" s="77">
        <f t="shared" si="3"/>
        <v>17.675000000000001</v>
      </c>
      <c r="L111" s="68" t="s">
        <v>283</v>
      </c>
    </row>
    <row r="112" spans="1:12" ht="13.5">
      <c r="A112" s="81" t="s">
        <v>71</v>
      </c>
      <c r="B112" s="65" t="s">
        <v>54</v>
      </c>
      <c r="C112" s="65" t="s">
        <v>52</v>
      </c>
      <c r="D112" s="66" t="s">
        <v>67</v>
      </c>
      <c r="E112" s="67"/>
      <c r="F112" s="65" t="s">
        <v>88</v>
      </c>
      <c r="G112" s="73">
        <v>43</v>
      </c>
      <c r="H112" s="74">
        <v>72</v>
      </c>
      <c r="I112" s="77">
        <f t="shared" si="2"/>
        <v>37.918872934169869</v>
      </c>
      <c r="J112" s="77">
        <v>17.200000762939453</v>
      </c>
      <c r="K112" s="77">
        <f t="shared" si="3"/>
        <v>17.37200077056885</v>
      </c>
      <c r="L112" s="68" t="s">
        <v>283</v>
      </c>
    </row>
    <row r="113" spans="1:12" ht="13.5">
      <c r="A113" s="81" t="s">
        <v>71</v>
      </c>
      <c r="B113" s="65" t="s">
        <v>54</v>
      </c>
      <c r="C113" s="65" t="s">
        <v>52</v>
      </c>
      <c r="D113" s="66" t="s">
        <v>67</v>
      </c>
      <c r="E113" s="67"/>
      <c r="F113" s="65" t="s">
        <v>88</v>
      </c>
      <c r="G113" s="73">
        <v>44</v>
      </c>
      <c r="H113" s="74">
        <v>70</v>
      </c>
      <c r="I113" s="77">
        <f t="shared" si="2"/>
        <v>36.816580165210432</v>
      </c>
      <c r="J113" s="77">
        <v>16.700000762939453</v>
      </c>
      <c r="K113" s="77">
        <f t="shared" si="3"/>
        <v>16.867000770568847</v>
      </c>
      <c r="L113" s="68" t="s">
        <v>283</v>
      </c>
    </row>
    <row r="114" spans="1:12" ht="13.5">
      <c r="A114" s="81" t="s">
        <v>71</v>
      </c>
      <c r="B114" s="65" t="s">
        <v>54</v>
      </c>
      <c r="C114" s="65" t="s">
        <v>52</v>
      </c>
      <c r="D114" s="66" t="s">
        <v>67</v>
      </c>
      <c r="E114" s="67"/>
      <c r="F114" s="65" t="s">
        <v>88</v>
      </c>
      <c r="G114" s="73">
        <v>45</v>
      </c>
      <c r="H114" s="74">
        <v>70</v>
      </c>
      <c r="I114" s="77">
        <f t="shared" si="2"/>
        <v>37.257494749846281</v>
      </c>
      <c r="J114" s="77">
        <v>16.899999618530273</v>
      </c>
      <c r="K114" s="77">
        <f t="shared" si="3"/>
        <v>17.068999614715576</v>
      </c>
      <c r="L114" s="68" t="s">
        <v>283</v>
      </c>
    </row>
    <row r="115" spans="1:12" ht="13.5">
      <c r="A115" s="81" t="s">
        <v>71</v>
      </c>
      <c r="B115" s="65" t="s">
        <v>54</v>
      </c>
      <c r="C115" s="65" t="s">
        <v>52</v>
      </c>
      <c r="D115" s="66" t="s">
        <v>67</v>
      </c>
      <c r="E115" s="67"/>
      <c r="F115" s="65" t="s">
        <v>88</v>
      </c>
      <c r="G115" s="73">
        <v>46</v>
      </c>
      <c r="H115" s="74">
        <v>72</v>
      </c>
      <c r="I115" s="77">
        <f t="shared" si="2"/>
        <v>37.918872934169869</v>
      </c>
      <c r="J115" s="77">
        <v>17.200000762939453</v>
      </c>
      <c r="K115" s="77">
        <f t="shared" si="3"/>
        <v>17.37200077056885</v>
      </c>
      <c r="L115" s="68" t="s">
        <v>283</v>
      </c>
    </row>
    <row r="116" spans="1:12" ht="13.5">
      <c r="A116" s="81" t="s">
        <v>71</v>
      </c>
      <c r="B116" s="65" t="s">
        <v>54</v>
      </c>
      <c r="C116" s="65" t="s">
        <v>52</v>
      </c>
      <c r="D116" s="66" t="s">
        <v>67</v>
      </c>
      <c r="E116" s="67"/>
      <c r="F116" s="65" t="s">
        <v>88</v>
      </c>
      <c r="G116" s="73">
        <v>47</v>
      </c>
      <c r="H116" s="74">
        <v>70</v>
      </c>
      <c r="I116" s="77">
        <f t="shared" si="2"/>
        <v>37.037035355071751</v>
      </c>
      <c r="J116" s="77">
        <v>16.799999237060547</v>
      </c>
      <c r="K116" s="77">
        <f t="shared" si="3"/>
        <v>16.967999229431154</v>
      </c>
      <c r="L116" s="68" t="s">
        <v>283</v>
      </c>
    </row>
    <row r="117" spans="1:12" ht="13.5">
      <c r="A117" s="81" t="s">
        <v>71</v>
      </c>
      <c r="B117" s="65" t="s">
        <v>54</v>
      </c>
      <c r="C117" s="65" t="s">
        <v>52</v>
      </c>
      <c r="D117" s="66" t="s">
        <v>67</v>
      </c>
      <c r="E117" s="67"/>
      <c r="F117" s="65" t="s">
        <v>88</v>
      </c>
      <c r="G117" s="73">
        <v>48</v>
      </c>
      <c r="H117" s="74">
        <v>72</v>
      </c>
      <c r="I117" s="77">
        <f t="shared" si="2"/>
        <v>38.139328124031188</v>
      </c>
      <c r="J117" s="77">
        <v>17.299999237060547</v>
      </c>
      <c r="K117" s="77">
        <f t="shared" si="3"/>
        <v>17.472999229431153</v>
      </c>
      <c r="L117" s="68" t="s">
        <v>283</v>
      </c>
    </row>
    <row r="118" spans="1:12" ht="13.5">
      <c r="A118" s="81" t="s">
        <v>71</v>
      </c>
      <c r="B118" s="65" t="s">
        <v>54</v>
      </c>
      <c r="C118" s="65" t="s">
        <v>52</v>
      </c>
      <c r="D118" s="66" t="s">
        <v>67</v>
      </c>
      <c r="E118" s="67"/>
      <c r="F118" s="65" t="s">
        <v>88</v>
      </c>
      <c r="G118" s="73">
        <v>49</v>
      </c>
      <c r="H118" s="74">
        <v>71</v>
      </c>
      <c r="I118" s="77">
        <f t="shared" si="2"/>
        <v>37.698413539395339</v>
      </c>
      <c r="J118" s="77">
        <v>17.100000381469727</v>
      </c>
      <c r="K118" s="77">
        <f t="shared" si="3"/>
        <v>17.271000385284424</v>
      </c>
      <c r="L118" s="68" t="s">
        <v>283</v>
      </c>
    </row>
    <row r="119" spans="1:12" ht="13.5">
      <c r="A119" s="81" t="s">
        <v>71</v>
      </c>
      <c r="B119" s="65" t="s">
        <v>54</v>
      </c>
      <c r="C119" s="65" t="s">
        <v>52</v>
      </c>
      <c r="D119" s="66" t="s">
        <v>67</v>
      </c>
      <c r="E119" s="67"/>
      <c r="F119" s="65" t="s">
        <v>88</v>
      </c>
      <c r="G119" s="73">
        <v>50</v>
      </c>
      <c r="H119" s="74">
        <v>72</v>
      </c>
      <c r="I119" s="77">
        <f t="shared" si="2"/>
        <v>37.918872934169869</v>
      </c>
      <c r="J119" s="77">
        <v>17.200000762939453</v>
      </c>
      <c r="K119" s="77">
        <f t="shared" si="3"/>
        <v>17.37200077056885</v>
      </c>
      <c r="L119" s="68" t="s">
        <v>283</v>
      </c>
    </row>
    <row r="120" spans="1:12" ht="13.5">
      <c r="A120" s="81" t="s">
        <v>71</v>
      </c>
      <c r="B120" s="65" t="s">
        <v>54</v>
      </c>
      <c r="C120" s="65" t="s">
        <v>52</v>
      </c>
      <c r="D120" s="66" t="s">
        <v>67</v>
      </c>
      <c r="E120" s="67"/>
      <c r="F120" s="65" t="s">
        <v>88</v>
      </c>
      <c r="G120" s="73">
        <v>51</v>
      </c>
      <c r="H120" s="74">
        <v>72</v>
      </c>
      <c r="I120" s="77">
        <f t="shared" si="2"/>
        <v>38.139328124031188</v>
      </c>
      <c r="J120" s="77">
        <v>17.299999237060547</v>
      </c>
      <c r="K120" s="77">
        <f t="shared" si="3"/>
        <v>17.472999229431153</v>
      </c>
      <c r="L120" s="68" t="s">
        <v>283</v>
      </c>
    </row>
    <row r="121" spans="1:12" ht="13.5">
      <c r="A121" s="81" t="s">
        <v>71</v>
      </c>
      <c r="B121" s="65" t="s">
        <v>54</v>
      </c>
      <c r="C121" s="65" t="s">
        <v>52</v>
      </c>
      <c r="D121" s="66" t="s">
        <v>67</v>
      </c>
      <c r="E121" s="67"/>
      <c r="F121" s="65" t="s">
        <v>88</v>
      </c>
      <c r="G121" s="73">
        <v>52</v>
      </c>
      <c r="H121" s="74">
        <v>74</v>
      </c>
      <c r="I121" s="77">
        <f t="shared" si="2"/>
        <v>39.021165703129306</v>
      </c>
      <c r="J121" s="77">
        <v>17.700000762939453</v>
      </c>
      <c r="K121" s="77">
        <f t="shared" si="3"/>
        <v>17.877000770568849</v>
      </c>
      <c r="L121" s="68" t="s">
        <v>283</v>
      </c>
    </row>
    <row r="122" spans="1:12" ht="13.5">
      <c r="A122" s="81"/>
      <c r="B122" s="65"/>
      <c r="C122" s="65"/>
      <c r="D122" s="66" t="s">
        <v>53</v>
      </c>
      <c r="E122" s="67"/>
      <c r="F122" s="65"/>
      <c r="G122" s="73">
        <v>52</v>
      </c>
      <c r="H122" s="74">
        <f>SUM(H70:H121)</f>
        <v>3733</v>
      </c>
      <c r="I122" s="77">
        <f t="shared" si="2"/>
        <v>1973.7654388266265</v>
      </c>
      <c r="J122" s="77">
        <f>SUM(J70:J121)</f>
        <v>895.30000305175781</v>
      </c>
      <c r="K122" s="77">
        <f t="shared" si="3"/>
        <v>904.25300308227543</v>
      </c>
      <c r="L122" s="68" t="s">
        <v>283</v>
      </c>
    </row>
    <row r="123" spans="1:12" ht="13.5">
      <c r="A123" s="81"/>
      <c r="B123" s="65"/>
      <c r="C123" s="65"/>
      <c r="D123" s="66" t="s">
        <v>76</v>
      </c>
      <c r="E123" s="67"/>
      <c r="F123" s="65"/>
      <c r="G123" s="73">
        <v>94</v>
      </c>
      <c r="H123" s="74">
        <f>+H69+H122</f>
        <v>6766</v>
      </c>
      <c r="I123" s="77">
        <f t="shared" si="2"/>
        <v>3553.1305194531797</v>
      </c>
      <c r="J123" s="77">
        <f>+J69+J122</f>
        <v>1611.7000036239624</v>
      </c>
      <c r="K123" s="77">
        <f t="shared" si="3"/>
        <v>1627.8170036602021</v>
      </c>
      <c r="L123" s="68" t="s">
        <v>283</v>
      </c>
    </row>
    <row r="124" spans="1:12" ht="13.5">
      <c r="A124" s="81" t="s">
        <v>284</v>
      </c>
      <c r="B124" s="65" t="s">
        <v>285</v>
      </c>
      <c r="C124" s="65" t="s">
        <v>41</v>
      </c>
      <c r="D124" s="66" t="s">
        <v>286</v>
      </c>
      <c r="E124" s="67"/>
      <c r="F124" s="65" t="s">
        <v>89</v>
      </c>
      <c r="G124" s="73">
        <v>1</v>
      </c>
      <c r="H124" s="74">
        <v>71</v>
      </c>
      <c r="I124" s="77">
        <f t="shared" si="2"/>
        <v>38.139329805996475</v>
      </c>
      <c r="J124" s="77">
        <v>17.3</v>
      </c>
      <c r="K124" s="77">
        <f t="shared" si="3"/>
        <v>17.473000000000003</v>
      </c>
      <c r="L124" s="68" t="s">
        <v>283</v>
      </c>
    </row>
    <row r="125" spans="1:12" ht="13.5">
      <c r="A125" s="81" t="s">
        <v>284</v>
      </c>
      <c r="B125" s="65" t="s">
        <v>285</v>
      </c>
      <c r="C125" s="65" t="s">
        <v>41</v>
      </c>
      <c r="D125" s="66" t="s">
        <v>286</v>
      </c>
      <c r="E125" s="67"/>
      <c r="F125" s="65" t="s">
        <v>89</v>
      </c>
      <c r="G125" s="73">
        <v>2</v>
      </c>
      <c r="H125" s="74">
        <v>69</v>
      </c>
      <c r="I125" s="77">
        <f t="shared" si="2"/>
        <v>37.037037037037038</v>
      </c>
      <c r="J125" s="77">
        <v>16.8</v>
      </c>
      <c r="K125" s="77">
        <f t="shared" si="3"/>
        <v>16.968</v>
      </c>
      <c r="L125" s="68" t="s">
        <v>283</v>
      </c>
    </row>
    <row r="126" spans="1:12" ht="13.5">
      <c r="A126" s="81" t="s">
        <v>284</v>
      </c>
      <c r="B126" s="65" t="s">
        <v>285</v>
      </c>
      <c r="C126" s="65" t="s">
        <v>41</v>
      </c>
      <c r="D126" s="66" t="s">
        <v>286</v>
      </c>
      <c r="E126" s="67"/>
      <c r="F126" s="65" t="s">
        <v>89</v>
      </c>
      <c r="G126" s="73">
        <v>3</v>
      </c>
      <c r="H126" s="74">
        <v>72</v>
      </c>
      <c r="I126" s="77">
        <f t="shared" si="2"/>
        <v>39.021164021164019</v>
      </c>
      <c r="J126" s="77">
        <v>17.7</v>
      </c>
      <c r="K126" s="77">
        <f t="shared" si="3"/>
        <v>17.876999999999999</v>
      </c>
      <c r="L126" s="68" t="s">
        <v>283</v>
      </c>
    </row>
    <row r="127" spans="1:12" ht="13.5">
      <c r="A127" s="81" t="s">
        <v>284</v>
      </c>
      <c r="B127" s="65" t="s">
        <v>285</v>
      </c>
      <c r="C127" s="65" t="s">
        <v>41</v>
      </c>
      <c r="D127" s="66" t="s">
        <v>286</v>
      </c>
      <c r="E127" s="67"/>
      <c r="F127" s="65" t="s">
        <v>89</v>
      </c>
      <c r="G127" s="73">
        <v>4</v>
      </c>
      <c r="H127" s="74">
        <v>70</v>
      </c>
      <c r="I127" s="77">
        <f t="shared" si="2"/>
        <v>37.698412698412703</v>
      </c>
      <c r="J127" s="77">
        <v>17.100000000000001</v>
      </c>
      <c r="K127" s="77">
        <f t="shared" si="3"/>
        <v>17.271000000000001</v>
      </c>
      <c r="L127" s="68" t="s">
        <v>283</v>
      </c>
    </row>
    <row r="128" spans="1:12" ht="13.5">
      <c r="A128" s="81" t="s">
        <v>284</v>
      </c>
      <c r="B128" s="65" t="s">
        <v>285</v>
      </c>
      <c r="C128" s="65" t="s">
        <v>41</v>
      </c>
      <c r="D128" s="66" t="s">
        <v>286</v>
      </c>
      <c r="E128" s="67"/>
      <c r="F128" s="65" t="s">
        <v>89</v>
      </c>
      <c r="G128" s="73">
        <v>5</v>
      </c>
      <c r="H128" s="74">
        <v>73</v>
      </c>
      <c r="I128" s="77">
        <f t="shared" si="2"/>
        <v>39.462081128747791</v>
      </c>
      <c r="J128" s="77">
        <v>17.899999999999999</v>
      </c>
      <c r="K128" s="77">
        <f t="shared" si="3"/>
        <v>18.078999999999997</v>
      </c>
      <c r="L128" s="68" t="s">
        <v>283</v>
      </c>
    </row>
    <row r="129" spans="1:12" ht="13.5">
      <c r="A129" s="81" t="s">
        <v>284</v>
      </c>
      <c r="B129" s="65" t="s">
        <v>285</v>
      </c>
      <c r="C129" s="65" t="s">
        <v>41</v>
      </c>
      <c r="D129" s="66" t="s">
        <v>286</v>
      </c>
      <c r="E129" s="67"/>
      <c r="F129" s="65" t="s">
        <v>89</v>
      </c>
      <c r="G129" s="73">
        <v>6</v>
      </c>
      <c r="H129" s="74">
        <v>70</v>
      </c>
      <c r="I129" s="77">
        <f t="shared" si="2"/>
        <v>37.47795414462081</v>
      </c>
      <c r="J129" s="77">
        <v>17</v>
      </c>
      <c r="K129" s="77">
        <f t="shared" si="3"/>
        <v>17.170000000000002</v>
      </c>
      <c r="L129" s="68" t="s">
        <v>283</v>
      </c>
    </row>
    <row r="130" spans="1:12" ht="13.5">
      <c r="A130" s="81" t="s">
        <v>284</v>
      </c>
      <c r="B130" s="65" t="s">
        <v>285</v>
      </c>
      <c r="C130" s="65" t="s">
        <v>41</v>
      </c>
      <c r="D130" s="66" t="s">
        <v>286</v>
      </c>
      <c r="E130" s="67"/>
      <c r="F130" s="65" t="s">
        <v>89</v>
      </c>
      <c r="G130" s="73">
        <v>7</v>
      </c>
      <c r="H130" s="74">
        <v>75</v>
      </c>
      <c r="I130" s="77">
        <f t="shared" si="2"/>
        <v>40.564373897707227</v>
      </c>
      <c r="J130" s="77">
        <v>18.399999999999999</v>
      </c>
      <c r="K130" s="77">
        <f t="shared" si="3"/>
        <v>18.584</v>
      </c>
      <c r="L130" s="68" t="s">
        <v>283</v>
      </c>
    </row>
    <row r="131" spans="1:12" ht="13.5">
      <c r="A131" s="81" t="s">
        <v>284</v>
      </c>
      <c r="B131" s="65" t="s">
        <v>285</v>
      </c>
      <c r="C131" s="65" t="s">
        <v>41</v>
      </c>
      <c r="D131" s="66" t="s">
        <v>286</v>
      </c>
      <c r="E131" s="67"/>
      <c r="F131" s="65" t="s">
        <v>89</v>
      </c>
      <c r="G131" s="73">
        <v>8</v>
      </c>
      <c r="H131" s="74">
        <v>75</v>
      </c>
      <c r="I131" s="77">
        <f t="shared" si="2"/>
        <v>40.564373897707227</v>
      </c>
      <c r="J131" s="77">
        <v>18.399999999999999</v>
      </c>
      <c r="K131" s="77">
        <f t="shared" si="3"/>
        <v>18.584</v>
      </c>
      <c r="L131" s="68" t="s">
        <v>283</v>
      </c>
    </row>
    <row r="132" spans="1:12" ht="13.5">
      <c r="A132" s="81" t="s">
        <v>284</v>
      </c>
      <c r="B132" s="65" t="s">
        <v>285</v>
      </c>
      <c r="C132" s="65" t="s">
        <v>41</v>
      </c>
      <c r="D132" s="66" t="s">
        <v>286</v>
      </c>
      <c r="E132" s="67"/>
      <c r="F132" s="65" t="s">
        <v>89</v>
      </c>
      <c r="G132" s="73">
        <v>9</v>
      </c>
      <c r="H132" s="74">
        <v>71</v>
      </c>
      <c r="I132" s="77">
        <f t="shared" si="2"/>
        <v>38.359788359788354</v>
      </c>
      <c r="J132" s="77">
        <v>17.399999999999999</v>
      </c>
      <c r="K132" s="77">
        <f t="shared" si="3"/>
        <v>17.573999999999998</v>
      </c>
      <c r="L132" s="68" t="s">
        <v>283</v>
      </c>
    </row>
    <row r="133" spans="1:12" ht="13.5">
      <c r="A133" s="81" t="s">
        <v>284</v>
      </c>
      <c r="B133" s="65" t="s">
        <v>285</v>
      </c>
      <c r="C133" s="65" t="s">
        <v>41</v>
      </c>
      <c r="D133" s="66" t="s">
        <v>286</v>
      </c>
      <c r="E133" s="67"/>
      <c r="F133" s="65" t="s">
        <v>89</v>
      </c>
      <c r="G133" s="73">
        <v>10</v>
      </c>
      <c r="H133" s="74">
        <v>71</v>
      </c>
      <c r="I133" s="77">
        <f t="shared" si="2"/>
        <v>38.139329805996475</v>
      </c>
      <c r="J133" s="77">
        <v>17.3</v>
      </c>
      <c r="K133" s="77">
        <f t="shared" si="3"/>
        <v>17.473000000000003</v>
      </c>
      <c r="L133" s="68" t="s">
        <v>283</v>
      </c>
    </row>
    <row r="134" spans="1:12" ht="13.5">
      <c r="A134" s="81" t="s">
        <v>284</v>
      </c>
      <c r="B134" s="65" t="s">
        <v>285</v>
      </c>
      <c r="C134" s="65" t="s">
        <v>41</v>
      </c>
      <c r="D134" s="66" t="s">
        <v>286</v>
      </c>
      <c r="E134" s="67"/>
      <c r="F134" s="65" t="s">
        <v>89</v>
      </c>
      <c r="G134" s="73">
        <v>11</v>
      </c>
      <c r="H134" s="74">
        <v>70</v>
      </c>
      <c r="I134" s="77">
        <f t="shared" si="2"/>
        <v>37.918871252204582</v>
      </c>
      <c r="J134" s="77">
        <v>17.2</v>
      </c>
      <c r="K134" s="77">
        <f t="shared" si="3"/>
        <v>17.372</v>
      </c>
      <c r="L134" s="68" t="s">
        <v>283</v>
      </c>
    </row>
    <row r="135" spans="1:12" ht="13.5">
      <c r="A135" s="81" t="s">
        <v>284</v>
      </c>
      <c r="B135" s="65" t="s">
        <v>285</v>
      </c>
      <c r="C135" s="65" t="s">
        <v>41</v>
      </c>
      <c r="D135" s="66" t="s">
        <v>286</v>
      </c>
      <c r="E135" s="67"/>
      <c r="F135" s="65" t="s">
        <v>89</v>
      </c>
      <c r="G135" s="73">
        <v>12</v>
      </c>
      <c r="H135" s="74">
        <v>70</v>
      </c>
      <c r="I135" s="77">
        <f t="shared" si="2"/>
        <v>37.698412698412703</v>
      </c>
      <c r="J135" s="77">
        <v>17.100000000000001</v>
      </c>
      <c r="K135" s="77">
        <f t="shared" si="3"/>
        <v>17.271000000000001</v>
      </c>
      <c r="L135" s="68" t="s">
        <v>283</v>
      </c>
    </row>
    <row r="136" spans="1:12" ht="13.5">
      <c r="A136" s="81" t="s">
        <v>284</v>
      </c>
      <c r="B136" s="65" t="s">
        <v>285</v>
      </c>
      <c r="C136" s="65" t="s">
        <v>41</v>
      </c>
      <c r="D136" s="66" t="s">
        <v>286</v>
      </c>
      <c r="E136" s="67"/>
      <c r="F136" s="65" t="s">
        <v>89</v>
      </c>
      <c r="G136" s="73">
        <v>13</v>
      </c>
      <c r="H136" s="74">
        <v>71</v>
      </c>
      <c r="I136" s="77">
        <f t="shared" si="2"/>
        <v>38.359788359788354</v>
      </c>
      <c r="J136" s="77">
        <v>17.399999999999999</v>
      </c>
      <c r="K136" s="77">
        <f t="shared" si="3"/>
        <v>17.573999999999998</v>
      </c>
      <c r="L136" s="68" t="s">
        <v>283</v>
      </c>
    </row>
    <row r="137" spans="1:12" ht="13.5">
      <c r="A137" s="81" t="s">
        <v>284</v>
      </c>
      <c r="B137" s="65" t="s">
        <v>285</v>
      </c>
      <c r="C137" s="65" t="s">
        <v>41</v>
      </c>
      <c r="D137" s="66" t="s">
        <v>286</v>
      </c>
      <c r="E137" s="67"/>
      <c r="F137" s="65" t="s">
        <v>89</v>
      </c>
      <c r="G137" s="73">
        <v>14</v>
      </c>
      <c r="H137" s="74">
        <v>70</v>
      </c>
      <c r="I137" s="77">
        <f t="shared" si="2"/>
        <v>37.918871252204582</v>
      </c>
      <c r="J137" s="77">
        <v>17.2</v>
      </c>
      <c r="K137" s="77">
        <f t="shared" si="3"/>
        <v>17.372</v>
      </c>
      <c r="L137" s="68" t="s">
        <v>283</v>
      </c>
    </row>
    <row r="138" spans="1:12" ht="13.5">
      <c r="A138" s="81" t="s">
        <v>284</v>
      </c>
      <c r="B138" s="65" t="s">
        <v>285</v>
      </c>
      <c r="C138" s="65" t="s">
        <v>41</v>
      </c>
      <c r="D138" s="66" t="s">
        <v>286</v>
      </c>
      <c r="E138" s="67"/>
      <c r="F138" s="65" t="s">
        <v>89</v>
      </c>
      <c r="G138" s="73">
        <v>15</v>
      </c>
      <c r="H138" s="74">
        <v>71</v>
      </c>
      <c r="I138" s="77">
        <f t="shared" si="2"/>
        <v>38.139329805996475</v>
      </c>
      <c r="J138" s="77">
        <v>17.3</v>
      </c>
      <c r="K138" s="77">
        <f t="shared" si="3"/>
        <v>17.473000000000003</v>
      </c>
      <c r="L138" s="68" t="s">
        <v>283</v>
      </c>
    </row>
    <row r="139" spans="1:12" ht="13.5">
      <c r="A139" s="81"/>
      <c r="B139" s="65"/>
      <c r="C139" s="65"/>
      <c r="D139" s="66" t="s">
        <v>53</v>
      </c>
      <c r="E139" s="67"/>
      <c r="F139" s="65"/>
      <c r="G139" s="73">
        <v>15</v>
      </c>
      <c r="H139" s="74">
        <f>SUM(H124:H138)</f>
        <v>1069</v>
      </c>
      <c r="I139" s="77">
        <f t="shared" si="2"/>
        <v>576.49911816578481</v>
      </c>
      <c r="J139" s="77">
        <f>SUM(J124:J138)</f>
        <v>261.5</v>
      </c>
      <c r="K139" s="77">
        <f t="shared" si="3"/>
        <v>264.11500000000001</v>
      </c>
      <c r="L139" s="68" t="s">
        <v>283</v>
      </c>
    </row>
    <row r="140" spans="1:12" ht="13.5">
      <c r="A140" s="81"/>
      <c r="B140" s="65"/>
      <c r="C140" s="65"/>
      <c r="D140" s="66" t="s">
        <v>76</v>
      </c>
      <c r="E140" s="67"/>
      <c r="F140" s="65"/>
      <c r="G140" s="73">
        <v>15</v>
      </c>
      <c r="H140" s="74">
        <f>+H139</f>
        <v>1069</v>
      </c>
      <c r="I140" s="77">
        <f t="shared" si="2"/>
        <v>576.49911816578481</v>
      </c>
      <c r="J140" s="77">
        <f>+J139</f>
        <v>261.5</v>
      </c>
      <c r="K140" s="77">
        <f t="shared" si="3"/>
        <v>264.11500000000001</v>
      </c>
      <c r="L140" s="68" t="s">
        <v>283</v>
      </c>
    </row>
    <row r="141" spans="1:12" ht="13.5">
      <c r="A141" s="81" t="s">
        <v>287</v>
      </c>
      <c r="B141" s="65" t="s">
        <v>288</v>
      </c>
      <c r="C141" s="65" t="s">
        <v>63</v>
      </c>
      <c r="D141" s="66" t="s">
        <v>75</v>
      </c>
      <c r="E141" s="67"/>
      <c r="F141" s="65" t="s">
        <v>90</v>
      </c>
      <c r="G141" s="73">
        <v>1</v>
      </c>
      <c r="H141" s="74">
        <v>68.8</v>
      </c>
      <c r="I141" s="77">
        <f t="shared" si="2"/>
        <v>36.375661375661373</v>
      </c>
      <c r="J141" s="77">
        <v>16.5</v>
      </c>
      <c r="K141" s="77">
        <f t="shared" si="3"/>
        <v>16.664999999999999</v>
      </c>
      <c r="L141" s="68" t="s">
        <v>283</v>
      </c>
    </row>
    <row r="142" spans="1:12" ht="13.5">
      <c r="A142" s="81" t="s">
        <v>287</v>
      </c>
      <c r="B142" s="65" t="s">
        <v>288</v>
      </c>
      <c r="C142" s="65" t="s">
        <v>63</v>
      </c>
      <c r="D142" s="66" t="s">
        <v>75</v>
      </c>
      <c r="E142" s="67"/>
      <c r="F142" s="65" t="s">
        <v>90</v>
      </c>
      <c r="G142" s="73">
        <v>2</v>
      </c>
      <c r="H142" s="74">
        <v>56.7</v>
      </c>
      <c r="I142" s="77">
        <f t="shared" si="2"/>
        <v>29.982363315696649</v>
      </c>
      <c r="J142" s="77">
        <v>13.6</v>
      </c>
      <c r="K142" s="77">
        <f t="shared" si="3"/>
        <v>13.735999999999999</v>
      </c>
      <c r="L142" s="68" t="s">
        <v>283</v>
      </c>
    </row>
    <row r="143" spans="1:12" ht="13.5">
      <c r="A143" s="81" t="s">
        <v>287</v>
      </c>
      <c r="B143" s="65" t="s">
        <v>288</v>
      </c>
      <c r="C143" s="65" t="s">
        <v>63</v>
      </c>
      <c r="D143" s="66" t="s">
        <v>75</v>
      </c>
      <c r="E143" s="67"/>
      <c r="F143" s="65" t="s">
        <v>90</v>
      </c>
      <c r="G143" s="73">
        <v>3</v>
      </c>
      <c r="H143" s="74">
        <v>70.8</v>
      </c>
      <c r="I143" s="77">
        <f t="shared" si="2"/>
        <v>37.47795414462081</v>
      </c>
      <c r="J143" s="77">
        <v>17</v>
      </c>
      <c r="K143" s="77">
        <f t="shared" si="3"/>
        <v>17.170000000000002</v>
      </c>
      <c r="L143" s="68" t="s">
        <v>283</v>
      </c>
    </row>
    <row r="144" spans="1:12" ht="13.5">
      <c r="A144" s="81"/>
      <c r="B144" s="65"/>
      <c r="C144" s="65"/>
      <c r="D144" s="66" t="s">
        <v>53</v>
      </c>
      <c r="E144" s="67"/>
      <c r="F144" s="65"/>
      <c r="G144" s="73">
        <v>3</v>
      </c>
      <c r="H144" s="74">
        <v>196.3</v>
      </c>
      <c r="I144" s="77">
        <f t="shared" si="2"/>
        <v>103.83597883597884</v>
      </c>
      <c r="J144" s="77">
        <v>47.1</v>
      </c>
      <c r="K144" s="77">
        <f t="shared" si="3"/>
        <v>47.571000000000005</v>
      </c>
      <c r="L144" s="68" t="s">
        <v>283</v>
      </c>
    </row>
    <row r="145" spans="1:12" ht="13.5">
      <c r="A145" s="81" t="s">
        <v>287</v>
      </c>
      <c r="B145" s="65" t="s">
        <v>288</v>
      </c>
      <c r="C145" s="65" t="s">
        <v>63</v>
      </c>
      <c r="D145" s="66" t="s">
        <v>75</v>
      </c>
      <c r="E145" s="67"/>
      <c r="F145" s="65" t="s">
        <v>70</v>
      </c>
      <c r="G145" s="73">
        <v>1</v>
      </c>
      <c r="H145" s="74">
        <v>75.5</v>
      </c>
      <c r="I145" s="77">
        <f t="shared" si="2"/>
        <v>40.784832451499121</v>
      </c>
      <c r="J145" s="77">
        <v>18.5</v>
      </c>
      <c r="K145" s="77">
        <f t="shared" si="3"/>
        <v>18.684999999999999</v>
      </c>
      <c r="L145" s="68" t="s">
        <v>283</v>
      </c>
    </row>
    <row r="146" spans="1:12" ht="13.5">
      <c r="A146" s="81" t="s">
        <v>287</v>
      </c>
      <c r="B146" s="65" t="s">
        <v>288</v>
      </c>
      <c r="C146" s="65" t="s">
        <v>63</v>
      </c>
      <c r="D146" s="66" t="s">
        <v>75</v>
      </c>
      <c r="E146" s="67"/>
      <c r="F146" s="65" t="s">
        <v>70</v>
      </c>
      <c r="G146" s="73">
        <v>2</v>
      </c>
      <c r="H146" s="74">
        <v>66.900000000000006</v>
      </c>
      <c r="I146" s="77">
        <f t="shared" si="2"/>
        <v>36.155202821869487</v>
      </c>
      <c r="J146" s="77">
        <v>16.399999999999999</v>
      </c>
      <c r="K146" s="77">
        <f t="shared" si="3"/>
        <v>16.564</v>
      </c>
      <c r="L146" s="68" t="s">
        <v>283</v>
      </c>
    </row>
    <row r="147" spans="1:12" ht="13.5">
      <c r="A147" s="81" t="s">
        <v>287</v>
      </c>
      <c r="B147" s="65" t="s">
        <v>288</v>
      </c>
      <c r="C147" s="65" t="s">
        <v>63</v>
      </c>
      <c r="D147" s="66" t="s">
        <v>75</v>
      </c>
      <c r="E147" s="67"/>
      <c r="F147" s="65" t="s">
        <v>70</v>
      </c>
      <c r="G147" s="73">
        <v>3</v>
      </c>
      <c r="H147" s="74">
        <v>69.8</v>
      </c>
      <c r="I147" s="77">
        <f t="shared" si="2"/>
        <v>37.698412698412703</v>
      </c>
      <c r="J147" s="77">
        <v>17.100000000000001</v>
      </c>
      <c r="K147" s="77">
        <f t="shared" si="3"/>
        <v>17.271000000000001</v>
      </c>
      <c r="L147" s="68" t="s">
        <v>283</v>
      </c>
    </row>
    <row r="148" spans="1:12" ht="13.5">
      <c r="A148" s="81" t="s">
        <v>287</v>
      </c>
      <c r="B148" s="65" t="s">
        <v>288</v>
      </c>
      <c r="C148" s="65" t="s">
        <v>63</v>
      </c>
      <c r="D148" s="66" t="s">
        <v>75</v>
      </c>
      <c r="E148" s="67"/>
      <c r="F148" s="65" t="s">
        <v>70</v>
      </c>
      <c r="G148" s="73">
        <v>4</v>
      </c>
      <c r="H148" s="74">
        <v>69.8</v>
      </c>
      <c r="I148" s="77">
        <f t="shared" si="2"/>
        <v>37.698412698412703</v>
      </c>
      <c r="J148" s="77">
        <v>17.100000000000001</v>
      </c>
      <c r="K148" s="77">
        <f t="shared" si="3"/>
        <v>17.271000000000001</v>
      </c>
      <c r="L148" s="68" t="s">
        <v>283</v>
      </c>
    </row>
    <row r="149" spans="1:12" ht="13.5">
      <c r="A149" s="81" t="s">
        <v>287</v>
      </c>
      <c r="B149" s="65" t="s">
        <v>288</v>
      </c>
      <c r="C149" s="65" t="s">
        <v>63</v>
      </c>
      <c r="D149" s="66" t="s">
        <v>75</v>
      </c>
      <c r="E149" s="67"/>
      <c r="F149" s="65" t="s">
        <v>70</v>
      </c>
      <c r="G149" s="73">
        <v>5</v>
      </c>
      <c r="H149" s="74">
        <v>69.8</v>
      </c>
      <c r="I149" s="77">
        <f t="shared" si="2"/>
        <v>37.698412698412703</v>
      </c>
      <c r="J149" s="77">
        <v>17.100000000000001</v>
      </c>
      <c r="K149" s="77">
        <f t="shared" si="3"/>
        <v>17.271000000000001</v>
      </c>
      <c r="L149" s="68" t="s">
        <v>283</v>
      </c>
    </row>
    <row r="150" spans="1:12" ht="13.5">
      <c r="A150" s="81" t="s">
        <v>287</v>
      </c>
      <c r="B150" s="65" t="s">
        <v>288</v>
      </c>
      <c r="C150" s="65" t="s">
        <v>63</v>
      </c>
      <c r="D150" s="66" t="s">
        <v>75</v>
      </c>
      <c r="E150" s="67"/>
      <c r="F150" s="65" t="s">
        <v>70</v>
      </c>
      <c r="G150" s="73">
        <v>6</v>
      </c>
      <c r="H150" s="74">
        <v>69.8</v>
      </c>
      <c r="I150" s="77">
        <f t="shared" si="2"/>
        <v>37.698412698412703</v>
      </c>
      <c r="J150" s="77">
        <v>17.100000000000001</v>
      </c>
      <c r="K150" s="77">
        <f t="shared" si="3"/>
        <v>17.271000000000001</v>
      </c>
      <c r="L150" s="68" t="s">
        <v>283</v>
      </c>
    </row>
    <row r="151" spans="1:12" ht="13.5">
      <c r="A151" s="81" t="s">
        <v>287</v>
      </c>
      <c r="B151" s="65" t="s">
        <v>288</v>
      </c>
      <c r="C151" s="65" t="s">
        <v>63</v>
      </c>
      <c r="D151" s="66" t="s">
        <v>75</v>
      </c>
      <c r="E151" s="67"/>
      <c r="F151" s="65" t="s">
        <v>70</v>
      </c>
      <c r="G151" s="73">
        <v>7</v>
      </c>
      <c r="H151" s="74">
        <v>72.2</v>
      </c>
      <c r="I151" s="77">
        <f t="shared" si="2"/>
        <v>39.021164021164019</v>
      </c>
      <c r="J151" s="77">
        <v>17.7</v>
      </c>
      <c r="K151" s="77">
        <f t="shared" si="3"/>
        <v>17.876999999999999</v>
      </c>
      <c r="L151" s="68" t="s">
        <v>283</v>
      </c>
    </row>
    <row r="152" spans="1:12" ht="13.5">
      <c r="A152" s="81" t="s">
        <v>287</v>
      </c>
      <c r="B152" s="65" t="s">
        <v>288</v>
      </c>
      <c r="C152" s="65" t="s">
        <v>63</v>
      </c>
      <c r="D152" s="66" t="s">
        <v>75</v>
      </c>
      <c r="E152" s="67"/>
      <c r="F152" s="65" t="s">
        <v>70</v>
      </c>
      <c r="G152" s="73">
        <v>8</v>
      </c>
      <c r="H152" s="74">
        <v>69.8</v>
      </c>
      <c r="I152" s="77">
        <f t="shared" si="2"/>
        <v>37.698412698412703</v>
      </c>
      <c r="J152" s="77">
        <v>17.100000000000001</v>
      </c>
      <c r="K152" s="77">
        <f t="shared" si="3"/>
        <v>17.271000000000001</v>
      </c>
      <c r="L152" s="68" t="s">
        <v>283</v>
      </c>
    </row>
    <row r="153" spans="1:12" ht="13.5">
      <c r="A153" s="81" t="s">
        <v>287</v>
      </c>
      <c r="B153" s="65" t="s">
        <v>288</v>
      </c>
      <c r="C153" s="65" t="s">
        <v>63</v>
      </c>
      <c r="D153" s="66" t="s">
        <v>75</v>
      </c>
      <c r="E153" s="67"/>
      <c r="F153" s="65" t="s">
        <v>70</v>
      </c>
      <c r="G153" s="73">
        <v>9</v>
      </c>
      <c r="H153" s="74">
        <v>70.2</v>
      </c>
      <c r="I153" s="77">
        <f t="shared" si="2"/>
        <v>37.918871252204582</v>
      </c>
      <c r="J153" s="77">
        <v>17.2</v>
      </c>
      <c r="K153" s="77">
        <f t="shared" si="3"/>
        <v>17.372</v>
      </c>
      <c r="L153" s="68" t="s">
        <v>283</v>
      </c>
    </row>
    <row r="154" spans="1:12" ht="13.5">
      <c r="A154" s="81" t="s">
        <v>287</v>
      </c>
      <c r="B154" s="65" t="s">
        <v>288</v>
      </c>
      <c r="C154" s="65" t="s">
        <v>63</v>
      </c>
      <c r="D154" s="66" t="s">
        <v>75</v>
      </c>
      <c r="E154" s="67"/>
      <c r="F154" s="65" t="s">
        <v>70</v>
      </c>
      <c r="G154" s="73">
        <v>10</v>
      </c>
      <c r="H154" s="74">
        <v>69.8</v>
      </c>
      <c r="I154" s="77">
        <f t="shared" si="2"/>
        <v>37.698412698412703</v>
      </c>
      <c r="J154" s="77">
        <v>17.100000000000001</v>
      </c>
      <c r="K154" s="77">
        <f t="shared" si="3"/>
        <v>17.271000000000001</v>
      </c>
      <c r="L154" s="68" t="s">
        <v>283</v>
      </c>
    </row>
    <row r="155" spans="1:12" ht="13.5">
      <c r="A155" s="81" t="s">
        <v>287</v>
      </c>
      <c r="B155" s="65" t="s">
        <v>288</v>
      </c>
      <c r="C155" s="65" t="s">
        <v>63</v>
      </c>
      <c r="D155" s="66" t="s">
        <v>75</v>
      </c>
      <c r="E155" s="67"/>
      <c r="F155" s="65" t="s">
        <v>70</v>
      </c>
      <c r="G155" s="73">
        <v>11</v>
      </c>
      <c r="H155" s="74">
        <v>69.8</v>
      </c>
      <c r="I155" s="77">
        <f t="shared" si="2"/>
        <v>37.698412698412703</v>
      </c>
      <c r="J155" s="77">
        <v>17.100000000000001</v>
      </c>
      <c r="K155" s="77">
        <f t="shared" si="3"/>
        <v>17.271000000000001</v>
      </c>
      <c r="L155" s="68" t="s">
        <v>283</v>
      </c>
    </row>
    <row r="156" spans="1:12" ht="13.5">
      <c r="A156" s="81" t="s">
        <v>287</v>
      </c>
      <c r="B156" s="65" t="s">
        <v>288</v>
      </c>
      <c r="C156" s="65" t="s">
        <v>63</v>
      </c>
      <c r="D156" s="66" t="s">
        <v>75</v>
      </c>
      <c r="E156" s="67"/>
      <c r="F156" s="65" t="s">
        <v>70</v>
      </c>
      <c r="G156" s="73">
        <v>13</v>
      </c>
      <c r="H156" s="74">
        <v>70.599999999999994</v>
      </c>
      <c r="I156" s="77">
        <f t="shared" ref="I156:I219" si="4">+J156/0.4536</f>
        <v>38.139329805996475</v>
      </c>
      <c r="J156" s="77">
        <v>17.3</v>
      </c>
      <c r="K156" s="77">
        <f t="shared" ref="K156:K219" si="5">+J156*1.01</f>
        <v>17.473000000000003</v>
      </c>
      <c r="L156" s="68" t="s">
        <v>283</v>
      </c>
    </row>
    <row r="157" spans="1:12" ht="13.5">
      <c r="A157" s="81" t="s">
        <v>287</v>
      </c>
      <c r="B157" s="65" t="s">
        <v>288</v>
      </c>
      <c r="C157" s="65" t="s">
        <v>63</v>
      </c>
      <c r="D157" s="66" t="s">
        <v>75</v>
      </c>
      <c r="E157" s="67"/>
      <c r="F157" s="65" t="s">
        <v>70</v>
      </c>
      <c r="G157" s="73">
        <v>14</v>
      </c>
      <c r="H157" s="74">
        <v>71</v>
      </c>
      <c r="I157" s="77">
        <f t="shared" si="4"/>
        <v>38.359788359788354</v>
      </c>
      <c r="J157" s="77">
        <v>17.399999999999999</v>
      </c>
      <c r="K157" s="77">
        <f t="shared" si="5"/>
        <v>17.573999999999998</v>
      </c>
      <c r="L157" s="68" t="s">
        <v>283</v>
      </c>
    </row>
    <row r="158" spans="1:12" ht="13.5">
      <c r="A158" s="81" t="s">
        <v>287</v>
      </c>
      <c r="B158" s="65" t="s">
        <v>288</v>
      </c>
      <c r="C158" s="65" t="s">
        <v>63</v>
      </c>
      <c r="D158" s="66" t="s">
        <v>75</v>
      </c>
      <c r="E158" s="67"/>
      <c r="F158" s="65" t="s">
        <v>70</v>
      </c>
      <c r="G158" s="73">
        <v>15</v>
      </c>
      <c r="H158" s="74">
        <v>69.8</v>
      </c>
      <c r="I158" s="77">
        <f t="shared" si="4"/>
        <v>37.698412698412703</v>
      </c>
      <c r="J158" s="77">
        <v>17.100000000000001</v>
      </c>
      <c r="K158" s="77">
        <f t="shared" si="5"/>
        <v>17.271000000000001</v>
      </c>
      <c r="L158" s="68" t="s">
        <v>283</v>
      </c>
    </row>
    <row r="159" spans="1:12" ht="13.5">
      <c r="A159" s="81" t="s">
        <v>287</v>
      </c>
      <c r="B159" s="65" t="s">
        <v>288</v>
      </c>
      <c r="C159" s="65" t="s">
        <v>63</v>
      </c>
      <c r="D159" s="66" t="s">
        <v>75</v>
      </c>
      <c r="E159" s="67"/>
      <c r="F159" s="65" t="s">
        <v>70</v>
      </c>
      <c r="G159" s="73">
        <v>16</v>
      </c>
      <c r="H159" s="74">
        <v>70.2</v>
      </c>
      <c r="I159" s="77">
        <f t="shared" si="4"/>
        <v>37.918871252204582</v>
      </c>
      <c r="J159" s="77">
        <v>17.2</v>
      </c>
      <c r="K159" s="77">
        <f t="shared" si="5"/>
        <v>17.372</v>
      </c>
      <c r="L159" s="68" t="s">
        <v>283</v>
      </c>
    </row>
    <row r="160" spans="1:12" ht="13.5">
      <c r="A160" s="81" t="s">
        <v>287</v>
      </c>
      <c r="B160" s="65" t="s">
        <v>288</v>
      </c>
      <c r="C160" s="65" t="s">
        <v>63</v>
      </c>
      <c r="D160" s="66" t="s">
        <v>75</v>
      </c>
      <c r="E160" s="67"/>
      <c r="F160" s="65" t="s">
        <v>70</v>
      </c>
      <c r="G160" s="73">
        <v>17</v>
      </c>
      <c r="H160" s="74">
        <v>69.8</v>
      </c>
      <c r="I160" s="77">
        <f t="shared" si="4"/>
        <v>37.698412698412703</v>
      </c>
      <c r="J160" s="77">
        <v>17.100000000000001</v>
      </c>
      <c r="K160" s="77">
        <f t="shared" si="5"/>
        <v>17.271000000000001</v>
      </c>
      <c r="L160" s="68" t="s">
        <v>283</v>
      </c>
    </row>
    <row r="161" spans="1:12" ht="13.5">
      <c r="A161" s="81" t="s">
        <v>287</v>
      </c>
      <c r="B161" s="65" t="s">
        <v>288</v>
      </c>
      <c r="C161" s="65" t="s">
        <v>63</v>
      </c>
      <c r="D161" s="66" t="s">
        <v>75</v>
      </c>
      <c r="E161" s="67"/>
      <c r="F161" s="65" t="s">
        <v>70</v>
      </c>
      <c r="G161" s="73">
        <v>18</v>
      </c>
      <c r="H161" s="74">
        <v>75.099999999999994</v>
      </c>
      <c r="I161" s="77">
        <f t="shared" si="4"/>
        <v>40.564373897707227</v>
      </c>
      <c r="J161" s="77">
        <v>18.399999999999999</v>
      </c>
      <c r="K161" s="77">
        <f t="shared" si="5"/>
        <v>18.584</v>
      </c>
      <c r="L161" s="68" t="s">
        <v>283</v>
      </c>
    </row>
    <row r="162" spans="1:12" ht="13.5">
      <c r="A162" s="81" t="s">
        <v>287</v>
      </c>
      <c r="B162" s="65" t="s">
        <v>288</v>
      </c>
      <c r="C162" s="65" t="s">
        <v>63</v>
      </c>
      <c r="D162" s="66" t="s">
        <v>75</v>
      </c>
      <c r="E162" s="67"/>
      <c r="F162" s="65" t="s">
        <v>70</v>
      </c>
      <c r="G162" s="73">
        <v>20</v>
      </c>
      <c r="H162" s="74">
        <v>70.2</v>
      </c>
      <c r="I162" s="77">
        <f t="shared" si="4"/>
        <v>37.918871252204582</v>
      </c>
      <c r="J162" s="77">
        <v>17.2</v>
      </c>
      <c r="K162" s="77">
        <f t="shared" si="5"/>
        <v>17.372</v>
      </c>
      <c r="L162" s="68" t="s">
        <v>283</v>
      </c>
    </row>
    <row r="163" spans="1:12" ht="13.5">
      <c r="A163" s="81" t="s">
        <v>287</v>
      </c>
      <c r="B163" s="65" t="s">
        <v>288</v>
      </c>
      <c r="C163" s="65" t="s">
        <v>63</v>
      </c>
      <c r="D163" s="66" t="s">
        <v>75</v>
      </c>
      <c r="E163" s="67"/>
      <c r="F163" s="65" t="s">
        <v>70</v>
      </c>
      <c r="G163" s="73">
        <v>21</v>
      </c>
      <c r="H163" s="74">
        <v>70.2</v>
      </c>
      <c r="I163" s="77">
        <f t="shared" si="4"/>
        <v>37.918871252204582</v>
      </c>
      <c r="J163" s="77">
        <v>17.2</v>
      </c>
      <c r="K163" s="77">
        <f t="shared" si="5"/>
        <v>17.372</v>
      </c>
      <c r="L163" s="68" t="s">
        <v>283</v>
      </c>
    </row>
    <row r="164" spans="1:12" ht="13.5">
      <c r="A164" s="81" t="s">
        <v>287</v>
      </c>
      <c r="B164" s="65" t="s">
        <v>288</v>
      </c>
      <c r="C164" s="65" t="s">
        <v>63</v>
      </c>
      <c r="D164" s="66" t="s">
        <v>75</v>
      </c>
      <c r="E164" s="67"/>
      <c r="F164" s="65" t="s">
        <v>70</v>
      </c>
      <c r="G164" s="73">
        <v>22</v>
      </c>
      <c r="H164" s="74">
        <v>66.900000000000006</v>
      </c>
      <c r="I164" s="77">
        <f t="shared" si="4"/>
        <v>36.155202821869487</v>
      </c>
      <c r="J164" s="77">
        <v>16.399999999999999</v>
      </c>
      <c r="K164" s="77">
        <f t="shared" si="5"/>
        <v>16.564</v>
      </c>
      <c r="L164" s="68" t="s">
        <v>283</v>
      </c>
    </row>
    <row r="165" spans="1:12" ht="13.5">
      <c r="A165" s="81" t="s">
        <v>287</v>
      </c>
      <c r="B165" s="65" t="s">
        <v>288</v>
      </c>
      <c r="C165" s="65" t="s">
        <v>63</v>
      </c>
      <c r="D165" s="66" t="s">
        <v>75</v>
      </c>
      <c r="E165" s="67"/>
      <c r="F165" s="65" t="s">
        <v>70</v>
      </c>
      <c r="G165" s="73">
        <v>23</v>
      </c>
      <c r="H165" s="74">
        <v>73.5</v>
      </c>
      <c r="I165" s="77">
        <f t="shared" si="4"/>
        <v>39.682539682539684</v>
      </c>
      <c r="J165" s="77">
        <v>18</v>
      </c>
      <c r="K165" s="77">
        <f t="shared" si="5"/>
        <v>18.18</v>
      </c>
      <c r="L165" s="68" t="s">
        <v>283</v>
      </c>
    </row>
    <row r="166" spans="1:12" ht="13.5">
      <c r="A166" s="81" t="s">
        <v>287</v>
      </c>
      <c r="B166" s="65" t="s">
        <v>288</v>
      </c>
      <c r="C166" s="65" t="s">
        <v>63</v>
      </c>
      <c r="D166" s="66" t="s">
        <v>75</v>
      </c>
      <c r="E166" s="67"/>
      <c r="F166" s="65" t="s">
        <v>70</v>
      </c>
      <c r="G166" s="73">
        <v>24</v>
      </c>
      <c r="H166" s="74">
        <v>75.900000000000006</v>
      </c>
      <c r="I166" s="77">
        <f t="shared" si="4"/>
        <v>41.005291005291006</v>
      </c>
      <c r="J166" s="77">
        <v>18.600000000000001</v>
      </c>
      <c r="K166" s="77">
        <f t="shared" si="5"/>
        <v>18.786000000000001</v>
      </c>
      <c r="L166" s="68" t="s">
        <v>283</v>
      </c>
    </row>
    <row r="167" spans="1:12" ht="13.5">
      <c r="A167" s="81" t="s">
        <v>287</v>
      </c>
      <c r="B167" s="65" t="s">
        <v>288</v>
      </c>
      <c r="C167" s="65" t="s">
        <v>63</v>
      </c>
      <c r="D167" s="66" t="s">
        <v>75</v>
      </c>
      <c r="E167" s="67"/>
      <c r="F167" s="65" t="s">
        <v>70</v>
      </c>
      <c r="G167" s="73">
        <v>27</v>
      </c>
      <c r="H167" s="74">
        <v>72.2</v>
      </c>
      <c r="I167" s="77">
        <f t="shared" si="4"/>
        <v>39.021164021164019</v>
      </c>
      <c r="J167" s="77">
        <v>17.7</v>
      </c>
      <c r="K167" s="77">
        <f t="shared" si="5"/>
        <v>17.876999999999999</v>
      </c>
      <c r="L167" s="68" t="s">
        <v>283</v>
      </c>
    </row>
    <row r="168" spans="1:12" ht="13.5">
      <c r="A168" s="81" t="s">
        <v>287</v>
      </c>
      <c r="B168" s="65" t="s">
        <v>288</v>
      </c>
      <c r="C168" s="65" t="s">
        <v>63</v>
      </c>
      <c r="D168" s="66" t="s">
        <v>75</v>
      </c>
      <c r="E168" s="67"/>
      <c r="F168" s="65" t="s">
        <v>70</v>
      </c>
      <c r="G168" s="73">
        <v>29</v>
      </c>
      <c r="H168" s="74">
        <v>69.8</v>
      </c>
      <c r="I168" s="77">
        <f t="shared" si="4"/>
        <v>37.698412698412703</v>
      </c>
      <c r="J168" s="77">
        <v>17.100000000000001</v>
      </c>
      <c r="K168" s="77">
        <f t="shared" si="5"/>
        <v>17.271000000000001</v>
      </c>
      <c r="L168" s="68" t="s">
        <v>283</v>
      </c>
    </row>
    <row r="169" spans="1:12" ht="13.5">
      <c r="A169" s="81" t="s">
        <v>287</v>
      </c>
      <c r="B169" s="65" t="s">
        <v>288</v>
      </c>
      <c r="C169" s="65" t="s">
        <v>63</v>
      </c>
      <c r="D169" s="66" t="s">
        <v>75</v>
      </c>
      <c r="E169" s="67"/>
      <c r="F169" s="65" t="s">
        <v>70</v>
      </c>
      <c r="G169" s="73">
        <v>30</v>
      </c>
      <c r="H169" s="74">
        <v>69.8</v>
      </c>
      <c r="I169" s="77">
        <f t="shared" si="4"/>
        <v>37.698412698412703</v>
      </c>
      <c r="J169" s="77">
        <v>17.100000000000001</v>
      </c>
      <c r="K169" s="77">
        <f t="shared" si="5"/>
        <v>17.271000000000001</v>
      </c>
      <c r="L169" s="68" t="s">
        <v>283</v>
      </c>
    </row>
    <row r="170" spans="1:12" ht="13.5">
      <c r="A170" s="81" t="s">
        <v>287</v>
      </c>
      <c r="B170" s="65" t="s">
        <v>288</v>
      </c>
      <c r="C170" s="65" t="s">
        <v>63</v>
      </c>
      <c r="D170" s="66" t="s">
        <v>75</v>
      </c>
      <c r="E170" s="67"/>
      <c r="F170" s="65" t="s">
        <v>70</v>
      </c>
      <c r="G170" s="73">
        <v>34</v>
      </c>
      <c r="H170" s="74">
        <v>69.8</v>
      </c>
      <c r="I170" s="77">
        <f t="shared" si="4"/>
        <v>37.698412698412703</v>
      </c>
      <c r="J170" s="77">
        <v>17.100000000000001</v>
      </c>
      <c r="K170" s="77">
        <f t="shared" si="5"/>
        <v>17.271000000000001</v>
      </c>
      <c r="L170" s="68" t="s">
        <v>283</v>
      </c>
    </row>
    <row r="171" spans="1:12" ht="13.5">
      <c r="A171" s="81" t="s">
        <v>287</v>
      </c>
      <c r="B171" s="65" t="s">
        <v>288</v>
      </c>
      <c r="C171" s="65" t="s">
        <v>63</v>
      </c>
      <c r="D171" s="66" t="s">
        <v>75</v>
      </c>
      <c r="E171" s="67"/>
      <c r="F171" s="65" t="s">
        <v>70</v>
      </c>
      <c r="G171" s="73">
        <v>35</v>
      </c>
      <c r="H171" s="74">
        <v>70.2</v>
      </c>
      <c r="I171" s="77">
        <f t="shared" si="4"/>
        <v>37.918871252204582</v>
      </c>
      <c r="J171" s="77">
        <v>17.2</v>
      </c>
      <c r="K171" s="77">
        <f t="shared" si="5"/>
        <v>17.372</v>
      </c>
      <c r="L171" s="68" t="s">
        <v>283</v>
      </c>
    </row>
    <row r="172" spans="1:12" ht="13.5">
      <c r="A172" s="81" t="s">
        <v>287</v>
      </c>
      <c r="B172" s="65" t="s">
        <v>288</v>
      </c>
      <c r="C172" s="65" t="s">
        <v>63</v>
      </c>
      <c r="D172" s="66" t="s">
        <v>75</v>
      </c>
      <c r="E172" s="67"/>
      <c r="F172" s="65" t="s">
        <v>70</v>
      </c>
      <c r="G172" s="73">
        <v>37</v>
      </c>
      <c r="H172" s="74">
        <v>70.2</v>
      </c>
      <c r="I172" s="77">
        <f t="shared" si="4"/>
        <v>37.918871252204582</v>
      </c>
      <c r="J172" s="77">
        <v>17.2</v>
      </c>
      <c r="K172" s="77">
        <f t="shared" si="5"/>
        <v>17.372</v>
      </c>
      <c r="L172" s="68" t="s">
        <v>283</v>
      </c>
    </row>
    <row r="173" spans="1:12" ht="13.5">
      <c r="A173" s="81"/>
      <c r="B173" s="65"/>
      <c r="C173" s="65"/>
      <c r="D173" s="66" t="s">
        <v>53</v>
      </c>
      <c r="E173" s="67"/>
      <c r="F173" s="65"/>
      <c r="G173" s="73">
        <v>28</v>
      </c>
      <c r="H173" s="74">
        <v>1978.6</v>
      </c>
      <c r="I173" s="77">
        <f t="shared" si="4"/>
        <v>1068.7830687830688</v>
      </c>
      <c r="J173" s="77">
        <v>484.8</v>
      </c>
      <c r="K173" s="77">
        <f t="shared" si="5"/>
        <v>489.64800000000002</v>
      </c>
      <c r="L173" s="68" t="s">
        <v>283</v>
      </c>
    </row>
    <row r="174" spans="1:12" ht="13.5">
      <c r="A174" s="81" t="s">
        <v>287</v>
      </c>
      <c r="B174" s="65" t="s">
        <v>288</v>
      </c>
      <c r="C174" s="65" t="s">
        <v>63</v>
      </c>
      <c r="D174" s="66" t="s">
        <v>75</v>
      </c>
      <c r="E174" s="67"/>
      <c r="F174" s="65" t="s">
        <v>91</v>
      </c>
      <c r="G174" s="73">
        <v>1</v>
      </c>
      <c r="H174" s="74">
        <v>71</v>
      </c>
      <c r="I174" s="77">
        <f t="shared" si="4"/>
        <v>37.698412698412703</v>
      </c>
      <c r="J174" s="77">
        <v>17.100000000000001</v>
      </c>
      <c r="K174" s="77">
        <f t="shared" si="5"/>
        <v>17.271000000000001</v>
      </c>
      <c r="L174" s="68" t="s">
        <v>283</v>
      </c>
    </row>
    <row r="175" spans="1:12" ht="13.5">
      <c r="A175" s="81" t="s">
        <v>287</v>
      </c>
      <c r="B175" s="65" t="s">
        <v>288</v>
      </c>
      <c r="C175" s="65" t="s">
        <v>63</v>
      </c>
      <c r="D175" s="66" t="s">
        <v>75</v>
      </c>
      <c r="E175" s="67"/>
      <c r="F175" s="65" t="s">
        <v>91</v>
      </c>
      <c r="G175" s="73">
        <v>2</v>
      </c>
      <c r="H175" s="74">
        <v>70.099999999999994</v>
      </c>
      <c r="I175" s="77">
        <f t="shared" si="4"/>
        <v>37.257495590828924</v>
      </c>
      <c r="J175" s="77">
        <v>16.899999999999999</v>
      </c>
      <c r="K175" s="77">
        <f t="shared" si="5"/>
        <v>17.068999999999999</v>
      </c>
      <c r="L175" s="68" t="s">
        <v>283</v>
      </c>
    </row>
    <row r="176" spans="1:12" ht="13.5">
      <c r="A176" s="81" t="s">
        <v>287</v>
      </c>
      <c r="B176" s="65" t="s">
        <v>288</v>
      </c>
      <c r="C176" s="65" t="s">
        <v>63</v>
      </c>
      <c r="D176" s="66" t="s">
        <v>75</v>
      </c>
      <c r="E176" s="67"/>
      <c r="F176" s="65" t="s">
        <v>91</v>
      </c>
      <c r="G176" s="73">
        <v>3</v>
      </c>
      <c r="H176" s="74">
        <v>70.5</v>
      </c>
      <c r="I176" s="77">
        <f t="shared" si="4"/>
        <v>37.47795414462081</v>
      </c>
      <c r="J176" s="77">
        <v>17</v>
      </c>
      <c r="K176" s="77">
        <f t="shared" si="5"/>
        <v>17.170000000000002</v>
      </c>
      <c r="L176" s="68" t="s">
        <v>283</v>
      </c>
    </row>
    <row r="177" spans="1:12" ht="13.5">
      <c r="A177" s="81" t="s">
        <v>287</v>
      </c>
      <c r="B177" s="65" t="s">
        <v>288</v>
      </c>
      <c r="C177" s="65" t="s">
        <v>63</v>
      </c>
      <c r="D177" s="66" t="s">
        <v>75</v>
      </c>
      <c r="E177" s="67"/>
      <c r="F177" s="65" t="s">
        <v>91</v>
      </c>
      <c r="G177" s="73">
        <v>4</v>
      </c>
      <c r="H177" s="74">
        <v>70.5</v>
      </c>
      <c r="I177" s="77">
        <f t="shared" si="4"/>
        <v>37.47795414462081</v>
      </c>
      <c r="J177" s="77">
        <v>17</v>
      </c>
      <c r="K177" s="77">
        <f t="shared" si="5"/>
        <v>17.170000000000002</v>
      </c>
      <c r="L177" s="68" t="s">
        <v>283</v>
      </c>
    </row>
    <row r="178" spans="1:12" ht="13.5">
      <c r="A178" s="81" t="s">
        <v>287</v>
      </c>
      <c r="B178" s="65" t="s">
        <v>288</v>
      </c>
      <c r="C178" s="65" t="s">
        <v>63</v>
      </c>
      <c r="D178" s="66" t="s">
        <v>75</v>
      </c>
      <c r="E178" s="67"/>
      <c r="F178" s="65" t="s">
        <v>91</v>
      </c>
      <c r="G178" s="73">
        <v>5</v>
      </c>
      <c r="H178" s="74">
        <v>70.5</v>
      </c>
      <c r="I178" s="77">
        <f t="shared" si="4"/>
        <v>37.47795414462081</v>
      </c>
      <c r="J178" s="77">
        <v>17</v>
      </c>
      <c r="K178" s="77">
        <f t="shared" si="5"/>
        <v>17.170000000000002</v>
      </c>
      <c r="L178" s="68" t="s">
        <v>283</v>
      </c>
    </row>
    <row r="179" spans="1:12" ht="13.5">
      <c r="A179" s="81" t="s">
        <v>287</v>
      </c>
      <c r="B179" s="65" t="s">
        <v>288</v>
      </c>
      <c r="C179" s="65" t="s">
        <v>63</v>
      </c>
      <c r="D179" s="66" t="s">
        <v>75</v>
      </c>
      <c r="E179" s="67"/>
      <c r="F179" s="65" t="s">
        <v>91</v>
      </c>
      <c r="G179" s="73">
        <v>6</v>
      </c>
      <c r="H179" s="74">
        <v>70.099999999999994</v>
      </c>
      <c r="I179" s="77">
        <f t="shared" si="4"/>
        <v>37.257495590828924</v>
      </c>
      <c r="J179" s="77">
        <v>16.899999999999999</v>
      </c>
      <c r="K179" s="77">
        <f t="shared" si="5"/>
        <v>17.068999999999999</v>
      </c>
      <c r="L179" s="68" t="s">
        <v>283</v>
      </c>
    </row>
    <row r="180" spans="1:12" ht="13.5">
      <c r="A180" s="81" t="s">
        <v>287</v>
      </c>
      <c r="B180" s="65" t="s">
        <v>288</v>
      </c>
      <c r="C180" s="65" t="s">
        <v>63</v>
      </c>
      <c r="D180" s="66" t="s">
        <v>75</v>
      </c>
      <c r="E180" s="67"/>
      <c r="F180" s="65" t="s">
        <v>91</v>
      </c>
      <c r="G180" s="73">
        <v>7</v>
      </c>
      <c r="H180" s="74">
        <v>70.5</v>
      </c>
      <c r="I180" s="77">
        <f t="shared" si="4"/>
        <v>37.47795414462081</v>
      </c>
      <c r="J180" s="77">
        <v>17</v>
      </c>
      <c r="K180" s="77">
        <f t="shared" si="5"/>
        <v>17.170000000000002</v>
      </c>
      <c r="L180" s="68" t="s">
        <v>283</v>
      </c>
    </row>
    <row r="181" spans="1:12" ht="13.5">
      <c r="A181" s="81" t="s">
        <v>287</v>
      </c>
      <c r="B181" s="65" t="s">
        <v>288</v>
      </c>
      <c r="C181" s="65" t="s">
        <v>63</v>
      </c>
      <c r="D181" s="66" t="s">
        <v>75</v>
      </c>
      <c r="E181" s="67"/>
      <c r="F181" s="65" t="s">
        <v>91</v>
      </c>
      <c r="G181" s="73">
        <v>8</v>
      </c>
      <c r="H181" s="74">
        <v>72.599999999999994</v>
      </c>
      <c r="I181" s="77">
        <f t="shared" si="4"/>
        <v>38.580246913580247</v>
      </c>
      <c r="J181" s="77">
        <v>17.5</v>
      </c>
      <c r="K181" s="77">
        <f t="shared" si="5"/>
        <v>17.675000000000001</v>
      </c>
      <c r="L181" s="68" t="s">
        <v>283</v>
      </c>
    </row>
    <row r="182" spans="1:12" ht="13.5">
      <c r="A182" s="81" t="s">
        <v>287</v>
      </c>
      <c r="B182" s="65" t="s">
        <v>288</v>
      </c>
      <c r="C182" s="65" t="s">
        <v>63</v>
      </c>
      <c r="D182" s="66" t="s">
        <v>75</v>
      </c>
      <c r="E182" s="67"/>
      <c r="F182" s="65" t="s">
        <v>91</v>
      </c>
      <c r="G182" s="73">
        <v>9</v>
      </c>
      <c r="H182" s="74">
        <v>59.8</v>
      </c>
      <c r="I182" s="77">
        <f t="shared" si="4"/>
        <v>31.746031746031747</v>
      </c>
      <c r="J182" s="77">
        <v>14.4</v>
      </c>
      <c r="K182" s="77">
        <f t="shared" si="5"/>
        <v>14.544</v>
      </c>
      <c r="L182" s="68" t="s">
        <v>283</v>
      </c>
    </row>
    <row r="183" spans="1:12" ht="13.5">
      <c r="A183" s="81" t="s">
        <v>287</v>
      </c>
      <c r="B183" s="65" t="s">
        <v>288</v>
      </c>
      <c r="C183" s="65" t="s">
        <v>63</v>
      </c>
      <c r="D183" s="66" t="s">
        <v>75</v>
      </c>
      <c r="E183" s="67"/>
      <c r="F183" s="65" t="s">
        <v>91</v>
      </c>
      <c r="G183" s="73">
        <v>10</v>
      </c>
      <c r="H183" s="74">
        <v>70.099999999999994</v>
      </c>
      <c r="I183" s="77">
        <f t="shared" si="4"/>
        <v>37.257495590828924</v>
      </c>
      <c r="J183" s="77">
        <v>16.899999999999999</v>
      </c>
      <c r="K183" s="77">
        <f t="shared" si="5"/>
        <v>17.068999999999999</v>
      </c>
      <c r="L183" s="68" t="s">
        <v>283</v>
      </c>
    </row>
    <row r="184" spans="1:12" ht="13.5">
      <c r="A184" s="81" t="s">
        <v>287</v>
      </c>
      <c r="B184" s="65" t="s">
        <v>288</v>
      </c>
      <c r="C184" s="65" t="s">
        <v>63</v>
      </c>
      <c r="D184" s="66" t="s">
        <v>75</v>
      </c>
      <c r="E184" s="67"/>
      <c r="F184" s="65" t="s">
        <v>91</v>
      </c>
      <c r="G184" s="73">
        <v>11</v>
      </c>
      <c r="H184" s="74">
        <v>70.099999999999994</v>
      </c>
      <c r="I184" s="77">
        <f t="shared" si="4"/>
        <v>37.257495590828924</v>
      </c>
      <c r="J184" s="77">
        <v>16.899999999999999</v>
      </c>
      <c r="K184" s="77">
        <f t="shared" si="5"/>
        <v>17.068999999999999</v>
      </c>
      <c r="L184" s="68" t="s">
        <v>283</v>
      </c>
    </row>
    <row r="185" spans="1:12" ht="13.5">
      <c r="A185" s="81" t="s">
        <v>287</v>
      </c>
      <c r="B185" s="65" t="s">
        <v>288</v>
      </c>
      <c r="C185" s="65" t="s">
        <v>63</v>
      </c>
      <c r="D185" s="66" t="s">
        <v>75</v>
      </c>
      <c r="E185" s="67"/>
      <c r="F185" s="65" t="s">
        <v>91</v>
      </c>
      <c r="G185" s="73">
        <v>12</v>
      </c>
      <c r="H185" s="74">
        <v>71</v>
      </c>
      <c r="I185" s="77">
        <f t="shared" si="4"/>
        <v>37.698412698412703</v>
      </c>
      <c r="J185" s="77">
        <v>17.100000000000001</v>
      </c>
      <c r="K185" s="77">
        <f t="shared" si="5"/>
        <v>17.271000000000001</v>
      </c>
      <c r="L185" s="68" t="s">
        <v>283</v>
      </c>
    </row>
    <row r="186" spans="1:12" ht="13.5">
      <c r="A186" s="81" t="s">
        <v>287</v>
      </c>
      <c r="B186" s="65" t="s">
        <v>288</v>
      </c>
      <c r="C186" s="65" t="s">
        <v>63</v>
      </c>
      <c r="D186" s="66" t="s">
        <v>75</v>
      </c>
      <c r="E186" s="67"/>
      <c r="F186" s="65" t="s">
        <v>91</v>
      </c>
      <c r="G186" s="73">
        <v>13</v>
      </c>
      <c r="H186" s="74">
        <v>71</v>
      </c>
      <c r="I186" s="77">
        <f t="shared" si="4"/>
        <v>37.698412698412703</v>
      </c>
      <c r="J186" s="77">
        <v>17.100000000000001</v>
      </c>
      <c r="K186" s="77">
        <f t="shared" si="5"/>
        <v>17.271000000000001</v>
      </c>
      <c r="L186" s="68" t="s">
        <v>283</v>
      </c>
    </row>
    <row r="187" spans="1:12" ht="13.5">
      <c r="A187" s="81" t="s">
        <v>287</v>
      </c>
      <c r="B187" s="65" t="s">
        <v>288</v>
      </c>
      <c r="C187" s="65" t="s">
        <v>63</v>
      </c>
      <c r="D187" s="66" t="s">
        <v>75</v>
      </c>
      <c r="E187" s="67"/>
      <c r="F187" s="65" t="s">
        <v>91</v>
      </c>
      <c r="G187" s="73">
        <v>14</v>
      </c>
      <c r="H187" s="74">
        <v>70.5</v>
      </c>
      <c r="I187" s="77">
        <f t="shared" si="4"/>
        <v>37.47795414462081</v>
      </c>
      <c r="J187" s="77">
        <v>17</v>
      </c>
      <c r="K187" s="77">
        <f t="shared" si="5"/>
        <v>17.170000000000002</v>
      </c>
      <c r="L187" s="68" t="s">
        <v>283</v>
      </c>
    </row>
    <row r="188" spans="1:12" ht="13.5">
      <c r="A188" s="81" t="s">
        <v>287</v>
      </c>
      <c r="B188" s="65" t="s">
        <v>288</v>
      </c>
      <c r="C188" s="65" t="s">
        <v>63</v>
      </c>
      <c r="D188" s="66" t="s">
        <v>75</v>
      </c>
      <c r="E188" s="67"/>
      <c r="F188" s="65" t="s">
        <v>91</v>
      </c>
      <c r="G188" s="73">
        <v>15</v>
      </c>
      <c r="H188" s="74">
        <v>70.5</v>
      </c>
      <c r="I188" s="77">
        <f t="shared" si="4"/>
        <v>37.47795414462081</v>
      </c>
      <c r="J188" s="77">
        <v>17</v>
      </c>
      <c r="K188" s="77">
        <f t="shared" si="5"/>
        <v>17.170000000000002</v>
      </c>
      <c r="L188" s="68" t="s">
        <v>283</v>
      </c>
    </row>
    <row r="189" spans="1:12" ht="13.5">
      <c r="A189" s="81" t="s">
        <v>287</v>
      </c>
      <c r="B189" s="65" t="s">
        <v>288</v>
      </c>
      <c r="C189" s="65" t="s">
        <v>63</v>
      </c>
      <c r="D189" s="66" t="s">
        <v>75</v>
      </c>
      <c r="E189" s="67"/>
      <c r="F189" s="65" t="s">
        <v>91</v>
      </c>
      <c r="G189" s="73">
        <v>16</v>
      </c>
      <c r="H189" s="74">
        <v>71.400000000000006</v>
      </c>
      <c r="I189" s="77">
        <f t="shared" si="4"/>
        <v>37.918871252204582</v>
      </c>
      <c r="J189" s="77">
        <v>17.2</v>
      </c>
      <c r="K189" s="77">
        <f t="shared" si="5"/>
        <v>17.372</v>
      </c>
      <c r="L189" s="68" t="s">
        <v>283</v>
      </c>
    </row>
    <row r="190" spans="1:12" ht="13.5">
      <c r="A190" s="81" t="s">
        <v>287</v>
      </c>
      <c r="B190" s="65" t="s">
        <v>288</v>
      </c>
      <c r="C190" s="65" t="s">
        <v>63</v>
      </c>
      <c r="D190" s="66" t="s">
        <v>75</v>
      </c>
      <c r="E190" s="67"/>
      <c r="F190" s="65" t="s">
        <v>91</v>
      </c>
      <c r="G190" s="73">
        <v>17</v>
      </c>
      <c r="H190" s="74">
        <v>70.5</v>
      </c>
      <c r="I190" s="77">
        <f t="shared" si="4"/>
        <v>37.47795414462081</v>
      </c>
      <c r="J190" s="77">
        <v>17</v>
      </c>
      <c r="K190" s="77">
        <f t="shared" si="5"/>
        <v>17.170000000000002</v>
      </c>
      <c r="L190" s="68" t="s">
        <v>283</v>
      </c>
    </row>
    <row r="191" spans="1:12" ht="13.5">
      <c r="A191" s="81" t="s">
        <v>287</v>
      </c>
      <c r="B191" s="65" t="s">
        <v>288</v>
      </c>
      <c r="C191" s="65" t="s">
        <v>63</v>
      </c>
      <c r="D191" s="66" t="s">
        <v>75</v>
      </c>
      <c r="E191" s="67"/>
      <c r="F191" s="65" t="s">
        <v>91</v>
      </c>
      <c r="G191" s="73">
        <v>18</v>
      </c>
      <c r="H191" s="74">
        <v>71</v>
      </c>
      <c r="I191" s="77">
        <f t="shared" si="4"/>
        <v>37.698412698412703</v>
      </c>
      <c r="J191" s="77">
        <v>17.100000000000001</v>
      </c>
      <c r="K191" s="77">
        <f t="shared" si="5"/>
        <v>17.271000000000001</v>
      </c>
      <c r="L191" s="68" t="s">
        <v>283</v>
      </c>
    </row>
    <row r="192" spans="1:12" ht="13.5">
      <c r="A192" s="81" t="s">
        <v>287</v>
      </c>
      <c r="B192" s="65" t="s">
        <v>288</v>
      </c>
      <c r="C192" s="65" t="s">
        <v>63</v>
      </c>
      <c r="D192" s="66" t="s">
        <v>75</v>
      </c>
      <c r="E192" s="67"/>
      <c r="F192" s="65" t="s">
        <v>91</v>
      </c>
      <c r="G192" s="73">
        <v>19</v>
      </c>
      <c r="H192" s="74">
        <v>75.5</v>
      </c>
      <c r="I192" s="77">
        <f t="shared" si="4"/>
        <v>40.123456790123456</v>
      </c>
      <c r="J192" s="77">
        <v>18.2</v>
      </c>
      <c r="K192" s="77">
        <f t="shared" si="5"/>
        <v>18.381999999999998</v>
      </c>
      <c r="L192" s="68" t="s">
        <v>283</v>
      </c>
    </row>
    <row r="193" spans="1:12" ht="13.5">
      <c r="A193" s="81" t="s">
        <v>287</v>
      </c>
      <c r="B193" s="65" t="s">
        <v>288</v>
      </c>
      <c r="C193" s="65" t="s">
        <v>63</v>
      </c>
      <c r="D193" s="66" t="s">
        <v>75</v>
      </c>
      <c r="E193" s="67"/>
      <c r="F193" s="65" t="s">
        <v>91</v>
      </c>
      <c r="G193" s="73">
        <v>20</v>
      </c>
      <c r="H193" s="74">
        <v>71.8</v>
      </c>
      <c r="I193" s="77">
        <f t="shared" si="4"/>
        <v>38.139329805996475</v>
      </c>
      <c r="J193" s="77">
        <v>17.3</v>
      </c>
      <c r="K193" s="77">
        <f t="shared" si="5"/>
        <v>17.473000000000003</v>
      </c>
      <c r="L193" s="68" t="s">
        <v>283</v>
      </c>
    </row>
    <row r="194" spans="1:12" ht="13.5">
      <c r="A194" s="81" t="s">
        <v>287</v>
      </c>
      <c r="B194" s="65" t="s">
        <v>288</v>
      </c>
      <c r="C194" s="65" t="s">
        <v>63</v>
      </c>
      <c r="D194" s="66" t="s">
        <v>75</v>
      </c>
      <c r="E194" s="67"/>
      <c r="F194" s="65" t="s">
        <v>91</v>
      </c>
      <c r="G194" s="73">
        <v>21</v>
      </c>
      <c r="H194" s="74">
        <v>71</v>
      </c>
      <c r="I194" s="77">
        <f t="shared" si="4"/>
        <v>37.698412698412703</v>
      </c>
      <c r="J194" s="77">
        <v>17.100000000000001</v>
      </c>
      <c r="K194" s="77">
        <f t="shared" si="5"/>
        <v>17.271000000000001</v>
      </c>
      <c r="L194" s="68" t="s">
        <v>283</v>
      </c>
    </row>
    <row r="195" spans="1:12" ht="13.5">
      <c r="A195" s="81" t="s">
        <v>287</v>
      </c>
      <c r="B195" s="65" t="s">
        <v>288</v>
      </c>
      <c r="C195" s="65" t="s">
        <v>63</v>
      </c>
      <c r="D195" s="66" t="s">
        <v>75</v>
      </c>
      <c r="E195" s="67"/>
      <c r="F195" s="65" t="s">
        <v>91</v>
      </c>
      <c r="G195" s="73">
        <v>22</v>
      </c>
      <c r="H195" s="74">
        <v>70.5</v>
      </c>
      <c r="I195" s="77">
        <f t="shared" si="4"/>
        <v>37.47795414462081</v>
      </c>
      <c r="J195" s="77">
        <v>17</v>
      </c>
      <c r="K195" s="77">
        <f t="shared" si="5"/>
        <v>17.170000000000002</v>
      </c>
      <c r="L195" s="68" t="s">
        <v>283</v>
      </c>
    </row>
    <row r="196" spans="1:12" ht="13.5">
      <c r="A196" s="81" t="s">
        <v>287</v>
      </c>
      <c r="B196" s="65" t="s">
        <v>288</v>
      </c>
      <c r="C196" s="65" t="s">
        <v>63</v>
      </c>
      <c r="D196" s="66" t="s">
        <v>75</v>
      </c>
      <c r="E196" s="67"/>
      <c r="F196" s="65" t="s">
        <v>91</v>
      </c>
      <c r="G196" s="73">
        <v>23</v>
      </c>
      <c r="H196" s="74">
        <v>70.5</v>
      </c>
      <c r="I196" s="77">
        <f t="shared" si="4"/>
        <v>37.47795414462081</v>
      </c>
      <c r="J196" s="77">
        <v>17</v>
      </c>
      <c r="K196" s="77">
        <f t="shared" si="5"/>
        <v>17.170000000000002</v>
      </c>
      <c r="L196" s="68" t="s">
        <v>283</v>
      </c>
    </row>
    <row r="197" spans="1:12" ht="13.5">
      <c r="A197" s="81" t="s">
        <v>287</v>
      </c>
      <c r="B197" s="65" t="s">
        <v>288</v>
      </c>
      <c r="C197" s="65" t="s">
        <v>63</v>
      </c>
      <c r="D197" s="66" t="s">
        <v>75</v>
      </c>
      <c r="E197" s="67"/>
      <c r="F197" s="65" t="s">
        <v>91</v>
      </c>
      <c r="G197" s="73">
        <v>24</v>
      </c>
      <c r="H197" s="74">
        <v>70.099999999999994</v>
      </c>
      <c r="I197" s="77">
        <f t="shared" si="4"/>
        <v>37.257495590828924</v>
      </c>
      <c r="J197" s="77">
        <v>16.899999999999999</v>
      </c>
      <c r="K197" s="77">
        <f t="shared" si="5"/>
        <v>17.068999999999999</v>
      </c>
      <c r="L197" s="68" t="s">
        <v>283</v>
      </c>
    </row>
    <row r="198" spans="1:12" ht="13.5">
      <c r="A198" s="81" t="s">
        <v>287</v>
      </c>
      <c r="B198" s="65" t="s">
        <v>288</v>
      </c>
      <c r="C198" s="65" t="s">
        <v>63</v>
      </c>
      <c r="D198" s="66" t="s">
        <v>75</v>
      </c>
      <c r="E198" s="67"/>
      <c r="F198" s="65" t="s">
        <v>91</v>
      </c>
      <c r="G198" s="73">
        <v>25</v>
      </c>
      <c r="H198" s="74">
        <v>70.099999999999994</v>
      </c>
      <c r="I198" s="77">
        <f t="shared" si="4"/>
        <v>37.257495590828924</v>
      </c>
      <c r="J198" s="77">
        <v>16.899999999999999</v>
      </c>
      <c r="K198" s="77">
        <f t="shared" si="5"/>
        <v>17.068999999999999</v>
      </c>
      <c r="L198" s="68" t="s">
        <v>283</v>
      </c>
    </row>
    <row r="199" spans="1:12" ht="13.5">
      <c r="A199" s="81" t="s">
        <v>287</v>
      </c>
      <c r="B199" s="65" t="s">
        <v>288</v>
      </c>
      <c r="C199" s="65" t="s">
        <v>63</v>
      </c>
      <c r="D199" s="66" t="s">
        <v>75</v>
      </c>
      <c r="E199" s="67"/>
      <c r="F199" s="65" t="s">
        <v>91</v>
      </c>
      <c r="G199" s="73">
        <v>26</v>
      </c>
      <c r="H199" s="74">
        <v>68.900000000000006</v>
      </c>
      <c r="I199" s="77">
        <f t="shared" si="4"/>
        <v>36.596119929453266</v>
      </c>
      <c r="J199" s="77">
        <v>16.600000000000001</v>
      </c>
      <c r="K199" s="77">
        <f t="shared" si="5"/>
        <v>16.766000000000002</v>
      </c>
      <c r="L199" s="68" t="s">
        <v>283</v>
      </c>
    </row>
    <row r="200" spans="1:12" ht="13.5">
      <c r="A200" s="81" t="s">
        <v>287</v>
      </c>
      <c r="B200" s="65" t="s">
        <v>288</v>
      </c>
      <c r="C200" s="65" t="s">
        <v>63</v>
      </c>
      <c r="D200" s="66" t="s">
        <v>75</v>
      </c>
      <c r="E200" s="67"/>
      <c r="F200" s="65" t="s">
        <v>91</v>
      </c>
      <c r="G200" s="73">
        <v>27</v>
      </c>
      <c r="H200" s="74">
        <v>74.3</v>
      </c>
      <c r="I200" s="77">
        <f t="shared" si="4"/>
        <v>39.462081128747791</v>
      </c>
      <c r="J200" s="77">
        <v>17.899999999999999</v>
      </c>
      <c r="K200" s="77">
        <f t="shared" si="5"/>
        <v>18.078999999999997</v>
      </c>
      <c r="L200" s="68" t="s">
        <v>283</v>
      </c>
    </row>
    <row r="201" spans="1:12" ht="13.5">
      <c r="A201" s="81" t="s">
        <v>287</v>
      </c>
      <c r="B201" s="65" t="s">
        <v>288</v>
      </c>
      <c r="C201" s="65" t="s">
        <v>63</v>
      </c>
      <c r="D201" s="66" t="s">
        <v>75</v>
      </c>
      <c r="E201" s="67"/>
      <c r="F201" s="65" t="s">
        <v>91</v>
      </c>
      <c r="G201" s="73">
        <v>28</v>
      </c>
      <c r="H201" s="74">
        <v>71.400000000000006</v>
      </c>
      <c r="I201" s="77">
        <f t="shared" si="4"/>
        <v>37.918871252204582</v>
      </c>
      <c r="J201" s="77">
        <v>17.2</v>
      </c>
      <c r="K201" s="77">
        <f t="shared" si="5"/>
        <v>17.372</v>
      </c>
      <c r="L201" s="68" t="s">
        <v>283</v>
      </c>
    </row>
    <row r="202" spans="1:12" ht="13.5">
      <c r="A202" s="81" t="s">
        <v>287</v>
      </c>
      <c r="B202" s="65" t="s">
        <v>288</v>
      </c>
      <c r="C202" s="65" t="s">
        <v>63</v>
      </c>
      <c r="D202" s="66" t="s">
        <v>75</v>
      </c>
      <c r="E202" s="67"/>
      <c r="F202" s="65" t="s">
        <v>91</v>
      </c>
      <c r="G202" s="73">
        <v>29</v>
      </c>
      <c r="H202" s="74">
        <v>71.400000000000006</v>
      </c>
      <c r="I202" s="77">
        <f t="shared" si="4"/>
        <v>37.918871252204582</v>
      </c>
      <c r="J202" s="77">
        <v>17.2</v>
      </c>
      <c r="K202" s="77">
        <f t="shared" si="5"/>
        <v>17.372</v>
      </c>
      <c r="L202" s="68" t="s">
        <v>283</v>
      </c>
    </row>
    <row r="203" spans="1:12" ht="13.5">
      <c r="A203" s="81" t="s">
        <v>287</v>
      </c>
      <c r="B203" s="65" t="s">
        <v>288</v>
      </c>
      <c r="C203" s="65" t="s">
        <v>63</v>
      </c>
      <c r="D203" s="66" t="s">
        <v>75</v>
      </c>
      <c r="E203" s="67"/>
      <c r="F203" s="65" t="s">
        <v>91</v>
      </c>
      <c r="G203" s="73">
        <v>30</v>
      </c>
      <c r="H203" s="74">
        <v>71.400000000000006</v>
      </c>
      <c r="I203" s="77">
        <f t="shared" si="4"/>
        <v>37.918871252204582</v>
      </c>
      <c r="J203" s="77">
        <v>17.2</v>
      </c>
      <c r="K203" s="77">
        <f t="shared" si="5"/>
        <v>17.372</v>
      </c>
      <c r="L203" s="68" t="s">
        <v>283</v>
      </c>
    </row>
    <row r="204" spans="1:12" ht="13.5">
      <c r="A204" s="81" t="s">
        <v>287</v>
      </c>
      <c r="B204" s="65" t="s">
        <v>288</v>
      </c>
      <c r="C204" s="65" t="s">
        <v>63</v>
      </c>
      <c r="D204" s="66" t="s">
        <v>75</v>
      </c>
      <c r="E204" s="67"/>
      <c r="F204" s="65" t="s">
        <v>91</v>
      </c>
      <c r="G204" s="73">
        <v>31</v>
      </c>
      <c r="H204" s="74">
        <v>71.8</v>
      </c>
      <c r="I204" s="77">
        <f t="shared" si="4"/>
        <v>38.139329805996475</v>
      </c>
      <c r="J204" s="77">
        <v>17.3</v>
      </c>
      <c r="K204" s="77">
        <f t="shared" si="5"/>
        <v>17.473000000000003</v>
      </c>
      <c r="L204" s="68" t="s">
        <v>283</v>
      </c>
    </row>
    <row r="205" spans="1:12" ht="13.5">
      <c r="A205" s="81" t="s">
        <v>287</v>
      </c>
      <c r="B205" s="65" t="s">
        <v>288</v>
      </c>
      <c r="C205" s="65" t="s">
        <v>63</v>
      </c>
      <c r="D205" s="66" t="s">
        <v>75</v>
      </c>
      <c r="E205" s="67"/>
      <c r="F205" s="65" t="s">
        <v>91</v>
      </c>
      <c r="G205" s="73">
        <v>32</v>
      </c>
      <c r="H205" s="74">
        <v>72.2</v>
      </c>
      <c r="I205" s="77">
        <f t="shared" si="4"/>
        <v>38.359788359788354</v>
      </c>
      <c r="J205" s="77">
        <v>17.399999999999999</v>
      </c>
      <c r="K205" s="77">
        <f t="shared" si="5"/>
        <v>17.573999999999998</v>
      </c>
      <c r="L205" s="68" t="s">
        <v>283</v>
      </c>
    </row>
    <row r="206" spans="1:12" ht="13.5">
      <c r="A206" s="81" t="s">
        <v>287</v>
      </c>
      <c r="B206" s="65" t="s">
        <v>288</v>
      </c>
      <c r="C206" s="65" t="s">
        <v>63</v>
      </c>
      <c r="D206" s="66" t="s">
        <v>75</v>
      </c>
      <c r="E206" s="67"/>
      <c r="F206" s="65" t="s">
        <v>91</v>
      </c>
      <c r="G206" s="73">
        <v>33</v>
      </c>
      <c r="H206" s="74">
        <v>71.400000000000006</v>
      </c>
      <c r="I206" s="77">
        <f t="shared" si="4"/>
        <v>37.918871252204582</v>
      </c>
      <c r="J206" s="77">
        <v>17.2</v>
      </c>
      <c r="K206" s="77">
        <f t="shared" si="5"/>
        <v>17.372</v>
      </c>
      <c r="L206" s="68" t="s">
        <v>283</v>
      </c>
    </row>
    <row r="207" spans="1:12" ht="13.5">
      <c r="A207" s="81" t="s">
        <v>287</v>
      </c>
      <c r="B207" s="65" t="s">
        <v>288</v>
      </c>
      <c r="C207" s="65" t="s">
        <v>63</v>
      </c>
      <c r="D207" s="66" t="s">
        <v>75</v>
      </c>
      <c r="E207" s="67"/>
      <c r="F207" s="65" t="s">
        <v>91</v>
      </c>
      <c r="G207" s="73">
        <v>34</v>
      </c>
      <c r="H207" s="74">
        <v>72.2</v>
      </c>
      <c r="I207" s="77">
        <f t="shared" si="4"/>
        <v>38.359788359788354</v>
      </c>
      <c r="J207" s="77">
        <v>17.399999999999999</v>
      </c>
      <c r="K207" s="77">
        <f t="shared" si="5"/>
        <v>17.573999999999998</v>
      </c>
      <c r="L207" s="68" t="s">
        <v>283</v>
      </c>
    </row>
    <row r="208" spans="1:12" ht="13.5">
      <c r="A208" s="81" t="s">
        <v>287</v>
      </c>
      <c r="B208" s="65" t="s">
        <v>288</v>
      </c>
      <c r="C208" s="65" t="s">
        <v>63</v>
      </c>
      <c r="D208" s="66" t="s">
        <v>75</v>
      </c>
      <c r="E208" s="67"/>
      <c r="F208" s="65" t="s">
        <v>91</v>
      </c>
      <c r="G208" s="73">
        <v>35</v>
      </c>
      <c r="H208" s="74">
        <v>71.400000000000006</v>
      </c>
      <c r="I208" s="77">
        <f t="shared" si="4"/>
        <v>37.918871252204582</v>
      </c>
      <c r="J208" s="77">
        <v>17.2</v>
      </c>
      <c r="K208" s="77">
        <f t="shared" si="5"/>
        <v>17.372</v>
      </c>
      <c r="L208" s="68" t="s">
        <v>283</v>
      </c>
    </row>
    <row r="209" spans="1:12" ht="13.5">
      <c r="A209" s="81" t="s">
        <v>287</v>
      </c>
      <c r="B209" s="65" t="s">
        <v>288</v>
      </c>
      <c r="C209" s="65" t="s">
        <v>63</v>
      </c>
      <c r="D209" s="66" t="s">
        <v>75</v>
      </c>
      <c r="E209" s="67"/>
      <c r="F209" s="65" t="s">
        <v>91</v>
      </c>
      <c r="G209" s="73">
        <v>36</v>
      </c>
      <c r="H209" s="74">
        <v>72.2</v>
      </c>
      <c r="I209" s="77">
        <f t="shared" si="4"/>
        <v>38.359788359788354</v>
      </c>
      <c r="J209" s="77">
        <v>17.399999999999999</v>
      </c>
      <c r="K209" s="77">
        <f t="shared" si="5"/>
        <v>17.573999999999998</v>
      </c>
      <c r="L209" s="68" t="s">
        <v>283</v>
      </c>
    </row>
    <row r="210" spans="1:12" ht="13.5">
      <c r="A210" s="81" t="s">
        <v>287</v>
      </c>
      <c r="B210" s="65" t="s">
        <v>288</v>
      </c>
      <c r="C210" s="65" t="s">
        <v>63</v>
      </c>
      <c r="D210" s="66" t="s">
        <v>75</v>
      </c>
      <c r="E210" s="67"/>
      <c r="F210" s="65" t="s">
        <v>91</v>
      </c>
      <c r="G210" s="73">
        <v>37</v>
      </c>
      <c r="H210" s="74">
        <v>71.400000000000006</v>
      </c>
      <c r="I210" s="77">
        <f t="shared" si="4"/>
        <v>37.918871252204582</v>
      </c>
      <c r="J210" s="77">
        <v>17.2</v>
      </c>
      <c r="K210" s="77">
        <f t="shared" si="5"/>
        <v>17.372</v>
      </c>
      <c r="L210" s="68" t="s">
        <v>283</v>
      </c>
    </row>
    <row r="211" spans="1:12" ht="13.5">
      <c r="A211" s="81" t="s">
        <v>287</v>
      </c>
      <c r="B211" s="65" t="s">
        <v>288</v>
      </c>
      <c r="C211" s="65" t="s">
        <v>63</v>
      </c>
      <c r="D211" s="66" t="s">
        <v>75</v>
      </c>
      <c r="E211" s="67"/>
      <c r="F211" s="65" t="s">
        <v>91</v>
      </c>
      <c r="G211" s="73">
        <v>38</v>
      </c>
      <c r="H211" s="74">
        <v>71.8</v>
      </c>
      <c r="I211" s="77">
        <f t="shared" si="4"/>
        <v>38.139329805996475</v>
      </c>
      <c r="J211" s="77">
        <v>17.3</v>
      </c>
      <c r="K211" s="77">
        <f t="shared" si="5"/>
        <v>17.473000000000003</v>
      </c>
      <c r="L211" s="68" t="s">
        <v>283</v>
      </c>
    </row>
    <row r="212" spans="1:12" ht="13.5">
      <c r="A212" s="81" t="s">
        <v>287</v>
      </c>
      <c r="B212" s="65" t="s">
        <v>288</v>
      </c>
      <c r="C212" s="65" t="s">
        <v>63</v>
      </c>
      <c r="D212" s="66" t="s">
        <v>75</v>
      </c>
      <c r="E212" s="67"/>
      <c r="F212" s="65" t="s">
        <v>91</v>
      </c>
      <c r="G212" s="73">
        <v>39</v>
      </c>
      <c r="H212" s="74">
        <v>71.400000000000006</v>
      </c>
      <c r="I212" s="77">
        <f t="shared" si="4"/>
        <v>37.918871252204582</v>
      </c>
      <c r="J212" s="77">
        <v>17.2</v>
      </c>
      <c r="K212" s="77">
        <f t="shared" si="5"/>
        <v>17.372</v>
      </c>
      <c r="L212" s="68" t="s">
        <v>283</v>
      </c>
    </row>
    <row r="213" spans="1:12" ht="13.5">
      <c r="A213" s="81" t="s">
        <v>287</v>
      </c>
      <c r="B213" s="65" t="s">
        <v>288</v>
      </c>
      <c r="C213" s="65" t="s">
        <v>63</v>
      </c>
      <c r="D213" s="66" t="s">
        <v>75</v>
      </c>
      <c r="E213" s="67"/>
      <c r="F213" s="65" t="s">
        <v>91</v>
      </c>
      <c r="G213" s="73">
        <v>40</v>
      </c>
      <c r="H213" s="74">
        <v>72.2</v>
      </c>
      <c r="I213" s="77">
        <f t="shared" si="4"/>
        <v>38.359788359788354</v>
      </c>
      <c r="J213" s="77">
        <v>17.399999999999999</v>
      </c>
      <c r="K213" s="77">
        <f t="shared" si="5"/>
        <v>17.573999999999998</v>
      </c>
      <c r="L213" s="68" t="s">
        <v>283</v>
      </c>
    </row>
    <row r="214" spans="1:12" ht="13.5">
      <c r="A214" s="81" t="s">
        <v>287</v>
      </c>
      <c r="B214" s="65" t="s">
        <v>288</v>
      </c>
      <c r="C214" s="65" t="s">
        <v>63</v>
      </c>
      <c r="D214" s="66" t="s">
        <v>75</v>
      </c>
      <c r="E214" s="67"/>
      <c r="F214" s="65" t="s">
        <v>91</v>
      </c>
      <c r="G214" s="73">
        <v>41</v>
      </c>
      <c r="H214" s="74">
        <v>71.400000000000006</v>
      </c>
      <c r="I214" s="77">
        <f t="shared" si="4"/>
        <v>37.918871252204582</v>
      </c>
      <c r="J214" s="77">
        <v>17.2</v>
      </c>
      <c r="K214" s="77">
        <f t="shared" si="5"/>
        <v>17.372</v>
      </c>
      <c r="L214" s="68" t="s">
        <v>283</v>
      </c>
    </row>
    <row r="215" spans="1:12" ht="13.5">
      <c r="A215" s="81" t="s">
        <v>287</v>
      </c>
      <c r="B215" s="65" t="s">
        <v>288</v>
      </c>
      <c r="C215" s="65" t="s">
        <v>63</v>
      </c>
      <c r="D215" s="66" t="s">
        <v>75</v>
      </c>
      <c r="E215" s="67"/>
      <c r="F215" s="65" t="s">
        <v>91</v>
      </c>
      <c r="G215" s="73">
        <v>42</v>
      </c>
      <c r="H215" s="74">
        <v>71.400000000000006</v>
      </c>
      <c r="I215" s="77">
        <f t="shared" si="4"/>
        <v>37.918871252204582</v>
      </c>
      <c r="J215" s="77">
        <v>17.2</v>
      </c>
      <c r="K215" s="77">
        <f t="shared" si="5"/>
        <v>17.372</v>
      </c>
      <c r="L215" s="68" t="s">
        <v>283</v>
      </c>
    </row>
    <row r="216" spans="1:12" ht="13.5">
      <c r="A216" s="81" t="s">
        <v>287</v>
      </c>
      <c r="B216" s="65" t="s">
        <v>288</v>
      </c>
      <c r="C216" s="65" t="s">
        <v>63</v>
      </c>
      <c r="D216" s="66" t="s">
        <v>75</v>
      </c>
      <c r="E216" s="67"/>
      <c r="F216" s="65" t="s">
        <v>91</v>
      </c>
      <c r="G216" s="73">
        <v>43</v>
      </c>
      <c r="H216" s="74">
        <v>71</v>
      </c>
      <c r="I216" s="77">
        <f t="shared" si="4"/>
        <v>37.698412698412703</v>
      </c>
      <c r="J216" s="77">
        <v>17.100000000000001</v>
      </c>
      <c r="K216" s="77">
        <f t="shared" si="5"/>
        <v>17.271000000000001</v>
      </c>
      <c r="L216" s="68" t="s">
        <v>283</v>
      </c>
    </row>
    <row r="217" spans="1:12" ht="13.5">
      <c r="A217" s="81" t="s">
        <v>287</v>
      </c>
      <c r="B217" s="65" t="s">
        <v>288</v>
      </c>
      <c r="C217" s="65" t="s">
        <v>63</v>
      </c>
      <c r="D217" s="66" t="s">
        <v>75</v>
      </c>
      <c r="E217" s="67"/>
      <c r="F217" s="65" t="s">
        <v>91</v>
      </c>
      <c r="G217" s="73">
        <v>44</v>
      </c>
      <c r="H217" s="74">
        <v>71.400000000000006</v>
      </c>
      <c r="I217" s="77">
        <f t="shared" si="4"/>
        <v>37.918871252204582</v>
      </c>
      <c r="J217" s="77">
        <v>17.2</v>
      </c>
      <c r="K217" s="77">
        <f t="shared" si="5"/>
        <v>17.372</v>
      </c>
      <c r="L217" s="68" t="s">
        <v>283</v>
      </c>
    </row>
    <row r="218" spans="1:12" ht="13.5">
      <c r="A218" s="81" t="s">
        <v>287</v>
      </c>
      <c r="B218" s="65" t="s">
        <v>288</v>
      </c>
      <c r="C218" s="65" t="s">
        <v>63</v>
      </c>
      <c r="D218" s="66" t="s">
        <v>75</v>
      </c>
      <c r="E218" s="67"/>
      <c r="F218" s="65" t="s">
        <v>91</v>
      </c>
      <c r="G218" s="73">
        <v>45</v>
      </c>
      <c r="H218" s="74">
        <v>71.400000000000006</v>
      </c>
      <c r="I218" s="77">
        <f t="shared" si="4"/>
        <v>37.918871252204582</v>
      </c>
      <c r="J218" s="77">
        <v>17.2</v>
      </c>
      <c r="K218" s="77">
        <f t="shared" si="5"/>
        <v>17.372</v>
      </c>
      <c r="L218" s="68" t="s">
        <v>283</v>
      </c>
    </row>
    <row r="219" spans="1:12" ht="13.5">
      <c r="A219" s="81" t="s">
        <v>287</v>
      </c>
      <c r="B219" s="65" t="s">
        <v>288</v>
      </c>
      <c r="C219" s="65" t="s">
        <v>63</v>
      </c>
      <c r="D219" s="66" t="s">
        <v>75</v>
      </c>
      <c r="E219" s="67"/>
      <c r="F219" s="65" t="s">
        <v>91</v>
      </c>
      <c r="G219" s="73">
        <v>46</v>
      </c>
      <c r="H219" s="74">
        <v>71.400000000000006</v>
      </c>
      <c r="I219" s="77">
        <f t="shared" si="4"/>
        <v>37.918871252204582</v>
      </c>
      <c r="J219" s="77">
        <v>17.2</v>
      </c>
      <c r="K219" s="77">
        <f t="shared" si="5"/>
        <v>17.372</v>
      </c>
      <c r="L219" s="68" t="s">
        <v>283</v>
      </c>
    </row>
    <row r="220" spans="1:12" ht="13.5">
      <c r="A220" s="81" t="s">
        <v>287</v>
      </c>
      <c r="B220" s="65" t="s">
        <v>288</v>
      </c>
      <c r="C220" s="65" t="s">
        <v>63</v>
      </c>
      <c r="D220" s="66" t="s">
        <v>75</v>
      </c>
      <c r="E220" s="67"/>
      <c r="F220" s="65" t="s">
        <v>91</v>
      </c>
      <c r="G220" s="73">
        <v>47</v>
      </c>
      <c r="H220" s="74">
        <v>74.3</v>
      </c>
      <c r="I220" s="77">
        <f t="shared" ref="I220:I241" si="6">+J220/0.4536</f>
        <v>39.462081128747791</v>
      </c>
      <c r="J220" s="77">
        <v>17.899999999999999</v>
      </c>
      <c r="K220" s="77">
        <f t="shared" ref="K220:K241" si="7">+J220*1.01</f>
        <v>18.078999999999997</v>
      </c>
      <c r="L220" s="68" t="s">
        <v>283</v>
      </c>
    </row>
    <row r="221" spans="1:12" ht="13.5">
      <c r="A221" s="81" t="s">
        <v>287</v>
      </c>
      <c r="B221" s="65" t="s">
        <v>288</v>
      </c>
      <c r="C221" s="65" t="s">
        <v>63</v>
      </c>
      <c r="D221" s="66" t="s">
        <v>75</v>
      </c>
      <c r="E221" s="67"/>
      <c r="F221" s="65" t="s">
        <v>91</v>
      </c>
      <c r="G221" s="73">
        <v>48</v>
      </c>
      <c r="H221" s="74">
        <v>71.400000000000006</v>
      </c>
      <c r="I221" s="77">
        <f t="shared" si="6"/>
        <v>37.918871252204582</v>
      </c>
      <c r="J221" s="77">
        <v>17.2</v>
      </c>
      <c r="K221" s="77">
        <f t="shared" si="7"/>
        <v>17.372</v>
      </c>
      <c r="L221" s="68" t="s">
        <v>283</v>
      </c>
    </row>
    <row r="222" spans="1:12" ht="13.5">
      <c r="A222" s="81" t="s">
        <v>287</v>
      </c>
      <c r="B222" s="65" t="s">
        <v>288</v>
      </c>
      <c r="C222" s="65" t="s">
        <v>63</v>
      </c>
      <c r="D222" s="66" t="s">
        <v>75</v>
      </c>
      <c r="E222" s="67"/>
      <c r="F222" s="65" t="s">
        <v>91</v>
      </c>
      <c r="G222" s="73">
        <v>49</v>
      </c>
      <c r="H222" s="74">
        <v>71.400000000000006</v>
      </c>
      <c r="I222" s="77">
        <f t="shared" si="6"/>
        <v>37.918871252204582</v>
      </c>
      <c r="J222" s="77">
        <v>17.2</v>
      </c>
      <c r="K222" s="77">
        <f t="shared" si="7"/>
        <v>17.372</v>
      </c>
      <c r="L222" s="68" t="s">
        <v>283</v>
      </c>
    </row>
    <row r="223" spans="1:12" ht="13.5">
      <c r="A223" s="81" t="s">
        <v>287</v>
      </c>
      <c r="B223" s="65" t="s">
        <v>288</v>
      </c>
      <c r="C223" s="65" t="s">
        <v>63</v>
      </c>
      <c r="D223" s="66" t="s">
        <v>75</v>
      </c>
      <c r="E223" s="67"/>
      <c r="F223" s="65" t="s">
        <v>91</v>
      </c>
      <c r="G223" s="73">
        <v>50</v>
      </c>
      <c r="H223" s="74">
        <v>71</v>
      </c>
      <c r="I223" s="77">
        <f t="shared" si="6"/>
        <v>37.698412698412703</v>
      </c>
      <c r="J223" s="77">
        <v>17.100000000000001</v>
      </c>
      <c r="K223" s="77">
        <f t="shared" si="7"/>
        <v>17.271000000000001</v>
      </c>
      <c r="L223" s="68" t="s">
        <v>283</v>
      </c>
    </row>
    <row r="224" spans="1:12" ht="13.5">
      <c r="A224" s="81" t="s">
        <v>287</v>
      </c>
      <c r="B224" s="65" t="s">
        <v>288</v>
      </c>
      <c r="C224" s="65" t="s">
        <v>63</v>
      </c>
      <c r="D224" s="66" t="s">
        <v>75</v>
      </c>
      <c r="E224" s="67"/>
      <c r="F224" s="65" t="s">
        <v>91</v>
      </c>
      <c r="G224" s="73">
        <v>51</v>
      </c>
      <c r="H224" s="74">
        <v>71</v>
      </c>
      <c r="I224" s="77">
        <f t="shared" si="6"/>
        <v>37.698412698412703</v>
      </c>
      <c r="J224" s="77">
        <v>17.100000000000001</v>
      </c>
      <c r="K224" s="77">
        <f t="shared" si="7"/>
        <v>17.271000000000001</v>
      </c>
      <c r="L224" s="68" t="s">
        <v>283</v>
      </c>
    </row>
    <row r="225" spans="1:12" ht="13.5">
      <c r="A225" s="81" t="s">
        <v>287</v>
      </c>
      <c r="B225" s="65" t="s">
        <v>288</v>
      </c>
      <c r="C225" s="65" t="s">
        <v>63</v>
      </c>
      <c r="D225" s="66" t="s">
        <v>75</v>
      </c>
      <c r="E225" s="67"/>
      <c r="F225" s="65" t="s">
        <v>91</v>
      </c>
      <c r="G225" s="73">
        <v>52</v>
      </c>
      <c r="H225" s="74">
        <v>71</v>
      </c>
      <c r="I225" s="77">
        <f t="shared" si="6"/>
        <v>37.698412698412703</v>
      </c>
      <c r="J225" s="77">
        <v>17.100000000000001</v>
      </c>
      <c r="K225" s="77">
        <f t="shared" si="7"/>
        <v>17.271000000000001</v>
      </c>
      <c r="L225" s="68" t="s">
        <v>283</v>
      </c>
    </row>
    <row r="226" spans="1:12" ht="13.5">
      <c r="A226" s="81" t="s">
        <v>287</v>
      </c>
      <c r="B226" s="65" t="s">
        <v>288</v>
      </c>
      <c r="C226" s="65" t="s">
        <v>63</v>
      </c>
      <c r="D226" s="66" t="s">
        <v>75</v>
      </c>
      <c r="E226" s="67"/>
      <c r="F226" s="65" t="s">
        <v>91</v>
      </c>
      <c r="G226" s="73">
        <v>53</v>
      </c>
      <c r="H226" s="74">
        <v>70.5</v>
      </c>
      <c r="I226" s="77">
        <f t="shared" si="6"/>
        <v>37.47795414462081</v>
      </c>
      <c r="J226" s="77">
        <v>17</v>
      </c>
      <c r="K226" s="77">
        <f t="shared" si="7"/>
        <v>17.170000000000002</v>
      </c>
      <c r="L226" s="68" t="s">
        <v>283</v>
      </c>
    </row>
    <row r="227" spans="1:12" ht="13.5">
      <c r="A227" s="81" t="s">
        <v>287</v>
      </c>
      <c r="B227" s="65" t="s">
        <v>288</v>
      </c>
      <c r="C227" s="65" t="s">
        <v>63</v>
      </c>
      <c r="D227" s="66" t="s">
        <v>75</v>
      </c>
      <c r="E227" s="67"/>
      <c r="F227" s="65" t="s">
        <v>91</v>
      </c>
      <c r="G227" s="73">
        <v>54</v>
      </c>
      <c r="H227" s="74">
        <v>71.400000000000006</v>
      </c>
      <c r="I227" s="77">
        <f t="shared" si="6"/>
        <v>37.918871252204582</v>
      </c>
      <c r="J227" s="77">
        <v>17.2</v>
      </c>
      <c r="K227" s="77">
        <f t="shared" si="7"/>
        <v>17.372</v>
      </c>
      <c r="L227" s="68" t="s">
        <v>283</v>
      </c>
    </row>
    <row r="228" spans="1:12" ht="13.5">
      <c r="A228" s="81" t="s">
        <v>287</v>
      </c>
      <c r="B228" s="65" t="s">
        <v>288</v>
      </c>
      <c r="C228" s="65" t="s">
        <v>63</v>
      </c>
      <c r="D228" s="66" t="s">
        <v>75</v>
      </c>
      <c r="E228" s="67"/>
      <c r="F228" s="65" t="s">
        <v>91</v>
      </c>
      <c r="G228" s="73">
        <v>55</v>
      </c>
      <c r="H228" s="74">
        <v>70.5</v>
      </c>
      <c r="I228" s="77">
        <f t="shared" si="6"/>
        <v>37.47795414462081</v>
      </c>
      <c r="J228" s="77">
        <v>17</v>
      </c>
      <c r="K228" s="77">
        <f t="shared" si="7"/>
        <v>17.170000000000002</v>
      </c>
      <c r="L228" s="68" t="s">
        <v>283</v>
      </c>
    </row>
    <row r="229" spans="1:12" ht="13.5">
      <c r="A229" s="81" t="s">
        <v>287</v>
      </c>
      <c r="B229" s="65" t="s">
        <v>288</v>
      </c>
      <c r="C229" s="65" t="s">
        <v>63</v>
      </c>
      <c r="D229" s="66" t="s">
        <v>75</v>
      </c>
      <c r="E229" s="67"/>
      <c r="F229" s="65" t="s">
        <v>91</v>
      </c>
      <c r="G229" s="73">
        <v>56</v>
      </c>
      <c r="H229" s="74">
        <v>70.5</v>
      </c>
      <c r="I229" s="77">
        <f t="shared" si="6"/>
        <v>37.47795414462081</v>
      </c>
      <c r="J229" s="77">
        <v>17</v>
      </c>
      <c r="K229" s="77">
        <f t="shared" si="7"/>
        <v>17.170000000000002</v>
      </c>
      <c r="L229" s="68" t="s">
        <v>283</v>
      </c>
    </row>
    <row r="230" spans="1:12" ht="13.5">
      <c r="A230" s="81" t="s">
        <v>287</v>
      </c>
      <c r="B230" s="65" t="s">
        <v>288</v>
      </c>
      <c r="C230" s="65" t="s">
        <v>63</v>
      </c>
      <c r="D230" s="66" t="s">
        <v>75</v>
      </c>
      <c r="E230" s="67"/>
      <c r="F230" s="65" t="s">
        <v>91</v>
      </c>
      <c r="G230" s="73">
        <v>57</v>
      </c>
      <c r="H230" s="74">
        <v>71.400000000000006</v>
      </c>
      <c r="I230" s="77">
        <f t="shared" si="6"/>
        <v>37.918871252204582</v>
      </c>
      <c r="J230" s="77">
        <v>17.2</v>
      </c>
      <c r="K230" s="77">
        <f t="shared" si="7"/>
        <v>17.372</v>
      </c>
      <c r="L230" s="68" t="s">
        <v>283</v>
      </c>
    </row>
    <row r="231" spans="1:12" ht="13.5">
      <c r="A231" s="81" t="s">
        <v>287</v>
      </c>
      <c r="B231" s="65" t="s">
        <v>288</v>
      </c>
      <c r="C231" s="65" t="s">
        <v>63</v>
      </c>
      <c r="D231" s="66" t="s">
        <v>75</v>
      </c>
      <c r="E231" s="67"/>
      <c r="F231" s="65" t="s">
        <v>91</v>
      </c>
      <c r="G231" s="73">
        <v>58</v>
      </c>
      <c r="H231" s="74">
        <v>46.1</v>
      </c>
      <c r="I231" s="77">
        <f t="shared" si="6"/>
        <v>24.470899470899472</v>
      </c>
      <c r="J231" s="77">
        <v>11.1</v>
      </c>
      <c r="K231" s="77">
        <f t="shared" si="7"/>
        <v>11.211</v>
      </c>
      <c r="L231" s="68" t="s">
        <v>283</v>
      </c>
    </row>
    <row r="232" spans="1:12" ht="13.5">
      <c r="A232" s="81"/>
      <c r="B232" s="65"/>
      <c r="C232" s="65"/>
      <c r="D232" s="66" t="s">
        <v>53</v>
      </c>
      <c r="E232" s="67"/>
      <c r="F232" s="65"/>
      <c r="G232" s="73">
        <v>58</v>
      </c>
      <c r="H232" s="74">
        <v>4095.1</v>
      </c>
      <c r="I232" s="77">
        <f t="shared" si="6"/>
        <v>2175.4850088183434</v>
      </c>
      <c r="J232" s="77">
        <v>986.80000000000052</v>
      </c>
      <c r="K232" s="77">
        <f t="shared" si="7"/>
        <v>996.66800000000057</v>
      </c>
      <c r="L232" s="68" t="s">
        <v>283</v>
      </c>
    </row>
    <row r="233" spans="1:12" ht="13.5">
      <c r="A233" s="81" t="s">
        <v>287</v>
      </c>
      <c r="B233" s="65" t="s">
        <v>288</v>
      </c>
      <c r="C233" s="65" t="s">
        <v>92</v>
      </c>
      <c r="D233" s="66" t="s">
        <v>75</v>
      </c>
      <c r="E233" s="67"/>
      <c r="F233" s="65" t="s">
        <v>93</v>
      </c>
      <c r="G233" s="73">
        <v>31</v>
      </c>
      <c r="H233" s="74">
        <v>71.3</v>
      </c>
      <c r="I233" s="77">
        <f t="shared" si="6"/>
        <v>37.698412698412703</v>
      </c>
      <c r="J233" s="77">
        <v>17.100000000000001</v>
      </c>
      <c r="K233" s="77">
        <f t="shared" si="7"/>
        <v>17.271000000000001</v>
      </c>
      <c r="L233" s="68" t="s">
        <v>283</v>
      </c>
    </row>
    <row r="234" spans="1:12" ht="13.5">
      <c r="A234" s="81" t="s">
        <v>287</v>
      </c>
      <c r="B234" s="65" t="s">
        <v>288</v>
      </c>
      <c r="C234" s="65" t="s">
        <v>92</v>
      </c>
      <c r="D234" s="66" t="s">
        <v>75</v>
      </c>
      <c r="E234" s="67"/>
      <c r="F234" s="65" t="s">
        <v>93</v>
      </c>
      <c r="G234" s="73">
        <v>33</v>
      </c>
      <c r="H234" s="74">
        <v>63.8</v>
      </c>
      <c r="I234" s="77">
        <f t="shared" si="6"/>
        <v>33.730158730158735</v>
      </c>
      <c r="J234" s="77">
        <v>15.3</v>
      </c>
      <c r="K234" s="77">
        <f t="shared" si="7"/>
        <v>15.453000000000001</v>
      </c>
      <c r="L234" s="68" t="s">
        <v>283</v>
      </c>
    </row>
    <row r="235" spans="1:12" ht="13.5">
      <c r="A235" s="81" t="s">
        <v>287</v>
      </c>
      <c r="B235" s="65" t="s">
        <v>288</v>
      </c>
      <c r="C235" s="65" t="s">
        <v>92</v>
      </c>
      <c r="D235" s="66" t="s">
        <v>75</v>
      </c>
      <c r="E235" s="67"/>
      <c r="F235" s="65" t="s">
        <v>93</v>
      </c>
      <c r="G235" s="73">
        <v>36</v>
      </c>
      <c r="H235" s="74">
        <v>69.599999999999994</v>
      </c>
      <c r="I235" s="77">
        <f t="shared" si="6"/>
        <v>36.816578483245145</v>
      </c>
      <c r="J235" s="77">
        <v>16.7</v>
      </c>
      <c r="K235" s="77">
        <f t="shared" si="7"/>
        <v>16.867000000000001</v>
      </c>
      <c r="L235" s="68" t="s">
        <v>283</v>
      </c>
    </row>
    <row r="236" spans="1:12" ht="13.5">
      <c r="A236" s="81" t="s">
        <v>287</v>
      </c>
      <c r="B236" s="65" t="s">
        <v>288</v>
      </c>
      <c r="C236" s="65" t="s">
        <v>92</v>
      </c>
      <c r="D236" s="66" t="s">
        <v>75</v>
      </c>
      <c r="E236" s="67"/>
      <c r="F236" s="65" t="s">
        <v>93</v>
      </c>
      <c r="G236" s="73">
        <v>38</v>
      </c>
      <c r="H236" s="74">
        <v>71.3</v>
      </c>
      <c r="I236" s="77">
        <f t="shared" si="6"/>
        <v>37.698412698412703</v>
      </c>
      <c r="J236" s="77">
        <v>17.100000000000001</v>
      </c>
      <c r="K236" s="77">
        <f t="shared" si="7"/>
        <v>17.271000000000001</v>
      </c>
      <c r="L236" s="68" t="s">
        <v>283</v>
      </c>
    </row>
    <row r="237" spans="1:12" ht="13.5">
      <c r="A237" s="81" t="s">
        <v>287</v>
      </c>
      <c r="B237" s="65" t="s">
        <v>288</v>
      </c>
      <c r="C237" s="65" t="s">
        <v>92</v>
      </c>
      <c r="D237" s="66" t="s">
        <v>75</v>
      </c>
      <c r="E237" s="67"/>
      <c r="F237" s="65" t="s">
        <v>93</v>
      </c>
      <c r="G237" s="73">
        <v>39</v>
      </c>
      <c r="H237" s="74">
        <v>71.3</v>
      </c>
      <c r="I237" s="77">
        <f t="shared" si="6"/>
        <v>37.698412698412703</v>
      </c>
      <c r="J237" s="77">
        <v>17.100000000000001</v>
      </c>
      <c r="K237" s="77">
        <f t="shared" si="7"/>
        <v>17.271000000000001</v>
      </c>
      <c r="L237" s="68" t="s">
        <v>283</v>
      </c>
    </row>
    <row r="238" spans="1:12" ht="13.5">
      <c r="A238" s="81" t="s">
        <v>287</v>
      </c>
      <c r="B238" s="65" t="s">
        <v>288</v>
      </c>
      <c r="C238" s="65" t="s">
        <v>92</v>
      </c>
      <c r="D238" s="66" t="s">
        <v>75</v>
      </c>
      <c r="E238" s="67"/>
      <c r="F238" s="65" t="s">
        <v>93</v>
      </c>
      <c r="G238" s="73">
        <v>40</v>
      </c>
      <c r="H238" s="74">
        <v>71.3</v>
      </c>
      <c r="I238" s="77">
        <f t="shared" si="6"/>
        <v>37.698412698412703</v>
      </c>
      <c r="J238" s="77">
        <v>17.100000000000001</v>
      </c>
      <c r="K238" s="77">
        <f t="shared" si="7"/>
        <v>17.271000000000001</v>
      </c>
      <c r="L238" s="68" t="s">
        <v>283</v>
      </c>
    </row>
    <row r="239" spans="1:12" ht="13.5">
      <c r="A239" s="81" t="s">
        <v>287</v>
      </c>
      <c r="B239" s="65" t="s">
        <v>288</v>
      </c>
      <c r="C239" s="65" t="s">
        <v>92</v>
      </c>
      <c r="D239" s="66" t="s">
        <v>75</v>
      </c>
      <c r="E239" s="67"/>
      <c r="F239" s="65" t="s">
        <v>93</v>
      </c>
      <c r="G239" s="73">
        <v>41</v>
      </c>
      <c r="H239" s="74">
        <v>70.8</v>
      </c>
      <c r="I239" s="77">
        <f t="shared" si="6"/>
        <v>37.47795414462081</v>
      </c>
      <c r="J239" s="77">
        <v>17</v>
      </c>
      <c r="K239" s="77">
        <f t="shared" si="7"/>
        <v>17.170000000000002</v>
      </c>
      <c r="L239" s="68" t="s">
        <v>283</v>
      </c>
    </row>
    <row r="240" spans="1:12" ht="13.5">
      <c r="A240" s="81"/>
      <c r="B240" s="65"/>
      <c r="C240" s="65"/>
      <c r="D240" s="66" t="s">
        <v>53</v>
      </c>
      <c r="E240" s="67"/>
      <c r="F240" s="65"/>
      <c r="G240" s="73">
        <v>7</v>
      </c>
      <c r="H240" s="74">
        <v>489.4</v>
      </c>
      <c r="I240" s="77">
        <f t="shared" si="6"/>
        <v>258.81834215167549</v>
      </c>
      <c r="J240" s="77">
        <v>117.4</v>
      </c>
      <c r="K240" s="77">
        <f t="shared" si="7"/>
        <v>118.57400000000001</v>
      </c>
      <c r="L240" s="68" t="s">
        <v>283</v>
      </c>
    </row>
    <row r="241" spans="1:12" ht="13.5">
      <c r="A241" s="81"/>
      <c r="B241" s="65"/>
      <c r="C241" s="65"/>
      <c r="D241" s="66" t="s">
        <v>76</v>
      </c>
      <c r="E241" s="67"/>
      <c r="F241" s="65"/>
      <c r="G241" s="73">
        <v>96</v>
      </c>
      <c r="H241" s="74">
        <v>6759.4</v>
      </c>
      <c r="I241" s="77">
        <f t="shared" si="6"/>
        <v>3606.9223985890649</v>
      </c>
      <c r="J241" s="77">
        <v>1636.1</v>
      </c>
      <c r="K241" s="77">
        <f t="shared" si="7"/>
        <v>1652.461</v>
      </c>
      <c r="L241" s="68" t="s">
        <v>283</v>
      </c>
    </row>
    <row r="242" spans="1:12" ht="13.5">
      <c r="A242" s="81" t="s">
        <v>72</v>
      </c>
      <c r="B242" s="65" t="s">
        <v>68</v>
      </c>
      <c r="C242" s="65" t="s">
        <v>62</v>
      </c>
      <c r="D242" s="66" t="s">
        <v>77</v>
      </c>
      <c r="E242" s="67"/>
      <c r="F242" s="65" t="s">
        <v>94</v>
      </c>
      <c r="G242" s="73">
        <v>1</v>
      </c>
      <c r="H242" s="74">
        <v>70</v>
      </c>
      <c r="I242" s="77">
        <f>+J242/0.4536</f>
        <v>39.021165703129306</v>
      </c>
      <c r="J242" s="77">
        <v>17.700000762939453</v>
      </c>
      <c r="K242" s="77">
        <f>+J242*1.01</f>
        <v>17.877000770568849</v>
      </c>
      <c r="L242" s="68" t="s">
        <v>283</v>
      </c>
    </row>
    <row r="243" spans="1:12" ht="13.5">
      <c r="A243" s="81" t="s">
        <v>72</v>
      </c>
      <c r="B243" s="65" t="s">
        <v>68</v>
      </c>
      <c r="C243" s="65" t="s">
        <v>62</v>
      </c>
      <c r="D243" s="66" t="s">
        <v>77</v>
      </c>
      <c r="E243" s="67"/>
      <c r="F243" s="65" t="s">
        <v>94</v>
      </c>
      <c r="G243" s="73">
        <v>2</v>
      </c>
      <c r="H243" s="74">
        <v>71</v>
      </c>
      <c r="I243" s="77">
        <f t="shared" ref="I243:I306" si="8">+J243/0.4536</f>
        <v>39.682539682539684</v>
      </c>
      <c r="J243" s="77">
        <v>18</v>
      </c>
      <c r="K243" s="77">
        <f t="shared" ref="K243:K306" si="9">+J243*1.01</f>
        <v>18.18</v>
      </c>
      <c r="L243" s="68" t="s">
        <v>283</v>
      </c>
    </row>
    <row r="244" spans="1:12" ht="13.5">
      <c r="A244" s="81" t="s">
        <v>72</v>
      </c>
      <c r="B244" s="65" t="s">
        <v>68</v>
      </c>
      <c r="C244" s="65" t="s">
        <v>62</v>
      </c>
      <c r="D244" s="66" t="s">
        <v>77</v>
      </c>
      <c r="E244" s="67"/>
      <c r="F244" s="65" t="s">
        <v>94</v>
      </c>
      <c r="G244" s="73">
        <v>3</v>
      </c>
      <c r="H244" s="74">
        <v>71</v>
      </c>
      <c r="I244" s="77">
        <f t="shared" si="8"/>
        <v>39.462080287765154</v>
      </c>
      <c r="J244" s="77">
        <v>17.899999618530273</v>
      </c>
      <c r="K244" s="77">
        <f t="shared" si="9"/>
        <v>18.078999614715578</v>
      </c>
      <c r="L244" s="68" t="s">
        <v>283</v>
      </c>
    </row>
    <row r="245" spans="1:12" ht="13.5">
      <c r="A245" s="81" t="s">
        <v>72</v>
      </c>
      <c r="B245" s="65" t="s">
        <v>68</v>
      </c>
      <c r="C245" s="65" t="s">
        <v>62</v>
      </c>
      <c r="D245" s="66" t="s">
        <v>77</v>
      </c>
      <c r="E245" s="67"/>
      <c r="F245" s="65" t="s">
        <v>94</v>
      </c>
      <c r="G245" s="73">
        <v>4</v>
      </c>
      <c r="H245" s="74">
        <v>74</v>
      </c>
      <c r="I245" s="77">
        <f t="shared" si="8"/>
        <v>41.00529184627365</v>
      </c>
      <c r="J245" s="77">
        <v>18.600000381469727</v>
      </c>
      <c r="K245" s="77">
        <f t="shared" si="9"/>
        <v>18.786000385284424</v>
      </c>
      <c r="L245" s="68" t="s">
        <v>283</v>
      </c>
    </row>
    <row r="246" spans="1:12" ht="13.5">
      <c r="A246" s="81" t="s">
        <v>72</v>
      </c>
      <c r="B246" s="65" t="s">
        <v>68</v>
      </c>
      <c r="C246" s="65" t="s">
        <v>62</v>
      </c>
      <c r="D246" s="66" t="s">
        <v>77</v>
      </c>
      <c r="E246" s="67"/>
      <c r="F246" s="65" t="s">
        <v>94</v>
      </c>
      <c r="G246" s="73">
        <v>5</v>
      </c>
      <c r="H246" s="74">
        <v>73</v>
      </c>
      <c r="I246" s="77">
        <f t="shared" si="8"/>
        <v>40.564373056724591</v>
      </c>
      <c r="J246" s="77">
        <v>18.399999618530273</v>
      </c>
      <c r="K246" s="77">
        <f t="shared" si="9"/>
        <v>18.583999614715577</v>
      </c>
      <c r="L246" s="68" t="s">
        <v>283</v>
      </c>
    </row>
    <row r="247" spans="1:12" ht="13.5">
      <c r="A247" s="81" t="s">
        <v>72</v>
      </c>
      <c r="B247" s="65" t="s">
        <v>68</v>
      </c>
      <c r="C247" s="65" t="s">
        <v>62</v>
      </c>
      <c r="D247" s="66" t="s">
        <v>77</v>
      </c>
      <c r="E247" s="67"/>
      <c r="F247" s="65" t="s">
        <v>94</v>
      </c>
      <c r="G247" s="73">
        <v>6</v>
      </c>
      <c r="H247" s="74">
        <v>71</v>
      </c>
      <c r="I247" s="77">
        <f t="shared" si="8"/>
        <v>39.462080287765154</v>
      </c>
      <c r="J247" s="77">
        <v>17.899999618530273</v>
      </c>
      <c r="K247" s="77">
        <f t="shared" si="9"/>
        <v>18.078999614715578</v>
      </c>
      <c r="L247" s="68" t="s">
        <v>283</v>
      </c>
    </row>
    <row r="248" spans="1:12" ht="13.5">
      <c r="A248" s="81" t="s">
        <v>72</v>
      </c>
      <c r="B248" s="65" t="s">
        <v>68</v>
      </c>
      <c r="C248" s="65" t="s">
        <v>62</v>
      </c>
      <c r="D248" s="66" t="s">
        <v>77</v>
      </c>
      <c r="E248" s="67"/>
      <c r="F248" s="65" t="s">
        <v>94</v>
      </c>
      <c r="G248" s="73">
        <v>7</v>
      </c>
      <c r="H248" s="74">
        <v>73</v>
      </c>
      <c r="I248" s="77">
        <f t="shared" si="8"/>
        <v>40.564373056724591</v>
      </c>
      <c r="J248" s="77">
        <v>18.399999618530273</v>
      </c>
      <c r="K248" s="77">
        <f t="shared" si="9"/>
        <v>18.583999614715577</v>
      </c>
      <c r="L248" s="68" t="s">
        <v>283</v>
      </c>
    </row>
    <row r="249" spans="1:12" ht="13.5">
      <c r="A249" s="81" t="s">
        <v>72</v>
      </c>
      <c r="B249" s="65" t="s">
        <v>68</v>
      </c>
      <c r="C249" s="65" t="s">
        <v>62</v>
      </c>
      <c r="D249" s="66" t="s">
        <v>77</v>
      </c>
      <c r="E249" s="67"/>
      <c r="F249" s="65" t="s">
        <v>94</v>
      </c>
      <c r="G249" s="73">
        <v>8</v>
      </c>
      <c r="H249" s="74">
        <v>72</v>
      </c>
      <c r="I249" s="77">
        <f t="shared" si="8"/>
        <v>39.902999077314213</v>
      </c>
      <c r="J249" s="77">
        <v>18.100000381469727</v>
      </c>
      <c r="K249" s="77">
        <f t="shared" si="9"/>
        <v>18.281000385284425</v>
      </c>
      <c r="L249" s="68" t="s">
        <v>283</v>
      </c>
    </row>
    <row r="250" spans="1:12" ht="13.5">
      <c r="A250" s="81" t="s">
        <v>72</v>
      </c>
      <c r="B250" s="65" t="s">
        <v>68</v>
      </c>
      <c r="C250" s="65" t="s">
        <v>62</v>
      </c>
      <c r="D250" s="66" t="s">
        <v>77</v>
      </c>
      <c r="E250" s="67"/>
      <c r="F250" s="65" t="s">
        <v>94</v>
      </c>
      <c r="G250" s="73">
        <v>9</v>
      </c>
      <c r="H250" s="74">
        <v>73</v>
      </c>
      <c r="I250" s="77">
        <f t="shared" si="8"/>
        <v>40.564373056724591</v>
      </c>
      <c r="J250" s="77">
        <v>18.399999618530273</v>
      </c>
      <c r="K250" s="77">
        <f t="shared" si="9"/>
        <v>18.583999614715577</v>
      </c>
      <c r="L250" s="68" t="s">
        <v>283</v>
      </c>
    </row>
    <row r="251" spans="1:12" ht="13.5">
      <c r="A251" s="81" t="s">
        <v>72</v>
      </c>
      <c r="B251" s="65" t="s">
        <v>68</v>
      </c>
      <c r="C251" s="65" t="s">
        <v>62</v>
      </c>
      <c r="D251" s="66" t="s">
        <v>77</v>
      </c>
      <c r="E251" s="67"/>
      <c r="F251" s="65" t="s">
        <v>94</v>
      </c>
      <c r="G251" s="73">
        <v>10</v>
      </c>
      <c r="H251" s="74">
        <v>71</v>
      </c>
      <c r="I251" s="77">
        <f t="shared" si="8"/>
        <v>39.241620892990625</v>
      </c>
      <c r="J251" s="77">
        <v>17.799999237060547</v>
      </c>
      <c r="K251" s="77">
        <f t="shared" si="9"/>
        <v>17.977999229431152</v>
      </c>
      <c r="L251" s="68" t="s">
        <v>283</v>
      </c>
    </row>
    <row r="252" spans="1:12" ht="13.5">
      <c r="A252" s="81" t="s">
        <v>72</v>
      </c>
      <c r="B252" s="65" t="s">
        <v>68</v>
      </c>
      <c r="C252" s="65" t="s">
        <v>62</v>
      </c>
      <c r="D252" s="66" t="s">
        <v>77</v>
      </c>
      <c r="E252" s="67"/>
      <c r="F252" s="65" t="s">
        <v>94</v>
      </c>
      <c r="G252" s="73">
        <v>11</v>
      </c>
      <c r="H252" s="74">
        <v>72</v>
      </c>
      <c r="I252" s="77">
        <f t="shared" si="8"/>
        <v>39.902999077314213</v>
      </c>
      <c r="J252" s="77">
        <v>18.100000381469727</v>
      </c>
      <c r="K252" s="77">
        <f t="shared" si="9"/>
        <v>18.281000385284425</v>
      </c>
      <c r="L252" s="68" t="s">
        <v>283</v>
      </c>
    </row>
    <row r="253" spans="1:12" ht="13.5">
      <c r="A253" s="81" t="s">
        <v>72</v>
      </c>
      <c r="B253" s="65" t="s">
        <v>68</v>
      </c>
      <c r="C253" s="65" t="s">
        <v>62</v>
      </c>
      <c r="D253" s="66" t="s">
        <v>77</v>
      </c>
      <c r="E253" s="67"/>
      <c r="F253" s="65" t="s">
        <v>94</v>
      </c>
      <c r="G253" s="73">
        <v>12</v>
      </c>
      <c r="H253" s="74">
        <v>70</v>
      </c>
      <c r="I253" s="77">
        <f t="shared" si="8"/>
        <v>39.021165703129306</v>
      </c>
      <c r="J253" s="77">
        <v>17.700000762939453</v>
      </c>
      <c r="K253" s="77">
        <f t="shared" si="9"/>
        <v>17.877000770568849</v>
      </c>
      <c r="L253" s="68" t="s">
        <v>283</v>
      </c>
    </row>
    <row r="254" spans="1:12" ht="13.5">
      <c r="A254" s="81" t="s">
        <v>72</v>
      </c>
      <c r="B254" s="65" t="s">
        <v>68</v>
      </c>
      <c r="C254" s="65" t="s">
        <v>62</v>
      </c>
      <c r="D254" s="66" t="s">
        <v>77</v>
      </c>
      <c r="E254" s="67"/>
      <c r="F254" s="65" t="s">
        <v>94</v>
      </c>
      <c r="G254" s="73">
        <v>13</v>
      </c>
      <c r="H254" s="74">
        <v>70</v>
      </c>
      <c r="I254" s="77">
        <f t="shared" si="8"/>
        <v>38.800706308354776</v>
      </c>
      <c r="J254" s="77">
        <v>17.600000381469727</v>
      </c>
      <c r="K254" s="77">
        <f t="shared" si="9"/>
        <v>17.776000385284423</v>
      </c>
      <c r="L254" s="68" t="s">
        <v>283</v>
      </c>
    </row>
    <row r="255" spans="1:12" ht="13.5">
      <c r="A255" s="81" t="s">
        <v>72</v>
      </c>
      <c r="B255" s="65" t="s">
        <v>68</v>
      </c>
      <c r="C255" s="65" t="s">
        <v>62</v>
      </c>
      <c r="D255" s="66" t="s">
        <v>77</v>
      </c>
      <c r="E255" s="67"/>
      <c r="F255" s="65" t="s">
        <v>94</v>
      </c>
      <c r="G255" s="73">
        <v>14</v>
      </c>
      <c r="H255" s="74">
        <v>71</v>
      </c>
      <c r="I255" s="77">
        <f t="shared" si="8"/>
        <v>39.682539682539684</v>
      </c>
      <c r="J255" s="77">
        <v>18</v>
      </c>
      <c r="K255" s="77">
        <f t="shared" si="9"/>
        <v>18.18</v>
      </c>
      <c r="L255" s="68" t="s">
        <v>283</v>
      </c>
    </row>
    <row r="256" spans="1:12" ht="13.5">
      <c r="A256" s="81" t="s">
        <v>72</v>
      </c>
      <c r="B256" s="65" t="s">
        <v>68</v>
      </c>
      <c r="C256" s="65" t="s">
        <v>62</v>
      </c>
      <c r="D256" s="66" t="s">
        <v>77</v>
      </c>
      <c r="E256" s="67"/>
      <c r="F256" s="65" t="s">
        <v>94</v>
      </c>
      <c r="G256" s="73">
        <v>15</v>
      </c>
      <c r="H256" s="74">
        <v>71</v>
      </c>
      <c r="I256" s="77">
        <f t="shared" si="8"/>
        <v>39.462080287765154</v>
      </c>
      <c r="J256" s="77">
        <v>17.899999618530273</v>
      </c>
      <c r="K256" s="77">
        <f t="shared" si="9"/>
        <v>18.078999614715578</v>
      </c>
      <c r="L256" s="68" t="s">
        <v>283</v>
      </c>
    </row>
    <row r="257" spans="1:12" ht="13.5">
      <c r="A257" s="81" t="s">
        <v>72</v>
      </c>
      <c r="B257" s="65" t="s">
        <v>68</v>
      </c>
      <c r="C257" s="65" t="s">
        <v>62</v>
      </c>
      <c r="D257" s="66" t="s">
        <v>77</v>
      </c>
      <c r="E257" s="67"/>
      <c r="F257" s="65" t="s">
        <v>94</v>
      </c>
      <c r="G257" s="73">
        <v>16</v>
      </c>
      <c r="H257" s="74">
        <v>72</v>
      </c>
      <c r="I257" s="77">
        <f t="shared" si="8"/>
        <v>39.902999077314213</v>
      </c>
      <c r="J257" s="77">
        <v>18.100000381469727</v>
      </c>
      <c r="K257" s="77">
        <f t="shared" si="9"/>
        <v>18.281000385284425</v>
      </c>
      <c r="L257" s="68" t="s">
        <v>283</v>
      </c>
    </row>
    <row r="258" spans="1:12" ht="13.5">
      <c r="A258" s="81" t="s">
        <v>72</v>
      </c>
      <c r="B258" s="65" t="s">
        <v>68</v>
      </c>
      <c r="C258" s="65" t="s">
        <v>62</v>
      </c>
      <c r="D258" s="66" t="s">
        <v>77</v>
      </c>
      <c r="E258" s="67"/>
      <c r="F258" s="65" t="s">
        <v>94</v>
      </c>
      <c r="G258" s="73">
        <v>17</v>
      </c>
      <c r="H258" s="74">
        <v>73</v>
      </c>
      <c r="I258" s="77">
        <f t="shared" si="8"/>
        <v>40.784832451499121</v>
      </c>
      <c r="J258" s="77">
        <v>18.5</v>
      </c>
      <c r="K258" s="77">
        <f t="shared" si="9"/>
        <v>18.684999999999999</v>
      </c>
      <c r="L258" s="68" t="s">
        <v>283</v>
      </c>
    </row>
    <row r="259" spans="1:12" ht="13.5">
      <c r="A259" s="81" t="s">
        <v>72</v>
      </c>
      <c r="B259" s="65" t="s">
        <v>68</v>
      </c>
      <c r="C259" s="65" t="s">
        <v>62</v>
      </c>
      <c r="D259" s="66" t="s">
        <v>77</v>
      </c>
      <c r="E259" s="67"/>
      <c r="F259" s="65" t="s">
        <v>94</v>
      </c>
      <c r="G259" s="73">
        <v>18</v>
      </c>
      <c r="H259" s="74">
        <v>73</v>
      </c>
      <c r="I259" s="77">
        <f t="shared" si="8"/>
        <v>40.343913661950062</v>
      </c>
      <c r="J259" s="77">
        <v>18.299999237060547</v>
      </c>
      <c r="K259" s="77">
        <f t="shared" si="9"/>
        <v>18.482999229431151</v>
      </c>
      <c r="L259" s="68" t="s">
        <v>283</v>
      </c>
    </row>
    <row r="260" spans="1:12" ht="13.5">
      <c r="A260" s="81" t="s">
        <v>72</v>
      </c>
      <c r="B260" s="65" t="s">
        <v>68</v>
      </c>
      <c r="C260" s="65" t="s">
        <v>62</v>
      </c>
      <c r="D260" s="66" t="s">
        <v>77</v>
      </c>
      <c r="E260" s="67"/>
      <c r="F260" s="65" t="s">
        <v>94</v>
      </c>
      <c r="G260" s="73">
        <v>19</v>
      </c>
      <c r="H260" s="74">
        <v>72</v>
      </c>
      <c r="I260" s="77">
        <f t="shared" si="8"/>
        <v>39.902999077314213</v>
      </c>
      <c r="J260" s="77">
        <v>18.100000381469727</v>
      </c>
      <c r="K260" s="77">
        <f t="shared" si="9"/>
        <v>18.281000385284425</v>
      </c>
      <c r="L260" s="68" t="s">
        <v>283</v>
      </c>
    </row>
    <row r="261" spans="1:12" ht="13.5">
      <c r="A261" s="81" t="s">
        <v>72</v>
      </c>
      <c r="B261" s="65" t="s">
        <v>68</v>
      </c>
      <c r="C261" s="65" t="s">
        <v>62</v>
      </c>
      <c r="D261" s="66" t="s">
        <v>77</v>
      </c>
      <c r="E261" s="67"/>
      <c r="F261" s="65" t="s">
        <v>94</v>
      </c>
      <c r="G261" s="73">
        <v>20</v>
      </c>
      <c r="H261" s="74">
        <v>73</v>
      </c>
      <c r="I261" s="77">
        <f t="shared" si="8"/>
        <v>40.564373056724591</v>
      </c>
      <c r="J261" s="77">
        <v>18.399999618530273</v>
      </c>
      <c r="K261" s="77">
        <f t="shared" si="9"/>
        <v>18.583999614715577</v>
      </c>
      <c r="L261" s="68" t="s">
        <v>283</v>
      </c>
    </row>
    <row r="262" spans="1:12" ht="13.5">
      <c r="A262" s="81" t="s">
        <v>72</v>
      </c>
      <c r="B262" s="65" t="s">
        <v>68</v>
      </c>
      <c r="C262" s="65" t="s">
        <v>62</v>
      </c>
      <c r="D262" s="66" t="s">
        <v>77</v>
      </c>
      <c r="E262" s="67"/>
      <c r="F262" s="65" t="s">
        <v>94</v>
      </c>
      <c r="G262" s="73">
        <v>21</v>
      </c>
      <c r="H262" s="74">
        <v>71</v>
      </c>
      <c r="I262" s="77">
        <f t="shared" si="8"/>
        <v>39.682539682539684</v>
      </c>
      <c r="J262" s="77">
        <v>18</v>
      </c>
      <c r="K262" s="77">
        <f t="shared" si="9"/>
        <v>18.18</v>
      </c>
      <c r="L262" s="68" t="s">
        <v>283</v>
      </c>
    </row>
    <row r="263" spans="1:12" ht="13.5">
      <c r="A263" s="81" t="s">
        <v>72</v>
      </c>
      <c r="B263" s="65" t="s">
        <v>68</v>
      </c>
      <c r="C263" s="65" t="s">
        <v>62</v>
      </c>
      <c r="D263" s="66" t="s">
        <v>77</v>
      </c>
      <c r="E263" s="67"/>
      <c r="F263" s="65" t="s">
        <v>94</v>
      </c>
      <c r="G263" s="73">
        <v>22</v>
      </c>
      <c r="H263" s="74">
        <v>73</v>
      </c>
      <c r="I263" s="77">
        <f t="shared" si="8"/>
        <v>40.343913661950062</v>
      </c>
      <c r="J263" s="77">
        <v>18.299999237060547</v>
      </c>
      <c r="K263" s="77">
        <f t="shared" si="9"/>
        <v>18.482999229431151</v>
      </c>
      <c r="L263" s="68" t="s">
        <v>283</v>
      </c>
    </row>
    <row r="264" spans="1:12" ht="13.5">
      <c r="A264" s="81" t="s">
        <v>72</v>
      </c>
      <c r="B264" s="65" t="s">
        <v>68</v>
      </c>
      <c r="C264" s="65" t="s">
        <v>62</v>
      </c>
      <c r="D264" s="66" t="s">
        <v>77</v>
      </c>
      <c r="E264" s="67"/>
      <c r="F264" s="65" t="s">
        <v>94</v>
      </c>
      <c r="G264" s="73">
        <v>23</v>
      </c>
      <c r="H264" s="74">
        <v>72</v>
      </c>
      <c r="I264" s="77">
        <f t="shared" si="8"/>
        <v>39.902999077314213</v>
      </c>
      <c r="J264" s="77">
        <v>18.100000381469727</v>
      </c>
      <c r="K264" s="77">
        <f t="shared" si="9"/>
        <v>18.281000385284425</v>
      </c>
      <c r="L264" s="68" t="s">
        <v>283</v>
      </c>
    </row>
    <row r="265" spans="1:12" ht="13.5">
      <c r="A265" s="81" t="s">
        <v>72</v>
      </c>
      <c r="B265" s="65" t="s">
        <v>68</v>
      </c>
      <c r="C265" s="65" t="s">
        <v>62</v>
      </c>
      <c r="D265" s="66" t="s">
        <v>77</v>
      </c>
      <c r="E265" s="67"/>
      <c r="F265" s="65" t="s">
        <v>94</v>
      </c>
      <c r="G265" s="73">
        <v>24</v>
      </c>
      <c r="H265" s="74">
        <v>66</v>
      </c>
      <c r="I265" s="77">
        <f t="shared" si="8"/>
        <v>36.596120770435903</v>
      </c>
      <c r="J265" s="77">
        <v>16.600000381469727</v>
      </c>
      <c r="K265" s="77">
        <f t="shared" si="9"/>
        <v>16.766000385284425</v>
      </c>
      <c r="L265" s="68" t="s">
        <v>283</v>
      </c>
    </row>
    <row r="266" spans="1:12" ht="13.5">
      <c r="A266" s="81" t="s">
        <v>72</v>
      </c>
      <c r="B266" s="65" t="s">
        <v>68</v>
      </c>
      <c r="C266" s="65" t="s">
        <v>62</v>
      </c>
      <c r="D266" s="66" t="s">
        <v>77</v>
      </c>
      <c r="E266" s="67"/>
      <c r="F266" s="65" t="s">
        <v>94</v>
      </c>
      <c r="G266" s="73">
        <v>25</v>
      </c>
      <c r="H266" s="74">
        <v>70</v>
      </c>
      <c r="I266" s="77">
        <f t="shared" si="8"/>
        <v>38.800706308354776</v>
      </c>
      <c r="J266" s="77">
        <v>17.600000381469727</v>
      </c>
      <c r="K266" s="77">
        <f t="shared" si="9"/>
        <v>17.776000385284423</v>
      </c>
      <c r="L266" s="68" t="s">
        <v>283</v>
      </c>
    </row>
    <row r="267" spans="1:12" ht="13.5">
      <c r="A267" s="81" t="s">
        <v>72</v>
      </c>
      <c r="B267" s="65" t="s">
        <v>68</v>
      </c>
      <c r="C267" s="65" t="s">
        <v>62</v>
      </c>
      <c r="D267" s="66" t="s">
        <v>77</v>
      </c>
      <c r="E267" s="67"/>
      <c r="F267" s="65" t="s">
        <v>94</v>
      </c>
      <c r="G267" s="73">
        <v>26</v>
      </c>
      <c r="H267" s="74">
        <v>71</v>
      </c>
      <c r="I267" s="77">
        <f t="shared" si="8"/>
        <v>39.241620892990625</v>
      </c>
      <c r="J267" s="77">
        <v>17.799999237060547</v>
      </c>
      <c r="K267" s="77">
        <f t="shared" si="9"/>
        <v>17.977999229431152</v>
      </c>
      <c r="L267" s="68" t="s">
        <v>283</v>
      </c>
    </row>
    <row r="268" spans="1:12" ht="13.5">
      <c r="A268" s="81" t="s">
        <v>72</v>
      </c>
      <c r="B268" s="65" t="s">
        <v>68</v>
      </c>
      <c r="C268" s="65" t="s">
        <v>62</v>
      </c>
      <c r="D268" s="66" t="s">
        <v>77</v>
      </c>
      <c r="E268" s="67"/>
      <c r="F268" s="65" t="s">
        <v>94</v>
      </c>
      <c r="G268" s="73">
        <v>27</v>
      </c>
      <c r="H268" s="74">
        <v>70</v>
      </c>
      <c r="I268" s="77">
        <f t="shared" si="8"/>
        <v>38.800706308354776</v>
      </c>
      <c r="J268" s="77">
        <v>17.600000381469727</v>
      </c>
      <c r="K268" s="77">
        <f t="shared" si="9"/>
        <v>17.776000385284423</v>
      </c>
      <c r="L268" s="68" t="s">
        <v>283</v>
      </c>
    </row>
    <row r="269" spans="1:12" ht="13.5">
      <c r="A269" s="81" t="s">
        <v>72</v>
      </c>
      <c r="B269" s="65" t="s">
        <v>68</v>
      </c>
      <c r="C269" s="65" t="s">
        <v>62</v>
      </c>
      <c r="D269" s="66" t="s">
        <v>77</v>
      </c>
      <c r="E269" s="67"/>
      <c r="F269" s="65" t="s">
        <v>94</v>
      </c>
      <c r="G269" s="73">
        <v>28</v>
      </c>
      <c r="H269" s="74">
        <v>72</v>
      </c>
      <c r="I269" s="77">
        <f t="shared" si="8"/>
        <v>39.902999077314213</v>
      </c>
      <c r="J269" s="77">
        <v>18.100000381469727</v>
      </c>
      <c r="K269" s="77">
        <f t="shared" si="9"/>
        <v>18.281000385284425</v>
      </c>
      <c r="L269" s="68" t="s">
        <v>283</v>
      </c>
    </row>
    <row r="270" spans="1:12" ht="13.5">
      <c r="A270" s="81" t="s">
        <v>72</v>
      </c>
      <c r="B270" s="65" t="s">
        <v>68</v>
      </c>
      <c r="C270" s="65" t="s">
        <v>62</v>
      </c>
      <c r="D270" s="66" t="s">
        <v>77</v>
      </c>
      <c r="E270" s="67"/>
      <c r="F270" s="65" t="s">
        <v>94</v>
      </c>
      <c r="G270" s="73">
        <v>29</v>
      </c>
      <c r="H270" s="74">
        <v>68</v>
      </c>
      <c r="I270" s="77">
        <f t="shared" si="8"/>
        <v>37.918872934169869</v>
      </c>
      <c r="J270" s="77">
        <v>17.200000762939453</v>
      </c>
      <c r="K270" s="77">
        <f t="shared" si="9"/>
        <v>17.37200077056885</v>
      </c>
      <c r="L270" s="68" t="s">
        <v>283</v>
      </c>
    </row>
    <row r="271" spans="1:12" ht="13.5">
      <c r="A271" s="81" t="s">
        <v>72</v>
      </c>
      <c r="B271" s="65" t="s">
        <v>68</v>
      </c>
      <c r="C271" s="65" t="s">
        <v>62</v>
      </c>
      <c r="D271" s="66" t="s">
        <v>77</v>
      </c>
      <c r="E271" s="67"/>
      <c r="F271" s="65" t="s">
        <v>94</v>
      </c>
      <c r="G271" s="73">
        <v>30</v>
      </c>
      <c r="H271" s="74">
        <v>72</v>
      </c>
      <c r="I271" s="77">
        <f t="shared" si="8"/>
        <v>40.123458472088743</v>
      </c>
      <c r="J271" s="77">
        <v>18.200000762939453</v>
      </c>
      <c r="K271" s="77">
        <f t="shared" si="9"/>
        <v>18.382000770568848</v>
      </c>
      <c r="L271" s="68" t="s">
        <v>283</v>
      </c>
    </row>
    <row r="272" spans="1:12" ht="13.5">
      <c r="A272" s="81" t="s">
        <v>72</v>
      </c>
      <c r="B272" s="65" t="s">
        <v>68</v>
      </c>
      <c r="C272" s="65" t="s">
        <v>62</v>
      </c>
      <c r="D272" s="66" t="s">
        <v>77</v>
      </c>
      <c r="E272" s="67"/>
      <c r="F272" s="65" t="s">
        <v>94</v>
      </c>
      <c r="G272" s="73">
        <v>31</v>
      </c>
      <c r="H272" s="74">
        <v>70</v>
      </c>
      <c r="I272" s="77">
        <f t="shared" si="8"/>
        <v>39.021165703129306</v>
      </c>
      <c r="J272" s="77">
        <v>17.700000762939453</v>
      </c>
      <c r="K272" s="77">
        <f t="shared" si="9"/>
        <v>17.877000770568849</v>
      </c>
      <c r="L272" s="68" t="s">
        <v>283</v>
      </c>
    </row>
    <row r="273" spans="1:12" ht="13.5">
      <c r="A273" s="81" t="s">
        <v>72</v>
      </c>
      <c r="B273" s="65" t="s">
        <v>68</v>
      </c>
      <c r="C273" s="65" t="s">
        <v>62</v>
      </c>
      <c r="D273" s="66" t="s">
        <v>77</v>
      </c>
      <c r="E273" s="67"/>
      <c r="F273" s="65" t="s">
        <v>94</v>
      </c>
      <c r="G273" s="73">
        <v>32</v>
      </c>
      <c r="H273" s="74">
        <v>62</v>
      </c>
      <c r="I273" s="77">
        <f t="shared" si="8"/>
        <v>34.391535232517036</v>
      </c>
      <c r="J273" s="77">
        <v>15.600000381469727</v>
      </c>
      <c r="K273" s="77">
        <f t="shared" si="9"/>
        <v>15.756000385284423</v>
      </c>
      <c r="L273" s="68" t="s">
        <v>283</v>
      </c>
    </row>
    <row r="274" spans="1:12" ht="13.5">
      <c r="A274" s="81" t="s">
        <v>72</v>
      </c>
      <c r="B274" s="65" t="s">
        <v>68</v>
      </c>
      <c r="C274" s="65" t="s">
        <v>62</v>
      </c>
      <c r="D274" s="66" t="s">
        <v>77</v>
      </c>
      <c r="E274" s="67"/>
      <c r="F274" s="65" t="s">
        <v>94</v>
      </c>
      <c r="G274" s="73">
        <v>33</v>
      </c>
      <c r="H274" s="74">
        <v>71</v>
      </c>
      <c r="I274" s="77">
        <f t="shared" si="8"/>
        <v>39.241620892990625</v>
      </c>
      <c r="J274" s="77">
        <v>17.799999237060547</v>
      </c>
      <c r="K274" s="77">
        <f t="shared" si="9"/>
        <v>17.977999229431152</v>
      </c>
      <c r="L274" s="68" t="s">
        <v>283</v>
      </c>
    </row>
    <row r="275" spans="1:12" ht="13.5">
      <c r="A275" s="81" t="s">
        <v>72</v>
      </c>
      <c r="B275" s="65" t="s">
        <v>68</v>
      </c>
      <c r="C275" s="65" t="s">
        <v>62</v>
      </c>
      <c r="D275" s="66" t="s">
        <v>77</v>
      </c>
      <c r="E275" s="67"/>
      <c r="F275" s="65" t="s">
        <v>94</v>
      </c>
      <c r="G275" s="73">
        <v>34</v>
      </c>
      <c r="H275" s="74">
        <v>73</v>
      </c>
      <c r="I275" s="77">
        <f t="shared" si="8"/>
        <v>40.343913661950062</v>
      </c>
      <c r="J275" s="77">
        <v>18.299999237060547</v>
      </c>
      <c r="K275" s="77">
        <f t="shared" si="9"/>
        <v>18.482999229431151</v>
      </c>
      <c r="L275" s="68" t="s">
        <v>283</v>
      </c>
    </row>
    <row r="276" spans="1:12" ht="13.5">
      <c r="A276" s="81" t="s">
        <v>72</v>
      </c>
      <c r="B276" s="65" t="s">
        <v>68</v>
      </c>
      <c r="C276" s="65" t="s">
        <v>62</v>
      </c>
      <c r="D276" s="66" t="s">
        <v>77</v>
      </c>
      <c r="E276" s="67"/>
      <c r="F276" s="65" t="s">
        <v>94</v>
      </c>
      <c r="G276" s="73">
        <v>35</v>
      </c>
      <c r="H276" s="74">
        <v>70</v>
      </c>
      <c r="I276" s="77">
        <f t="shared" si="8"/>
        <v>39.021165703129306</v>
      </c>
      <c r="J276" s="77">
        <v>17.700000762939453</v>
      </c>
      <c r="K276" s="77">
        <f t="shared" si="9"/>
        <v>17.877000770568849</v>
      </c>
      <c r="L276" s="68" t="s">
        <v>283</v>
      </c>
    </row>
    <row r="277" spans="1:12" ht="13.5">
      <c r="A277" s="81" t="s">
        <v>72</v>
      </c>
      <c r="B277" s="65" t="s">
        <v>68</v>
      </c>
      <c r="C277" s="65" t="s">
        <v>62</v>
      </c>
      <c r="D277" s="66" t="s">
        <v>77</v>
      </c>
      <c r="E277" s="67"/>
      <c r="F277" s="65" t="s">
        <v>94</v>
      </c>
      <c r="G277" s="73">
        <v>36</v>
      </c>
      <c r="H277" s="74">
        <v>71</v>
      </c>
      <c r="I277" s="77">
        <f t="shared" si="8"/>
        <v>39.462080287765154</v>
      </c>
      <c r="J277" s="77">
        <v>17.899999618530273</v>
      </c>
      <c r="K277" s="77">
        <f t="shared" si="9"/>
        <v>18.078999614715578</v>
      </c>
      <c r="L277" s="68" t="s">
        <v>283</v>
      </c>
    </row>
    <row r="278" spans="1:12" ht="13.5">
      <c r="A278" s="81" t="s">
        <v>72</v>
      </c>
      <c r="B278" s="65" t="s">
        <v>68</v>
      </c>
      <c r="C278" s="65" t="s">
        <v>62</v>
      </c>
      <c r="D278" s="66" t="s">
        <v>77</v>
      </c>
      <c r="E278" s="67"/>
      <c r="F278" s="65" t="s">
        <v>94</v>
      </c>
      <c r="G278" s="73">
        <v>37</v>
      </c>
      <c r="H278" s="74">
        <v>70</v>
      </c>
      <c r="I278" s="77">
        <f t="shared" si="8"/>
        <v>39.021165703129306</v>
      </c>
      <c r="J278" s="77">
        <v>17.700000762939453</v>
      </c>
      <c r="K278" s="77">
        <f t="shared" si="9"/>
        <v>17.877000770568849</v>
      </c>
      <c r="L278" s="68" t="s">
        <v>283</v>
      </c>
    </row>
    <row r="279" spans="1:12" ht="13.5">
      <c r="A279" s="81" t="s">
        <v>72</v>
      </c>
      <c r="B279" s="65" t="s">
        <v>68</v>
      </c>
      <c r="C279" s="65" t="s">
        <v>62</v>
      </c>
      <c r="D279" s="66" t="s">
        <v>77</v>
      </c>
      <c r="E279" s="67"/>
      <c r="F279" s="65" t="s">
        <v>94</v>
      </c>
      <c r="G279" s="73">
        <v>38</v>
      </c>
      <c r="H279" s="74">
        <v>70</v>
      </c>
      <c r="I279" s="77">
        <f t="shared" si="8"/>
        <v>39.021165703129306</v>
      </c>
      <c r="J279" s="77">
        <v>17.700000762939453</v>
      </c>
      <c r="K279" s="77">
        <f t="shared" si="9"/>
        <v>17.877000770568849</v>
      </c>
      <c r="L279" s="68" t="s">
        <v>283</v>
      </c>
    </row>
    <row r="280" spans="1:12" ht="13.5">
      <c r="A280" s="81" t="s">
        <v>72</v>
      </c>
      <c r="B280" s="65" t="s">
        <v>68</v>
      </c>
      <c r="C280" s="65" t="s">
        <v>62</v>
      </c>
      <c r="D280" s="66" t="s">
        <v>77</v>
      </c>
      <c r="E280" s="67"/>
      <c r="F280" s="65" t="s">
        <v>94</v>
      </c>
      <c r="G280" s="73">
        <v>39</v>
      </c>
      <c r="H280" s="74">
        <v>71</v>
      </c>
      <c r="I280" s="77">
        <f t="shared" si="8"/>
        <v>39.241620892990625</v>
      </c>
      <c r="J280" s="77">
        <v>17.799999237060547</v>
      </c>
      <c r="K280" s="77">
        <f t="shared" si="9"/>
        <v>17.977999229431152</v>
      </c>
      <c r="L280" s="68" t="s">
        <v>283</v>
      </c>
    </row>
    <row r="281" spans="1:12" ht="13.5">
      <c r="A281" s="81" t="s">
        <v>72</v>
      </c>
      <c r="B281" s="65" t="s">
        <v>68</v>
      </c>
      <c r="C281" s="65" t="s">
        <v>62</v>
      </c>
      <c r="D281" s="66" t="s">
        <v>77</v>
      </c>
      <c r="E281" s="67"/>
      <c r="F281" s="65" t="s">
        <v>94</v>
      </c>
      <c r="G281" s="73">
        <v>40</v>
      </c>
      <c r="H281" s="74">
        <v>71</v>
      </c>
      <c r="I281" s="77">
        <f t="shared" si="8"/>
        <v>39.241620892990625</v>
      </c>
      <c r="J281" s="77">
        <v>17.799999237060547</v>
      </c>
      <c r="K281" s="77">
        <f t="shared" si="9"/>
        <v>17.977999229431152</v>
      </c>
      <c r="L281" s="68" t="s">
        <v>283</v>
      </c>
    </row>
    <row r="282" spans="1:12" ht="13.5">
      <c r="A282" s="81" t="s">
        <v>72</v>
      </c>
      <c r="B282" s="65" t="s">
        <v>68</v>
      </c>
      <c r="C282" s="65" t="s">
        <v>62</v>
      </c>
      <c r="D282" s="66" t="s">
        <v>77</v>
      </c>
      <c r="E282" s="67"/>
      <c r="F282" s="65" t="s">
        <v>94</v>
      </c>
      <c r="G282" s="73">
        <v>41</v>
      </c>
      <c r="H282" s="74">
        <v>70</v>
      </c>
      <c r="I282" s="77">
        <f t="shared" si="8"/>
        <v>39.021165703129306</v>
      </c>
      <c r="J282" s="77">
        <v>17.700000762939453</v>
      </c>
      <c r="K282" s="77">
        <f t="shared" si="9"/>
        <v>17.877000770568849</v>
      </c>
      <c r="L282" s="68" t="s">
        <v>283</v>
      </c>
    </row>
    <row r="283" spans="1:12" ht="13.5">
      <c r="A283" s="81" t="s">
        <v>72</v>
      </c>
      <c r="B283" s="65" t="s">
        <v>68</v>
      </c>
      <c r="C283" s="65" t="s">
        <v>62</v>
      </c>
      <c r="D283" s="66" t="s">
        <v>77</v>
      </c>
      <c r="E283" s="67"/>
      <c r="F283" s="65" t="s">
        <v>94</v>
      </c>
      <c r="G283" s="73">
        <v>42</v>
      </c>
      <c r="H283" s="74">
        <v>71</v>
      </c>
      <c r="I283" s="77">
        <f t="shared" si="8"/>
        <v>39.241620892990625</v>
      </c>
      <c r="J283" s="77">
        <v>17.799999237060547</v>
      </c>
      <c r="K283" s="77">
        <f t="shared" si="9"/>
        <v>17.977999229431152</v>
      </c>
      <c r="L283" s="68" t="s">
        <v>283</v>
      </c>
    </row>
    <row r="284" spans="1:12" ht="13.5">
      <c r="A284" s="81" t="s">
        <v>72</v>
      </c>
      <c r="B284" s="65" t="s">
        <v>68</v>
      </c>
      <c r="C284" s="65" t="s">
        <v>62</v>
      </c>
      <c r="D284" s="66" t="s">
        <v>77</v>
      </c>
      <c r="E284" s="67"/>
      <c r="F284" s="65" t="s">
        <v>94</v>
      </c>
      <c r="G284" s="73">
        <v>43</v>
      </c>
      <c r="H284" s="74">
        <v>71</v>
      </c>
      <c r="I284" s="77">
        <f t="shared" si="8"/>
        <v>39.682539682539684</v>
      </c>
      <c r="J284" s="77">
        <v>18</v>
      </c>
      <c r="K284" s="77">
        <f t="shared" si="9"/>
        <v>18.18</v>
      </c>
      <c r="L284" s="68" t="s">
        <v>283</v>
      </c>
    </row>
    <row r="285" spans="1:12" ht="13.5">
      <c r="A285" s="81" t="s">
        <v>72</v>
      </c>
      <c r="B285" s="65" t="s">
        <v>68</v>
      </c>
      <c r="C285" s="65" t="s">
        <v>62</v>
      </c>
      <c r="D285" s="66" t="s">
        <v>77</v>
      </c>
      <c r="E285" s="67"/>
      <c r="F285" s="65" t="s">
        <v>94</v>
      </c>
      <c r="G285" s="73">
        <v>44</v>
      </c>
      <c r="H285" s="74">
        <v>70</v>
      </c>
      <c r="I285" s="77">
        <f t="shared" si="8"/>
        <v>39.021165703129306</v>
      </c>
      <c r="J285" s="77">
        <v>17.700000762939453</v>
      </c>
      <c r="K285" s="77">
        <f t="shared" si="9"/>
        <v>17.877000770568849</v>
      </c>
      <c r="L285" s="68" t="s">
        <v>283</v>
      </c>
    </row>
    <row r="286" spans="1:12" ht="13.5">
      <c r="A286" s="81" t="s">
        <v>72</v>
      </c>
      <c r="B286" s="65" t="s">
        <v>68</v>
      </c>
      <c r="C286" s="65" t="s">
        <v>62</v>
      </c>
      <c r="D286" s="66" t="s">
        <v>77</v>
      </c>
      <c r="E286" s="67"/>
      <c r="F286" s="65" t="s">
        <v>94</v>
      </c>
      <c r="G286" s="73">
        <v>45</v>
      </c>
      <c r="H286" s="74">
        <v>70</v>
      </c>
      <c r="I286" s="77">
        <f t="shared" si="8"/>
        <v>38.800706308354776</v>
      </c>
      <c r="J286" s="77">
        <v>17.600000381469727</v>
      </c>
      <c r="K286" s="77">
        <f t="shared" si="9"/>
        <v>17.776000385284423</v>
      </c>
      <c r="L286" s="68" t="s">
        <v>283</v>
      </c>
    </row>
    <row r="287" spans="1:12" ht="13.5">
      <c r="A287" s="81" t="s">
        <v>72</v>
      </c>
      <c r="B287" s="65" t="s">
        <v>68</v>
      </c>
      <c r="C287" s="65" t="s">
        <v>62</v>
      </c>
      <c r="D287" s="66" t="s">
        <v>77</v>
      </c>
      <c r="E287" s="67"/>
      <c r="F287" s="65" t="s">
        <v>94</v>
      </c>
      <c r="G287" s="73">
        <v>46</v>
      </c>
      <c r="H287" s="74">
        <v>70</v>
      </c>
      <c r="I287" s="77">
        <f t="shared" si="8"/>
        <v>38.800706308354776</v>
      </c>
      <c r="J287" s="77">
        <v>17.600000381469727</v>
      </c>
      <c r="K287" s="77">
        <f t="shared" si="9"/>
        <v>17.776000385284423</v>
      </c>
      <c r="L287" s="68" t="s">
        <v>283</v>
      </c>
    </row>
    <row r="288" spans="1:12" ht="13.5">
      <c r="A288" s="81" t="s">
        <v>72</v>
      </c>
      <c r="B288" s="65" t="s">
        <v>68</v>
      </c>
      <c r="C288" s="65" t="s">
        <v>62</v>
      </c>
      <c r="D288" s="66" t="s">
        <v>77</v>
      </c>
      <c r="E288" s="67"/>
      <c r="F288" s="65" t="s">
        <v>94</v>
      </c>
      <c r="G288" s="73">
        <v>47</v>
      </c>
      <c r="H288" s="74">
        <v>69</v>
      </c>
      <c r="I288" s="77">
        <f t="shared" si="8"/>
        <v>38.359787518805717</v>
      </c>
      <c r="J288" s="77">
        <v>17.399999618530273</v>
      </c>
      <c r="K288" s="77">
        <f t="shared" si="9"/>
        <v>17.573999614715575</v>
      </c>
      <c r="L288" s="68" t="s">
        <v>283</v>
      </c>
    </row>
    <row r="289" spans="1:12" ht="13.5">
      <c r="A289" s="81"/>
      <c r="B289" s="65"/>
      <c r="C289" s="65"/>
      <c r="D289" s="66" t="s">
        <v>53</v>
      </c>
      <c r="E289" s="67"/>
      <c r="F289" s="65"/>
      <c r="G289" s="73">
        <v>47</v>
      </c>
      <c r="H289" s="74">
        <v>3331</v>
      </c>
      <c r="I289" s="77">
        <f t="shared" si="8"/>
        <v>1850.0881893083952</v>
      </c>
      <c r="J289" s="77">
        <v>839.20000267028809</v>
      </c>
      <c r="K289" s="77">
        <f t="shared" si="9"/>
        <v>847.59200269699102</v>
      </c>
      <c r="L289" s="68" t="s">
        <v>283</v>
      </c>
    </row>
    <row r="290" spans="1:12" ht="13.5">
      <c r="A290" s="81" t="s">
        <v>72</v>
      </c>
      <c r="B290" s="65" t="s">
        <v>68</v>
      </c>
      <c r="C290" s="65" t="s">
        <v>62</v>
      </c>
      <c r="D290" s="66" t="s">
        <v>77</v>
      </c>
      <c r="E290" s="67"/>
      <c r="F290" s="65" t="s">
        <v>95</v>
      </c>
      <c r="G290" s="73">
        <v>1</v>
      </c>
      <c r="H290" s="74">
        <v>70</v>
      </c>
      <c r="I290" s="77">
        <f t="shared" si="8"/>
        <v>37.918872934169869</v>
      </c>
      <c r="J290" s="77">
        <v>17.200000762939453</v>
      </c>
      <c r="K290" s="77">
        <f t="shared" si="9"/>
        <v>17.37200077056885</v>
      </c>
      <c r="L290" s="68" t="s">
        <v>283</v>
      </c>
    </row>
    <row r="291" spans="1:12" ht="13.5">
      <c r="A291" s="81" t="s">
        <v>72</v>
      </c>
      <c r="B291" s="65" t="s">
        <v>68</v>
      </c>
      <c r="C291" s="65" t="s">
        <v>62</v>
      </c>
      <c r="D291" s="66" t="s">
        <v>77</v>
      </c>
      <c r="E291" s="67"/>
      <c r="F291" s="65" t="s">
        <v>95</v>
      </c>
      <c r="G291" s="73">
        <v>2</v>
      </c>
      <c r="H291" s="74">
        <v>72</v>
      </c>
      <c r="I291" s="77">
        <f t="shared" si="8"/>
        <v>38.580246913580247</v>
      </c>
      <c r="J291" s="77">
        <v>17.5</v>
      </c>
      <c r="K291" s="77">
        <f t="shared" si="9"/>
        <v>17.675000000000001</v>
      </c>
      <c r="L291" s="68" t="s">
        <v>283</v>
      </c>
    </row>
    <row r="292" spans="1:12" ht="13.5">
      <c r="A292" s="81" t="s">
        <v>72</v>
      </c>
      <c r="B292" s="65" t="s">
        <v>68</v>
      </c>
      <c r="C292" s="65" t="s">
        <v>62</v>
      </c>
      <c r="D292" s="66" t="s">
        <v>77</v>
      </c>
      <c r="E292" s="67"/>
      <c r="F292" s="65" t="s">
        <v>95</v>
      </c>
      <c r="G292" s="73">
        <v>3</v>
      </c>
      <c r="H292" s="74">
        <v>70</v>
      </c>
      <c r="I292" s="77">
        <f t="shared" si="8"/>
        <v>37.918872934169869</v>
      </c>
      <c r="J292" s="77">
        <v>17.200000762939453</v>
      </c>
      <c r="K292" s="77">
        <f t="shared" si="9"/>
        <v>17.37200077056885</v>
      </c>
      <c r="L292" s="68" t="s">
        <v>283</v>
      </c>
    </row>
    <row r="293" spans="1:12" ht="13.5">
      <c r="A293" s="81" t="s">
        <v>72</v>
      </c>
      <c r="B293" s="65" t="s">
        <v>68</v>
      </c>
      <c r="C293" s="65" t="s">
        <v>62</v>
      </c>
      <c r="D293" s="66" t="s">
        <v>77</v>
      </c>
      <c r="E293" s="67"/>
      <c r="F293" s="65" t="s">
        <v>95</v>
      </c>
      <c r="G293" s="73">
        <v>4</v>
      </c>
      <c r="H293" s="74">
        <v>74</v>
      </c>
      <c r="I293" s="77">
        <f t="shared" si="8"/>
        <v>39.682539682539684</v>
      </c>
      <c r="J293" s="77">
        <v>18</v>
      </c>
      <c r="K293" s="77">
        <f t="shared" si="9"/>
        <v>18.18</v>
      </c>
      <c r="L293" s="68" t="s">
        <v>283</v>
      </c>
    </row>
    <row r="294" spans="1:12" ht="13.5">
      <c r="A294" s="81" t="s">
        <v>72</v>
      </c>
      <c r="B294" s="65" t="s">
        <v>68</v>
      </c>
      <c r="C294" s="65" t="s">
        <v>62</v>
      </c>
      <c r="D294" s="66" t="s">
        <v>77</v>
      </c>
      <c r="E294" s="67"/>
      <c r="F294" s="65" t="s">
        <v>95</v>
      </c>
      <c r="G294" s="73">
        <v>5</v>
      </c>
      <c r="H294" s="74">
        <v>72</v>
      </c>
      <c r="I294" s="77">
        <f t="shared" si="8"/>
        <v>39.021165703129306</v>
      </c>
      <c r="J294" s="77">
        <v>17.700000762939453</v>
      </c>
      <c r="K294" s="77">
        <f t="shared" si="9"/>
        <v>17.877000770568849</v>
      </c>
      <c r="L294" s="68" t="s">
        <v>283</v>
      </c>
    </row>
    <row r="295" spans="1:12" ht="13.5">
      <c r="A295" s="81" t="s">
        <v>72</v>
      </c>
      <c r="B295" s="65" t="s">
        <v>68</v>
      </c>
      <c r="C295" s="65" t="s">
        <v>62</v>
      </c>
      <c r="D295" s="66" t="s">
        <v>77</v>
      </c>
      <c r="E295" s="67"/>
      <c r="F295" s="65" t="s">
        <v>95</v>
      </c>
      <c r="G295" s="73">
        <v>6</v>
      </c>
      <c r="H295" s="74">
        <v>72</v>
      </c>
      <c r="I295" s="77">
        <f t="shared" si="8"/>
        <v>38.580246913580247</v>
      </c>
      <c r="J295" s="77">
        <v>17.5</v>
      </c>
      <c r="K295" s="77">
        <f t="shared" si="9"/>
        <v>17.675000000000001</v>
      </c>
      <c r="L295" s="68" t="s">
        <v>283</v>
      </c>
    </row>
    <row r="296" spans="1:12" ht="13.5">
      <c r="A296" s="81" t="s">
        <v>72</v>
      </c>
      <c r="B296" s="65" t="s">
        <v>68</v>
      </c>
      <c r="C296" s="65" t="s">
        <v>62</v>
      </c>
      <c r="D296" s="66" t="s">
        <v>77</v>
      </c>
      <c r="E296" s="67"/>
      <c r="F296" s="65" t="s">
        <v>95</v>
      </c>
      <c r="G296" s="73">
        <v>7</v>
      </c>
      <c r="H296" s="74">
        <v>72</v>
      </c>
      <c r="I296" s="77">
        <f t="shared" si="8"/>
        <v>38.580246913580247</v>
      </c>
      <c r="J296" s="77">
        <v>17.5</v>
      </c>
      <c r="K296" s="77">
        <f t="shared" si="9"/>
        <v>17.675000000000001</v>
      </c>
      <c r="L296" s="68" t="s">
        <v>283</v>
      </c>
    </row>
    <row r="297" spans="1:12" ht="13.5">
      <c r="A297" s="81" t="s">
        <v>72</v>
      </c>
      <c r="B297" s="65" t="s">
        <v>68</v>
      </c>
      <c r="C297" s="65" t="s">
        <v>62</v>
      </c>
      <c r="D297" s="66" t="s">
        <v>77</v>
      </c>
      <c r="E297" s="67"/>
      <c r="F297" s="65" t="s">
        <v>95</v>
      </c>
      <c r="G297" s="73">
        <v>8</v>
      </c>
      <c r="H297" s="74">
        <v>72</v>
      </c>
      <c r="I297" s="77">
        <f t="shared" si="8"/>
        <v>38.800706308354776</v>
      </c>
      <c r="J297" s="77">
        <v>17.600000381469727</v>
      </c>
      <c r="K297" s="77">
        <f t="shared" si="9"/>
        <v>17.776000385284423</v>
      </c>
      <c r="L297" s="68" t="s">
        <v>283</v>
      </c>
    </row>
    <row r="298" spans="1:12" ht="13.5">
      <c r="A298" s="81" t="s">
        <v>72</v>
      </c>
      <c r="B298" s="65" t="s">
        <v>68</v>
      </c>
      <c r="C298" s="65" t="s">
        <v>62</v>
      </c>
      <c r="D298" s="66" t="s">
        <v>77</v>
      </c>
      <c r="E298" s="67"/>
      <c r="F298" s="65" t="s">
        <v>95</v>
      </c>
      <c r="G298" s="73">
        <v>9</v>
      </c>
      <c r="H298" s="74">
        <v>73</v>
      </c>
      <c r="I298" s="77">
        <f t="shared" si="8"/>
        <v>39.241620892990625</v>
      </c>
      <c r="J298" s="77">
        <v>17.799999237060547</v>
      </c>
      <c r="K298" s="77">
        <f t="shared" si="9"/>
        <v>17.977999229431152</v>
      </c>
      <c r="L298" s="68" t="s">
        <v>283</v>
      </c>
    </row>
    <row r="299" spans="1:12" ht="13.5">
      <c r="A299" s="81" t="s">
        <v>72</v>
      </c>
      <c r="B299" s="65" t="s">
        <v>68</v>
      </c>
      <c r="C299" s="65" t="s">
        <v>62</v>
      </c>
      <c r="D299" s="66" t="s">
        <v>77</v>
      </c>
      <c r="E299" s="67"/>
      <c r="F299" s="65" t="s">
        <v>95</v>
      </c>
      <c r="G299" s="73">
        <v>10</v>
      </c>
      <c r="H299" s="74">
        <v>73</v>
      </c>
      <c r="I299" s="77">
        <f t="shared" si="8"/>
        <v>39.462080287765154</v>
      </c>
      <c r="J299" s="77">
        <v>17.899999618530273</v>
      </c>
      <c r="K299" s="77">
        <f t="shared" si="9"/>
        <v>18.078999614715578</v>
      </c>
      <c r="L299" s="68" t="s">
        <v>283</v>
      </c>
    </row>
    <row r="300" spans="1:12" ht="13.5">
      <c r="A300" s="81" t="s">
        <v>72</v>
      </c>
      <c r="B300" s="65" t="s">
        <v>68</v>
      </c>
      <c r="C300" s="65" t="s">
        <v>62</v>
      </c>
      <c r="D300" s="66" t="s">
        <v>77</v>
      </c>
      <c r="E300" s="67"/>
      <c r="F300" s="65" t="s">
        <v>95</v>
      </c>
      <c r="G300" s="73">
        <v>11</v>
      </c>
      <c r="H300" s="74">
        <v>75</v>
      </c>
      <c r="I300" s="77">
        <f t="shared" si="8"/>
        <v>40.564373056724591</v>
      </c>
      <c r="J300" s="77">
        <v>18.399999618530273</v>
      </c>
      <c r="K300" s="77">
        <f t="shared" si="9"/>
        <v>18.583999614715577</v>
      </c>
      <c r="L300" s="68" t="s">
        <v>283</v>
      </c>
    </row>
    <row r="301" spans="1:12" ht="13.5">
      <c r="A301" s="81" t="s">
        <v>72</v>
      </c>
      <c r="B301" s="65" t="s">
        <v>68</v>
      </c>
      <c r="C301" s="65" t="s">
        <v>62</v>
      </c>
      <c r="D301" s="66" t="s">
        <v>77</v>
      </c>
      <c r="E301" s="67"/>
      <c r="F301" s="65" t="s">
        <v>95</v>
      </c>
      <c r="G301" s="73">
        <v>12</v>
      </c>
      <c r="H301" s="74">
        <v>74</v>
      </c>
      <c r="I301" s="77">
        <f t="shared" si="8"/>
        <v>39.902999077314213</v>
      </c>
      <c r="J301" s="77">
        <v>18.100000381469727</v>
      </c>
      <c r="K301" s="77">
        <f t="shared" si="9"/>
        <v>18.281000385284425</v>
      </c>
      <c r="L301" s="68" t="s">
        <v>283</v>
      </c>
    </row>
    <row r="302" spans="1:12" ht="13.5">
      <c r="A302" s="81" t="s">
        <v>72</v>
      </c>
      <c r="B302" s="65" t="s">
        <v>68</v>
      </c>
      <c r="C302" s="65" t="s">
        <v>62</v>
      </c>
      <c r="D302" s="66" t="s">
        <v>77</v>
      </c>
      <c r="E302" s="67"/>
      <c r="F302" s="65" t="s">
        <v>95</v>
      </c>
      <c r="G302" s="73">
        <v>13</v>
      </c>
      <c r="H302" s="74">
        <v>77</v>
      </c>
      <c r="I302" s="77">
        <f t="shared" si="8"/>
        <v>41.225751241048179</v>
      </c>
      <c r="J302" s="77">
        <v>18.700000762939453</v>
      </c>
      <c r="K302" s="77">
        <f t="shared" si="9"/>
        <v>18.887000770568847</v>
      </c>
      <c r="L302" s="68" t="s">
        <v>283</v>
      </c>
    </row>
    <row r="303" spans="1:12" ht="13.5">
      <c r="A303" s="81" t="s">
        <v>72</v>
      </c>
      <c r="B303" s="65" t="s">
        <v>68</v>
      </c>
      <c r="C303" s="65" t="s">
        <v>62</v>
      </c>
      <c r="D303" s="66" t="s">
        <v>77</v>
      </c>
      <c r="E303" s="67"/>
      <c r="F303" s="65" t="s">
        <v>95</v>
      </c>
      <c r="G303" s="73">
        <v>14</v>
      </c>
      <c r="H303" s="74">
        <v>74</v>
      </c>
      <c r="I303" s="77">
        <f t="shared" si="8"/>
        <v>39.902999077314213</v>
      </c>
      <c r="J303" s="77">
        <v>18.100000381469727</v>
      </c>
      <c r="K303" s="77">
        <f t="shared" si="9"/>
        <v>18.281000385284425</v>
      </c>
      <c r="L303" s="68" t="s">
        <v>283</v>
      </c>
    </row>
    <row r="304" spans="1:12" ht="13.5">
      <c r="A304" s="81" t="s">
        <v>72</v>
      </c>
      <c r="B304" s="65" t="s">
        <v>68</v>
      </c>
      <c r="C304" s="65" t="s">
        <v>62</v>
      </c>
      <c r="D304" s="66" t="s">
        <v>77</v>
      </c>
      <c r="E304" s="67"/>
      <c r="F304" s="65" t="s">
        <v>95</v>
      </c>
      <c r="G304" s="73">
        <v>15</v>
      </c>
      <c r="H304" s="74">
        <v>74</v>
      </c>
      <c r="I304" s="77">
        <f t="shared" si="8"/>
        <v>39.682539682539684</v>
      </c>
      <c r="J304" s="77">
        <v>18</v>
      </c>
      <c r="K304" s="77">
        <f t="shared" si="9"/>
        <v>18.18</v>
      </c>
      <c r="L304" s="68" t="s">
        <v>283</v>
      </c>
    </row>
    <row r="305" spans="1:12" ht="13.5">
      <c r="A305" s="81" t="s">
        <v>72</v>
      </c>
      <c r="B305" s="65" t="s">
        <v>68</v>
      </c>
      <c r="C305" s="65" t="s">
        <v>62</v>
      </c>
      <c r="D305" s="66" t="s">
        <v>77</v>
      </c>
      <c r="E305" s="67"/>
      <c r="F305" s="65" t="s">
        <v>95</v>
      </c>
      <c r="G305" s="73">
        <v>16</v>
      </c>
      <c r="H305" s="74">
        <v>74</v>
      </c>
      <c r="I305" s="77">
        <f t="shared" si="8"/>
        <v>39.902999077314213</v>
      </c>
      <c r="J305" s="77">
        <v>18.100000381469727</v>
      </c>
      <c r="K305" s="77">
        <f t="shared" si="9"/>
        <v>18.281000385284425</v>
      </c>
      <c r="L305" s="68" t="s">
        <v>283</v>
      </c>
    </row>
    <row r="306" spans="1:12" ht="13.5">
      <c r="A306" s="81" t="s">
        <v>72</v>
      </c>
      <c r="B306" s="65" t="s">
        <v>68</v>
      </c>
      <c r="C306" s="65" t="s">
        <v>62</v>
      </c>
      <c r="D306" s="66" t="s">
        <v>77</v>
      </c>
      <c r="E306" s="67"/>
      <c r="F306" s="65" t="s">
        <v>95</v>
      </c>
      <c r="G306" s="73">
        <v>17</v>
      </c>
      <c r="H306" s="74">
        <v>74</v>
      </c>
      <c r="I306" s="77">
        <f t="shared" si="8"/>
        <v>39.682539682539684</v>
      </c>
      <c r="J306" s="77">
        <v>18</v>
      </c>
      <c r="K306" s="77">
        <f t="shared" si="9"/>
        <v>18.18</v>
      </c>
      <c r="L306" s="68" t="s">
        <v>283</v>
      </c>
    </row>
    <row r="307" spans="1:12" ht="13.5">
      <c r="A307" s="81" t="s">
        <v>72</v>
      </c>
      <c r="B307" s="65" t="s">
        <v>68</v>
      </c>
      <c r="C307" s="65" t="s">
        <v>62</v>
      </c>
      <c r="D307" s="66" t="s">
        <v>77</v>
      </c>
      <c r="E307" s="67"/>
      <c r="F307" s="65" t="s">
        <v>95</v>
      </c>
      <c r="G307" s="73">
        <v>18</v>
      </c>
      <c r="H307" s="74">
        <v>69</v>
      </c>
      <c r="I307" s="77">
        <f t="shared" ref="I307:I370" si="10">+J307/0.4536</f>
        <v>37.257494749846281</v>
      </c>
      <c r="J307" s="77">
        <v>16.899999618530273</v>
      </c>
      <c r="K307" s="77">
        <f t="shared" ref="K307:K370" si="11">+J307*1.01</f>
        <v>17.068999614715576</v>
      </c>
      <c r="L307" s="68" t="s">
        <v>283</v>
      </c>
    </row>
    <row r="308" spans="1:12" ht="13.5">
      <c r="A308" s="81" t="s">
        <v>72</v>
      </c>
      <c r="B308" s="65" t="s">
        <v>68</v>
      </c>
      <c r="C308" s="65" t="s">
        <v>62</v>
      </c>
      <c r="D308" s="66" t="s">
        <v>77</v>
      </c>
      <c r="E308" s="67"/>
      <c r="F308" s="65" t="s">
        <v>95</v>
      </c>
      <c r="G308" s="73">
        <v>19</v>
      </c>
      <c r="H308" s="74">
        <v>74</v>
      </c>
      <c r="I308" s="77">
        <f t="shared" si="10"/>
        <v>40.123458472088743</v>
      </c>
      <c r="J308" s="77">
        <v>18.200000762939453</v>
      </c>
      <c r="K308" s="77">
        <f t="shared" si="11"/>
        <v>18.382000770568848</v>
      </c>
      <c r="L308" s="68" t="s">
        <v>283</v>
      </c>
    </row>
    <row r="309" spans="1:12" ht="13.5">
      <c r="A309" s="81" t="s">
        <v>72</v>
      </c>
      <c r="B309" s="65" t="s">
        <v>68</v>
      </c>
      <c r="C309" s="65" t="s">
        <v>62</v>
      </c>
      <c r="D309" s="66" t="s">
        <v>77</v>
      </c>
      <c r="E309" s="67"/>
      <c r="F309" s="65" t="s">
        <v>95</v>
      </c>
      <c r="G309" s="73">
        <v>20</v>
      </c>
      <c r="H309" s="74">
        <v>74</v>
      </c>
      <c r="I309" s="77">
        <f t="shared" si="10"/>
        <v>40.123458472088743</v>
      </c>
      <c r="J309" s="77">
        <v>18.200000762939453</v>
      </c>
      <c r="K309" s="77">
        <f t="shared" si="11"/>
        <v>18.382000770568848</v>
      </c>
      <c r="L309" s="68" t="s">
        <v>283</v>
      </c>
    </row>
    <row r="310" spans="1:12" ht="13.5">
      <c r="A310" s="81" t="s">
        <v>72</v>
      </c>
      <c r="B310" s="65" t="s">
        <v>68</v>
      </c>
      <c r="C310" s="65" t="s">
        <v>62</v>
      </c>
      <c r="D310" s="66" t="s">
        <v>77</v>
      </c>
      <c r="E310" s="67"/>
      <c r="F310" s="65" t="s">
        <v>95</v>
      </c>
      <c r="G310" s="73">
        <v>21</v>
      </c>
      <c r="H310" s="74">
        <v>74</v>
      </c>
      <c r="I310" s="77">
        <f t="shared" si="10"/>
        <v>39.682539682539684</v>
      </c>
      <c r="J310" s="77">
        <v>18</v>
      </c>
      <c r="K310" s="77">
        <f t="shared" si="11"/>
        <v>18.18</v>
      </c>
      <c r="L310" s="68" t="s">
        <v>283</v>
      </c>
    </row>
    <row r="311" spans="1:12" ht="13.5">
      <c r="A311" s="81" t="s">
        <v>72</v>
      </c>
      <c r="B311" s="65" t="s">
        <v>68</v>
      </c>
      <c r="C311" s="65" t="s">
        <v>62</v>
      </c>
      <c r="D311" s="66" t="s">
        <v>77</v>
      </c>
      <c r="E311" s="67"/>
      <c r="F311" s="65" t="s">
        <v>95</v>
      </c>
      <c r="G311" s="73">
        <v>22</v>
      </c>
      <c r="H311" s="74">
        <v>72</v>
      </c>
      <c r="I311" s="77">
        <f t="shared" si="10"/>
        <v>38.580246913580247</v>
      </c>
      <c r="J311" s="77">
        <v>17.5</v>
      </c>
      <c r="K311" s="77">
        <f t="shared" si="11"/>
        <v>17.675000000000001</v>
      </c>
      <c r="L311" s="68" t="s">
        <v>283</v>
      </c>
    </row>
    <row r="312" spans="1:12" ht="13.5">
      <c r="A312" s="81" t="s">
        <v>72</v>
      </c>
      <c r="B312" s="65" t="s">
        <v>68</v>
      </c>
      <c r="C312" s="65" t="s">
        <v>62</v>
      </c>
      <c r="D312" s="66" t="s">
        <v>77</v>
      </c>
      <c r="E312" s="67"/>
      <c r="F312" s="65" t="s">
        <v>95</v>
      </c>
      <c r="G312" s="73">
        <v>23</v>
      </c>
      <c r="H312" s="74">
        <v>74</v>
      </c>
      <c r="I312" s="77">
        <f t="shared" si="10"/>
        <v>39.902999077314213</v>
      </c>
      <c r="J312" s="77">
        <v>18.100000381469727</v>
      </c>
      <c r="K312" s="77">
        <f t="shared" si="11"/>
        <v>18.281000385284425</v>
      </c>
      <c r="L312" s="68" t="s">
        <v>283</v>
      </c>
    </row>
    <row r="313" spans="1:12" ht="13.5">
      <c r="A313" s="81" t="s">
        <v>72</v>
      </c>
      <c r="B313" s="65" t="s">
        <v>68</v>
      </c>
      <c r="C313" s="65" t="s">
        <v>62</v>
      </c>
      <c r="D313" s="66" t="s">
        <v>77</v>
      </c>
      <c r="E313" s="67"/>
      <c r="F313" s="65" t="s">
        <v>95</v>
      </c>
      <c r="G313" s="73">
        <v>24</v>
      </c>
      <c r="H313" s="74">
        <v>76</v>
      </c>
      <c r="I313" s="77">
        <f t="shared" si="10"/>
        <v>40.784832451499121</v>
      </c>
      <c r="J313" s="77">
        <v>18.5</v>
      </c>
      <c r="K313" s="77">
        <f t="shared" si="11"/>
        <v>18.684999999999999</v>
      </c>
      <c r="L313" s="68" t="s">
        <v>283</v>
      </c>
    </row>
    <row r="314" spans="1:12" ht="13.5">
      <c r="A314" s="81" t="s">
        <v>72</v>
      </c>
      <c r="B314" s="65" t="s">
        <v>68</v>
      </c>
      <c r="C314" s="65" t="s">
        <v>62</v>
      </c>
      <c r="D314" s="66" t="s">
        <v>77</v>
      </c>
      <c r="E314" s="67"/>
      <c r="F314" s="65" t="s">
        <v>95</v>
      </c>
      <c r="G314" s="73">
        <v>25</v>
      </c>
      <c r="H314" s="74">
        <v>73</v>
      </c>
      <c r="I314" s="77">
        <f t="shared" si="10"/>
        <v>39.241620892990625</v>
      </c>
      <c r="J314" s="77">
        <v>17.799999237060547</v>
      </c>
      <c r="K314" s="77">
        <f t="shared" si="11"/>
        <v>17.977999229431152</v>
      </c>
      <c r="L314" s="68" t="s">
        <v>283</v>
      </c>
    </row>
    <row r="315" spans="1:12" ht="13.5">
      <c r="A315" s="81" t="s">
        <v>72</v>
      </c>
      <c r="B315" s="65" t="s">
        <v>68</v>
      </c>
      <c r="C315" s="65" t="s">
        <v>62</v>
      </c>
      <c r="D315" s="66" t="s">
        <v>77</v>
      </c>
      <c r="E315" s="67"/>
      <c r="F315" s="65" t="s">
        <v>95</v>
      </c>
      <c r="G315" s="73">
        <v>26</v>
      </c>
      <c r="H315" s="74">
        <v>72</v>
      </c>
      <c r="I315" s="77">
        <f t="shared" si="10"/>
        <v>39.021165703129306</v>
      </c>
      <c r="J315" s="77">
        <v>17.700000762939453</v>
      </c>
      <c r="K315" s="77">
        <f t="shared" si="11"/>
        <v>17.877000770568849</v>
      </c>
      <c r="L315" s="68" t="s">
        <v>283</v>
      </c>
    </row>
    <row r="316" spans="1:12" ht="13.5">
      <c r="A316" s="81" t="s">
        <v>72</v>
      </c>
      <c r="B316" s="65" t="s">
        <v>68</v>
      </c>
      <c r="C316" s="65" t="s">
        <v>62</v>
      </c>
      <c r="D316" s="66" t="s">
        <v>77</v>
      </c>
      <c r="E316" s="67"/>
      <c r="F316" s="65" t="s">
        <v>95</v>
      </c>
      <c r="G316" s="73">
        <v>27</v>
      </c>
      <c r="H316" s="74">
        <v>73</v>
      </c>
      <c r="I316" s="77">
        <f t="shared" si="10"/>
        <v>39.462080287765154</v>
      </c>
      <c r="J316" s="77">
        <v>17.899999618530273</v>
      </c>
      <c r="K316" s="77">
        <f t="shared" si="11"/>
        <v>18.078999614715578</v>
      </c>
      <c r="L316" s="68" t="s">
        <v>283</v>
      </c>
    </row>
    <row r="317" spans="1:12" ht="13.5">
      <c r="A317" s="81" t="s">
        <v>72</v>
      </c>
      <c r="B317" s="65" t="s">
        <v>68</v>
      </c>
      <c r="C317" s="65" t="s">
        <v>62</v>
      </c>
      <c r="D317" s="66" t="s">
        <v>77</v>
      </c>
      <c r="E317" s="67"/>
      <c r="F317" s="65" t="s">
        <v>95</v>
      </c>
      <c r="G317" s="73">
        <v>28</v>
      </c>
      <c r="H317" s="74">
        <v>73</v>
      </c>
      <c r="I317" s="77">
        <f t="shared" si="10"/>
        <v>39.462080287765154</v>
      </c>
      <c r="J317" s="77">
        <v>17.899999618530273</v>
      </c>
      <c r="K317" s="77">
        <f t="shared" si="11"/>
        <v>18.078999614715578</v>
      </c>
      <c r="L317" s="68" t="s">
        <v>283</v>
      </c>
    </row>
    <row r="318" spans="1:12" ht="13.5">
      <c r="A318" s="81" t="s">
        <v>72</v>
      </c>
      <c r="B318" s="65" t="s">
        <v>68</v>
      </c>
      <c r="C318" s="65" t="s">
        <v>62</v>
      </c>
      <c r="D318" s="66" t="s">
        <v>77</v>
      </c>
      <c r="E318" s="67"/>
      <c r="F318" s="65" t="s">
        <v>95</v>
      </c>
      <c r="G318" s="73">
        <v>29</v>
      </c>
      <c r="H318" s="74">
        <v>75</v>
      </c>
      <c r="I318" s="77">
        <f t="shared" si="10"/>
        <v>40.564373056724591</v>
      </c>
      <c r="J318" s="77">
        <v>18.399999618530273</v>
      </c>
      <c r="K318" s="77">
        <f t="shared" si="11"/>
        <v>18.583999614715577</v>
      </c>
      <c r="L318" s="68" t="s">
        <v>283</v>
      </c>
    </row>
    <row r="319" spans="1:12" ht="13.5">
      <c r="A319" s="81" t="s">
        <v>72</v>
      </c>
      <c r="B319" s="65" t="s">
        <v>68</v>
      </c>
      <c r="C319" s="65" t="s">
        <v>62</v>
      </c>
      <c r="D319" s="66" t="s">
        <v>77</v>
      </c>
      <c r="E319" s="67"/>
      <c r="F319" s="65" t="s">
        <v>95</v>
      </c>
      <c r="G319" s="73">
        <v>30</v>
      </c>
      <c r="H319" s="74">
        <v>75</v>
      </c>
      <c r="I319" s="77">
        <f t="shared" si="10"/>
        <v>40.564373056724591</v>
      </c>
      <c r="J319" s="77">
        <v>18.399999618530273</v>
      </c>
      <c r="K319" s="77">
        <f t="shared" si="11"/>
        <v>18.583999614715577</v>
      </c>
      <c r="L319" s="68" t="s">
        <v>283</v>
      </c>
    </row>
    <row r="320" spans="1:12" ht="13.5">
      <c r="A320" s="81" t="s">
        <v>72</v>
      </c>
      <c r="B320" s="65" t="s">
        <v>68</v>
      </c>
      <c r="C320" s="65" t="s">
        <v>62</v>
      </c>
      <c r="D320" s="66" t="s">
        <v>77</v>
      </c>
      <c r="E320" s="67"/>
      <c r="F320" s="65" t="s">
        <v>95</v>
      </c>
      <c r="G320" s="73">
        <v>31</v>
      </c>
      <c r="H320" s="74">
        <v>74</v>
      </c>
      <c r="I320" s="77">
        <f t="shared" si="10"/>
        <v>39.682539682539684</v>
      </c>
      <c r="J320" s="77">
        <v>18</v>
      </c>
      <c r="K320" s="77">
        <f t="shared" si="11"/>
        <v>18.18</v>
      </c>
      <c r="L320" s="68" t="s">
        <v>283</v>
      </c>
    </row>
    <row r="321" spans="1:12" ht="13.5">
      <c r="A321" s="81" t="s">
        <v>72</v>
      </c>
      <c r="B321" s="65" t="s">
        <v>68</v>
      </c>
      <c r="C321" s="65" t="s">
        <v>62</v>
      </c>
      <c r="D321" s="66" t="s">
        <v>77</v>
      </c>
      <c r="E321" s="67"/>
      <c r="F321" s="65" t="s">
        <v>95</v>
      </c>
      <c r="G321" s="73">
        <v>32</v>
      </c>
      <c r="H321" s="74">
        <v>74</v>
      </c>
      <c r="I321" s="77">
        <f t="shared" si="10"/>
        <v>39.682539682539684</v>
      </c>
      <c r="J321" s="77">
        <v>18</v>
      </c>
      <c r="K321" s="77">
        <f t="shared" si="11"/>
        <v>18.18</v>
      </c>
      <c r="L321" s="68" t="s">
        <v>283</v>
      </c>
    </row>
    <row r="322" spans="1:12" ht="13.5">
      <c r="A322" s="81" t="s">
        <v>72</v>
      </c>
      <c r="B322" s="65" t="s">
        <v>68</v>
      </c>
      <c r="C322" s="65" t="s">
        <v>62</v>
      </c>
      <c r="D322" s="66" t="s">
        <v>77</v>
      </c>
      <c r="E322" s="67"/>
      <c r="F322" s="65" t="s">
        <v>95</v>
      </c>
      <c r="G322" s="73">
        <v>33</v>
      </c>
      <c r="H322" s="74">
        <v>70</v>
      </c>
      <c r="I322" s="77">
        <f t="shared" si="10"/>
        <v>37.918872934169869</v>
      </c>
      <c r="J322" s="77">
        <v>17.200000762939453</v>
      </c>
      <c r="K322" s="77">
        <f t="shared" si="11"/>
        <v>17.37200077056885</v>
      </c>
      <c r="L322" s="68" t="s">
        <v>283</v>
      </c>
    </row>
    <row r="323" spans="1:12" ht="13.5">
      <c r="A323" s="81" t="s">
        <v>72</v>
      </c>
      <c r="B323" s="65" t="s">
        <v>68</v>
      </c>
      <c r="C323" s="65" t="s">
        <v>62</v>
      </c>
      <c r="D323" s="66" t="s">
        <v>77</v>
      </c>
      <c r="E323" s="67"/>
      <c r="F323" s="65" t="s">
        <v>95</v>
      </c>
      <c r="G323" s="73">
        <v>34</v>
      </c>
      <c r="H323" s="74">
        <v>73</v>
      </c>
      <c r="I323" s="77">
        <f t="shared" si="10"/>
        <v>39.241620892990625</v>
      </c>
      <c r="J323" s="77">
        <v>17.799999237060547</v>
      </c>
      <c r="K323" s="77">
        <f t="shared" si="11"/>
        <v>17.977999229431152</v>
      </c>
      <c r="L323" s="68" t="s">
        <v>283</v>
      </c>
    </row>
    <row r="324" spans="1:12" ht="13.5">
      <c r="A324" s="81" t="s">
        <v>72</v>
      </c>
      <c r="B324" s="65" t="s">
        <v>68</v>
      </c>
      <c r="C324" s="65" t="s">
        <v>62</v>
      </c>
      <c r="D324" s="66" t="s">
        <v>77</v>
      </c>
      <c r="E324" s="67"/>
      <c r="F324" s="65" t="s">
        <v>95</v>
      </c>
      <c r="G324" s="73">
        <v>35</v>
      </c>
      <c r="H324" s="74">
        <v>73</v>
      </c>
      <c r="I324" s="77">
        <f t="shared" si="10"/>
        <v>39.241620892990625</v>
      </c>
      <c r="J324" s="77">
        <v>17.799999237060547</v>
      </c>
      <c r="K324" s="77">
        <f t="shared" si="11"/>
        <v>17.977999229431152</v>
      </c>
      <c r="L324" s="68" t="s">
        <v>283</v>
      </c>
    </row>
    <row r="325" spans="1:12" ht="13.5">
      <c r="A325" s="81" t="s">
        <v>72</v>
      </c>
      <c r="B325" s="65" t="s">
        <v>68</v>
      </c>
      <c r="C325" s="65" t="s">
        <v>62</v>
      </c>
      <c r="D325" s="66" t="s">
        <v>77</v>
      </c>
      <c r="E325" s="67"/>
      <c r="F325" s="65" t="s">
        <v>95</v>
      </c>
      <c r="G325" s="73">
        <v>36</v>
      </c>
      <c r="H325" s="74">
        <v>72</v>
      </c>
      <c r="I325" s="77">
        <f t="shared" si="10"/>
        <v>38.800706308354776</v>
      </c>
      <c r="J325" s="77">
        <v>17.600000381469727</v>
      </c>
      <c r="K325" s="77">
        <f t="shared" si="11"/>
        <v>17.776000385284423</v>
      </c>
      <c r="L325" s="68" t="s">
        <v>283</v>
      </c>
    </row>
    <row r="326" spans="1:12" ht="13.5">
      <c r="A326" s="81" t="s">
        <v>72</v>
      </c>
      <c r="B326" s="65" t="s">
        <v>68</v>
      </c>
      <c r="C326" s="65" t="s">
        <v>62</v>
      </c>
      <c r="D326" s="66" t="s">
        <v>77</v>
      </c>
      <c r="E326" s="67"/>
      <c r="F326" s="65" t="s">
        <v>95</v>
      </c>
      <c r="G326" s="73">
        <v>37</v>
      </c>
      <c r="H326" s="74">
        <v>72</v>
      </c>
      <c r="I326" s="77">
        <f t="shared" si="10"/>
        <v>39.021165703129306</v>
      </c>
      <c r="J326" s="77">
        <v>17.700000762939453</v>
      </c>
      <c r="K326" s="77">
        <f t="shared" si="11"/>
        <v>17.877000770568849</v>
      </c>
      <c r="L326" s="68" t="s">
        <v>283</v>
      </c>
    </row>
    <row r="327" spans="1:12" ht="13.5">
      <c r="A327" s="81" t="s">
        <v>72</v>
      </c>
      <c r="B327" s="65" t="s">
        <v>68</v>
      </c>
      <c r="C327" s="65" t="s">
        <v>62</v>
      </c>
      <c r="D327" s="66" t="s">
        <v>77</v>
      </c>
      <c r="E327" s="67"/>
      <c r="F327" s="65" t="s">
        <v>95</v>
      </c>
      <c r="G327" s="73">
        <v>38</v>
      </c>
      <c r="H327" s="74">
        <v>73</v>
      </c>
      <c r="I327" s="77">
        <f t="shared" si="10"/>
        <v>39.241620892990625</v>
      </c>
      <c r="J327" s="77">
        <v>17.799999237060547</v>
      </c>
      <c r="K327" s="77">
        <f t="shared" si="11"/>
        <v>17.977999229431152</v>
      </c>
      <c r="L327" s="68" t="s">
        <v>283</v>
      </c>
    </row>
    <row r="328" spans="1:12" ht="13.5">
      <c r="A328" s="81" t="s">
        <v>72</v>
      </c>
      <c r="B328" s="65" t="s">
        <v>68</v>
      </c>
      <c r="C328" s="65" t="s">
        <v>62</v>
      </c>
      <c r="D328" s="66" t="s">
        <v>77</v>
      </c>
      <c r="E328" s="67"/>
      <c r="F328" s="65" t="s">
        <v>95</v>
      </c>
      <c r="G328" s="73">
        <v>39</v>
      </c>
      <c r="H328" s="74">
        <v>71</v>
      </c>
      <c r="I328" s="77">
        <f t="shared" si="10"/>
        <v>38.359787518805717</v>
      </c>
      <c r="J328" s="77">
        <v>17.399999618530273</v>
      </c>
      <c r="K328" s="77">
        <f t="shared" si="11"/>
        <v>17.573999614715575</v>
      </c>
      <c r="L328" s="68" t="s">
        <v>283</v>
      </c>
    </row>
    <row r="329" spans="1:12" ht="13.5">
      <c r="A329" s="81" t="s">
        <v>72</v>
      </c>
      <c r="B329" s="65" t="s">
        <v>68</v>
      </c>
      <c r="C329" s="65" t="s">
        <v>62</v>
      </c>
      <c r="D329" s="66" t="s">
        <v>77</v>
      </c>
      <c r="E329" s="67"/>
      <c r="F329" s="65" t="s">
        <v>95</v>
      </c>
      <c r="G329" s="73">
        <v>40</v>
      </c>
      <c r="H329" s="74">
        <v>72</v>
      </c>
      <c r="I329" s="77">
        <f t="shared" si="10"/>
        <v>38.800706308354776</v>
      </c>
      <c r="J329" s="77">
        <v>17.600000381469727</v>
      </c>
      <c r="K329" s="77">
        <f t="shared" si="11"/>
        <v>17.776000385284423</v>
      </c>
      <c r="L329" s="68" t="s">
        <v>283</v>
      </c>
    </row>
    <row r="330" spans="1:12" ht="13.5">
      <c r="A330" s="81" t="s">
        <v>72</v>
      </c>
      <c r="B330" s="65" t="s">
        <v>68</v>
      </c>
      <c r="C330" s="65" t="s">
        <v>62</v>
      </c>
      <c r="D330" s="66" t="s">
        <v>77</v>
      </c>
      <c r="E330" s="67"/>
      <c r="F330" s="65" t="s">
        <v>95</v>
      </c>
      <c r="G330" s="73">
        <v>41</v>
      </c>
      <c r="H330" s="74">
        <v>73</v>
      </c>
      <c r="I330" s="77">
        <f t="shared" si="10"/>
        <v>39.241620892990625</v>
      </c>
      <c r="J330" s="77">
        <v>17.799999237060547</v>
      </c>
      <c r="K330" s="77">
        <f t="shared" si="11"/>
        <v>17.977999229431152</v>
      </c>
      <c r="L330" s="68" t="s">
        <v>283</v>
      </c>
    </row>
    <row r="331" spans="1:12" ht="13.5">
      <c r="A331" s="81" t="s">
        <v>72</v>
      </c>
      <c r="B331" s="65" t="s">
        <v>68</v>
      </c>
      <c r="C331" s="65" t="s">
        <v>62</v>
      </c>
      <c r="D331" s="66" t="s">
        <v>77</v>
      </c>
      <c r="E331" s="67"/>
      <c r="F331" s="65" t="s">
        <v>95</v>
      </c>
      <c r="G331" s="73">
        <v>42</v>
      </c>
      <c r="H331" s="74">
        <v>67</v>
      </c>
      <c r="I331" s="77">
        <f t="shared" si="10"/>
        <v>36.155201980886844</v>
      </c>
      <c r="J331" s="77">
        <v>16.399999618530273</v>
      </c>
      <c r="K331" s="77">
        <f t="shared" si="11"/>
        <v>16.563999614715577</v>
      </c>
      <c r="L331" s="68" t="s">
        <v>283</v>
      </c>
    </row>
    <row r="332" spans="1:12" ht="13.5">
      <c r="A332" s="81" t="s">
        <v>72</v>
      </c>
      <c r="B332" s="65" t="s">
        <v>68</v>
      </c>
      <c r="C332" s="65" t="s">
        <v>62</v>
      </c>
      <c r="D332" s="66" t="s">
        <v>77</v>
      </c>
      <c r="E332" s="67"/>
      <c r="F332" s="65" t="s">
        <v>95</v>
      </c>
      <c r="G332" s="73">
        <v>43</v>
      </c>
      <c r="H332" s="74">
        <v>72</v>
      </c>
      <c r="I332" s="77">
        <f t="shared" si="10"/>
        <v>39.021165703129306</v>
      </c>
      <c r="J332" s="77">
        <v>17.700000762939453</v>
      </c>
      <c r="K332" s="77">
        <f t="shared" si="11"/>
        <v>17.877000770568849</v>
      </c>
      <c r="L332" s="68" t="s">
        <v>283</v>
      </c>
    </row>
    <row r="333" spans="1:12" ht="13.5">
      <c r="A333" s="81" t="s">
        <v>72</v>
      </c>
      <c r="B333" s="65" t="s">
        <v>68</v>
      </c>
      <c r="C333" s="65" t="s">
        <v>62</v>
      </c>
      <c r="D333" s="66" t="s">
        <v>77</v>
      </c>
      <c r="E333" s="67"/>
      <c r="F333" s="65" t="s">
        <v>95</v>
      </c>
      <c r="G333" s="73">
        <v>44</v>
      </c>
      <c r="H333" s="74">
        <v>72</v>
      </c>
      <c r="I333" s="77">
        <f t="shared" si="10"/>
        <v>38.580246913580247</v>
      </c>
      <c r="J333" s="77">
        <v>17.5</v>
      </c>
      <c r="K333" s="77">
        <f t="shared" si="11"/>
        <v>17.675000000000001</v>
      </c>
      <c r="L333" s="68" t="s">
        <v>283</v>
      </c>
    </row>
    <row r="334" spans="1:12" ht="13.5">
      <c r="A334" s="81" t="s">
        <v>72</v>
      </c>
      <c r="B334" s="65" t="s">
        <v>68</v>
      </c>
      <c r="C334" s="65" t="s">
        <v>62</v>
      </c>
      <c r="D334" s="66" t="s">
        <v>77</v>
      </c>
      <c r="E334" s="67"/>
      <c r="F334" s="65" t="s">
        <v>95</v>
      </c>
      <c r="G334" s="73">
        <v>45</v>
      </c>
      <c r="H334" s="74">
        <v>72</v>
      </c>
      <c r="I334" s="77">
        <f t="shared" si="10"/>
        <v>39.021165703129306</v>
      </c>
      <c r="J334" s="77">
        <v>17.700000762939453</v>
      </c>
      <c r="K334" s="77">
        <f t="shared" si="11"/>
        <v>17.877000770568849</v>
      </c>
      <c r="L334" s="68" t="s">
        <v>283</v>
      </c>
    </row>
    <row r="335" spans="1:12" ht="13.5">
      <c r="A335" s="81" t="s">
        <v>72</v>
      </c>
      <c r="B335" s="65" t="s">
        <v>68</v>
      </c>
      <c r="C335" s="65" t="s">
        <v>62</v>
      </c>
      <c r="D335" s="66" t="s">
        <v>77</v>
      </c>
      <c r="E335" s="67"/>
      <c r="F335" s="65" t="s">
        <v>95</v>
      </c>
      <c r="G335" s="73">
        <v>46</v>
      </c>
      <c r="H335" s="74">
        <v>72</v>
      </c>
      <c r="I335" s="77">
        <f t="shared" si="10"/>
        <v>38.580246913580247</v>
      </c>
      <c r="J335" s="77">
        <v>17.5</v>
      </c>
      <c r="K335" s="77">
        <f t="shared" si="11"/>
        <v>17.675000000000001</v>
      </c>
      <c r="L335" s="68" t="s">
        <v>283</v>
      </c>
    </row>
    <row r="336" spans="1:12" ht="13.5">
      <c r="A336" s="81" t="s">
        <v>72</v>
      </c>
      <c r="B336" s="65" t="s">
        <v>68</v>
      </c>
      <c r="C336" s="65" t="s">
        <v>62</v>
      </c>
      <c r="D336" s="66" t="s">
        <v>77</v>
      </c>
      <c r="E336" s="67"/>
      <c r="F336" s="65" t="s">
        <v>95</v>
      </c>
      <c r="G336" s="73">
        <v>47</v>
      </c>
      <c r="H336" s="74">
        <v>72</v>
      </c>
      <c r="I336" s="77">
        <f t="shared" si="10"/>
        <v>38.800706308354776</v>
      </c>
      <c r="J336" s="77">
        <v>17.600000381469727</v>
      </c>
      <c r="K336" s="77">
        <f t="shared" si="11"/>
        <v>17.776000385284423</v>
      </c>
      <c r="L336" s="68" t="s">
        <v>283</v>
      </c>
    </row>
    <row r="337" spans="1:12" ht="13.5">
      <c r="A337" s="81" t="s">
        <v>72</v>
      </c>
      <c r="B337" s="65" t="s">
        <v>68</v>
      </c>
      <c r="C337" s="65" t="s">
        <v>62</v>
      </c>
      <c r="D337" s="66" t="s">
        <v>77</v>
      </c>
      <c r="E337" s="67"/>
      <c r="F337" s="65" t="s">
        <v>95</v>
      </c>
      <c r="G337" s="73">
        <v>48</v>
      </c>
      <c r="H337" s="74">
        <v>74</v>
      </c>
      <c r="I337" s="77">
        <f t="shared" si="10"/>
        <v>39.682539682539684</v>
      </c>
      <c r="J337" s="77">
        <v>18</v>
      </c>
      <c r="K337" s="77">
        <f t="shared" si="11"/>
        <v>18.18</v>
      </c>
      <c r="L337" s="68" t="s">
        <v>283</v>
      </c>
    </row>
    <row r="338" spans="1:12" ht="13.5">
      <c r="A338" s="81" t="s">
        <v>72</v>
      </c>
      <c r="B338" s="65" t="s">
        <v>68</v>
      </c>
      <c r="C338" s="65" t="s">
        <v>62</v>
      </c>
      <c r="D338" s="66" t="s">
        <v>77</v>
      </c>
      <c r="E338" s="67"/>
      <c r="F338" s="65" t="s">
        <v>95</v>
      </c>
      <c r="G338" s="73">
        <v>49</v>
      </c>
      <c r="H338" s="74">
        <v>72</v>
      </c>
      <c r="I338" s="77">
        <f t="shared" si="10"/>
        <v>38.580246913580247</v>
      </c>
      <c r="J338" s="77">
        <v>17.5</v>
      </c>
      <c r="K338" s="77">
        <f t="shared" si="11"/>
        <v>17.675000000000001</v>
      </c>
      <c r="L338" s="68" t="s">
        <v>283</v>
      </c>
    </row>
    <row r="339" spans="1:12" ht="13.5">
      <c r="A339" s="81" t="s">
        <v>72</v>
      </c>
      <c r="B339" s="65" t="s">
        <v>68</v>
      </c>
      <c r="C339" s="65" t="s">
        <v>62</v>
      </c>
      <c r="D339" s="66" t="s">
        <v>77</v>
      </c>
      <c r="E339" s="67"/>
      <c r="F339" s="65" t="s">
        <v>95</v>
      </c>
      <c r="G339" s="73">
        <v>50</v>
      </c>
      <c r="H339" s="74">
        <v>75</v>
      </c>
      <c r="I339" s="77">
        <f t="shared" si="10"/>
        <v>40.343913661950062</v>
      </c>
      <c r="J339" s="77">
        <v>18.299999237060547</v>
      </c>
      <c r="K339" s="77">
        <f t="shared" si="11"/>
        <v>18.482999229431151</v>
      </c>
      <c r="L339" s="68" t="s">
        <v>283</v>
      </c>
    </row>
    <row r="340" spans="1:12" ht="13.5">
      <c r="A340" s="81" t="s">
        <v>72</v>
      </c>
      <c r="B340" s="65" t="s">
        <v>68</v>
      </c>
      <c r="C340" s="65" t="s">
        <v>62</v>
      </c>
      <c r="D340" s="66" t="s">
        <v>77</v>
      </c>
      <c r="E340" s="67"/>
      <c r="F340" s="65" t="s">
        <v>95</v>
      </c>
      <c r="G340" s="73">
        <v>51</v>
      </c>
      <c r="H340" s="74">
        <v>57</v>
      </c>
      <c r="I340" s="77">
        <f t="shared" si="10"/>
        <v>30.643738136089667</v>
      </c>
      <c r="J340" s="77">
        <v>13.899999618530273</v>
      </c>
      <c r="K340" s="77">
        <f t="shared" si="11"/>
        <v>14.038999614715577</v>
      </c>
      <c r="L340" s="68" t="s">
        <v>283</v>
      </c>
    </row>
    <row r="341" spans="1:12" ht="13.5">
      <c r="A341" s="81" t="s">
        <v>72</v>
      </c>
      <c r="B341" s="65" t="s">
        <v>68</v>
      </c>
      <c r="C341" s="65" t="s">
        <v>62</v>
      </c>
      <c r="D341" s="66" t="s">
        <v>77</v>
      </c>
      <c r="E341" s="67"/>
      <c r="F341" s="65" t="s">
        <v>95</v>
      </c>
      <c r="G341" s="73">
        <v>52</v>
      </c>
      <c r="H341" s="74">
        <v>72</v>
      </c>
      <c r="I341" s="77">
        <f t="shared" si="10"/>
        <v>38.800706308354776</v>
      </c>
      <c r="J341" s="77">
        <v>17.600000381469727</v>
      </c>
      <c r="K341" s="77">
        <f t="shared" si="11"/>
        <v>17.776000385284423</v>
      </c>
      <c r="L341" s="68" t="s">
        <v>283</v>
      </c>
    </row>
    <row r="342" spans="1:12" ht="13.5">
      <c r="A342" s="81" t="s">
        <v>72</v>
      </c>
      <c r="B342" s="65" t="s">
        <v>68</v>
      </c>
      <c r="C342" s="65" t="s">
        <v>62</v>
      </c>
      <c r="D342" s="66" t="s">
        <v>77</v>
      </c>
      <c r="E342" s="67"/>
      <c r="F342" s="65" t="s">
        <v>95</v>
      </c>
      <c r="G342" s="73">
        <v>53</v>
      </c>
      <c r="H342" s="74">
        <v>79</v>
      </c>
      <c r="I342" s="77">
        <f t="shared" si="10"/>
        <v>42.328044010007609</v>
      </c>
      <c r="J342" s="77">
        <v>19.200000762939453</v>
      </c>
      <c r="K342" s="77">
        <f t="shared" si="11"/>
        <v>19.392000770568849</v>
      </c>
      <c r="L342" s="68" t="s">
        <v>283</v>
      </c>
    </row>
    <row r="343" spans="1:12" ht="13.5">
      <c r="A343" s="81" t="s">
        <v>72</v>
      </c>
      <c r="B343" s="65" t="s">
        <v>68</v>
      </c>
      <c r="C343" s="65" t="s">
        <v>62</v>
      </c>
      <c r="D343" s="66" t="s">
        <v>77</v>
      </c>
      <c r="E343" s="67"/>
      <c r="F343" s="65" t="s">
        <v>95</v>
      </c>
      <c r="G343" s="73">
        <v>54</v>
      </c>
      <c r="H343" s="74">
        <v>75</v>
      </c>
      <c r="I343" s="77">
        <f t="shared" si="10"/>
        <v>40.343913661950062</v>
      </c>
      <c r="J343" s="77">
        <v>18.299999237060547</v>
      </c>
      <c r="K343" s="77">
        <f t="shared" si="11"/>
        <v>18.482999229431151</v>
      </c>
      <c r="L343" s="68" t="s">
        <v>283</v>
      </c>
    </row>
    <row r="344" spans="1:12" ht="13.5">
      <c r="A344" s="81" t="s">
        <v>72</v>
      </c>
      <c r="B344" s="65" t="s">
        <v>68</v>
      </c>
      <c r="C344" s="65" t="s">
        <v>62</v>
      </c>
      <c r="D344" s="66" t="s">
        <v>77</v>
      </c>
      <c r="E344" s="67"/>
      <c r="F344" s="65" t="s">
        <v>95</v>
      </c>
      <c r="G344" s="73">
        <v>55</v>
      </c>
      <c r="H344" s="74">
        <v>72</v>
      </c>
      <c r="I344" s="77">
        <f t="shared" si="10"/>
        <v>38.800706308354776</v>
      </c>
      <c r="J344" s="77">
        <v>17.600000381469727</v>
      </c>
      <c r="K344" s="77">
        <f t="shared" si="11"/>
        <v>17.776000385284423</v>
      </c>
      <c r="L344" s="68" t="s">
        <v>283</v>
      </c>
    </row>
    <row r="345" spans="1:12" ht="13.5">
      <c r="A345" s="81" t="s">
        <v>72</v>
      </c>
      <c r="B345" s="65" t="s">
        <v>68</v>
      </c>
      <c r="C345" s="65" t="s">
        <v>62</v>
      </c>
      <c r="D345" s="66" t="s">
        <v>77</v>
      </c>
      <c r="E345" s="67"/>
      <c r="F345" s="65" t="s">
        <v>95</v>
      </c>
      <c r="G345" s="73">
        <v>56</v>
      </c>
      <c r="H345" s="74">
        <v>74</v>
      </c>
      <c r="I345" s="77">
        <f t="shared" si="10"/>
        <v>39.682539682539684</v>
      </c>
      <c r="J345" s="77">
        <v>18</v>
      </c>
      <c r="K345" s="77">
        <f t="shared" si="11"/>
        <v>18.18</v>
      </c>
      <c r="L345" s="68" t="s">
        <v>283</v>
      </c>
    </row>
    <row r="346" spans="1:12" ht="13.5">
      <c r="A346" s="81" t="s">
        <v>72</v>
      </c>
      <c r="B346" s="65" t="s">
        <v>68</v>
      </c>
      <c r="C346" s="65" t="s">
        <v>62</v>
      </c>
      <c r="D346" s="66" t="s">
        <v>77</v>
      </c>
      <c r="E346" s="67"/>
      <c r="F346" s="65" t="s">
        <v>95</v>
      </c>
      <c r="G346" s="73">
        <v>57</v>
      </c>
      <c r="H346" s="74">
        <v>72</v>
      </c>
      <c r="I346" s="77">
        <f t="shared" si="10"/>
        <v>38.580246913580247</v>
      </c>
      <c r="J346" s="77">
        <v>17.5</v>
      </c>
      <c r="K346" s="77">
        <f t="shared" si="11"/>
        <v>17.675000000000001</v>
      </c>
      <c r="L346" s="68" t="s">
        <v>283</v>
      </c>
    </row>
    <row r="347" spans="1:12" ht="13.5">
      <c r="A347" s="81" t="s">
        <v>72</v>
      </c>
      <c r="B347" s="65" t="s">
        <v>68</v>
      </c>
      <c r="C347" s="65" t="s">
        <v>62</v>
      </c>
      <c r="D347" s="66" t="s">
        <v>77</v>
      </c>
      <c r="E347" s="67"/>
      <c r="F347" s="65" t="s">
        <v>95</v>
      </c>
      <c r="G347" s="73">
        <v>58</v>
      </c>
      <c r="H347" s="74">
        <v>74</v>
      </c>
      <c r="I347" s="77">
        <f t="shared" si="10"/>
        <v>39.682539682539684</v>
      </c>
      <c r="J347" s="77">
        <v>18</v>
      </c>
      <c r="K347" s="77">
        <f t="shared" si="11"/>
        <v>18.18</v>
      </c>
      <c r="L347" s="68" t="s">
        <v>283</v>
      </c>
    </row>
    <row r="348" spans="1:12" ht="13.5">
      <c r="A348" s="81" t="s">
        <v>72</v>
      </c>
      <c r="B348" s="65" t="s">
        <v>68</v>
      </c>
      <c r="C348" s="65" t="s">
        <v>62</v>
      </c>
      <c r="D348" s="66" t="s">
        <v>77</v>
      </c>
      <c r="E348" s="67"/>
      <c r="F348" s="65" t="s">
        <v>95</v>
      </c>
      <c r="G348" s="73">
        <v>59</v>
      </c>
      <c r="H348" s="74">
        <v>73</v>
      </c>
      <c r="I348" s="77">
        <f t="shared" si="10"/>
        <v>39.462080287765154</v>
      </c>
      <c r="J348" s="77">
        <v>17.899999618530273</v>
      </c>
      <c r="K348" s="77">
        <f t="shared" si="11"/>
        <v>18.078999614715578</v>
      </c>
      <c r="L348" s="68" t="s">
        <v>283</v>
      </c>
    </row>
    <row r="349" spans="1:12" ht="13.5">
      <c r="A349" s="81" t="s">
        <v>72</v>
      </c>
      <c r="B349" s="65" t="s">
        <v>68</v>
      </c>
      <c r="C349" s="65" t="s">
        <v>62</v>
      </c>
      <c r="D349" s="66" t="s">
        <v>77</v>
      </c>
      <c r="E349" s="67"/>
      <c r="F349" s="65" t="s">
        <v>95</v>
      </c>
      <c r="G349" s="73">
        <v>60</v>
      </c>
      <c r="H349" s="74">
        <v>75</v>
      </c>
      <c r="I349" s="77">
        <f t="shared" si="10"/>
        <v>40.564373056724591</v>
      </c>
      <c r="J349" s="77">
        <v>18.399999618530273</v>
      </c>
      <c r="K349" s="77">
        <f t="shared" si="11"/>
        <v>18.583999614715577</v>
      </c>
      <c r="L349" s="68" t="s">
        <v>283</v>
      </c>
    </row>
    <row r="350" spans="1:12" ht="13.5">
      <c r="A350" s="81" t="s">
        <v>72</v>
      </c>
      <c r="B350" s="65" t="s">
        <v>68</v>
      </c>
      <c r="C350" s="65" t="s">
        <v>62</v>
      </c>
      <c r="D350" s="66" t="s">
        <v>77</v>
      </c>
      <c r="E350" s="67"/>
      <c r="F350" s="65" t="s">
        <v>95</v>
      </c>
      <c r="G350" s="73">
        <v>61</v>
      </c>
      <c r="H350" s="74">
        <v>72</v>
      </c>
      <c r="I350" s="77">
        <f t="shared" si="10"/>
        <v>38.580246913580247</v>
      </c>
      <c r="J350" s="77">
        <v>17.5</v>
      </c>
      <c r="K350" s="77">
        <f t="shared" si="11"/>
        <v>17.675000000000001</v>
      </c>
      <c r="L350" s="68" t="s">
        <v>283</v>
      </c>
    </row>
    <row r="351" spans="1:12" ht="13.5">
      <c r="A351" s="81" t="s">
        <v>72</v>
      </c>
      <c r="B351" s="65" t="s">
        <v>68</v>
      </c>
      <c r="C351" s="65" t="s">
        <v>62</v>
      </c>
      <c r="D351" s="66" t="s">
        <v>77</v>
      </c>
      <c r="E351" s="67"/>
      <c r="F351" s="65" t="s">
        <v>95</v>
      </c>
      <c r="G351" s="73">
        <v>62</v>
      </c>
      <c r="H351" s="74">
        <v>73</v>
      </c>
      <c r="I351" s="77">
        <f t="shared" si="10"/>
        <v>39.462080287765154</v>
      </c>
      <c r="J351" s="77">
        <v>17.899999618530273</v>
      </c>
      <c r="K351" s="77">
        <f t="shared" si="11"/>
        <v>18.078999614715578</v>
      </c>
      <c r="L351" s="68" t="s">
        <v>283</v>
      </c>
    </row>
    <row r="352" spans="1:12" ht="13.5">
      <c r="A352" s="81"/>
      <c r="B352" s="65"/>
      <c r="C352" s="65"/>
      <c r="D352" s="66" t="s">
        <v>53</v>
      </c>
      <c r="E352" s="67"/>
      <c r="F352" s="65"/>
      <c r="G352" s="73">
        <v>62</v>
      </c>
      <c r="H352" s="74">
        <v>4509</v>
      </c>
      <c r="I352" s="77">
        <f t="shared" si="10"/>
        <v>2428.3509742225497</v>
      </c>
      <c r="J352" s="77">
        <v>1101.5000019073486</v>
      </c>
      <c r="K352" s="77">
        <f t="shared" si="11"/>
        <v>1112.5150019264222</v>
      </c>
      <c r="L352" s="68" t="s">
        <v>283</v>
      </c>
    </row>
    <row r="353" spans="1:12" ht="13.5">
      <c r="A353" s="81"/>
      <c r="B353" s="65"/>
      <c r="C353" s="65"/>
      <c r="D353" s="66" t="s">
        <v>76</v>
      </c>
      <c r="E353" s="67"/>
      <c r="F353" s="65"/>
      <c r="G353" s="73">
        <f>+G352+G289</f>
        <v>109</v>
      </c>
      <c r="H353" s="74">
        <f>+H352+H289</f>
        <v>7840</v>
      </c>
      <c r="I353" s="77">
        <f t="shared" si="10"/>
        <v>4278.4391635309448</v>
      </c>
      <c r="J353" s="77">
        <f>+J352+J289</f>
        <v>1940.7000045776367</v>
      </c>
      <c r="K353" s="77">
        <f t="shared" si="11"/>
        <v>1960.1070046234131</v>
      </c>
      <c r="L353" s="68" t="s">
        <v>283</v>
      </c>
    </row>
    <row r="354" spans="1:12" ht="13.5">
      <c r="A354" s="81" t="s">
        <v>72</v>
      </c>
      <c r="B354" s="65" t="s">
        <v>68</v>
      </c>
      <c r="C354" s="65" t="s">
        <v>62</v>
      </c>
      <c r="D354" s="66" t="s">
        <v>78</v>
      </c>
      <c r="E354" s="67"/>
      <c r="F354" s="65" t="s">
        <v>96</v>
      </c>
      <c r="G354" s="73">
        <v>1</v>
      </c>
      <c r="H354" s="74">
        <v>68</v>
      </c>
      <c r="I354" s="77">
        <f t="shared" si="10"/>
        <v>36.816580165210432</v>
      </c>
      <c r="J354" s="77">
        <v>16.700000762939453</v>
      </c>
      <c r="K354" s="77">
        <f t="shared" si="11"/>
        <v>16.867000770568847</v>
      </c>
      <c r="L354" s="68" t="s">
        <v>283</v>
      </c>
    </row>
    <row r="355" spans="1:12" ht="13.5">
      <c r="A355" s="81" t="s">
        <v>72</v>
      </c>
      <c r="B355" s="65" t="s">
        <v>68</v>
      </c>
      <c r="C355" s="65" t="s">
        <v>62</v>
      </c>
      <c r="D355" s="66" t="s">
        <v>78</v>
      </c>
      <c r="E355" s="67"/>
      <c r="F355" s="65" t="s">
        <v>96</v>
      </c>
      <c r="G355" s="73">
        <v>2</v>
      </c>
      <c r="H355" s="74">
        <v>72</v>
      </c>
      <c r="I355" s="77">
        <f t="shared" si="10"/>
        <v>38.580246913580247</v>
      </c>
      <c r="J355" s="77">
        <v>17.5</v>
      </c>
      <c r="K355" s="77">
        <f t="shared" si="11"/>
        <v>17.675000000000001</v>
      </c>
      <c r="L355" s="68" t="s">
        <v>283</v>
      </c>
    </row>
    <row r="356" spans="1:12" ht="13.5">
      <c r="A356" s="81" t="s">
        <v>72</v>
      </c>
      <c r="B356" s="65" t="s">
        <v>68</v>
      </c>
      <c r="C356" s="65" t="s">
        <v>62</v>
      </c>
      <c r="D356" s="66" t="s">
        <v>78</v>
      </c>
      <c r="E356" s="67"/>
      <c r="F356" s="65" t="s">
        <v>96</v>
      </c>
      <c r="G356" s="73">
        <v>3</v>
      </c>
      <c r="H356" s="74">
        <v>69</v>
      </c>
      <c r="I356" s="77">
        <f t="shared" si="10"/>
        <v>37.037035355071751</v>
      </c>
      <c r="J356" s="77">
        <v>16.799999237060547</v>
      </c>
      <c r="K356" s="77">
        <f t="shared" si="11"/>
        <v>16.967999229431154</v>
      </c>
      <c r="L356" s="68" t="s">
        <v>283</v>
      </c>
    </row>
    <row r="357" spans="1:12" ht="13.5">
      <c r="A357" s="81" t="s">
        <v>72</v>
      </c>
      <c r="B357" s="65" t="s">
        <v>68</v>
      </c>
      <c r="C357" s="65" t="s">
        <v>62</v>
      </c>
      <c r="D357" s="66" t="s">
        <v>78</v>
      </c>
      <c r="E357" s="67"/>
      <c r="F357" s="65" t="s">
        <v>96</v>
      </c>
      <c r="G357" s="73">
        <v>4</v>
      </c>
      <c r="H357" s="74">
        <v>69</v>
      </c>
      <c r="I357" s="77">
        <f t="shared" si="10"/>
        <v>37.037035355071751</v>
      </c>
      <c r="J357" s="77">
        <v>16.799999237060547</v>
      </c>
      <c r="K357" s="77">
        <f t="shared" si="11"/>
        <v>16.967999229431154</v>
      </c>
      <c r="L357" s="68" t="s">
        <v>283</v>
      </c>
    </row>
    <row r="358" spans="1:12" ht="13.5">
      <c r="A358" s="81" t="s">
        <v>72</v>
      </c>
      <c r="B358" s="65" t="s">
        <v>68</v>
      </c>
      <c r="C358" s="65" t="s">
        <v>62</v>
      </c>
      <c r="D358" s="66" t="s">
        <v>78</v>
      </c>
      <c r="E358" s="67"/>
      <c r="F358" s="65" t="s">
        <v>96</v>
      </c>
      <c r="G358" s="73">
        <v>5</v>
      </c>
      <c r="H358" s="74">
        <v>68</v>
      </c>
      <c r="I358" s="77">
        <f t="shared" si="10"/>
        <v>36.816580165210432</v>
      </c>
      <c r="J358" s="77">
        <v>16.700000762939453</v>
      </c>
      <c r="K358" s="77">
        <f t="shared" si="11"/>
        <v>16.867000770568847</v>
      </c>
      <c r="L358" s="68" t="s">
        <v>283</v>
      </c>
    </row>
    <row r="359" spans="1:12" ht="13.5">
      <c r="A359" s="81" t="s">
        <v>72</v>
      </c>
      <c r="B359" s="65" t="s">
        <v>68</v>
      </c>
      <c r="C359" s="65" t="s">
        <v>62</v>
      </c>
      <c r="D359" s="66" t="s">
        <v>78</v>
      </c>
      <c r="E359" s="67"/>
      <c r="F359" s="65" t="s">
        <v>96</v>
      </c>
      <c r="G359" s="73">
        <v>6</v>
      </c>
      <c r="H359" s="74">
        <v>69</v>
      </c>
      <c r="I359" s="77">
        <f t="shared" si="10"/>
        <v>37.257494749846281</v>
      </c>
      <c r="J359" s="77">
        <v>16.899999618530273</v>
      </c>
      <c r="K359" s="77">
        <f t="shared" si="11"/>
        <v>17.068999614715576</v>
      </c>
      <c r="L359" s="68" t="s">
        <v>283</v>
      </c>
    </row>
    <row r="360" spans="1:12" ht="13.5">
      <c r="A360" s="81" t="s">
        <v>72</v>
      </c>
      <c r="B360" s="65" t="s">
        <v>68</v>
      </c>
      <c r="C360" s="65" t="s">
        <v>62</v>
      </c>
      <c r="D360" s="66" t="s">
        <v>78</v>
      </c>
      <c r="E360" s="67"/>
      <c r="F360" s="65" t="s">
        <v>96</v>
      </c>
      <c r="G360" s="73">
        <v>7</v>
      </c>
      <c r="H360" s="74">
        <v>69</v>
      </c>
      <c r="I360" s="77">
        <f t="shared" si="10"/>
        <v>37.257494749846281</v>
      </c>
      <c r="J360" s="77">
        <v>16.899999618530273</v>
      </c>
      <c r="K360" s="77">
        <f t="shared" si="11"/>
        <v>17.068999614715576</v>
      </c>
      <c r="L360" s="68" t="s">
        <v>283</v>
      </c>
    </row>
    <row r="361" spans="1:12" ht="13.5">
      <c r="A361" s="81" t="s">
        <v>72</v>
      </c>
      <c r="B361" s="65" t="s">
        <v>68</v>
      </c>
      <c r="C361" s="65" t="s">
        <v>62</v>
      </c>
      <c r="D361" s="66" t="s">
        <v>78</v>
      </c>
      <c r="E361" s="67"/>
      <c r="F361" s="65" t="s">
        <v>96</v>
      </c>
      <c r="G361" s="73">
        <v>8</v>
      </c>
      <c r="H361" s="74">
        <v>68</v>
      </c>
      <c r="I361" s="77">
        <f t="shared" si="10"/>
        <v>36.816580165210432</v>
      </c>
      <c r="J361" s="77">
        <v>16.700000762939453</v>
      </c>
      <c r="K361" s="77">
        <f t="shared" si="11"/>
        <v>16.867000770568847</v>
      </c>
      <c r="L361" s="68" t="s">
        <v>283</v>
      </c>
    </row>
    <row r="362" spans="1:12" ht="13.5">
      <c r="A362" s="81" t="s">
        <v>72</v>
      </c>
      <c r="B362" s="65" t="s">
        <v>68</v>
      </c>
      <c r="C362" s="65" t="s">
        <v>62</v>
      </c>
      <c r="D362" s="66" t="s">
        <v>78</v>
      </c>
      <c r="E362" s="67"/>
      <c r="F362" s="65" t="s">
        <v>96</v>
      </c>
      <c r="G362" s="73">
        <v>9</v>
      </c>
      <c r="H362" s="74">
        <v>69</v>
      </c>
      <c r="I362" s="77">
        <f t="shared" si="10"/>
        <v>37.037035355071751</v>
      </c>
      <c r="J362" s="77">
        <v>16.799999237060547</v>
      </c>
      <c r="K362" s="77">
        <f t="shared" si="11"/>
        <v>16.967999229431154</v>
      </c>
      <c r="L362" s="68" t="s">
        <v>283</v>
      </c>
    </row>
    <row r="363" spans="1:12" ht="13.5">
      <c r="A363" s="81" t="s">
        <v>72</v>
      </c>
      <c r="B363" s="65" t="s">
        <v>68</v>
      </c>
      <c r="C363" s="65" t="s">
        <v>62</v>
      </c>
      <c r="D363" s="66" t="s">
        <v>78</v>
      </c>
      <c r="E363" s="67"/>
      <c r="F363" s="65" t="s">
        <v>96</v>
      </c>
      <c r="G363" s="73">
        <v>10</v>
      </c>
      <c r="H363" s="74">
        <v>70</v>
      </c>
      <c r="I363" s="77">
        <f t="shared" si="10"/>
        <v>37.47795414462081</v>
      </c>
      <c r="J363" s="77">
        <v>17</v>
      </c>
      <c r="K363" s="77">
        <f t="shared" si="11"/>
        <v>17.170000000000002</v>
      </c>
      <c r="L363" s="68" t="s">
        <v>283</v>
      </c>
    </row>
    <row r="364" spans="1:12" ht="13.5">
      <c r="A364" s="81" t="s">
        <v>72</v>
      </c>
      <c r="B364" s="65" t="s">
        <v>68</v>
      </c>
      <c r="C364" s="65" t="s">
        <v>62</v>
      </c>
      <c r="D364" s="66" t="s">
        <v>78</v>
      </c>
      <c r="E364" s="67"/>
      <c r="F364" s="65" t="s">
        <v>96</v>
      </c>
      <c r="G364" s="73">
        <v>11</v>
      </c>
      <c r="H364" s="74">
        <v>68</v>
      </c>
      <c r="I364" s="77">
        <f t="shared" si="10"/>
        <v>36.375661375661373</v>
      </c>
      <c r="J364" s="77">
        <v>16.5</v>
      </c>
      <c r="K364" s="77">
        <f t="shared" si="11"/>
        <v>16.664999999999999</v>
      </c>
      <c r="L364" s="68" t="s">
        <v>283</v>
      </c>
    </row>
    <row r="365" spans="1:12" ht="13.5">
      <c r="A365" s="81" t="s">
        <v>72</v>
      </c>
      <c r="B365" s="65" t="s">
        <v>68</v>
      </c>
      <c r="C365" s="65" t="s">
        <v>62</v>
      </c>
      <c r="D365" s="66" t="s">
        <v>78</v>
      </c>
      <c r="E365" s="67"/>
      <c r="F365" s="65" t="s">
        <v>96</v>
      </c>
      <c r="G365" s="73">
        <v>12</v>
      </c>
      <c r="H365" s="74">
        <v>69</v>
      </c>
      <c r="I365" s="77">
        <f t="shared" si="10"/>
        <v>37.037035355071751</v>
      </c>
      <c r="J365" s="77">
        <v>16.799999237060547</v>
      </c>
      <c r="K365" s="77">
        <f t="shared" si="11"/>
        <v>16.967999229431154</v>
      </c>
      <c r="L365" s="68" t="s">
        <v>283</v>
      </c>
    </row>
    <row r="366" spans="1:12" ht="13.5">
      <c r="A366" s="81" t="s">
        <v>72</v>
      </c>
      <c r="B366" s="65" t="s">
        <v>68</v>
      </c>
      <c r="C366" s="65" t="s">
        <v>62</v>
      </c>
      <c r="D366" s="66" t="s">
        <v>78</v>
      </c>
      <c r="E366" s="67"/>
      <c r="F366" s="65" t="s">
        <v>96</v>
      </c>
      <c r="G366" s="73">
        <v>13</v>
      </c>
      <c r="H366" s="74">
        <v>69</v>
      </c>
      <c r="I366" s="77">
        <f t="shared" si="10"/>
        <v>37.037035355071751</v>
      </c>
      <c r="J366" s="77">
        <v>16.799999237060547</v>
      </c>
      <c r="K366" s="77">
        <f t="shared" si="11"/>
        <v>16.967999229431154</v>
      </c>
      <c r="L366" s="68" t="s">
        <v>283</v>
      </c>
    </row>
    <row r="367" spans="1:12" ht="13.5">
      <c r="A367" s="81" t="s">
        <v>72</v>
      </c>
      <c r="B367" s="65" t="s">
        <v>68</v>
      </c>
      <c r="C367" s="65" t="s">
        <v>62</v>
      </c>
      <c r="D367" s="66" t="s">
        <v>78</v>
      </c>
      <c r="E367" s="67"/>
      <c r="F367" s="65" t="s">
        <v>96</v>
      </c>
      <c r="G367" s="73">
        <v>14</v>
      </c>
      <c r="H367" s="74">
        <v>69</v>
      </c>
      <c r="I367" s="77">
        <f t="shared" si="10"/>
        <v>37.037035355071751</v>
      </c>
      <c r="J367" s="77">
        <v>16.799999237060547</v>
      </c>
      <c r="K367" s="77">
        <f t="shared" si="11"/>
        <v>16.967999229431154</v>
      </c>
      <c r="L367" s="68" t="s">
        <v>283</v>
      </c>
    </row>
    <row r="368" spans="1:12" ht="13.5">
      <c r="A368" s="81" t="s">
        <v>72</v>
      </c>
      <c r="B368" s="65" t="s">
        <v>68</v>
      </c>
      <c r="C368" s="65" t="s">
        <v>62</v>
      </c>
      <c r="D368" s="66" t="s">
        <v>78</v>
      </c>
      <c r="E368" s="67"/>
      <c r="F368" s="65" t="s">
        <v>96</v>
      </c>
      <c r="G368" s="73">
        <v>15</v>
      </c>
      <c r="H368" s="74">
        <v>69</v>
      </c>
      <c r="I368" s="77">
        <f t="shared" si="10"/>
        <v>37.037035355071751</v>
      </c>
      <c r="J368" s="77">
        <v>16.799999237060547</v>
      </c>
      <c r="K368" s="77">
        <f t="shared" si="11"/>
        <v>16.967999229431154</v>
      </c>
      <c r="L368" s="68" t="s">
        <v>283</v>
      </c>
    </row>
    <row r="369" spans="1:12" ht="13.5">
      <c r="A369" s="81" t="s">
        <v>72</v>
      </c>
      <c r="B369" s="65" t="s">
        <v>68</v>
      </c>
      <c r="C369" s="65" t="s">
        <v>62</v>
      </c>
      <c r="D369" s="66" t="s">
        <v>78</v>
      </c>
      <c r="E369" s="67"/>
      <c r="F369" s="65" t="s">
        <v>96</v>
      </c>
      <c r="G369" s="73">
        <v>16</v>
      </c>
      <c r="H369" s="74">
        <v>70</v>
      </c>
      <c r="I369" s="77">
        <f t="shared" si="10"/>
        <v>37.918872934169869</v>
      </c>
      <c r="J369" s="77">
        <v>17.200000762939453</v>
      </c>
      <c r="K369" s="77">
        <f t="shared" si="11"/>
        <v>17.37200077056885</v>
      </c>
      <c r="L369" s="68" t="s">
        <v>283</v>
      </c>
    </row>
    <row r="370" spans="1:12" ht="13.5">
      <c r="A370" s="81" t="s">
        <v>72</v>
      </c>
      <c r="B370" s="65" t="s">
        <v>68</v>
      </c>
      <c r="C370" s="65" t="s">
        <v>62</v>
      </c>
      <c r="D370" s="66" t="s">
        <v>78</v>
      </c>
      <c r="E370" s="67"/>
      <c r="F370" s="65" t="s">
        <v>96</v>
      </c>
      <c r="G370" s="73">
        <v>17</v>
      </c>
      <c r="H370" s="74">
        <v>69</v>
      </c>
      <c r="I370" s="77">
        <f t="shared" si="10"/>
        <v>37.037035355071751</v>
      </c>
      <c r="J370" s="77">
        <v>16.799999237060547</v>
      </c>
      <c r="K370" s="77">
        <f t="shared" si="11"/>
        <v>16.967999229431154</v>
      </c>
      <c r="L370" s="68" t="s">
        <v>283</v>
      </c>
    </row>
    <row r="371" spans="1:12" ht="13.5">
      <c r="A371" s="81" t="s">
        <v>72</v>
      </c>
      <c r="B371" s="65" t="s">
        <v>68</v>
      </c>
      <c r="C371" s="65" t="s">
        <v>62</v>
      </c>
      <c r="D371" s="66" t="s">
        <v>78</v>
      </c>
      <c r="E371" s="67"/>
      <c r="F371" s="65" t="s">
        <v>96</v>
      </c>
      <c r="G371" s="73">
        <v>18</v>
      </c>
      <c r="H371" s="74">
        <v>70</v>
      </c>
      <c r="I371" s="77">
        <f t="shared" ref="I371:I434" si="12">+J371/0.4536</f>
        <v>37.918872934169869</v>
      </c>
      <c r="J371" s="77">
        <v>17.200000762939453</v>
      </c>
      <c r="K371" s="77">
        <f t="shared" ref="K371:K434" si="13">+J371*1.01</f>
        <v>17.37200077056885</v>
      </c>
      <c r="L371" s="68" t="s">
        <v>283</v>
      </c>
    </row>
    <row r="372" spans="1:12" ht="13.5">
      <c r="A372" s="81" t="s">
        <v>72</v>
      </c>
      <c r="B372" s="65" t="s">
        <v>68</v>
      </c>
      <c r="C372" s="65" t="s">
        <v>62</v>
      </c>
      <c r="D372" s="66" t="s">
        <v>78</v>
      </c>
      <c r="E372" s="67"/>
      <c r="F372" s="65" t="s">
        <v>96</v>
      </c>
      <c r="G372" s="73">
        <v>19</v>
      </c>
      <c r="H372" s="74">
        <v>69</v>
      </c>
      <c r="I372" s="77">
        <f t="shared" si="12"/>
        <v>37.037035355071751</v>
      </c>
      <c r="J372" s="77">
        <v>16.799999237060547</v>
      </c>
      <c r="K372" s="77">
        <f t="shared" si="13"/>
        <v>16.967999229431154</v>
      </c>
      <c r="L372" s="68" t="s">
        <v>283</v>
      </c>
    </row>
    <row r="373" spans="1:12" ht="13.5">
      <c r="A373" s="81" t="s">
        <v>72</v>
      </c>
      <c r="B373" s="65" t="s">
        <v>68</v>
      </c>
      <c r="C373" s="65" t="s">
        <v>62</v>
      </c>
      <c r="D373" s="66" t="s">
        <v>78</v>
      </c>
      <c r="E373" s="67"/>
      <c r="F373" s="65" t="s">
        <v>96</v>
      </c>
      <c r="G373" s="73">
        <v>20</v>
      </c>
      <c r="H373" s="74">
        <v>70</v>
      </c>
      <c r="I373" s="77">
        <f t="shared" si="12"/>
        <v>37.698413539395339</v>
      </c>
      <c r="J373" s="77">
        <v>17.100000381469727</v>
      </c>
      <c r="K373" s="77">
        <f t="shared" si="13"/>
        <v>17.271000385284424</v>
      </c>
      <c r="L373" s="68" t="s">
        <v>283</v>
      </c>
    </row>
    <row r="374" spans="1:12" ht="13.5">
      <c r="A374" s="81" t="s">
        <v>72</v>
      </c>
      <c r="B374" s="65" t="s">
        <v>68</v>
      </c>
      <c r="C374" s="65" t="s">
        <v>62</v>
      </c>
      <c r="D374" s="66" t="s">
        <v>78</v>
      </c>
      <c r="E374" s="67"/>
      <c r="F374" s="65" t="s">
        <v>96</v>
      </c>
      <c r="G374" s="73">
        <v>21</v>
      </c>
      <c r="H374" s="74">
        <v>68</v>
      </c>
      <c r="I374" s="77">
        <f t="shared" si="12"/>
        <v>36.816580165210432</v>
      </c>
      <c r="J374" s="77">
        <v>16.700000762939453</v>
      </c>
      <c r="K374" s="77">
        <f t="shared" si="13"/>
        <v>16.867000770568847</v>
      </c>
      <c r="L374" s="68" t="s">
        <v>283</v>
      </c>
    </row>
    <row r="375" spans="1:12" ht="13.5">
      <c r="A375" s="81" t="s">
        <v>72</v>
      </c>
      <c r="B375" s="65" t="s">
        <v>68</v>
      </c>
      <c r="C375" s="65" t="s">
        <v>62</v>
      </c>
      <c r="D375" s="66" t="s">
        <v>78</v>
      </c>
      <c r="E375" s="67"/>
      <c r="F375" s="65" t="s">
        <v>96</v>
      </c>
      <c r="G375" s="73">
        <v>22</v>
      </c>
      <c r="H375" s="74">
        <v>68</v>
      </c>
      <c r="I375" s="77">
        <f t="shared" si="12"/>
        <v>36.596120770435903</v>
      </c>
      <c r="J375" s="77">
        <v>16.600000381469727</v>
      </c>
      <c r="K375" s="77">
        <f t="shared" si="13"/>
        <v>16.766000385284425</v>
      </c>
      <c r="L375" s="68" t="s">
        <v>283</v>
      </c>
    </row>
    <row r="376" spans="1:12" ht="13.5">
      <c r="A376" s="81" t="s">
        <v>72</v>
      </c>
      <c r="B376" s="65" t="s">
        <v>68</v>
      </c>
      <c r="C376" s="65" t="s">
        <v>62</v>
      </c>
      <c r="D376" s="66" t="s">
        <v>78</v>
      </c>
      <c r="E376" s="67"/>
      <c r="F376" s="65" t="s">
        <v>96</v>
      </c>
      <c r="G376" s="73">
        <v>23</v>
      </c>
      <c r="H376" s="74">
        <v>68</v>
      </c>
      <c r="I376" s="77">
        <f t="shared" si="12"/>
        <v>36.375661375661373</v>
      </c>
      <c r="J376" s="77">
        <v>16.5</v>
      </c>
      <c r="K376" s="77">
        <f t="shared" si="13"/>
        <v>16.664999999999999</v>
      </c>
      <c r="L376" s="68" t="s">
        <v>283</v>
      </c>
    </row>
    <row r="377" spans="1:12" ht="13.5">
      <c r="A377" s="81" t="s">
        <v>72</v>
      </c>
      <c r="B377" s="65" t="s">
        <v>68</v>
      </c>
      <c r="C377" s="65" t="s">
        <v>62</v>
      </c>
      <c r="D377" s="66" t="s">
        <v>78</v>
      </c>
      <c r="E377" s="67"/>
      <c r="F377" s="65" t="s">
        <v>96</v>
      </c>
      <c r="G377" s="73">
        <v>24</v>
      </c>
      <c r="H377" s="74">
        <v>70</v>
      </c>
      <c r="I377" s="77">
        <f t="shared" si="12"/>
        <v>37.698413539395339</v>
      </c>
      <c r="J377" s="77">
        <v>17.100000381469727</v>
      </c>
      <c r="K377" s="77">
        <f t="shared" si="13"/>
        <v>17.271000385284424</v>
      </c>
      <c r="L377" s="68" t="s">
        <v>283</v>
      </c>
    </row>
    <row r="378" spans="1:12" ht="13.5">
      <c r="A378" s="81" t="s">
        <v>72</v>
      </c>
      <c r="B378" s="65" t="s">
        <v>68</v>
      </c>
      <c r="C378" s="65" t="s">
        <v>62</v>
      </c>
      <c r="D378" s="66" t="s">
        <v>78</v>
      </c>
      <c r="E378" s="67"/>
      <c r="F378" s="65" t="s">
        <v>96</v>
      </c>
      <c r="G378" s="73">
        <v>25</v>
      </c>
      <c r="H378" s="74">
        <v>69</v>
      </c>
      <c r="I378" s="77">
        <f t="shared" si="12"/>
        <v>37.037035355071751</v>
      </c>
      <c r="J378" s="77">
        <v>16.799999237060547</v>
      </c>
      <c r="K378" s="77">
        <f t="shared" si="13"/>
        <v>16.967999229431154</v>
      </c>
      <c r="L378" s="68" t="s">
        <v>283</v>
      </c>
    </row>
    <row r="379" spans="1:12" ht="13.5">
      <c r="A379" s="81" t="s">
        <v>72</v>
      </c>
      <c r="B379" s="65" t="s">
        <v>68</v>
      </c>
      <c r="C379" s="65" t="s">
        <v>62</v>
      </c>
      <c r="D379" s="66" t="s">
        <v>78</v>
      </c>
      <c r="E379" s="67"/>
      <c r="F379" s="65" t="s">
        <v>96</v>
      </c>
      <c r="G379" s="73">
        <v>26</v>
      </c>
      <c r="H379" s="74">
        <v>69</v>
      </c>
      <c r="I379" s="77">
        <f t="shared" si="12"/>
        <v>37.037035355071751</v>
      </c>
      <c r="J379" s="77">
        <v>16.799999237060547</v>
      </c>
      <c r="K379" s="77">
        <f t="shared" si="13"/>
        <v>16.967999229431154</v>
      </c>
      <c r="L379" s="68" t="s">
        <v>283</v>
      </c>
    </row>
    <row r="380" spans="1:12" ht="13.5">
      <c r="A380" s="81" t="s">
        <v>72</v>
      </c>
      <c r="B380" s="65" t="s">
        <v>68</v>
      </c>
      <c r="C380" s="65" t="s">
        <v>62</v>
      </c>
      <c r="D380" s="66" t="s">
        <v>78</v>
      </c>
      <c r="E380" s="67"/>
      <c r="F380" s="65" t="s">
        <v>96</v>
      </c>
      <c r="G380" s="73">
        <v>27</v>
      </c>
      <c r="H380" s="74">
        <v>69</v>
      </c>
      <c r="I380" s="77">
        <f t="shared" si="12"/>
        <v>37.257494749846281</v>
      </c>
      <c r="J380" s="77">
        <v>16.899999618530273</v>
      </c>
      <c r="K380" s="77">
        <f t="shared" si="13"/>
        <v>17.068999614715576</v>
      </c>
      <c r="L380" s="68" t="s">
        <v>283</v>
      </c>
    </row>
    <row r="381" spans="1:12" ht="13.5">
      <c r="A381" s="81" t="s">
        <v>72</v>
      </c>
      <c r="B381" s="65" t="s">
        <v>68</v>
      </c>
      <c r="C381" s="65" t="s">
        <v>62</v>
      </c>
      <c r="D381" s="66" t="s">
        <v>78</v>
      </c>
      <c r="E381" s="67"/>
      <c r="F381" s="65" t="s">
        <v>96</v>
      </c>
      <c r="G381" s="73">
        <v>28</v>
      </c>
      <c r="H381" s="74">
        <v>70</v>
      </c>
      <c r="I381" s="77">
        <f t="shared" si="12"/>
        <v>37.47795414462081</v>
      </c>
      <c r="J381" s="77">
        <v>17</v>
      </c>
      <c r="K381" s="77">
        <f t="shared" si="13"/>
        <v>17.170000000000002</v>
      </c>
      <c r="L381" s="68" t="s">
        <v>283</v>
      </c>
    </row>
    <row r="382" spans="1:12" ht="13.5">
      <c r="A382" s="81" t="s">
        <v>72</v>
      </c>
      <c r="B382" s="65" t="s">
        <v>68</v>
      </c>
      <c r="C382" s="65" t="s">
        <v>62</v>
      </c>
      <c r="D382" s="66" t="s">
        <v>78</v>
      </c>
      <c r="E382" s="67"/>
      <c r="F382" s="65" t="s">
        <v>96</v>
      </c>
      <c r="G382" s="73">
        <v>29</v>
      </c>
      <c r="H382" s="74">
        <v>68</v>
      </c>
      <c r="I382" s="77">
        <f t="shared" si="12"/>
        <v>36.816580165210432</v>
      </c>
      <c r="J382" s="77">
        <v>16.700000762939453</v>
      </c>
      <c r="K382" s="77">
        <f t="shared" si="13"/>
        <v>16.867000770568847</v>
      </c>
      <c r="L382" s="68" t="s">
        <v>283</v>
      </c>
    </row>
    <row r="383" spans="1:12" ht="13.5">
      <c r="A383" s="81" t="s">
        <v>72</v>
      </c>
      <c r="B383" s="65" t="s">
        <v>68</v>
      </c>
      <c r="C383" s="65" t="s">
        <v>62</v>
      </c>
      <c r="D383" s="66" t="s">
        <v>78</v>
      </c>
      <c r="E383" s="67"/>
      <c r="F383" s="65" t="s">
        <v>96</v>
      </c>
      <c r="G383" s="73">
        <v>30</v>
      </c>
      <c r="H383" s="74">
        <v>69</v>
      </c>
      <c r="I383" s="77">
        <f t="shared" si="12"/>
        <v>37.257494749846281</v>
      </c>
      <c r="J383" s="77">
        <v>16.899999618530273</v>
      </c>
      <c r="K383" s="77">
        <f t="shared" si="13"/>
        <v>17.068999614715576</v>
      </c>
      <c r="L383" s="68" t="s">
        <v>283</v>
      </c>
    </row>
    <row r="384" spans="1:12" ht="13.5">
      <c r="A384" s="81" t="s">
        <v>72</v>
      </c>
      <c r="B384" s="65" t="s">
        <v>68</v>
      </c>
      <c r="C384" s="65" t="s">
        <v>62</v>
      </c>
      <c r="D384" s="66" t="s">
        <v>78</v>
      </c>
      <c r="E384" s="67"/>
      <c r="F384" s="65" t="s">
        <v>96</v>
      </c>
      <c r="G384" s="73">
        <v>31</v>
      </c>
      <c r="H384" s="74">
        <v>72</v>
      </c>
      <c r="I384" s="77">
        <f t="shared" si="12"/>
        <v>38.580246913580247</v>
      </c>
      <c r="J384" s="77">
        <v>17.5</v>
      </c>
      <c r="K384" s="77">
        <f t="shared" si="13"/>
        <v>17.675000000000001</v>
      </c>
      <c r="L384" s="68" t="s">
        <v>283</v>
      </c>
    </row>
    <row r="385" spans="1:12" ht="13.5">
      <c r="A385" s="81" t="s">
        <v>72</v>
      </c>
      <c r="B385" s="65" t="s">
        <v>68</v>
      </c>
      <c r="C385" s="65" t="s">
        <v>62</v>
      </c>
      <c r="D385" s="66" t="s">
        <v>78</v>
      </c>
      <c r="E385" s="67"/>
      <c r="F385" s="65" t="s">
        <v>96</v>
      </c>
      <c r="G385" s="73">
        <v>32</v>
      </c>
      <c r="H385" s="74">
        <v>69</v>
      </c>
      <c r="I385" s="77">
        <f t="shared" si="12"/>
        <v>37.037035355071751</v>
      </c>
      <c r="J385" s="77">
        <v>16.799999237060547</v>
      </c>
      <c r="K385" s="77">
        <f t="shared" si="13"/>
        <v>16.967999229431154</v>
      </c>
      <c r="L385" s="68" t="s">
        <v>283</v>
      </c>
    </row>
    <row r="386" spans="1:12" ht="13.5">
      <c r="A386" s="81"/>
      <c r="B386" s="65"/>
      <c r="C386" s="65"/>
      <c r="D386" s="66" t="s">
        <v>53</v>
      </c>
      <c r="E386" s="67"/>
      <c r="F386" s="65"/>
      <c r="G386" s="73">
        <v>32</v>
      </c>
      <c r="H386" s="74">
        <v>2212</v>
      </c>
      <c r="I386" s="77">
        <f t="shared" si="12"/>
        <v>1190.2557226715894</v>
      </c>
      <c r="J386" s="77">
        <v>539.89999580383301</v>
      </c>
      <c r="K386" s="77">
        <f t="shared" si="13"/>
        <v>545.29899576187131</v>
      </c>
      <c r="L386" s="68" t="s">
        <v>283</v>
      </c>
    </row>
    <row r="387" spans="1:12" ht="13.5">
      <c r="A387" s="81" t="s">
        <v>72</v>
      </c>
      <c r="B387" s="65" t="s">
        <v>68</v>
      </c>
      <c r="C387" s="65" t="s">
        <v>62</v>
      </c>
      <c r="D387" s="66" t="s">
        <v>78</v>
      </c>
      <c r="E387" s="67"/>
      <c r="F387" s="65" t="s">
        <v>97</v>
      </c>
      <c r="G387" s="73">
        <v>1</v>
      </c>
      <c r="H387" s="74">
        <v>69</v>
      </c>
      <c r="I387" s="77">
        <f t="shared" si="12"/>
        <v>37.257494749846281</v>
      </c>
      <c r="J387" s="77">
        <v>16.899999618530273</v>
      </c>
      <c r="K387" s="77">
        <f t="shared" si="13"/>
        <v>17.068999614715576</v>
      </c>
      <c r="L387" s="68" t="s">
        <v>283</v>
      </c>
    </row>
    <row r="388" spans="1:12" ht="13.5">
      <c r="A388" s="81" t="s">
        <v>72</v>
      </c>
      <c r="B388" s="65" t="s">
        <v>68</v>
      </c>
      <c r="C388" s="65" t="s">
        <v>62</v>
      </c>
      <c r="D388" s="66" t="s">
        <v>78</v>
      </c>
      <c r="E388" s="67"/>
      <c r="F388" s="65" t="s">
        <v>97</v>
      </c>
      <c r="G388" s="73">
        <v>2</v>
      </c>
      <c r="H388" s="74">
        <v>67</v>
      </c>
      <c r="I388" s="77">
        <f t="shared" si="12"/>
        <v>36.155201980886844</v>
      </c>
      <c r="J388" s="77">
        <v>16.399999618530273</v>
      </c>
      <c r="K388" s="77">
        <f t="shared" si="13"/>
        <v>16.563999614715577</v>
      </c>
      <c r="L388" s="68" t="s">
        <v>283</v>
      </c>
    </row>
    <row r="389" spans="1:12" ht="13.5">
      <c r="A389" s="81" t="s">
        <v>72</v>
      </c>
      <c r="B389" s="65" t="s">
        <v>68</v>
      </c>
      <c r="C389" s="65" t="s">
        <v>62</v>
      </c>
      <c r="D389" s="66" t="s">
        <v>78</v>
      </c>
      <c r="E389" s="67"/>
      <c r="F389" s="65" t="s">
        <v>97</v>
      </c>
      <c r="G389" s="73">
        <v>3</v>
      </c>
      <c r="H389" s="74">
        <v>68</v>
      </c>
      <c r="I389" s="77">
        <f t="shared" si="12"/>
        <v>36.816580165210432</v>
      </c>
      <c r="J389" s="77">
        <v>16.700000762939453</v>
      </c>
      <c r="K389" s="77">
        <f t="shared" si="13"/>
        <v>16.867000770568847</v>
      </c>
      <c r="L389" s="68" t="s">
        <v>283</v>
      </c>
    </row>
    <row r="390" spans="1:12" ht="13.5">
      <c r="A390" s="81" t="s">
        <v>72</v>
      </c>
      <c r="B390" s="65" t="s">
        <v>68</v>
      </c>
      <c r="C390" s="65" t="s">
        <v>62</v>
      </c>
      <c r="D390" s="66" t="s">
        <v>78</v>
      </c>
      <c r="E390" s="67"/>
      <c r="F390" s="65" t="s">
        <v>97</v>
      </c>
      <c r="G390" s="73">
        <v>4</v>
      </c>
      <c r="H390" s="74">
        <v>61</v>
      </c>
      <c r="I390" s="77">
        <f t="shared" si="12"/>
        <v>32.84832367400854</v>
      </c>
      <c r="J390" s="77">
        <v>14.899999618530273</v>
      </c>
      <c r="K390" s="77">
        <f t="shared" si="13"/>
        <v>15.048999614715576</v>
      </c>
      <c r="L390" s="68" t="s">
        <v>283</v>
      </c>
    </row>
    <row r="391" spans="1:12" ht="13.5">
      <c r="A391" s="81" t="s">
        <v>72</v>
      </c>
      <c r="B391" s="65" t="s">
        <v>68</v>
      </c>
      <c r="C391" s="65" t="s">
        <v>62</v>
      </c>
      <c r="D391" s="66" t="s">
        <v>78</v>
      </c>
      <c r="E391" s="67"/>
      <c r="F391" s="65" t="s">
        <v>97</v>
      </c>
      <c r="G391" s="73">
        <v>5</v>
      </c>
      <c r="H391" s="74">
        <v>68</v>
      </c>
      <c r="I391" s="77">
        <f t="shared" si="12"/>
        <v>36.816580165210432</v>
      </c>
      <c r="J391" s="77">
        <v>16.700000762939453</v>
      </c>
      <c r="K391" s="77">
        <f t="shared" si="13"/>
        <v>16.867000770568847</v>
      </c>
      <c r="L391" s="68" t="s">
        <v>283</v>
      </c>
    </row>
    <row r="392" spans="1:12" ht="13.5">
      <c r="A392" s="81" t="s">
        <v>72</v>
      </c>
      <c r="B392" s="65" t="s">
        <v>68</v>
      </c>
      <c r="C392" s="65" t="s">
        <v>62</v>
      </c>
      <c r="D392" s="66" t="s">
        <v>78</v>
      </c>
      <c r="E392" s="67"/>
      <c r="F392" s="65" t="s">
        <v>97</v>
      </c>
      <c r="G392" s="73">
        <v>6</v>
      </c>
      <c r="H392" s="74">
        <v>69</v>
      </c>
      <c r="I392" s="77">
        <f t="shared" si="12"/>
        <v>37.257494749846281</v>
      </c>
      <c r="J392" s="77">
        <v>16.899999618530273</v>
      </c>
      <c r="K392" s="77">
        <f t="shared" si="13"/>
        <v>17.068999614715576</v>
      </c>
      <c r="L392" s="68" t="s">
        <v>283</v>
      </c>
    </row>
    <row r="393" spans="1:12" ht="13.5">
      <c r="A393" s="81" t="s">
        <v>72</v>
      </c>
      <c r="B393" s="65" t="s">
        <v>68</v>
      </c>
      <c r="C393" s="65" t="s">
        <v>62</v>
      </c>
      <c r="D393" s="66" t="s">
        <v>78</v>
      </c>
      <c r="E393" s="67"/>
      <c r="F393" s="65" t="s">
        <v>97</v>
      </c>
      <c r="G393" s="73">
        <v>7</v>
      </c>
      <c r="H393" s="74">
        <v>70</v>
      </c>
      <c r="I393" s="77">
        <f t="shared" si="12"/>
        <v>37.47795414462081</v>
      </c>
      <c r="J393" s="77">
        <v>17</v>
      </c>
      <c r="K393" s="77">
        <f t="shared" si="13"/>
        <v>17.170000000000002</v>
      </c>
      <c r="L393" s="68" t="s">
        <v>283</v>
      </c>
    </row>
    <row r="394" spans="1:12" ht="13.5">
      <c r="A394" s="81" t="s">
        <v>72</v>
      </c>
      <c r="B394" s="65" t="s">
        <v>68</v>
      </c>
      <c r="C394" s="65" t="s">
        <v>62</v>
      </c>
      <c r="D394" s="66" t="s">
        <v>78</v>
      </c>
      <c r="E394" s="67"/>
      <c r="F394" s="65" t="s">
        <v>97</v>
      </c>
      <c r="G394" s="73">
        <v>8</v>
      </c>
      <c r="H394" s="74">
        <v>69</v>
      </c>
      <c r="I394" s="77">
        <f t="shared" si="12"/>
        <v>37.037035355071751</v>
      </c>
      <c r="J394" s="77">
        <v>16.799999237060547</v>
      </c>
      <c r="K394" s="77">
        <f t="shared" si="13"/>
        <v>16.967999229431154</v>
      </c>
      <c r="L394" s="68" t="s">
        <v>283</v>
      </c>
    </row>
    <row r="395" spans="1:12" ht="13.5">
      <c r="A395" s="81" t="s">
        <v>72</v>
      </c>
      <c r="B395" s="65" t="s">
        <v>68</v>
      </c>
      <c r="C395" s="65" t="s">
        <v>62</v>
      </c>
      <c r="D395" s="66" t="s">
        <v>78</v>
      </c>
      <c r="E395" s="67"/>
      <c r="F395" s="65" t="s">
        <v>97</v>
      </c>
      <c r="G395" s="73">
        <v>9</v>
      </c>
      <c r="H395" s="74">
        <v>69</v>
      </c>
      <c r="I395" s="77">
        <f t="shared" si="12"/>
        <v>37.257494749846281</v>
      </c>
      <c r="J395" s="77">
        <v>16.899999618530273</v>
      </c>
      <c r="K395" s="77">
        <f t="shared" si="13"/>
        <v>17.068999614715576</v>
      </c>
      <c r="L395" s="68" t="s">
        <v>283</v>
      </c>
    </row>
    <row r="396" spans="1:12" ht="13.5">
      <c r="A396" s="81" t="s">
        <v>72</v>
      </c>
      <c r="B396" s="65" t="s">
        <v>68</v>
      </c>
      <c r="C396" s="65" t="s">
        <v>62</v>
      </c>
      <c r="D396" s="66" t="s">
        <v>78</v>
      </c>
      <c r="E396" s="67"/>
      <c r="F396" s="65" t="s">
        <v>97</v>
      </c>
      <c r="G396" s="73">
        <v>10</v>
      </c>
      <c r="H396" s="74">
        <v>69</v>
      </c>
      <c r="I396" s="77">
        <f t="shared" si="12"/>
        <v>37.257494749846281</v>
      </c>
      <c r="J396" s="77">
        <v>16.899999618530273</v>
      </c>
      <c r="K396" s="77">
        <f t="shared" si="13"/>
        <v>17.068999614715576</v>
      </c>
      <c r="L396" s="68" t="s">
        <v>283</v>
      </c>
    </row>
    <row r="397" spans="1:12" ht="13.5">
      <c r="A397" s="81" t="s">
        <v>72</v>
      </c>
      <c r="B397" s="65" t="s">
        <v>68</v>
      </c>
      <c r="C397" s="65" t="s">
        <v>62</v>
      </c>
      <c r="D397" s="66" t="s">
        <v>78</v>
      </c>
      <c r="E397" s="67"/>
      <c r="F397" s="65" t="s">
        <v>97</v>
      </c>
      <c r="G397" s="73">
        <v>11</v>
      </c>
      <c r="H397" s="74">
        <v>69</v>
      </c>
      <c r="I397" s="77">
        <f t="shared" si="12"/>
        <v>37.037035355071751</v>
      </c>
      <c r="J397" s="77">
        <v>16.799999237060547</v>
      </c>
      <c r="K397" s="77">
        <f t="shared" si="13"/>
        <v>16.967999229431154</v>
      </c>
      <c r="L397" s="68" t="s">
        <v>283</v>
      </c>
    </row>
    <row r="398" spans="1:12" ht="13.5">
      <c r="A398" s="81" t="s">
        <v>72</v>
      </c>
      <c r="B398" s="65" t="s">
        <v>68</v>
      </c>
      <c r="C398" s="65" t="s">
        <v>62</v>
      </c>
      <c r="D398" s="66" t="s">
        <v>78</v>
      </c>
      <c r="E398" s="67"/>
      <c r="F398" s="65" t="s">
        <v>97</v>
      </c>
      <c r="G398" s="73">
        <v>12</v>
      </c>
      <c r="H398" s="74">
        <v>68</v>
      </c>
      <c r="I398" s="77">
        <f t="shared" si="12"/>
        <v>36.816580165210432</v>
      </c>
      <c r="J398" s="77">
        <v>16.700000762939453</v>
      </c>
      <c r="K398" s="77">
        <f t="shared" si="13"/>
        <v>16.867000770568847</v>
      </c>
      <c r="L398" s="68" t="s">
        <v>283</v>
      </c>
    </row>
    <row r="399" spans="1:12" ht="13.5">
      <c r="A399" s="81" t="s">
        <v>72</v>
      </c>
      <c r="B399" s="65" t="s">
        <v>68</v>
      </c>
      <c r="C399" s="65" t="s">
        <v>62</v>
      </c>
      <c r="D399" s="66" t="s">
        <v>78</v>
      </c>
      <c r="E399" s="67"/>
      <c r="F399" s="65" t="s">
        <v>97</v>
      </c>
      <c r="G399" s="73">
        <v>13</v>
      </c>
      <c r="H399" s="74">
        <v>68</v>
      </c>
      <c r="I399" s="77">
        <f t="shared" si="12"/>
        <v>36.816580165210432</v>
      </c>
      <c r="J399" s="77">
        <v>16.700000762939453</v>
      </c>
      <c r="K399" s="77">
        <f t="shared" si="13"/>
        <v>16.867000770568847</v>
      </c>
      <c r="L399" s="68" t="s">
        <v>283</v>
      </c>
    </row>
    <row r="400" spans="1:12" ht="13.5">
      <c r="A400" s="81" t="s">
        <v>72</v>
      </c>
      <c r="B400" s="65" t="s">
        <v>68</v>
      </c>
      <c r="C400" s="65" t="s">
        <v>62</v>
      </c>
      <c r="D400" s="66" t="s">
        <v>78</v>
      </c>
      <c r="E400" s="67"/>
      <c r="F400" s="65" t="s">
        <v>97</v>
      </c>
      <c r="G400" s="73">
        <v>14</v>
      </c>
      <c r="H400" s="74">
        <v>68</v>
      </c>
      <c r="I400" s="77">
        <f t="shared" si="12"/>
        <v>36.596120770435903</v>
      </c>
      <c r="J400" s="77">
        <v>16.600000381469727</v>
      </c>
      <c r="K400" s="77">
        <f t="shared" si="13"/>
        <v>16.766000385284425</v>
      </c>
      <c r="L400" s="68" t="s">
        <v>283</v>
      </c>
    </row>
    <row r="401" spans="1:12" ht="13.5">
      <c r="A401" s="81" t="s">
        <v>72</v>
      </c>
      <c r="B401" s="65" t="s">
        <v>68</v>
      </c>
      <c r="C401" s="65" t="s">
        <v>62</v>
      </c>
      <c r="D401" s="66" t="s">
        <v>78</v>
      </c>
      <c r="E401" s="67"/>
      <c r="F401" s="65" t="s">
        <v>97</v>
      </c>
      <c r="G401" s="73">
        <v>15</v>
      </c>
      <c r="H401" s="74">
        <v>65</v>
      </c>
      <c r="I401" s="77">
        <f t="shared" si="12"/>
        <v>35.052909211927407</v>
      </c>
      <c r="J401" s="77">
        <v>15.899999618530273</v>
      </c>
      <c r="K401" s="77">
        <f t="shared" si="13"/>
        <v>16.058999614715578</v>
      </c>
      <c r="L401" s="68" t="s">
        <v>283</v>
      </c>
    </row>
    <row r="402" spans="1:12" ht="13.5">
      <c r="A402" s="81" t="s">
        <v>72</v>
      </c>
      <c r="B402" s="65" t="s">
        <v>68</v>
      </c>
      <c r="C402" s="65" t="s">
        <v>62</v>
      </c>
      <c r="D402" s="66" t="s">
        <v>78</v>
      </c>
      <c r="E402" s="67"/>
      <c r="F402" s="65" t="s">
        <v>97</v>
      </c>
      <c r="G402" s="73">
        <v>16</v>
      </c>
      <c r="H402" s="74">
        <v>68</v>
      </c>
      <c r="I402" s="77">
        <f t="shared" si="12"/>
        <v>36.816580165210432</v>
      </c>
      <c r="J402" s="77">
        <v>16.700000762939453</v>
      </c>
      <c r="K402" s="77">
        <f t="shared" si="13"/>
        <v>16.867000770568847</v>
      </c>
      <c r="L402" s="68" t="s">
        <v>283</v>
      </c>
    </row>
    <row r="403" spans="1:12" ht="13.5">
      <c r="A403" s="81" t="s">
        <v>72</v>
      </c>
      <c r="B403" s="65" t="s">
        <v>68</v>
      </c>
      <c r="C403" s="65" t="s">
        <v>62</v>
      </c>
      <c r="D403" s="66" t="s">
        <v>78</v>
      </c>
      <c r="E403" s="67"/>
      <c r="F403" s="65" t="s">
        <v>97</v>
      </c>
      <c r="G403" s="73">
        <v>17</v>
      </c>
      <c r="H403" s="74">
        <v>69</v>
      </c>
      <c r="I403" s="77">
        <f t="shared" si="12"/>
        <v>37.037035355071751</v>
      </c>
      <c r="J403" s="77">
        <v>16.799999237060547</v>
      </c>
      <c r="K403" s="77">
        <f t="shared" si="13"/>
        <v>16.967999229431154</v>
      </c>
      <c r="L403" s="68" t="s">
        <v>283</v>
      </c>
    </row>
    <row r="404" spans="1:12" ht="13.5">
      <c r="A404" s="81" t="s">
        <v>72</v>
      </c>
      <c r="B404" s="65" t="s">
        <v>68</v>
      </c>
      <c r="C404" s="65" t="s">
        <v>62</v>
      </c>
      <c r="D404" s="66" t="s">
        <v>78</v>
      </c>
      <c r="E404" s="67"/>
      <c r="F404" s="65" t="s">
        <v>97</v>
      </c>
      <c r="G404" s="73">
        <v>18</v>
      </c>
      <c r="H404" s="74">
        <v>69</v>
      </c>
      <c r="I404" s="77">
        <f t="shared" si="12"/>
        <v>37.037035355071751</v>
      </c>
      <c r="J404" s="77">
        <v>16.799999237060547</v>
      </c>
      <c r="K404" s="77">
        <f t="shared" si="13"/>
        <v>16.967999229431154</v>
      </c>
      <c r="L404" s="68" t="s">
        <v>283</v>
      </c>
    </row>
    <row r="405" spans="1:12" ht="13.5">
      <c r="A405" s="81" t="s">
        <v>72</v>
      </c>
      <c r="B405" s="65" t="s">
        <v>68</v>
      </c>
      <c r="C405" s="65" t="s">
        <v>62</v>
      </c>
      <c r="D405" s="66" t="s">
        <v>78</v>
      </c>
      <c r="E405" s="67"/>
      <c r="F405" s="65" t="s">
        <v>97</v>
      </c>
      <c r="G405" s="73">
        <v>19</v>
      </c>
      <c r="H405" s="74">
        <v>69</v>
      </c>
      <c r="I405" s="77">
        <f t="shared" si="12"/>
        <v>37.037035355071751</v>
      </c>
      <c r="J405" s="77">
        <v>16.799999237060547</v>
      </c>
      <c r="K405" s="77">
        <f t="shared" si="13"/>
        <v>16.967999229431154</v>
      </c>
      <c r="L405" s="68" t="s">
        <v>283</v>
      </c>
    </row>
    <row r="406" spans="1:12" ht="13.5">
      <c r="A406" s="81" t="s">
        <v>72</v>
      </c>
      <c r="B406" s="65" t="s">
        <v>68</v>
      </c>
      <c r="C406" s="65" t="s">
        <v>62</v>
      </c>
      <c r="D406" s="66" t="s">
        <v>78</v>
      </c>
      <c r="E406" s="67"/>
      <c r="F406" s="65" t="s">
        <v>97</v>
      </c>
      <c r="G406" s="73">
        <v>20</v>
      </c>
      <c r="H406" s="74">
        <v>68</v>
      </c>
      <c r="I406" s="77">
        <f t="shared" si="12"/>
        <v>36.596120770435903</v>
      </c>
      <c r="J406" s="77">
        <v>16.600000381469727</v>
      </c>
      <c r="K406" s="77">
        <f t="shared" si="13"/>
        <v>16.766000385284425</v>
      </c>
      <c r="L406" s="68" t="s">
        <v>283</v>
      </c>
    </row>
    <row r="407" spans="1:12" ht="13.5">
      <c r="A407" s="81" t="s">
        <v>72</v>
      </c>
      <c r="B407" s="65" t="s">
        <v>68</v>
      </c>
      <c r="C407" s="65" t="s">
        <v>62</v>
      </c>
      <c r="D407" s="66" t="s">
        <v>78</v>
      </c>
      <c r="E407" s="67"/>
      <c r="F407" s="65" t="s">
        <v>97</v>
      </c>
      <c r="G407" s="73">
        <v>21</v>
      </c>
      <c r="H407" s="74">
        <v>68</v>
      </c>
      <c r="I407" s="77">
        <f t="shared" si="12"/>
        <v>36.596120770435903</v>
      </c>
      <c r="J407" s="77">
        <v>16.600000381469727</v>
      </c>
      <c r="K407" s="77">
        <f t="shared" si="13"/>
        <v>16.766000385284425</v>
      </c>
      <c r="L407" s="68" t="s">
        <v>283</v>
      </c>
    </row>
    <row r="408" spans="1:12" ht="13.5">
      <c r="A408" s="81" t="s">
        <v>72</v>
      </c>
      <c r="B408" s="65" t="s">
        <v>68</v>
      </c>
      <c r="C408" s="65" t="s">
        <v>62</v>
      </c>
      <c r="D408" s="66" t="s">
        <v>78</v>
      </c>
      <c r="E408" s="67"/>
      <c r="F408" s="65" t="s">
        <v>97</v>
      </c>
      <c r="G408" s="73">
        <v>22</v>
      </c>
      <c r="H408" s="74">
        <v>68</v>
      </c>
      <c r="I408" s="77">
        <f t="shared" si="12"/>
        <v>36.816580165210432</v>
      </c>
      <c r="J408" s="77">
        <v>16.700000762939453</v>
      </c>
      <c r="K408" s="77">
        <f t="shared" si="13"/>
        <v>16.867000770568847</v>
      </c>
      <c r="L408" s="68" t="s">
        <v>283</v>
      </c>
    </row>
    <row r="409" spans="1:12" ht="13.5">
      <c r="A409" s="81" t="s">
        <v>72</v>
      </c>
      <c r="B409" s="65" t="s">
        <v>68</v>
      </c>
      <c r="C409" s="65" t="s">
        <v>62</v>
      </c>
      <c r="D409" s="66" t="s">
        <v>78</v>
      </c>
      <c r="E409" s="67"/>
      <c r="F409" s="65" t="s">
        <v>97</v>
      </c>
      <c r="G409" s="73">
        <v>23</v>
      </c>
      <c r="H409" s="74">
        <v>68</v>
      </c>
      <c r="I409" s="77">
        <f t="shared" si="12"/>
        <v>36.816580165210432</v>
      </c>
      <c r="J409" s="77">
        <v>16.700000762939453</v>
      </c>
      <c r="K409" s="77">
        <f t="shared" si="13"/>
        <v>16.867000770568847</v>
      </c>
      <c r="L409" s="68" t="s">
        <v>283</v>
      </c>
    </row>
    <row r="410" spans="1:12" ht="13.5">
      <c r="A410" s="81" t="s">
        <v>72</v>
      </c>
      <c r="B410" s="65" t="s">
        <v>68</v>
      </c>
      <c r="C410" s="65" t="s">
        <v>62</v>
      </c>
      <c r="D410" s="66" t="s">
        <v>78</v>
      </c>
      <c r="E410" s="67"/>
      <c r="F410" s="65" t="s">
        <v>97</v>
      </c>
      <c r="G410" s="73">
        <v>24</v>
      </c>
      <c r="H410" s="74">
        <v>69</v>
      </c>
      <c r="I410" s="77">
        <f t="shared" si="12"/>
        <v>37.037035355071751</v>
      </c>
      <c r="J410" s="77">
        <v>16.799999237060547</v>
      </c>
      <c r="K410" s="77">
        <f t="shared" si="13"/>
        <v>16.967999229431154</v>
      </c>
      <c r="L410" s="68" t="s">
        <v>283</v>
      </c>
    </row>
    <row r="411" spans="1:12" ht="13.5">
      <c r="A411" s="81" t="s">
        <v>72</v>
      </c>
      <c r="B411" s="65" t="s">
        <v>68</v>
      </c>
      <c r="C411" s="65" t="s">
        <v>62</v>
      </c>
      <c r="D411" s="66" t="s">
        <v>78</v>
      </c>
      <c r="E411" s="67"/>
      <c r="F411" s="65" t="s">
        <v>97</v>
      </c>
      <c r="G411" s="73">
        <v>25</v>
      </c>
      <c r="H411" s="74">
        <v>68</v>
      </c>
      <c r="I411" s="77">
        <f t="shared" si="12"/>
        <v>36.596120770435903</v>
      </c>
      <c r="J411" s="77">
        <v>16.600000381469727</v>
      </c>
      <c r="K411" s="77">
        <f t="shared" si="13"/>
        <v>16.766000385284425</v>
      </c>
      <c r="L411" s="68" t="s">
        <v>283</v>
      </c>
    </row>
    <row r="412" spans="1:12" ht="13.5">
      <c r="A412" s="81" t="s">
        <v>72</v>
      </c>
      <c r="B412" s="65" t="s">
        <v>68</v>
      </c>
      <c r="C412" s="65" t="s">
        <v>62</v>
      </c>
      <c r="D412" s="66" t="s">
        <v>78</v>
      </c>
      <c r="E412" s="67"/>
      <c r="F412" s="65" t="s">
        <v>97</v>
      </c>
      <c r="G412" s="73">
        <v>26</v>
      </c>
      <c r="H412" s="74">
        <v>71</v>
      </c>
      <c r="I412" s="77">
        <f t="shared" si="12"/>
        <v>38.359787518805717</v>
      </c>
      <c r="J412" s="77">
        <v>17.399999618530273</v>
      </c>
      <c r="K412" s="77">
        <f t="shared" si="13"/>
        <v>17.573999614715575</v>
      </c>
      <c r="L412" s="68" t="s">
        <v>283</v>
      </c>
    </row>
    <row r="413" spans="1:12" ht="13.5">
      <c r="A413" s="81" t="s">
        <v>72</v>
      </c>
      <c r="B413" s="65" t="s">
        <v>68</v>
      </c>
      <c r="C413" s="65" t="s">
        <v>62</v>
      </c>
      <c r="D413" s="66" t="s">
        <v>78</v>
      </c>
      <c r="E413" s="67"/>
      <c r="F413" s="65" t="s">
        <v>97</v>
      </c>
      <c r="G413" s="73">
        <v>27</v>
      </c>
      <c r="H413" s="74">
        <v>68</v>
      </c>
      <c r="I413" s="77">
        <f t="shared" si="12"/>
        <v>36.596120770435903</v>
      </c>
      <c r="J413" s="77">
        <v>16.600000381469727</v>
      </c>
      <c r="K413" s="77">
        <f t="shared" si="13"/>
        <v>16.766000385284425</v>
      </c>
      <c r="L413" s="68" t="s">
        <v>283</v>
      </c>
    </row>
    <row r="414" spans="1:12" ht="13.5">
      <c r="A414" s="81" t="s">
        <v>72</v>
      </c>
      <c r="B414" s="65" t="s">
        <v>68</v>
      </c>
      <c r="C414" s="65" t="s">
        <v>62</v>
      </c>
      <c r="D414" s="66" t="s">
        <v>78</v>
      </c>
      <c r="E414" s="67"/>
      <c r="F414" s="65" t="s">
        <v>97</v>
      </c>
      <c r="G414" s="73">
        <v>28</v>
      </c>
      <c r="H414" s="74">
        <v>69</v>
      </c>
      <c r="I414" s="77">
        <f t="shared" si="12"/>
        <v>37.037035355071751</v>
      </c>
      <c r="J414" s="77">
        <v>16.799999237060547</v>
      </c>
      <c r="K414" s="77">
        <f t="shared" si="13"/>
        <v>16.967999229431154</v>
      </c>
      <c r="L414" s="68" t="s">
        <v>283</v>
      </c>
    </row>
    <row r="415" spans="1:12" ht="13.5">
      <c r="A415" s="81" t="s">
        <v>72</v>
      </c>
      <c r="B415" s="65" t="s">
        <v>68</v>
      </c>
      <c r="C415" s="65" t="s">
        <v>62</v>
      </c>
      <c r="D415" s="66" t="s">
        <v>78</v>
      </c>
      <c r="E415" s="67"/>
      <c r="F415" s="65" t="s">
        <v>97</v>
      </c>
      <c r="G415" s="73">
        <v>29</v>
      </c>
      <c r="H415" s="74">
        <v>70</v>
      </c>
      <c r="I415" s="77">
        <f t="shared" si="12"/>
        <v>37.47795414462081</v>
      </c>
      <c r="J415" s="77">
        <v>17</v>
      </c>
      <c r="K415" s="77">
        <f t="shared" si="13"/>
        <v>17.170000000000002</v>
      </c>
      <c r="L415" s="68" t="s">
        <v>283</v>
      </c>
    </row>
    <row r="416" spans="1:12" ht="13.5">
      <c r="A416" s="81" t="s">
        <v>72</v>
      </c>
      <c r="B416" s="65" t="s">
        <v>68</v>
      </c>
      <c r="C416" s="65" t="s">
        <v>62</v>
      </c>
      <c r="D416" s="66" t="s">
        <v>78</v>
      </c>
      <c r="E416" s="67"/>
      <c r="F416" s="65" t="s">
        <v>97</v>
      </c>
      <c r="G416" s="73">
        <v>30</v>
      </c>
      <c r="H416" s="74">
        <v>68</v>
      </c>
      <c r="I416" s="77">
        <f t="shared" si="12"/>
        <v>36.816580165210432</v>
      </c>
      <c r="J416" s="77">
        <v>16.700000762939453</v>
      </c>
      <c r="K416" s="77">
        <f t="shared" si="13"/>
        <v>16.867000770568847</v>
      </c>
      <c r="L416" s="68" t="s">
        <v>283</v>
      </c>
    </row>
    <row r="417" spans="1:12" ht="13.5">
      <c r="A417" s="81" t="s">
        <v>72</v>
      </c>
      <c r="B417" s="65" t="s">
        <v>68</v>
      </c>
      <c r="C417" s="65" t="s">
        <v>62</v>
      </c>
      <c r="D417" s="66" t="s">
        <v>78</v>
      </c>
      <c r="E417" s="67"/>
      <c r="F417" s="65" t="s">
        <v>97</v>
      </c>
      <c r="G417" s="73">
        <v>31</v>
      </c>
      <c r="H417" s="74">
        <v>69</v>
      </c>
      <c r="I417" s="77">
        <f t="shared" si="12"/>
        <v>37.037035355071751</v>
      </c>
      <c r="J417" s="77">
        <v>16.799999237060547</v>
      </c>
      <c r="K417" s="77">
        <f t="shared" si="13"/>
        <v>16.967999229431154</v>
      </c>
      <c r="L417" s="68" t="s">
        <v>283</v>
      </c>
    </row>
    <row r="418" spans="1:12" ht="13.5">
      <c r="A418" s="81" t="s">
        <v>72</v>
      </c>
      <c r="B418" s="65" t="s">
        <v>68</v>
      </c>
      <c r="C418" s="65" t="s">
        <v>62</v>
      </c>
      <c r="D418" s="66" t="s">
        <v>78</v>
      </c>
      <c r="E418" s="67"/>
      <c r="F418" s="65" t="s">
        <v>97</v>
      </c>
      <c r="G418" s="73">
        <v>32</v>
      </c>
      <c r="H418" s="74">
        <v>69</v>
      </c>
      <c r="I418" s="77">
        <f t="shared" si="12"/>
        <v>37.257494749846281</v>
      </c>
      <c r="J418" s="77">
        <v>16.899999618530273</v>
      </c>
      <c r="K418" s="77">
        <f t="shared" si="13"/>
        <v>17.068999614715576</v>
      </c>
      <c r="L418" s="68" t="s">
        <v>283</v>
      </c>
    </row>
    <row r="419" spans="1:12" ht="13.5">
      <c r="A419" s="81" t="s">
        <v>72</v>
      </c>
      <c r="B419" s="65" t="s">
        <v>68</v>
      </c>
      <c r="C419" s="65" t="s">
        <v>62</v>
      </c>
      <c r="D419" s="66" t="s">
        <v>78</v>
      </c>
      <c r="E419" s="67"/>
      <c r="F419" s="65" t="s">
        <v>97</v>
      </c>
      <c r="G419" s="73">
        <v>33</v>
      </c>
      <c r="H419" s="74">
        <v>69</v>
      </c>
      <c r="I419" s="77">
        <f t="shared" si="12"/>
        <v>37.037035355071751</v>
      </c>
      <c r="J419" s="77">
        <v>16.799999237060547</v>
      </c>
      <c r="K419" s="77">
        <f t="shared" si="13"/>
        <v>16.967999229431154</v>
      </c>
      <c r="L419" s="68" t="s">
        <v>283</v>
      </c>
    </row>
    <row r="420" spans="1:12" ht="13.5">
      <c r="A420" s="81" t="s">
        <v>72</v>
      </c>
      <c r="B420" s="65" t="s">
        <v>68</v>
      </c>
      <c r="C420" s="65" t="s">
        <v>62</v>
      </c>
      <c r="D420" s="66" t="s">
        <v>78</v>
      </c>
      <c r="E420" s="67"/>
      <c r="F420" s="65" t="s">
        <v>97</v>
      </c>
      <c r="G420" s="73">
        <v>34</v>
      </c>
      <c r="H420" s="74">
        <v>69</v>
      </c>
      <c r="I420" s="77">
        <f t="shared" si="12"/>
        <v>37.037035355071751</v>
      </c>
      <c r="J420" s="77">
        <v>16.799999237060547</v>
      </c>
      <c r="K420" s="77">
        <f t="shared" si="13"/>
        <v>16.967999229431154</v>
      </c>
      <c r="L420" s="68" t="s">
        <v>283</v>
      </c>
    </row>
    <row r="421" spans="1:12" ht="13.5">
      <c r="A421" s="81" t="s">
        <v>72</v>
      </c>
      <c r="B421" s="65" t="s">
        <v>68</v>
      </c>
      <c r="C421" s="65" t="s">
        <v>62</v>
      </c>
      <c r="D421" s="66" t="s">
        <v>78</v>
      </c>
      <c r="E421" s="67"/>
      <c r="F421" s="65" t="s">
        <v>97</v>
      </c>
      <c r="G421" s="73">
        <v>35</v>
      </c>
      <c r="H421" s="74">
        <v>69</v>
      </c>
      <c r="I421" s="77">
        <f t="shared" si="12"/>
        <v>37.037035355071751</v>
      </c>
      <c r="J421" s="77">
        <v>16.799999237060547</v>
      </c>
      <c r="K421" s="77">
        <f t="shared" si="13"/>
        <v>16.967999229431154</v>
      </c>
      <c r="L421" s="68" t="s">
        <v>283</v>
      </c>
    </row>
    <row r="422" spans="1:12" ht="13.5">
      <c r="A422" s="81" t="s">
        <v>72</v>
      </c>
      <c r="B422" s="65" t="s">
        <v>68</v>
      </c>
      <c r="C422" s="65" t="s">
        <v>62</v>
      </c>
      <c r="D422" s="66" t="s">
        <v>78</v>
      </c>
      <c r="E422" s="67"/>
      <c r="F422" s="65" t="s">
        <v>97</v>
      </c>
      <c r="G422" s="73">
        <v>36</v>
      </c>
      <c r="H422" s="74">
        <v>69</v>
      </c>
      <c r="I422" s="77">
        <f t="shared" si="12"/>
        <v>37.037035355071751</v>
      </c>
      <c r="J422" s="77">
        <v>16.799999237060547</v>
      </c>
      <c r="K422" s="77">
        <f t="shared" si="13"/>
        <v>16.967999229431154</v>
      </c>
      <c r="L422" s="68" t="s">
        <v>283</v>
      </c>
    </row>
    <row r="423" spans="1:12" ht="13.5">
      <c r="A423" s="81" t="s">
        <v>72</v>
      </c>
      <c r="B423" s="65" t="s">
        <v>68</v>
      </c>
      <c r="C423" s="65" t="s">
        <v>62</v>
      </c>
      <c r="D423" s="66" t="s">
        <v>78</v>
      </c>
      <c r="E423" s="67"/>
      <c r="F423" s="65" t="s">
        <v>97</v>
      </c>
      <c r="G423" s="73">
        <v>37</v>
      </c>
      <c r="H423" s="74">
        <v>71</v>
      </c>
      <c r="I423" s="77">
        <f t="shared" si="12"/>
        <v>38.359787518805717</v>
      </c>
      <c r="J423" s="77">
        <v>17.399999618530273</v>
      </c>
      <c r="K423" s="77">
        <f t="shared" si="13"/>
        <v>17.573999614715575</v>
      </c>
      <c r="L423" s="68" t="s">
        <v>283</v>
      </c>
    </row>
    <row r="424" spans="1:12" ht="13.5">
      <c r="A424" s="81" t="s">
        <v>72</v>
      </c>
      <c r="B424" s="65" t="s">
        <v>68</v>
      </c>
      <c r="C424" s="65" t="s">
        <v>62</v>
      </c>
      <c r="D424" s="66" t="s">
        <v>78</v>
      </c>
      <c r="E424" s="67"/>
      <c r="F424" s="65" t="s">
        <v>97</v>
      </c>
      <c r="G424" s="73">
        <v>38</v>
      </c>
      <c r="H424" s="74">
        <v>69</v>
      </c>
      <c r="I424" s="77">
        <f t="shared" si="12"/>
        <v>37.257494749846281</v>
      </c>
      <c r="J424" s="77">
        <v>16.899999618530273</v>
      </c>
      <c r="K424" s="77">
        <f t="shared" si="13"/>
        <v>17.068999614715576</v>
      </c>
      <c r="L424" s="68" t="s">
        <v>283</v>
      </c>
    </row>
    <row r="425" spans="1:12" ht="13.5">
      <c r="A425" s="81" t="s">
        <v>72</v>
      </c>
      <c r="B425" s="65" t="s">
        <v>68</v>
      </c>
      <c r="C425" s="65" t="s">
        <v>62</v>
      </c>
      <c r="D425" s="66" t="s">
        <v>78</v>
      </c>
      <c r="E425" s="67"/>
      <c r="F425" s="65" t="s">
        <v>97</v>
      </c>
      <c r="G425" s="73">
        <v>39</v>
      </c>
      <c r="H425" s="74">
        <v>68</v>
      </c>
      <c r="I425" s="77">
        <f t="shared" si="12"/>
        <v>36.816580165210432</v>
      </c>
      <c r="J425" s="77">
        <v>16.700000762939453</v>
      </c>
      <c r="K425" s="77">
        <f t="shared" si="13"/>
        <v>16.867000770568847</v>
      </c>
      <c r="L425" s="68" t="s">
        <v>283</v>
      </c>
    </row>
    <row r="426" spans="1:12" ht="13.5">
      <c r="A426" s="81" t="s">
        <v>72</v>
      </c>
      <c r="B426" s="65" t="s">
        <v>68</v>
      </c>
      <c r="C426" s="65" t="s">
        <v>62</v>
      </c>
      <c r="D426" s="66" t="s">
        <v>78</v>
      </c>
      <c r="E426" s="67"/>
      <c r="F426" s="65" t="s">
        <v>97</v>
      </c>
      <c r="G426" s="73">
        <v>40</v>
      </c>
      <c r="H426" s="74">
        <v>70</v>
      </c>
      <c r="I426" s="77">
        <f t="shared" si="12"/>
        <v>37.918872934169869</v>
      </c>
      <c r="J426" s="77">
        <v>17.200000762939453</v>
      </c>
      <c r="K426" s="77">
        <f t="shared" si="13"/>
        <v>17.37200077056885</v>
      </c>
      <c r="L426" s="68" t="s">
        <v>283</v>
      </c>
    </row>
    <row r="427" spans="1:12" ht="13.5">
      <c r="A427" s="81" t="s">
        <v>72</v>
      </c>
      <c r="B427" s="65" t="s">
        <v>68</v>
      </c>
      <c r="C427" s="65" t="s">
        <v>62</v>
      </c>
      <c r="D427" s="66" t="s">
        <v>78</v>
      </c>
      <c r="E427" s="67"/>
      <c r="F427" s="65" t="s">
        <v>97</v>
      </c>
      <c r="G427" s="73">
        <v>41</v>
      </c>
      <c r="H427" s="74">
        <v>71</v>
      </c>
      <c r="I427" s="77">
        <f t="shared" si="12"/>
        <v>38.139328124031188</v>
      </c>
      <c r="J427" s="77">
        <v>17.299999237060547</v>
      </c>
      <c r="K427" s="77">
        <f t="shared" si="13"/>
        <v>17.472999229431153</v>
      </c>
      <c r="L427" s="68" t="s">
        <v>283</v>
      </c>
    </row>
    <row r="428" spans="1:12" ht="13.5">
      <c r="A428" s="81" t="s">
        <v>72</v>
      </c>
      <c r="B428" s="65" t="s">
        <v>68</v>
      </c>
      <c r="C428" s="65" t="s">
        <v>62</v>
      </c>
      <c r="D428" s="66" t="s">
        <v>78</v>
      </c>
      <c r="E428" s="67"/>
      <c r="F428" s="65" t="s">
        <v>97</v>
      </c>
      <c r="G428" s="73">
        <v>42</v>
      </c>
      <c r="H428" s="74">
        <v>68</v>
      </c>
      <c r="I428" s="77">
        <f t="shared" si="12"/>
        <v>36.816580165210432</v>
      </c>
      <c r="J428" s="77">
        <v>16.700000762939453</v>
      </c>
      <c r="K428" s="77">
        <f t="shared" si="13"/>
        <v>16.867000770568847</v>
      </c>
      <c r="L428" s="68" t="s">
        <v>283</v>
      </c>
    </row>
    <row r="429" spans="1:12" ht="13.5">
      <c r="A429" s="81" t="s">
        <v>72</v>
      </c>
      <c r="B429" s="65" t="s">
        <v>68</v>
      </c>
      <c r="C429" s="65" t="s">
        <v>62</v>
      </c>
      <c r="D429" s="66" t="s">
        <v>78</v>
      </c>
      <c r="E429" s="67"/>
      <c r="F429" s="65" t="s">
        <v>97</v>
      </c>
      <c r="G429" s="73">
        <v>43</v>
      </c>
      <c r="H429" s="74">
        <v>70</v>
      </c>
      <c r="I429" s="77">
        <f t="shared" si="12"/>
        <v>37.47795414462081</v>
      </c>
      <c r="J429" s="77">
        <v>17</v>
      </c>
      <c r="K429" s="77">
        <f t="shared" si="13"/>
        <v>17.170000000000002</v>
      </c>
      <c r="L429" s="68" t="s">
        <v>283</v>
      </c>
    </row>
    <row r="430" spans="1:12" ht="13.5">
      <c r="A430" s="81" t="s">
        <v>72</v>
      </c>
      <c r="B430" s="65" t="s">
        <v>68</v>
      </c>
      <c r="C430" s="65" t="s">
        <v>62</v>
      </c>
      <c r="D430" s="66" t="s">
        <v>78</v>
      </c>
      <c r="E430" s="67"/>
      <c r="F430" s="65" t="s">
        <v>97</v>
      </c>
      <c r="G430" s="73">
        <v>44</v>
      </c>
      <c r="H430" s="74">
        <v>68</v>
      </c>
      <c r="I430" s="77">
        <f t="shared" si="12"/>
        <v>36.596120770435903</v>
      </c>
      <c r="J430" s="77">
        <v>16.600000381469727</v>
      </c>
      <c r="K430" s="77">
        <f t="shared" si="13"/>
        <v>16.766000385284425</v>
      </c>
      <c r="L430" s="68" t="s">
        <v>283</v>
      </c>
    </row>
    <row r="431" spans="1:12" ht="13.5">
      <c r="A431" s="81" t="s">
        <v>72</v>
      </c>
      <c r="B431" s="65" t="s">
        <v>68</v>
      </c>
      <c r="C431" s="65" t="s">
        <v>62</v>
      </c>
      <c r="D431" s="66" t="s">
        <v>78</v>
      </c>
      <c r="E431" s="67"/>
      <c r="F431" s="65" t="s">
        <v>97</v>
      </c>
      <c r="G431" s="73">
        <v>45</v>
      </c>
      <c r="H431" s="74">
        <v>69</v>
      </c>
      <c r="I431" s="77">
        <f t="shared" si="12"/>
        <v>37.257494749846281</v>
      </c>
      <c r="J431" s="77">
        <v>16.899999618530273</v>
      </c>
      <c r="K431" s="77">
        <f t="shared" si="13"/>
        <v>17.068999614715576</v>
      </c>
      <c r="L431" s="68" t="s">
        <v>283</v>
      </c>
    </row>
    <row r="432" spans="1:12" ht="13.5">
      <c r="A432" s="81" t="s">
        <v>72</v>
      </c>
      <c r="B432" s="65" t="s">
        <v>68</v>
      </c>
      <c r="C432" s="65" t="s">
        <v>62</v>
      </c>
      <c r="D432" s="66" t="s">
        <v>78</v>
      </c>
      <c r="E432" s="67"/>
      <c r="F432" s="65" t="s">
        <v>97</v>
      </c>
      <c r="G432" s="73">
        <v>46</v>
      </c>
      <c r="H432" s="74">
        <v>70</v>
      </c>
      <c r="I432" s="77">
        <f t="shared" si="12"/>
        <v>37.918872934169869</v>
      </c>
      <c r="J432" s="77">
        <v>17.200000762939453</v>
      </c>
      <c r="K432" s="77">
        <f t="shared" si="13"/>
        <v>17.37200077056885</v>
      </c>
      <c r="L432" s="68" t="s">
        <v>283</v>
      </c>
    </row>
    <row r="433" spans="1:12" ht="13.5">
      <c r="A433" s="81" t="s">
        <v>72</v>
      </c>
      <c r="B433" s="65" t="s">
        <v>68</v>
      </c>
      <c r="C433" s="65" t="s">
        <v>62</v>
      </c>
      <c r="D433" s="66" t="s">
        <v>78</v>
      </c>
      <c r="E433" s="67"/>
      <c r="F433" s="65" t="s">
        <v>97</v>
      </c>
      <c r="G433" s="73">
        <v>47</v>
      </c>
      <c r="H433" s="74">
        <v>68</v>
      </c>
      <c r="I433" s="77">
        <f t="shared" si="12"/>
        <v>36.816580165210432</v>
      </c>
      <c r="J433" s="77">
        <v>16.700000762939453</v>
      </c>
      <c r="K433" s="77">
        <f t="shared" si="13"/>
        <v>16.867000770568847</v>
      </c>
      <c r="L433" s="68" t="s">
        <v>283</v>
      </c>
    </row>
    <row r="434" spans="1:12" ht="13.5">
      <c r="A434" s="81" t="s">
        <v>72</v>
      </c>
      <c r="B434" s="65" t="s">
        <v>68</v>
      </c>
      <c r="C434" s="65" t="s">
        <v>62</v>
      </c>
      <c r="D434" s="66" t="s">
        <v>78</v>
      </c>
      <c r="E434" s="67"/>
      <c r="F434" s="65" t="s">
        <v>97</v>
      </c>
      <c r="G434" s="73">
        <v>48</v>
      </c>
      <c r="H434" s="74">
        <v>68</v>
      </c>
      <c r="I434" s="77">
        <f t="shared" si="12"/>
        <v>36.816580165210432</v>
      </c>
      <c r="J434" s="77">
        <v>16.700000762939453</v>
      </c>
      <c r="K434" s="77">
        <f t="shared" si="13"/>
        <v>16.867000770568847</v>
      </c>
      <c r="L434" s="68" t="s">
        <v>283</v>
      </c>
    </row>
    <row r="435" spans="1:12" ht="13.5">
      <c r="A435" s="81" t="s">
        <v>72</v>
      </c>
      <c r="B435" s="65" t="s">
        <v>68</v>
      </c>
      <c r="C435" s="65" t="s">
        <v>62</v>
      </c>
      <c r="D435" s="66" t="s">
        <v>78</v>
      </c>
      <c r="E435" s="67"/>
      <c r="F435" s="65" t="s">
        <v>97</v>
      </c>
      <c r="G435" s="73">
        <v>49</v>
      </c>
      <c r="H435" s="74">
        <v>71</v>
      </c>
      <c r="I435" s="77">
        <f t="shared" ref="I435:I446" si="14">+J435/0.4536</f>
        <v>38.359787518805717</v>
      </c>
      <c r="J435" s="77">
        <v>17.399999618530273</v>
      </c>
      <c r="K435" s="77">
        <f t="shared" ref="K435:K446" si="15">+J435*1.01</f>
        <v>17.573999614715575</v>
      </c>
      <c r="L435" s="68" t="s">
        <v>283</v>
      </c>
    </row>
    <row r="436" spans="1:12" ht="13.5">
      <c r="A436" s="81" t="s">
        <v>72</v>
      </c>
      <c r="B436" s="65" t="s">
        <v>68</v>
      </c>
      <c r="C436" s="65" t="s">
        <v>62</v>
      </c>
      <c r="D436" s="66" t="s">
        <v>78</v>
      </c>
      <c r="E436" s="67"/>
      <c r="F436" s="65" t="s">
        <v>97</v>
      </c>
      <c r="G436" s="73">
        <v>50</v>
      </c>
      <c r="H436" s="74">
        <v>69</v>
      </c>
      <c r="I436" s="77">
        <f t="shared" si="14"/>
        <v>37.257494749846281</v>
      </c>
      <c r="J436" s="77">
        <v>16.899999618530273</v>
      </c>
      <c r="K436" s="77">
        <f t="shared" si="15"/>
        <v>17.068999614715576</v>
      </c>
      <c r="L436" s="68" t="s">
        <v>283</v>
      </c>
    </row>
    <row r="437" spans="1:12" ht="13.5">
      <c r="A437" s="81" t="s">
        <v>72</v>
      </c>
      <c r="B437" s="65" t="s">
        <v>68</v>
      </c>
      <c r="C437" s="65" t="s">
        <v>62</v>
      </c>
      <c r="D437" s="66" t="s">
        <v>78</v>
      </c>
      <c r="E437" s="67"/>
      <c r="F437" s="65" t="s">
        <v>97</v>
      </c>
      <c r="G437" s="73">
        <v>51</v>
      </c>
      <c r="H437" s="74">
        <v>68</v>
      </c>
      <c r="I437" s="77">
        <f t="shared" si="14"/>
        <v>36.816580165210432</v>
      </c>
      <c r="J437" s="77">
        <v>16.700000762939453</v>
      </c>
      <c r="K437" s="77">
        <f t="shared" si="15"/>
        <v>16.867000770568847</v>
      </c>
      <c r="L437" s="68" t="s">
        <v>283</v>
      </c>
    </row>
    <row r="438" spans="1:12" ht="13.5">
      <c r="A438" s="81" t="s">
        <v>72</v>
      </c>
      <c r="B438" s="65" t="s">
        <v>68</v>
      </c>
      <c r="C438" s="65" t="s">
        <v>62</v>
      </c>
      <c r="D438" s="66" t="s">
        <v>78</v>
      </c>
      <c r="E438" s="67"/>
      <c r="F438" s="65" t="s">
        <v>97</v>
      </c>
      <c r="G438" s="73">
        <v>52</v>
      </c>
      <c r="H438" s="74">
        <v>72</v>
      </c>
      <c r="I438" s="77">
        <f t="shared" si="14"/>
        <v>38.800706308354776</v>
      </c>
      <c r="J438" s="77">
        <v>17.600000381469727</v>
      </c>
      <c r="K438" s="77">
        <f t="shared" si="15"/>
        <v>17.776000385284423</v>
      </c>
      <c r="L438" s="68" t="s">
        <v>283</v>
      </c>
    </row>
    <row r="439" spans="1:12" ht="13.5">
      <c r="A439" s="81" t="s">
        <v>72</v>
      </c>
      <c r="B439" s="65" t="s">
        <v>68</v>
      </c>
      <c r="C439" s="65" t="s">
        <v>62</v>
      </c>
      <c r="D439" s="66" t="s">
        <v>78</v>
      </c>
      <c r="E439" s="67"/>
      <c r="F439" s="65" t="s">
        <v>97</v>
      </c>
      <c r="G439" s="73">
        <v>53</v>
      </c>
      <c r="H439" s="74">
        <v>69</v>
      </c>
      <c r="I439" s="77">
        <f t="shared" si="14"/>
        <v>37.257494749846281</v>
      </c>
      <c r="J439" s="77">
        <v>16.899999618530273</v>
      </c>
      <c r="K439" s="77">
        <f t="shared" si="15"/>
        <v>17.068999614715576</v>
      </c>
      <c r="L439" s="68" t="s">
        <v>283</v>
      </c>
    </row>
    <row r="440" spans="1:12" ht="13.5">
      <c r="A440" s="81" t="s">
        <v>72</v>
      </c>
      <c r="B440" s="65" t="s">
        <v>68</v>
      </c>
      <c r="C440" s="65" t="s">
        <v>62</v>
      </c>
      <c r="D440" s="66" t="s">
        <v>78</v>
      </c>
      <c r="E440" s="67"/>
      <c r="F440" s="65" t="s">
        <v>97</v>
      </c>
      <c r="G440" s="73">
        <v>54</v>
      </c>
      <c r="H440" s="74">
        <v>71</v>
      </c>
      <c r="I440" s="77">
        <f t="shared" si="14"/>
        <v>38.359787518805717</v>
      </c>
      <c r="J440" s="77">
        <v>17.399999618530273</v>
      </c>
      <c r="K440" s="77">
        <f t="shared" si="15"/>
        <v>17.573999614715575</v>
      </c>
      <c r="L440" s="68" t="s">
        <v>283</v>
      </c>
    </row>
    <row r="441" spans="1:12" ht="13.5">
      <c r="A441" s="81" t="s">
        <v>72</v>
      </c>
      <c r="B441" s="65" t="s">
        <v>68</v>
      </c>
      <c r="C441" s="65" t="s">
        <v>62</v>
      </c>
      <c r="D441" s="66" t="s">
        <v>78</v>
      </c>
      <c r="E441" s="67"/>
      <c r="F441" s="65" t="s">
        <v>97</v>
      </c>
      <c r="G441" s="73">
        <v>55</v>
      </c>
      <c r="H441" s="74">
        <v>69</v>
      </c>
      <c r="I441" s="77">
        <f t="shared" si="14"/>
        <v>37.257494749846281</v>
      </c>
      <c r="J441" s="77">
        <v>16.899999618530273</v>
      </c>
      <c r="K441" s="77">
        <f t="shared" si="15"/>
        <v>17.068999614715576</v>
      </c>
      <c r="L441" s="68" t="s">
        <v>283</v>
      </c>
    </row>
    <row r="442" spans="1:12" ht="13.5">
      <c r="A442" s="81" t="s">
        <v>72</v>
      </c>
      <c r="B442" s="65" t="s">
        <v>68</v>
      </c>
      <c r="C442" s="65" t="s">
        <v>62</v>
      </c>
      <c r="D442" s="66" t="s">
        <v>78</v>
      </c>
      <c r="E442" s="67"/>
      <c r="F442" s="65" t="s">
        <v>97</v>
      </c>
      <c r="G442" s="73">
        <v>56</v>
      </c>
      <c r="H442" s="74">
        <v>69</v>
      </c>
      <c r="I442" s="77">
        <f t="shared" si="14"/>
        <v>37.037035355071751</v>
      </c>
      <c r="J442" s="77">
        <v>16.799999237060547</v>
      </c>
      <c r="K442" s="77">
        <f t="shared" si="15"/>
        <v>16.967999229431154</v>
      </c>
      <c r="L442" s="68" t="s">
        <v>283</v>
      </c>
    </row>
    <row r="443" spans="1:12" ht="13.5">
      <c r="A443" s="81" t="s">
        <v>72</v>
      </c>
      <c r="B443" s="65" t="s">
        <v>68</v>
      </c>
      <c r="C443" s="65" t="s">
        <v>62</v>
      </c>
      <c r="D443" s="66" t="s">
        <v>78</v>
      </c>
      <c r="E443" s="67"/>
      <c r="F443" s="65" t="s">
        <v>97</v>
      </c>
      <c r="G443" s="73">
        <v>57</v>
      </c>
      <c r="H443" s="74">
        <v>70</v>
      </c>
      <c r="I443" s="77">
        <f t="shared" si="14"/>
        <v>37.47795414462081</v>
      </c>
      <c r="J443" s="77">
        <v>17</v>
      </c>
      <c r="K443" s="77">
        <f t="shared" si="15"/>
        <v>17.170000000000002</v>
      </c>
      <c r="L443" s="68" t="s">
        <v>283</v>
      </c>
    </row>
    <row r="444" spans="1:12" ht="13.5">
      <c r="A444" s="81" t="s">
        <v>72</v>
      </c>
      <c r="B444" s="65" t="s">
        <v>68</v>
      </c>
      <c r="C444" s="65" t="s">
        <v>62</v>
      </c>
      <c r="D444" s="66" t="s">
        <v>78</v>
      </c>
      <c r="E444" s="67"/>
      <c r="F444" s="65" t="s">
        <v>97</v>
      </c>
      <c r="G444" s="73">
        <v>58</v>
      </c>
      <c r="H444" s="74">
        <v>70</v>
      </c>
      <c r="I444" s="77">
        <f t="shared" si="14"/>
        <v>37.918872934169869</v>
      </c>
      <c r="J444" s="77">
        <v>17.200000762939453</v>
      </c>
      <c r="K444" s="77">
        <f t="shared" si="15"/>
        <v>17.37200077056885</v>
      </c>
      <c r="L444" s="68" t="s">
        <v>283</v>
      </c>
    </row>
    <row r="445" spans="1:12" ht="13.5">
      <c r="A445" s="81"/>
      <c r="B445" s="65"/>
      <c r="C445" s="65"/>
      <c r="D445" s="66" t="s">
        <v>53</v>
      </c>
      <c r="E445" s="67"/>
      <c r="F445" s="65"/>
      <c r="G445" s="73">
        <v>58</v>
      </c>
      <c r="H445" s="74">
        <v>3989</v>
      </c>
      <c r="I445" s="77">
        <f t="shared" si="14"/>
        <v>2150.3527286401713</v>
      </c>
      <c r="J445" s="77">
        <v>975.39999771118164</v>
      </c>
      <c r="K445" s="77">
        <f t="shared" si="15"/>
        <v>985.15399768829343</v>
      </c>
      <c r="L445" s="68" t="s">
        <v>283</v>
      </c>
    </row>
    <row r="446" spans="1:12" ht="13.5">
      <c r="A446" s="81"/>
      <c r="B446" s="65"/>
      <c r="C446" s="65"/>
      <c r="D446" s="66" t="s">
        <v>76</v>
      </c>
      <c r="E446" s="67"/>
      <c r="F446" s="65"/>
      <c r="G446" s="73">
        <f>+G445+G386</f>
        <v>90</v>
      </c>
      <c r="H446" s="74">
        <f>+H445+H386</f>
        <v>6201</v>
      </c>
      <c r="I446" s="77">
        <f t="shared" si="14"/>
        <v>3340.6084513117607</v>
      </c>
      <c r="J446" s="77">
        <f>+J445+J386</f>
        <v>1515.2999935150146</v>
      </c>
      <c r="K446" s="77">
        <f t="shared" si="15"/>
        <v>1530.4529934501647</v>
      </c>
      <c r="L446" s="68" t="s">
        <v>283</v>
      </c>
    </row>
    <row r="447" spans="1:12" ht="13.5">
      <c r="A447" s="81"/>
      <c r="B447" s="65"/>
      <c r="C447" s="65"/>
      <c r="D447" s="66" t="s">
        <v>79</v>
      </c>
      <c r="E447" s="67"/>
      <c r="F447" s="65"/>
      <c r="G447" s="73">
        <f>+G241+G140+G123+G446+G353</f>
        <v>404</v>
      </c>
      <c r="H447" s="74">
        <f>+H241+H140+H123+H446+H353</f>
        <v>28635.4</v>
      </c>
      <c r="I447" s="77">
        <f>+I241+I140+I123+I446+I353</f>
        <v>15355.599651050736</v>
      </c>
      <c r="J447" s="77">
        <f>+J241+J140+J123+J446+J353</f>
        <v>6965.3000017166141</v>
      </c>
      <c r="K447" s="77">
        <f>+K241+K140+K123+K446+K353</f>
        <v>7034.9530017337802</v>
      </c>
      <c r="L447" s="68" t="s">
        <v>283</v>
      </c>
    </row>
    <row r="448" spans="1:12" ht="13.5">
      <c r="A448" s="81" t="s">
        <v>69</v>
      </c>
      <c r="B448" s="65" t="s">
        <v>73</v>
      </c>
      <c r="C448" s="65" t="s">
        <v>61</v>
      </c>
      <c r="D448" s="66" t="s">
        <v>64</v>
      </c>
      <c r="E448" s="67"/>
      <c r="F448" s="65" t="s">
        <v>98</v>
      </c>
      <c r="G448" s="73" t="s">
        <v>99</v>
      </c>
      <c r="H448" s="74" t="s">
        <v>100</v>
      </c>
      <c r="I448" s="77">
        <f t="shared" ref="I448:I511" si="16">+J448/0.4536</f>
        <v>37.47795414462081</v>
      </c>
      <c r="J448" s="77" t="s">
        <v>101</v>
      </c>
      <c r="K448" s="77">
        <f t="shared" ref="K448:K511" si="17">+J448*1.01</f>
        <v>17.170000000000002</v>
      </c>
      <c r="L448" s="68" t="s">
        <v>289</v>
      </c>
    </row>
    <row r="449" spans="1:12" ht="13.5">
      <c r="A449" s="81" t="s">
        <v>69</v>
      </c>
      <c r="B449" s="65" t="s">
        <v>73</v>
      </c>
      <c r="C449" s="65" t="s">
        <v>61</v>
      </c>
      <c r="D449" s="66" t="s">
        <v>64</v>
      </c>
      <c r="E449" s="67"/>
      <c r="F449" s="65" t="s">
        <v>98</v>
      </c>
      <c r="G449" s="73" t="s">
        <v>102</v>
      </c>
      <c r="H449" s="74" t="s">
        <v>103</v>
      </c>
      <c r="I449" s="77">
        <f t="shared" si="16"/>
        <v>37.698412698412703</v>
      </c>
      <c r="J449" s="77" t="s">
        <v>104</v>
      </c>
      <c r="K449" s="77">
        <f t="shared" si="17"/>
        <v>17.271000000000001</v>
      </c>
      <c r="L449" s="68" t="s">
        <v>289</v>
      </c>
    </row>
    <row r="450" spans="1:12" ht="13.5">
      <c r="A450" s="81" t="s">
        <v>69</v>
      </c>
      <c r="B450" s="65" t="s">
        <v>73</v>
      </c>
      <c r="C450" s="65" t="s">
        <v>61</v>
      </c>
      <c r="D450" s="66" t="s">
        <v>64</v>
      </c>
      <c r="E450" s="67"/>
      <c r="F450" s="65" t="s">
        <v>98</v>
      </c>
      <c r="G450" s="73" t="s">
        <v>105</v>
      </c>
      <c r="H450" s="74" t="s">
        <v>103</v>
      </c>
      <c r="I450" s="77">
        <f t="shared" si="16"/>
        <v>37.698412698412703</v>
      </c>
      <c r="J450" s="77" t="s">
        <v>104</v>
      </c>
      <c r="K450" s="77">
        <f t="shared" si="17"/>
        <v>17.271000000000001</v>
      </c>
      <c r="L450" s="68" t="s">
        <v>289</v>
      </c>
    </row>
    <row r="451" spans="1:12" ht="13.5">
      <c r="A451" s="81" t="s">
        <v>69</v>
      </c>
      <c r="B451" s="65" t="s">
        <v>73</v>
      </c>
      <c r="C451" s="65" t="s">
        <v>61</v>
      </c>
      <c r="D451" s="66" t="s">
        <v>64</v>
      </c>
      <c r="E451" s="67"/>
      <c r="F451" s="65" t="s">
        <v>98</v>
      </c>
      <c r="G451" s="73" t="s">
        <v>106</v>
      </c>
      <c r="H451" s="74" t="s">
        <v>100</v>
      </c>
      <c r="I451" s="77">
        <f t="shared" si="16"/>
        <v>35.934744268077601</v>
      </c>
      <c r="J451" s="77" t="s">
        <v>107</v>
      </c>
      <c r="K451" s="77">
        <f t="shared" si="17"/>
        <v>16.463000000000001</v>
      </c>
      <c r="L451" s="68" t="s">
        <v>289</v>
      </c>
    </row>
    <row r="452" spans="1:12" ht="13.5">
      <c r="A452" s="81" t="s">
        <v>69</v>
      </c>
      <c r="B452" s="65" t="s">
        <v>73</v>
      </c>
      <c r="C452" s="65" t="s">
        <v>61</v>
      </c>
      <c r="D452" s="66" t="s">
        <v>64</v>
      </c>
      <c r="E452" s="67"/>
      <c r="F452" s="65" t="s">
        <v>98</v>
      </c>
      <c r="G452" s="73" t="s">
        <v>108</v>
      </c>
      <c r="H452" s="74" t="s">
        <v>109</v>
      </c>
      <c r="I452" s="77">
        <f t="shared" si="16"/>
        <v>37.257495590828924</v>
      </c>
      <c r="J452" s="77" t="s">
        <v>110</v>
      </c>
      <c r="K452" s="77">
        <f t="shared" si="17"/>
        <v>17.068999999999999</v>
      </c>
      <c r="L452" s="68" t="s">
        <v>289</v>
      </c>
    </row>
    <row r="453" spans="1:12" ht="13.5">
      <c r="A453" s="81" t="s">
        <v>69</v>
      </c>
      <c r="B453" s="65" t="s">
        <v>73</v>
      </c>
      <c r="C453" s="65" t="s">
        <v>61</v>
      </c>
      <c r="D453" s="66" t="s">
        <v>64</v>
      </c>
      <c r="E453" s="67"/>
      <c r="F453" s="65" t="s">
        <v>98</v>
      </c>
      <c r="G453" s="73" t="s">
        <v>111</v>
      </c>
      <c r="H453" s="74" t="s">
        <v>103</v>
      </c>
      <c r="I453" s="77">
        <f t="shared" si="16"/>
        <v>37.698412698412703</v>
      </c>
      <c r="J453" s="77" t="s">
        <v>104</v>
      </c>
      <c r="K453" s="77">
        <f t="shared" si="17"/>
        <v>17.271000000000001</v>
      </c>
      <c r="L453" s="68" t="s">
        <v>289</v>
      </c>
    </row>
    <row r="454" spans="1:12" ht="13.5">
      <c r="A454" s="81" t="s">
        <v>69</v>
      </c>
      <c r="B454" s="65" t="s">
        <v>73</v>
      </c>
      <c r="C454" s="65" t="s">
        <v>61</v>
      </c>
      <c r="D454" s="66" t="s">
        <v>64</v>
      </c>
      <c r="E454" s="67"/>
      <c r="F454" s="65" t="s">
        <v>98</v>
      </c>
      <c r="G454" s="73" t="s">
        <v>112</v>
      </c>
      <c r="H454" s="74" t="s">
        <v>103</v>
      </c>
      <c r="I454" s="77">
        <f t="shared" si="16"/>
        <v>37.698412698412703</v>
      </c>
      <c r="J454" s="77" t="s">
        <v>104</v>
      </c>
      <c r="K454" s="77">
        <f t="shared" si="17"/>
        <v>17.271000000000001</v>
      </c>
      <c r="L454" s="68" t="s">
        <v>289</v>
      </c>
    </row>
    <row r="455" spans="1:12" ht="13.5">
      <c r="A455" s="81" t="s">
        <v>69</v>
      </c>
      <c r="B455" s="65" t="s">
        <v>73</v>
      </c>
      <c r="C455" s="65" t="s">
        <v>61</v>
      </c>
      <c r="D455" s="66" t="s">
        <v>64</v>
      </c>
      <c r="E455" s="67"/>
      <c r="F455" s="65" t="s">
        <v>98</v>
      </c>
      <c r="G455" s="73" t="s">
        <v>113</v>
      </c>
      <c r="H455" s="74" t="s">
        <v>114</v>
      </c>
      <c r="I455" s="77">
        <f t="shared" si="16"/>
        <v>38.580246913580247</v>
      </c>
      <c r="J455" s="77" t="s">
        <v>115</v>
      </c>
      <c r="K455" s="77">
        <f t="shared" si="17"/>
        <v>17.675000000000001</v>
      </c>
      <c r="L455" s="68" t="s">
        <v>289</v>
      </c>
    </row>
    <row r="456" spans="1:12" ht="13.5">
      <c r="A456" s="81" t="s">
        <v>69</v>
      </c>
      <c r="B456" s="65" t="s">
        <v>73</v>
      </c>
      <c r="C456" s="65" t="s">
        <v>61</v>
      </c>
      <c r="D456" s="66" t="s">
        <v>64</v>
      </c>
      <c r="E456" s="67"/>
      <c r="F456" s="65" t="s">
        <v>98</v>
      </c>
      <c r="G456" s="73" t="s">
        <v>116</v>
      </c>
      <c r="H456" s="74" t="s">
        <v>100</v>
      </c>
      <c r="I456" s="77">
        <f t="shared" si="16"/>
        <v>35.493827160493829</v>
      </c>
      <c r="J456" s="77" t="s">
        <v>117</v>
      </c>
      <c r="K456" s="77">
        <f t="shared" si="17"/>
        <v>16.261000000000003</v>
      </c>
      <c r="L456" s="68" t="s">
        <v>289</v>
      </c>
    </row>
    <row r="457" spans="1:12" ht="13.5">
      <c r="A457" s="81" t="s">
        <v>69</v>
      </c>
      <c r="B457" s="65" t="s">
        <v>73</v>
      </c>
      <c r="C457" s="65" t="s">
        <v>61</v>
      </c>
      <c r="D457" s="66" t="s">
        <v>64</v>
      </c>
      <c r="E457" s="67"/>
      <c r="F457" s="65" t="s">
        <v>98</v>
      </c>
      <c r="G457" s="73" t="s">
        <v>118</v>
      </c>
      <c r="H457" s="74" t="s">
        <v>119</v>
      </c>
      <c r="I457" s="77">
        <f t="shared" si="16"/>
        <v>36.155202821869487</v>
      </c>
      <c r="J457" s="77" t="s">
        <v>120</v>
      </c>
      <c r="K457" s="77">
        <f t="shared" si="17"/>
        <v>16.564</v>
      </c>
      <c r="L457" s="68" t="s">
        <v>289</v>
      </c>
    </row>
    <row r="458" spans="1:12" ht="13.5">
      <c r="A458" s="81" t="s">
        <v>69</v>
      </c>
      <c r="B458" s="65" t="s">
        <v>73</v>
      </c>
      <c r="C458" s="65" t="s">
        <v>61</v>
      </c>
      <c r="D458" s="66" t="s">
        <v>64</v>
      </c>
      <c r="E458" s="67"/>
      <c r="F458" s="65" t="s">
        <v>98</v>
      </c>
      <c r="G458" s="73" t="s">
        <v>121</v>
      </c>
      <c r="H458" s="74" t="s">
        <v>103</v>
      </c>
      <c r="I458" s="77">
        <f t="shared" si="16"/>
        <v>37.698412698412703</v>
      </c>
      <c r="J458" s="77" t="s">
        <v>104</v>
      </c>
      <c r="K458" s="77">
        <f t="shared" si="17"/>
        <v>17.271000000000001</v>
      </c>
      <c r="L458" s="68" t="s">
        <v>289</v>
      </c>
    </row>
    <row r="459" spans="1:12" ht="13.5">
      <c r="A459" s="81" t="s">
        <v>69</v>
      </c>
      <c r="B459" s="65" t="s">
        <v>73</v>
      </c>
      <c r="C459" s="65" t="s">
        <v>61</v>
      </c>
      <c r="D459" s="66" t="s">
        <v>64</v>
      </c>
      <c r="E459" s="67"/>
      <c r="F459" s="65" t="s">
        <v>98</v>
      </c>
      <c r="G459" s="73" t="s">
        <v>122</v>
      </c>
      <c r="H459" s="74" t="s">
        <v>109</v>
      </c>
      <c r="I459" s="77">
        <f t="shared" si="16"/>
        <v>37.257495590828924</v>
      </c>
      <c r="J459" s="77" t="s">
        <v>110</v>
      </c>
      <c r="K459" s="77">
        <f t="shared" si="17"/>
        <v>17.068999999999999</v>
      </c>
      <c r="L459" s="68" t="s">
        <v>289</v>
      </c>
    </row>
    <row r="460" spans="1:12" ht="13.5">
      <c r="A460" s="81" t="s">
        <v>69</v>
      </c>
      <c r="B460" s="65" t="s">
        <v>73</v>
      </c>
      <c r="C460" s="65" t="s">
        <v>61</v>
      </c>
      <c r="D460" s="66" t="s">
        <v>64</v>
      </c>
      <c r="E460" s="67"/>
      <c r="F460" s="65" t="s">
        <v>98</v>
      </c>
      <c r="G460" s="73" t="s">
        <v>123</v>
      </c>
      <c r="H460" s="74" t="s">
        <v>103</v>
      </c>
      <c r="I460" s="77">
        <f t="shared" si="16"/>
        <v>37.698412698412703</v>
      </c>
      <c r="J460" s="77" t="s">
        <v>104</v>
      </c>
      <c r="K460" s="77">
        <f t="shared" si="17"/>
        <v>17.271000000000001</v>
      </c>
      <c r="L460" s="68" t="s">
        <v>289</v>
      </c>
    </row>
    <row r="461" spans="1:12" ht="13.5">
      <c r="A461" s="81" t="s">
        <v>69</v>
      </c>
      <c r="B461" s="65" t="s">
        <v>73</v>
      </c>
      <c r="C461" s="65" t="s">
        <v>61</v>
      </c>
      <c r="D461" s="66" t="s">
        <v>64</v>
      </c>
      <c r="E461" s="67"/>
      <c r="F461" s="65" t="s">
        <v>98</v>
      </c>
      <c r="G461" s="73" t="s">
        <v>124</v>
      </c>
      <c r="H461" s="74" t="s">
        <v>114</v>
      </c>
      <c r="I461" s="77">
        <f t="shared" si="16"/>
        <v>38.580246913580247</v>
      </c>
      <c r="J461" s="77" t="s">
        <v>115</v>
      </c>
      <c r="K461" s="77">
        <f t="shared" si="17"/>
        <v>17.675000000000001</v>
      </c>
      <c r="L461" s="68" t="s">
        <v>289</v>
      </c>
    </row>
    <row r="462" spans="1:12" ht="13.5">
      <c r="A462" s="81" t="s">
        <v>69</v>
      </c>
      <c r="B462" s="65" t="s">
        <v>73</v>
      </c>
      <c r="C462" s="65" t="s">
        <v>61</v>
      </c>
      <c r="D462" s="66" t="s">
        <v>64</v>
      </c>
      <c r="E462" s="67"/>
      <c r="F462" s="65" t="s">
        <v>98</v>
      </c>
      <c r="G462" s="73" t="s">
        <v>125</v>
      </c>
      <c r="H462" s="74" t="s">
        <v>126</v>
      </c>
      <c r="I462" s="77">
        <f t="shared" si="16"/>
        <v>36.816578483245145</v>
      </c>
      <c r="J462" s="77" t="s">
        <v>127</v>
      </c>
      <c r="K462" s="77">
        <f t="shared" si="17"/>
        <v>16.867000000000001</v>
      </c>
      <c r="L462" s="68" t="s">
        <v>289</v>
      </c>
    </row>
    <row r="463" spans="1:12" ht="13.5">
      <c r="A463" s="81" t="s">
        <v>69</v>
      </c>
      <c r="B463" s="65" t="s">
        <v>73</v>
      </c>
      <c r="C463" s="65" t="s">
        <v>61</v>
      </c>
      <c r="D463" s="66" t="s">
        <v>64</v>
      </c>
      <c r="E463" s="67"/>
      <c r="F463" s="65" t="s">
        <v>98</v>
      </c>
      <c r="G463" s="73" t="s">
        <v>128</v>
      </c>
      <c r="H463" s="74" t="s">
        <v>119</v>
      </c>
      <c r="I463" s="77">
        <f t="shared" si="16"/>
        <v>36.155202821869487</v>
      </c>
      <c r="J463" s="77" t="s">
        <v>120</v>
      </c>
      <c r="K463" s="77">
        <f t="shared" si="17"/>
        <v>16.564</v>
      </c>
      <c r="L463" s="68" t="s">
        <v>289</v>
      </c>
    </row>
    <row r="464" spans="1:12" ht="13.5">
      <c r="A464" s="81" t="s">
        <v>69</v>
      </c>
      <c r="B464" s="65" t="s">
        <v>73</v>
      </c>
      <c r="C464" s="65" t="s">
        <v>61</v>
      </c>
      <c r="D464" s="66" t="s">
        <v>64</v>
      </c>
      <c r="E464" s="67"/>
      <c r="F464" s="65" t="s">
        <v>98</v>
      </c>
      <c r="G464" s="73" t="s">
        <v>129</v>
      </c>
      <c r="H464" s="74" t="s">
        <v>109</v>
      </c>
      <c r="I464" s="77">
        <f t="shared" si="16"/>
        <v>37.257495590828924</v>
      </c>
      <c r="J464" s="77" t="s">
        <v>110</v>
      </c>
      <c r="K464" s="77">
        <f t="shared" si="17"/>
        <v>17.068999999999999</v>
      </c>
      <c r="L464" s="68" t="s">
        <v>289</v>
      </c>
    </row>
    <row r="465" spans="1:12" ht="13.5">
      <c r="A465" s="81" t="s">
        <v>69</v>
      </c>
      <c r="B465" s="65" t="s">
        <v>73</v>
      </c>
      <c r="C465" s="65" t="s">
        <v>61</v>
      </c>
      <c r="D465" s="66" t="s">
        <v>64</v>
      </c>
      <c r="E465" s="67"/>
      <c r="F465" s="65" t="s">
        <v>98</v>
      </c>
      <c r="G465" s="73" t="s">
        <v>130</v>
      </c>
      <c r="H465" s="74" t="s">
        <v>103</v>
      </c>
      <c r="I465" s="77">
        <f t="shared" si="16"/>
        <v>37.698412698412703</v>
      </c>
      <c r="J465" s="77" t="s">
        <v>104</v>
      </c>
      <c r="K465" s="77">
        <f t="shared" si="17"/>
        <v>17.271000000000001</v>
      </c>
      <c r="L465" s="68" t="s">
        <v>289</v>
      </c>
    </row>
    <row r="466" spans="1:12" ht="13.5">
      <c r="A466" s="81" t="s">
        <v>69</v>
      </c>
      <c r="B466" s="65" t="s">
        <v>73</v>
      </c>
      <c r="C466" s="65" t="s">
        <v>61</v>
      </c>
      <c r="D466" s="66" t="s">
        <v>64</v>
      </c>
      <c r="E466" s="67"/>
      <c r="F466" s="65" t="s">
        <v>98</v>
      </c>
      <c r="G466" s="73" t="s">
        <v>131</v>
      </c>
      <c r="H466" s="74" t="s">
        <v>103</v>
      </c>
      <c r="I466" s="77">
        <f t="shared" si="16"/>
        <v>37.698412698412703</v>
      </c>
      <c r="J466" s="77" t="s">
        <v>104</v>
      </c>
      <c r="K466" s="77">
        <f t="shared" si="17"/>
        <v>17.271000000000001</v>
      </c>
      <c r="L466" s="68" t="s">
        <v>289</v>
      </c>
    </row>
    <row r="467" spans="1:12" ht="13.5">
      <c r="A467" s="81" t="s">
        <v>69</v>
      </c>
      <c r="B467" s="65" t="s">
        <v>73</v>
      </c>
      <c r="C467" s="65" t="s">
        <v>61</v>
      </c>
      <c r="D467" s="66" t="s">
        <v>64</v>
      </c>
      <c r="E467" s="67"/>
      <c r="F467" s="65" t="s">
        <v>98</v>
      </c>
      <c r="G467" s="73" t="s">
        <v>132</v>
      </c>
      <c r="H467" s="74" t="s">
        <v>103</v>
      </c>
      <c r="I467" s="77">
        <f t="shared" si="16"/>
        <v>37.698412698412703</v>
      </c>
      <c r="J467" s="77" t="s">
        <v>104</v>
      </c>
      <c r="K467" s="77">
        <f t="shared" si="17"/>
        <v>17.271000000000001</v>
      </c>
      <c r="L467" s="68" t="s">
        <v>289</v>
      </c>
    </row>
    <row r="468" spans="1:12" ht="13.5">
      <c r="A468" s="81" t="s">
        <v>69</v>
      </c>
      <c r="B468" s="65" t="s">
        <v>73</v>
      </c>
      <c r="C468" s="65" t="s">
        <v>61</v>
      </c>
      <c r="D468" s="66" t="s">
        <v>64</v>
      </c>
      <c r="E468" s="67"/>
      <c r="F468" s="65" t="s">
        <v>98</v>
      </c>
      <c r="G468" s="73" t="s">
        <v>133</v>
      </c>
      <c r="H468" s="74" t="s">
        <v>109</v>
      </c>
      <c r="I468" s="77">
        <f t="shared" si="16"/>
        <v>37.257495590828924</v>
      </c>
      <c r="J468" s="77" t="s">
        <v>110</v>
      </c>
      <c r="K468" s="77">
        <f t="shared" si="17"/>
        <v>17.068999999999999</v>
      </c>
      <c r="L468" s="68" t="s">
        <v>289</v>
      </c>
    </row>
    <row r="469" spans="1:12" ht="13.5">
      <c r="A469" s="81" t="s">
        <v>69</v>
      </c>
      <c r="B469" s="65" t="s">
        <v>73</v>
      </c>
      <c r="C469" s="65" t="s">
        <v>61</v>
      </c>
      <c r="D469" s="66" t="s">
        <v>64</v>
      </c>
      <c r="E469" s="67"/>
      <c r="F469" s="65" t="s">
        <v>98</v>
      </c>
      <c r="G469" s="73" t="s">
        <v>134</v>
      </c>
      <c r="H469" s="74" t="s">
        <v>109</v>
      </c>
      <c r="I469" s="77">
        <f t="shared" si="16"/>
        <v>37.257495590828924</v>
      </c>
      <c r="J469" s="77" t="s">
        <v>110</v>
      </c>
      <c r="K469" s="77">
        <f t="shared" si="17"/>
        <v>17.068999999999999</v>
      </c>
      <c r="L469" s="68" t="s">
        <v>289</v>
      </c>
    </row>
    <row r="470" spans="1:12" ht="13.5">
      <c r="A470" s="81" t="s">
        <v>69</v>
      </c>
      <c r="B470" s="65" t="s">
        <v>73</v>
      </c>
      <c r="C470" s="65" t="s">
        <v>61</v>
      </c>
      <c r="D470" s="66" t="s">
        <v>64</v>
      </c>
      <c r="E470" s="67"/>
      <c r="F470" s="65" t="s">
        <v>98</v>
      </c>
      <c r="G470" s="73" t="s">
        <v>135</v>
      </c>
      <c r="H470" s="74" t="s">
        <v>103</v>
      </c>
      <c r="I470" s="77">
        <f t="shared" si="16"/>
        <v>37.698412698412703</v>
      </c>
      <c r="J470" s="77" t="s">
        <v>104</v>
      </c>
      <c r="K470" s="77">
        <f t="shared" si="17"/>
        <v>17.271000000000001</v>
      </c>
      <c r="L470" s="68" t="s">
        <v>289</v>
      </c>
    </row>
    <row r="471" spans="1:12" ht="13.5">
      <c r="A471" s="81" t="s">
        <v>69</v>
      </c>
      <c r="B471" s="65" t="s">
        <v>73</v>
      </c>
      <c r="C471" s="65" t="s">
        <v>61</v>
      </c>
      <c r="D471" s="66" t="s">
        <v>64</v>
      </c>
      <c r="E471" s="67"/>
      <c r="F471" s="65" t="s">
        <v>98</v>
      </c>
      <c r="G471" s="73" t="s">
        <v>136</v>
      </c>
      <c r="H471" s="74" t="s">
        <v>109</v>
      </c>
      <c r="I471" s="77">
        <f t="shared" si="16"/>
        <v>37.257495590828924</v>
      </c>
      <c r="J471" s="77" t="s">
        <v>110</v>
      </c>
      <c r="K471" s="77">
        <f t="shared" si="17"/>
        <v>17.068999999999999</v>
      </c>
      <c r="L471" s="68" t="s">
        <v>289</v>
      </c>
    </row>
    <row r="472" spans="1:12" ht="13.5">
      <c r="A472" s="81" t="s">
        <v>69</v>
      </c>
      <c r="B472" s="65" t="s">
        <v>73</v>
      </c>
      <c r="C472" s="65" t="s">
        <v>61</v>
      </c>
      <c r="D472" s="66" t="s">
        <v>64</v>
      </c>
      <c r="E472" s="67"/>
      <c r="F472" s="65" t="s">
        <v>98</v>
      </c>
      <c r="G472" s="73" t="s">
        <v>137</v>
      </c>
      <c r="H472" s="74" t="s">
        <v>109</v>
      </c>
      <c r="I472" s="77">
        <f t="shared" si="16"/>
        <v>37.257495590828924</v>
      </c>
      <c r="J472" s="77" t="s">
        <v>110</v>
      </c>
      <c r="K472" s="77">
        <f t="shared" si="17"/>
        <v>17.068999999999999</v>
      </c>
      <c r="L472" s="68" t="s">
        <v>289</v>
      </c>
    </row>
    <row r="473" spans="1:12" ht="13.5">
      <c r="A473" s="81" t="s">
        <v>69</v>
      </c>
      <c r="B473" s="65" t="s">
        <v>73</v>
      </c>
      <c r="C473" s="65" t="s">
        <v>61</v>
      </c>
      <c r="D473" s="66" t="s">
        <v>64</v>
      </c>
      <c r="E473" s="67"/>
      <c r="F473" s="65" t="s">
        <v>98</v>
      </c>
      <c r="G473" s="73" t="s">
        <v>138</v>
      </c>
      <c r="H473" s="74" t="s">
        <v>109</v>
      </c>
      <c r="I473" s="77">
        <f t="shared" si="16"/>
        <v>37.257495590828924</v>
      </c>
      <c r="J473" s="77" t="s">
        <v>110</v>
      </c>
      <c r="K473" s="77">
        <f t="shared" si="17"/>
        <v>17.068999999999999</v>
      </c>
      <c r="L473" s="68" t="s">
        <v>289</v>
      </c>
    </row>
    <row r="474" spans="1:12" ht="13.5">
      <c r="A474" s="81" t="s">
        <v>69</v>
      </c>
      <c r="B474" s="65" t="s">
        <v>73</v>
      </c>
      <c r="C474" s="65" t="s">
        <v>61</v>
      </c>
      <c r="D474" s="66" t="s">
        <v>64</v>
      </c>
      <c r="E474" s="67"/>
      <c r="F474" s="65" t="s">
        <v>98</v>
      </c>
      <c r="G474" s="73" t="s">
        <v>139</v>
      </c>
      <c r="H474" s="74" t="s">
        <v>103</v>
      </c>
      <c r="I474" s="77">
        <f t="shared" si="16"/>
        <v>37.698412698412703</v>
      </c>
      <c r="J474" s="77" t="s">
        <v>104</v>
      </c>
      <c r="K474" s="77">
        <f t="shared" si="17"/>
        <v>17.271000000000001</v>
      </c>
      <c r="L474" s="68" t="s">
        <v>289</v>
      </c>
    </row>
    <row r="475" spans="1:12" ht="13.5">
      <c r="A475" s="81" t="s">
        <v>69</v>
      </c>
      <c r="B475" s="65" t="s">
        <v>73</v>
      </c>
      <c r="C475" s="65" t="s">
        <v>61</v>
      </c>
      <c r="D475" s="66" t="s">
        <v>64</v>
      </c>
      <c r="E475" s="67"/>
      <c r="F475" s="65" t="s">
        <v>98</v>
      </c>
      <c r="G475" s="73" t="s">
        <v>140</v>
      </c>
      <c r="H475" s="74" t="s">
        <v>114</v>
      </c>
      <c r="I475" s="77">
        <f t="shared" si="16"/>
        <v>38.580246913580247</v>
      </c>
      <c r="J475" s="77" t="s">
        <v>115</v>
      </c>
      <c r="K475" s="77">
        <f t="shared" si="17"/>
        <v>17.675000000000001</v>
      </c>
      <c r="L475" s="68" t="s">
        <v>289</v>
      </c>
    </row>
    <row r="476" spans="1:12" ht="13.5">
      <c r="A476" s="81" t="s">
        <v>69</v>
      </c>
      <c r="B476" s="65" t="s">
        <v>73</v>
      </c>
      <c r="C476" s="65" t="s">
        <v>61</v>
      </c>
      <c r="D476" s="66" t="s">
        <v>64</v>
      </c>
      <c r="E476" s="67"/>
      <c r="F476" s="65" t="s">
        <v>98</v>
      </c>
      <c r="G476" s="73" t="s">
        <v>141</v>
      </c>
      <c r="H476" s="74" t="s">
        <v>109</v>
      </c>
      <c r="I476" s="77">
        <f t="shared" si="16"/>
        <v>37.257495590828924</v>
      </c>
      <c r="J476" s="77" t="s">
        <v>110</v>
      </c>
      <c r="K476" s="77">
        <f t="shared" si="17"/>
        <v>17.068999999999999</v>
      </c>
      <c r="L476" s="68" t="s">
        <v>289</v>
      </c>
    </row>
    <row r="477" spans="1:12" ht="13.5">
      <c r="A477" s="81" t="s">
        <v>69</v>
      </c>
      <c r="B477" s="65" t="s">
        <v>73</v>
      </c>
      <c r="C477" s="65" t="s">
        <v>61</v>
      </c>
      <c r="D477" s="66" t="s">
        <v>64</v>
      </c>
      <c r="E477" s="67"/>
      <c r="F477" s="65" t="s">
        <v>98</v>
      </c>
      <c r="G477" s="73" t="s">
        <v>142</v>
      </c>
      <c r="H477" s="74" t="s">
        <v>114</v>
      </c>
      <c r="I477" s="77">
        <f t="shared" si="16"/>
        <v>38.580246913580247</v>
      </c>
      <c r="J477" s="77" t="s">
        <v>115</v>
      </c>
      <c r="K477" s="77">
        <f t="shared" si="17"/>
        <v>17.675000000000001</v>
      </c>
      <c r="L477" s="68" t="s">
        <v>289</v>
      </c>
    </row>
    <row r="478" spans="1:12" ht="13.5">
      <c r="A478" s="81" t="s">
        <v>69</v>
      </c>
      <c r="B478" s="65" t="s">
        <v>73</v>
      </c>
      <c r="C478" s="65" t="s">
        <v>61</v>
      </c>
      <c r="D478" s="66" t="s">
        <v>64</v>
      </c>
      <c r="E478" s="67"/>
      <c r="F478" s="65" t="s">
        <v>98</v>
      </c>
      <c r="G478" s="73" t="s">
        <v>143</v>
      </c>
      <c r="H478" s="74" t="s">
        <v>144</v>
      </c>
      <c r="I478" s="77">
        <f t="shared" si="16"/>
        <v>34.391534391534393</v>
      </c>
      <c r="J478" s="77" t="s">
        <v>145</v>
      </c>
      <c r="K478" s="77">
        <f t="shared" si="17"/>
        <v>15.756</v>
      </c>
      <c r="L478" s="68" t="s">
        <v>289</v>
      </c>
    </row>
    <row r="479" spans="1:12" ht="13.5">
      <c r="A479" s="81" t="s">
        <v>69</v>
      </c>
      <c r="B479" s="65" t="s">
        <v>73</v>
      </c>
      <c r="C479" s="65" t="s">
        <v>61</v>
      </c>
      <c r="D479" s="66" t="s">
        <v>64</v>
      </c>
      <c r="E479" s="67"/>
      <c r="F479" s="65" t="s">
        <v>98</v>
      </c>
      <c r="G479" s="73" t="s">
        <v>146</v>
      </c>
      <c r="H479" s="74" t="s">
        <v>109</v>
      </c>
      <c r="I479" s="77">
        <f t="shared" si="16"/>
        <v>37.257495590828924</v>
      </c>
      <c r="J479" s="77" t="s">
        <v>110</v>
      </c>
      <c r="K479" s="77">
        <f t="shared" si="17"/>
        <v>17.068999999999999</v>
      </c>
      <c r="L479" s="68" t="s">
        <v>289</v>
      </c>
    </row>
    <row r="480" spans="1:12" ht="13.5">
      <c r="A480" s="81" t="s">
        <v>69</v>
      </c>
      <c r="B480" s="65" t="s">
        <v>73</v>
      </c>
      <c r="C480" s="65" t="s">
        <v>61</v>
      </c>
      <c r="D480" s="66" t="s">
        <v>64</v>
      </c>
      <c r="E480" s="67"/>
      <c r="F480" s="65" t="s">
        <v>98</v>
      </c>
      <c r="G480" s="73" t="s">
        <v>147</v>
      </c>
      <c r="H480" s="74" t="s">
        <v>148</v>
      </c>
      <c r="I480" s="77">
        <f t="shared" si="16"/>
        <v>38.139329805996475</v>
      </c>
      <c r="J480" s="77" t="s">
        <v>149</v>
      </c>
      <c r="K480" s="77">
        <f t="shared" si="17"/>
        <v>17.473000000000003</v>
      </c>
      <c r="L480" s="68" t="s">
        <v>289</v>
      </c>
    </row>
    <row r="481" spans="1:12" ht="13.5">
      <c r="A481" s="81" t="s">
        <v>69</v>
      </c>
      <c r="B481" s="65" t="s">
        <v>73</v>
      </c>
      <c r="C481" s="65" t="s">
        <v>61</v>
      </c>
      <c r="D481" s="66" t="s">
        <v>64</v>
      </c>
      <c r="E481" s="67"/>
      <c r="F481" s="65" t="s">
        <v>98</v>
      </c>
      <c r="G481" s="73" t="s">
        <v>150</v>
      </c>
      <c r="H481" s="74" t="s">
        <v>100</v>
      </c>
      <c r="I481" s="77">
        <f t="shared" si="16"/>
        <v>35.934744268077601</v>
      </c>
      <c r="J481" s="77" t="s">
        <v>107</v>
      </c>
      <c r="K481" s="77">
        <f t="shared" si="17"/>
        <v>16.463000000000001</v>
      </c>
      <c r="L481" s="68" t="s">
        <v>289</v>
      </c>
    </row>
    <row r="482" spans="1:12" ht="13.5">
      <c r="A482" s="81" t="s">
        <v>69</v>
      </c>
      <c r="B482" s="65" t="s">
        <v>73</v>
      </c>
      <c r="C482" s="65" t="s">
        <v>61</v>
      </c>
      <c r="D482" s="66" t="s">
        <v>64</v>
      </c>
      <c r="E482" s="67"/>
      <c r="F482" s="65" t="s">
        <v>98</v>
      </c>
      <c r="G482" s="73" t="s">
        <v>151</v>
      </c>
      <c r="H482" s="74" t="s">
        <v>148</v>
      </c>
      <c r="I482" s="77">
        <f t="shared" si="16"/>
        <v>38.139329805996475</v>
      </c>
      <c r="J482" s="77" t="s">
        <v>149</v>
      </c>
      <c r="K482" s="77">
        <f t="shared" si="17"/>
        <v>17.473000000000003</v>
      </c>
      <c r="L482" s="68" t="s">
        <v>289</v>
      </c>
    </row>
    <row r="483" spans="1:12" ht="13.5">
      <c r="A483" s="81" t="s">
        <v>69</v>
      </c>
      <c r="B483" s="65" t="s">
        <v>73</v>
      </c>
      <c r="C483" s="65" t="s">
        <v>61</v>
      </c>
      <c r="D483" s="66" t="s">
        <v>64</v>
      </c>
      <c r="E483" s="67"/>
      <c r="F483" s="65" t="s">
        <v>98</v>
      </c>
      <c r="G483" s="73" t="s">
        <v>152</v>
      </c>
      <c r="H483" s="74" t="s">
        <v>103</v>
      </c>
      <c r="I483" s="77">
        <f t="shared" si="16"/>
        <v>37.47795414462081</v>
      </c>
      <c r="J483" s="77" t="s">
        <v>101</v>
      </c>
      <c r="K483" s="77">
        <f t="shared" si="17"/>
        <v>17.170000000000002</v>
      </c>
      <c r="L483" s="68" t="s">
        <v>289</v>
      </c>
    </row>
    <row r="484" spans="1:12" ht="13.5">
      <c r="A484" s="81" t="s">
        <v>69</v>
      </c>
      <c r="B484" s="65" t="s">
        <v>73</v>
      </c>
      <c r="C484" s="65" t="s">
        <v>61</v>
      </c>
      <c r="D484" s="66" t="s">
        <v>64</v>
      </c>
      <c r="E484" s="67"/>
      <c r="F484" s="65" t="s">
        <v>98</v>
      </c>
      <c r="G484" s="73" t="s">
        <v>153</v>
      </c>
      <c r="H484" s="74" t="s">
        <v>119</v>
      </c>
      <c r="I484" s="77">
        <f t="shared" si="16"/>
        <v>36.375661375661373</v>
      </c>
      <c r="J484" s="77" t="s">
        <v>154</v>
      </c>
      <c r="K484" s="77">
        <f t="shared" si="17"/>
        <v>16.664999999999999</v>
      </c>
      <c r="L484" s="68" t="s">
        <v>289</v>
      </c>
    </row>
    <row r="485" spans="1:12" ht="13.5">
      <c r="A485" s="81"/>
      <c r="B485" s="65"/>
      <c r="C485" s="65"/>
      <c r="D485" s="66"/>
      <c r="E485" s="67"/>
      <c r="F485" s="65" t="s">
        <v>87</v>
      </c>
      <c r="G485" s="73">
        <v>37</v>
      </c>
      <c r="H485" s="74" t="s">
        <v>155</v>
      </c>
      <c r="I485" s="77">
        <f t="shared" si="16"/>
        <v>1380.0705467372134</v>
      </c>
      <c r="J485" s="77" t="s">
        <v>156</v>
      </c>
      <c r="K485" s="77">
        <f t="shared" si="17"/>
        <v>632.26</v>
      </c>
      <c r="L485" s="68" t="s">
        <v>289</v>
      </c>
    </row>
    <row r="486" spans="1:12" ht="13.5">
      <c r="A486" s="81" t="s">
        <v>69</v>
      </c>
      <c r="B486" s="65" t="s">
        <v>73</v>
      </c>
      <c r="C486" s="65" t="s">
        <v>61</v>
      </c>
      <c r="D486" s="66" t="s">
        <v>64</v>
      </c>
      <c r="E486" s="67"/>
      <c r="F486" s="65" t="s">
        <v>157</v>
      </c>
      <c r="G486" s="73" t="s">
        <v>99</v>
      </c>
      <c r="H486" s="74" t="s">
        <v>109</v>
      </c>
      <c r="I486" s="77">
        <f t="shared" si="16"/>
        <v>37.257495590828924</v>
      </c>
      <c r="J486" s="77" t="s">
        <v>110</v>
      </c>
      <c r="K486" s="77">
        <f t="shared" si="17"/>
        <v>17.068999999999999</v>
      </c>
      <c r="L486" s="68" t="s">
        <v>289</v>
      </c>
    </row>
    <row r="487" spans="1:12" ht="13.5">
      <c r="A487" s="81" t="s">
        <v>69</v>
      </c>
      <c r="B487" s="65" t="s">
        <v>73</v>
      </c>
      <c r="C487" s="65" t="s">
        <v>61</v>
      </c>
      <c r="D487" s="66" t="s">
        <v>64</v>
      </c>
      <c r="E487" s="67"/>
      <c r="F487" s="65" t="s">
        <v>157</v>
      </c>
      <c r="G487" s="73" t="s">
        <v>102</v>
      </c>
      <c r="H487" s="74" t="s">
        <v>109</v>
      </c>
      <c r="I487" s="77">
        <f t="shared" si="16"/>
        <v>37.257495590828924</v>
      </c>
      <c r="J487" s="77" t="s">
        <v>110</v>
      </c>
      <c r="K487" s="77">
        <f t="shared" si="17"/>
        <v>17.068999999999999</v>
      </c>
      <c r="L487" s="68" t="s">
        <v>289</v>
      </c>
    </row>
    <row r="488" spans="1:12" ht="13.5">
      <c r="A488" s="81" t="s">
        <v>69</v>
      </c>
      <c r="B488" s="65" t="s">
        <v>73</v>
      </c>
      <c r="C488" s="65" t="s">
        <v>61</v>
      </c>
      <c r="D488" s="66" t="s">
        <v>64</v>
      </c>
      <c r="E488" s="67"/>
      <c r="F488" s="65" t="s">
        <v>157</v>
      </c>
      <c r="G488" s="73" t="s">
        <v>105</v>
      </c>
      <c r="H488" s="74" t="s">
        <v>109</v>
      </c>
      <c r="I488" s="77">
        <f t="shared" si="16"/>
        <v>37.257495590828924</v>
      </c>
      <c r="J488" s="77" t="s">
        <v>110</v>
      </c>
      <c r="K488" s="77">
        <f t="shared" si="17"/>
        <v>17.068999999999999</v>
      </c>
      <c r="L488" s="68" t="s">
        <v>289</v>
      </c>
    </row>
    <row r="489" spans="1:12" ht="13.5">
      <c r="A489" s="81" t="s">
        <v>69</v>
      </c>
      <c r="B489" s="65" t="s">
        <v>73</v>
      </c>
      <c r="C489" s="65" t="s">
        <v>61</v>
      </c>
      <c r="D489" s="66" t="s">
        <v>64</v>
      </c>
      <c r="E489" s="67"/>
      <c r="F489" s="65" t="s">
        <v>157</v>
      </c>
      <c r="G489" s="73" t="s">
        <v>106</v>
      </c>
      <c r="H489" s="74" t="s">
        <v>109</v>
      </c>
      <c r="I489" s="77">
        <f t="shared" si="16"/>
        <v>37.037037037037038</v>
      </c>
      <c r="J489" s="77" t="s">
        <v>158</v>
      </c>
      <c r="K489" s="77">
        <f t="shared" si="17"/>
        <v>16.968</v>
      </c>
      <c r="L489" s="68" t="s">
        <v>289</v>
      </c>
    </row>
    <row r="490" spans="1:12" ht="13.5">
      <c r="A490" s="81" t="s">
        <v>69</v>
      </c>
      <c r="B490" s="65" t="s">
        <v>73</v>
      </c>
      <c r="C490" s="65" t="s">
        <v>61</v>
      </c>
      <c r="D490" s="66" t="s">
        <v>64</v>
      </c>
      <c r="E490" s="67"/>
      <c r="F490" s="65" t="s">
        <v>157</v>
      </c>
      <c r="G490" s="73" t="s">
        <v>108</v>
      </c>
      <c r="H490" s="74" t="s">
        <v>103</v>
      </c>
      <c r="I490" s="77">
        <f t="shared" si="16"/>
        <v>37.47795414462081</v>
      </c>
      <c r="J490" s="77" t="s">
        <v>101</v>
      </c>
      <c r="K490" s="77">
        <f t="shared" si="17"/>
        <v>17.170000000000002</v>
      </c>
      <c r="L490" s="68" t="s">
        <v>289</v>
      </c>
    </row>
    <row r="491" spans="1:12" ht="13.5">
      <c r="A491" s="81" t="s">
        <v>69</v>
      </c>
      <c r="B491" s="65" t="s">
        <v>73</v>
      </c>
      <c r="C491" s="65" t="s">
        <v>61</v>
      </c>
      <c r="D491" s="66" t="s">
        <v>64</v>
      </c>
      <c r="E491" s="67"/>
      <c r="F491" s="65" t="s">
        <v>157</v>
      </c>
      <c r="G491" s="73" t="s">
        <v>111</v>
      </c>
      <c r="H491" s="74" t="s">
        <v>103</v>
      </c>
      <c r="I491" s="77">
        <f t="shared" si="16"/>
        <v>37.47795414462081</v>
      </c>
      <c r="J491" s="77" t="s">
        <v>101</v>
      </c>
      <c r="K491" s="77">
        <f t="shared" si="17"/>
        <v>17.170000000000002</v>
      </c>
      <c r="L491" s="68" t="s">
        <v>289</v>
      </c>
    </row>
    <row r="492" spans="1:12" ht="13.5">
      <c r="A492" s="81" t="s">
        <v>69</v>
      </c>
      <c r="B492" s="65" t="s">
        <v>73</v>
      </c>
      <c r="C492" s="65" t="s">
        <v>61</v>
      </c>
      <c r="D492" s="66" t="s">
        <v>64</v>
      </c>
      <c r="E492" s="67"/>
      <c r="F492" s="65" t="s">
        <v>157</v>
      </c>
      <c r="G492" s="73" t="s">
        <v>112</v>
      </c>
      <c r="H492" s="74" t="s">
        <v>103</v>
      </c>
      <c r="I492" s="77">
        <f t="shared" si="16"/>
        <v>37.47795414462081</v>
      </c>
      <c r="J492" s="77" t="s">
        <v>101</v>
      </c>
      <c r="K492" s="77">
        <f t="shared" si="17"/>
        <v>17.170000000000002</v>
      </c>
      <c r="L492" s="68" t="s">
        <v>289</v>
      </c>
    </row>
    <row r="493" spans="1:12" ht="13.5">
      <c r="A493" s="81" t="s">
        <v>69</v>
      </c>
      <c r="B493" s="65" t="s">
        <v>73</v>
      </c>
      <c r="C493" s="65" t="s">
        <v>61</v>
      </c>
      <c r="D493" s="66" t="s">
        <v>64</v>
      </c>
      <c r="E493" s="67"/>
      <c r="F493" s="65" t="s">
        <v>157</v>
      </c>
      <c r="G493" s="73" t="s">
        <v>113</v>
      </c>
      <c r="H493" s="74" t="s">
        <v>103</v>
      </c>
      <c r="I493" s="77">
        <f t="shared" si="16"/>
        <v>37.47795414462081</v>
      </c>
      <c r="J493" s="77" t="s">
        <v>101</v>
      </c>
      <c r="K493" s="77">
        <f t="shared" si="17"/>
        <v>17.170000000000002</v>
      </c>
      <c r="L493" s="68" t="s">
        <v>289</v>
      </c>
    </row>
    <row r="494" spans="1:12" ht="13.5">
      <c r="A494" s="81" t="s">
        <v>69</v>
      </c>
      <c r="B494" s="65" t="s">
        <v>73</v>
      </c>
      <c r="C494" s="65" t="s">
        <v>61</v>
      </c>
      <c r="D494" s="66" t="s">
        <v>64</v>
      </c>
      <c r="E494" s="67"/>
      <c r="F494" s="65" t="s">
        <v>157</v>
      </c>
      <c r="G494" s="73" t="s">
        <v>116</v>
      </c>
      <c r="H494" s="74" t="s">
        <v>103</v>
      </c>
      <c r="I494" s="77">
        <f t="shared" si="16"/>
        <v>37.47795414462081</v>
      </c>
      <c r="J494" s="77" t="s">
        <v>101</v>
      </c>
      <c r="K494" s="77">
        <f t="shared" si="17"/>
        <v>17.170000000000002</v>
      </c>
      <c r="L494" s="68" t="s">
        <v>289</v>
      </c>
    </row>
    <row r="495" spans="1:12" ht="13.5">
      <c r="A495" s="81" t="s">
        <v>69</v>
      </c>
      <c r="B495" s="65" t="s">
        <v>73</v>
      </c>
      <c r="C495" s="65" t="s">
        <v>61</v>
      </c>
      <c r="D495" s="66" t="s">
        <v>64</v>
      </c>
      <c r="E495" s="67"/>
      <c r="F495" s="65" t="s">
        <v>157</v>
      </c>
      <c r="G495" s="73" t="s">
        <v>118</v>
      </c>
      <c r="H495" s="74" t="s">
        <v>103</v>
      </c>
      <c r="I495" s="77">
        <f t="shared" si="16"/>
        <v>37.47795414462081</v>
      </c>
      <c r="J495" s="77" t="s">
        <v>101</v>
      </c>
      <c r="K495" s="77">
        <f t="shared" si="17"/>
        <v>17.170000000000002</v>
      </c>
      <c r="L495" s="68" t="s">
        <v>289</v>
      </c>
    </row>
    <row r="496" spans="1:12" ht="13.5">
      <c r="A496" s="81" t="s">
        <v>69</v>
      </c>
      <c r="B496" s="65" t="s">
        <v>73</v>
      </c>
      <c r="C496" s="65" t="s">
        <v>61</v>
      </c>
      <c r="D496" s="66" t="s">
        <v>64</v>
      </c>
      <c r="E496" s="67"/>
      <c r="F496" s="65" t="s">
        <v>157</v>
      </c>
      <c r="G496" s="73" t="s">
        <v>121</v>
      </c>
      <c r="H496" s="74" t="s">
        <v>103</v>
      </c>
      <c r="I496" s="77">
        <f t="shared" si="16"/>
        <v>37.47795414462081</v>
      </c>
      <c r="J496" s="77" t="s">
        <v>101</v>
      </c>
      <c r="K496" s="77">
        <f t="shared" si="17"/>
        <v>17.170000000000002</v>
      </c>
      <c r="L496" s="68" t="s">
        <v>289</v>
      </c>
    </row>
    <row r="497" spans="1:12" ht="13.5">
      <c r="A497" s="81" t="s">
        <v>69</v>
      </c>
      <c r="B497" s="65" t="s">
        <v>73</v>
      </c>
      <c r="C497" s="65" t="s">
        <v>61</v>
      </c>
      <c r="D497" s="66" t="s">
        <v>64</v>
      </c>
      <c r="E497" s="67"/>
      <c r="F497" s="65" t="s">
        <v>157</v>
      </c>
      <c r="G497" s="73" t="s">
        <v>122</v>
      </c>
      <c r="H497" s="74" t="s">
        <v>103</v>
      </c>
      <c r="I497" s="77">
        <f t="shared" si="16"/>
        <v>37.698412698412703</v>
      </c>
      <c r="J497" s="77" t="s">
        <v>104</v>
      </c>
      <c r="K497" s="77">
        <f t="shared" si="17"/>
        <v>17.271000000000001</v>
      </c>
      <c r="L497" s="68" t="s">
        <v>289</v>
      </c>
    </row>
    <row r="498" spans="1:12" ht="13.5">
      <c r="A498" s="81" t="s">
        <v>69</v>
      </c>
      <c r="B498" s="65" t="s">
        <v>73</v>
      </c>
      <c r="C498" s="65" t="s">
        <v>61</v>
      </c>
      <c r="D498" s="66" t="s">
        <v>64</v>
      </c>
      <c r="E498" s="67"/>
      <c r="F498" s="65" t="s">
        <v>157</v>
      </c>
      <c r="G498" s="73" t="s">
        <v>123</v>
      </c>
      <c r="H498" s="74" t="s">
        <v>126</v>
      </c>
      <c r="I498" s="77">
        <f t="shared" si="16"/>
        <v>36.596119929453266</v>
      </c>
      <c r="J498" s="77" t="s">
        <v>159</v>
      </c>
      <c r="K498" s="77">
        <f t="shared" si="17"/>
        <v>16.766000000000002</v>
      </c>
      <c r="L498" s="68" t="s">
        <v>289</v>
      </c>
    </row>
    <row r="499" spans="1:12" ht="13.5">
      <c r="A499" s="81" t="s">
        <v>69</v>
      </c>
      <c r="B499" s="65" t="s">
        <v>73</v>
      </c>
      <c r="C499" s="65" t="s">
        <v>61</v>
      </c>
      <c r="D499" s="66" t="s">
        <v>64</v>
      </c>
      <c r="E499" s="67"/>
      <c r="F499" s="65" t="s">
        <v>157</v>
      </c>
      <c r="G499" s="73" t="s">
        <v>124</v>
      </c>
      <c r="H499" s="74" t="s">
        <v>114</v>
      </c>
      <c r="I499" s="77">
        <f t="shared" si="16"/>
        <v>38.80070546737214</v>
      </c>
      <c r="J499" s="77" t="s">
        <v>160</v>
      </c>
      <c r="K499" s="77">
        <f t="shared" si="17"/>
        <v>17.776000000000003</v>
      </c>
      <c r="L499" s="68" t="s">
        <v>289</v>
      </c>
    </row>
    <row r="500" spans="1:12" ht="13.5">
      <c r="A500" s="81" t="s">
        <v>69</v>
      </c>
      <c r="B500" s="65" t="s">
        <v>73</v>
      </c>
      <c r="C500" s="65" t="s">
        <v>61</v>
      </c>
      <c r="D500" s="66" t="s">
        <v>64</v>
      </c>
      <c r="E500" s="67"/>
      <c r="F500" s="65" t="s">
        <v>157</v>
      </c>
      <c r="G500" s="73" t="s">
        <v>161</v>
      </c>
      <c r="H500" s="74" t="s">
        <v>148</v>
      </c>
      <c r="I500" s="77">
        <f t="shared" si="16"/>
        <v>38.139329805996475</v>
      </c>
      <c r="J500" s="77" t="s">
        <v>149</v>
      </c>
      <c r="K500" s="77">
        <f t="shared" si="17"/>
        <v>17.473000000000003</v>
      </c>
      <c r="L500" s="68" t="s">
        <v>289</v>
      </c>
    </row>
    <row r="501" spans="1:12" ht="13.5">
      <c r="A501" s="81" t="s">
        <v>69</v>
      </c>
      <c r="B501" s="65" t="s">
        <v>73</v>
      </c>
      <c r="C501" s="65" t="s">
        <v>61</v>
      </c>
      <c r="D501" s="66" t="s">
        <v>64</v>
      </c>
      <c r="E501" s="67"/>
      <c r="F501" s="65" t="s">
        <v>157</v>
      </c>
      <c r="G501" s="73" t="s">
        <v>125</v>
      </c>
      <c r="H501" s="74" t="s">
        <v>148</v>
      </c>
      <c r="I501" s="77">
        <f t="shared" si="16"/>
        <v>38.359788359788354</v>
      </c>
      <c r="J501" s="77" t="s">
        <v>162</v>
      </c>
      <c r="K501" s="77">
        <f t="shared" si="17"/>
        <v>17.573999999999998</v>
      </c>
      <c r="L501" s="68" t="s">
        <v>289</v>
      </c>
    </row>
    <row r="502" spans="1:12" ht="13.5">
      <c r="A502" s="81" t="s">
        <v>69</v>
      </c>
      <c r="B502" s="65" t="s">
        <v>73</v>
      </c>
      <c r="C502" s="65" t="s">
        <v>61</v>
      </c>
      <c r="D502" s="66" t="s">
        <v>64</v>
      </c>
      <c r="E502" s="67"/>
      <c r="F502" s="65" t="s">
        <v>157</v>
      </c>
      <c r="G502" s="73" t="s">
        <v>128</v>
      </c>
      <c r="H502" s="74" t="s">
        <v>148</v>
      </c>
      <c r="I502" s="77">
        <f t="shared" si="16"/>
        <v>38.359788359788354</v>
      </c>
      <c r="J502" s="77" t="s">
        <v>162</v>
      </c>
      <c r="K502" s="77">
        <f t="shared" si="17"/>
        <v>17.573999999999998</v>
      </c>
      <c r="L502" s="68" t="s">
        <v>289</v>
      </c>
    </row>
    <row r="503" spans="1:12" ht="13.5">
      <c r="A503" s="81" t="s">
        <v>69</v>
      </c>
      <c r="B503" s="65" t="s">
        <v>73</v>
      </c>
      <c r="C503" s="65" t="s">
        <v>61</v>
      </c>
      <c r="D503" s="66" t="s">
        <v>64</v>
      </c>
      <c r="E503" s="67"/>
      <c r="F503" s="65" t="s">
        <v>157</v>
      </c>
      <c r="G503" s="73" t="s">
        <v>129</v>
      </c>
      <c r="H503" s="74" t="s">
        <v>148</v>
      </c>
      <c r="I503" s="77">
        <f t="shared" si="16"/>
        <v>37.918871252204582</v>
      </c>
      <c r="J503" s="77" t="s">
        <v>163</v>
      </c>
      <c r="K503" s="77">
        <f t="shared" si="17"/>
        <v>17.372</v>
      </c>
      <c r="L503" s="68" t="s">
        <v>289</v>
      </c>
    </row>
    <row r="504" spans="1:12" ht="13.5">
      <c r="A504" s="81" t="s">
        <v>69</v>
      </c>
      <c r="B504" s="65" t="s">
        <v>73</v>
      </c>
      <c r="C504" s="65" t="s">
        <v>61</v>
      </c>
      <c r="D504" s="66" t="s">
        <v>64</v>
      </c>
      <c r="E504" s="67"/>
      <c r="F504" s="65" t="s">
        <v>157</v>
      </c>
      <c r="G504" s="73" t="s">
        <v>130</v>
      </c>
      <c r="H504" s="74" t="s">
        <v>114</v>
      </c>
      <c r="I504" s="77">
        <f t="shared" si="16"/>
        <v>38.80070546737214</v>
      </c>
      <c r="J504" s="77" t="s">
        <v>160</v>
      </c>
      <c r="K504" s="77">
        <f t="shared" si="17"/>
        <v>17.776000000000003</v>
      </c>
      <c r="L504" s="68" t="s">
        <v>289</v>
      </c>
    </row>
    <row r="505" spans="1:12" ht="13.5">
      <c r="A505" s="81" t="s">
        <v>69</v>
      </c>
      <c r="B505" s="65" t="s">
        <v>73</v>
      </c>
      <c r="C505" s="65" t="s">
        <v>61</v>
      </c>
      <c r="D505" s="66" t="s">
        <v>64</v>
      </c>
      <c r="E505" s="67"/>
      <c r="F505" s="65" t="s">
        <v>157</v>
      </c>
      <c r="G505" s="73" t="s">
        <v>131</v>
      </c>
      <c r="H505" s="74" t="s">
        <v>148</v>
      </c>
      <c r="I505" s="77">
        <f t="shared" si="16"/>
        <v>37.918871252204582</v>
      </c>
      <c r="J505" s="77" t="s">
        <v>163</v>
      </c>
      <c r="K505" s="77">
        <f t="shared" si="17"/>
        <v>17.372</v>
      </c>
      <c r="L505" s="68" t="s">
        <v>289</v>
      </c>
    </row>
    <row r="506" spans="1:12" ht="13.5">
      <c r="A506" s="81" t="s">
        <v>69</v>
      </c>
      <c r="B506" s="65" t="s">
        <v>73</v>
      </c>
      <c r="C506" s="65" t="s">
        <v>61</v>
      </c>
      <c r="D506" s="66" t="s">
        <v>64</v>
      </c>
      <c r="E506" s="67"/>
      <c r="F506" s="65" t="s">
        <v>157</v>
      </c>
      <c r="G506" s="73" t="s">
        <v>164</v>
      </c>
      <c r="H506" s="74" t="s">
        <v>103</v>
      </c>
      <c r="I506" s="77">
        <f t="shared" si="16"/>
        <v>37.698412698412703</v>
      </c>
      <c r="J506" s="77" t="s">
        <v>104</v>
      </c>
      <c r="K506" s="77">
        <f t="shared" si="17"/>
        <v>17.271000000000001</v>
      </c>
      <c r="L506" s="68" t="s">
        <v>289</v>
      </c>
    </row>
    <row r="507" spans="1:12" ht="13.5">
      <c r="A507" s="81" t="s">
        <v>69</v>
      </c>
      <c r="B507" s="65" t="s">
        <v>73</v>
      </c>
      <c r="C507" s="65" t="s">
        <v>61</v>
      </c>
      <c r="D507" s="66" t="s">
        <v>64</v>
      </c>
      <c r="E507" s="67"/>
      <c r="F507" s="65" t="s">
        <v>157</v>
      </c>
      <c r="G507" s="73" t="s">
        <v>132</v>
      </c>
      <c r="H507" s="74" t="s">
        <v>103</v>
      </c>
      <c r="I507" s="77">
        <f t="shared" si="16"/>
        <v>37.47795414462081</v>
      </c>
      <c r="J507" s="77" t="s">
        <v>101</v>
      </c>
      <c r="K507" s="77">
        <f t="shared" si="17"/>
        <v>17.170000000000002</v>
      </c>
      <c r="L507" s="68" t="s">
        <v>289</v>
      </c>
    </row>
    <row r="508" spans="1:12" ht="13.5">
      <c r="A508" s="81" t="s">
        <v>69</v>
      </c>
      <c r="B508" s="65" t="s">
        <v>73</v>
      </c>
      <c r="C508" s="65" t="s">
        <v>61</v>
      </c>
      <c r="D508" s="66" t="s">
        <v>64</v>
      </c>
      <c r="E508" s="67"/>
      <c r="F508" s="65" t="s">
        <v>157</v>
      </c>
      <c r="G508" s="73" t="s">
        <v>133</v>
      </c>
      <c r="H508" s="74" t="s">
        <v>148</v>
      </c>
      <c r="I508" s="77">
        <f t="shared" si="16"/>
        <v>37.918871252204582</v>
      </c>
      <c r="J508" s="77" t="s">
        <v>163</v>
      </c>
      <c r="K508" s="77">
        <f t="shared" si="17"/>
        <v>17.372</v>
      </c>
      <c r="L508" s="68" t="s">
        <v>289</v>
      </c>
    </row>
    <row r="509" spans="1:12" ht="13.5">
      <c r="A509" s="81" t="s">
        <v>69</v>
      </c>
      <c r="B509" s="65" t="s">
        <v>73</v>
      </c>
      <c r="C509" s="65" t="s">
        <v>61</v>
      </c>
      <c r="D509" s="66" t="s">
        <v>64</v>
      </c>
      <c r="E509" s="67"/>
      <c r="F509" s="65" t="s">
        <v>157</v>
      </c>
      <c r="G509" s="73" t="s">
        <v>134</v>
      </c>
      <c r="H509" s="74" t="s">
        <v>148</v>
      </c>
      <c r="I509" s="77">
        <f t="shared" si="16"/>
        <v>37.918871252204582</v>
      </c>
      <c r="J509" s="77" t="s">
        <v>163</v>
      </c>
      <c r="K509" s="77">
        <f t="shared" si="17"/>
        <v>17.372</v>
      </c>
      <c r="L509" s="68" t="s">
        <v>289</v>
      </c>
    </row>
    <row r="510" spans="1:12" ht="13.5">
      <c r="A510" s="81" t="s">
        <v>69</v>
      </c>
      <c r="B510" s="65" t="s">
        <v>73</v>
      </c>
      <c r="C510" s="65" t="s">
        <v>61</v>
      </c>
      <c r="D510" s="66" t="s">
        <v>64</v>
      </c>
      <c r="E510" s="67"/>
      <c r="F510" s="65" t="s">
        <v>157</v>
      </c>
      <c r="G510" s="73" t="s">
        <v>135</v>
      </c>
      <c r="H510" s="74" t="s">
        <v>148</v>
      </c>
      <c r="I510" s="77">
        <f t="shared" si="16"/>
        <v>37.918871252204582</v>
      </c>
      <c r="J510" s="77" t="s">
        <v>163</v>
      </c>
      <c r="K510" s="77">
        <f t="shared" si="17"/>
        <v>17.372</v>
      </c>
      <c r="L510" s="68" t="s">
        <v>289</v>
      </c>
    </row>
    <row r="511" spans="1:12" ht="13.5">
      <c r="A511" s="81" t="s">
        <v>69</v>
      </c>
      <c r="B511" s="65" t="s">
        <v>73</v>
      </c>
      <c r="C511" s="65" t="s">
        <v>61</v>
      </c>
      <c r="D511" s="66" t="s">
        <v>64</v>
      </c>
      <c r="E511" s="67"/>
      <c r="F511" s="65" t="s">
        <v>157</v>
      </c>
      <c r="G511" s="73" t="s">
        <v>136</v>
      </c>
      <c r="H511" s="74" t="s">
        <v>148</v>
      </c>
      <c r="I511" s="77">
        <f t="shared" si="16"/>
        <v>37.918871252204582</v>
      </c>
      <c r="J511" s="77" t="s">
        <v>163</v>
      </c>
      <c r="K511" s="77">
        <f t="shared" si="17"/>
        <v>17.372</v>
      </c>
      <c r="L511" s="68" t="s">
        <v>289</v>
      </c>
    </row>
    <row r="512" spans="1:12" ht="13.5">
      <c r="A512" s="81" t="s">
        <v>69</v>
      </c>
      <c r="B512" s="65" t="s">
        <v>73</v>
      </c>
      <c r="C512" s="65" t="s">
        <v>61</v>
      </c>
      <c r="D512" s="66" t="s">
        <v>64</v>
      </c>
      <c r="E512" s="67"/>
      <c r="F512" s="65" t="s">
        <v>157</v>
      </c>
      <c r="G512" s="73" t="s">
        <v>137</v>
      </c>
      <c r="H512" s="74" t="s">
        <v>165</v>
      </c>
      <c r="I512" s="77">
        <f t="shared" ref="I512:I575" si="18">+J512/0.4536</f>
        <v>39.241622574955912</v>
      </c>
      <c r="J512" s="77" t="s">
        <v>166</v>
      </c>
      <c r="K512" s="77">
        <f t="shared" ref="K512:K575" si="19">+J512*1.01</f>
        <v>17.978000000000002</v>
      </c>
      <c r="L512" s="68" t="s">
        <v>289</v>
      </c>
    </row>
    <row r="513" spans="1:12" ht="13.5">
      <c r="A513" s="81" t="s">
        <v>69</v>
      </c>
      <c r="B513" s="65" t="s">
        <v>73</v>
      </c>
      <c r="C513" s="65" t="s">
        <v>61</v>
      </c>
      <c r="D513" s="66" t="s">
        <v>64</v>
      </c>
      <c r="E513" s="67"/>
      <c r="F513" s="65" t="s">
        <v>157</v>
      </c>
      <c r="G513" s="73" t="s">
        <v>138</v>
      </c>
      <c r="H513" s="74" t="s">
        <v>148</v>
      </c>
      <c r="I513" s="77">
        <f t="shared" si="18"/>
        <v>38.139329805996475</v>
      </c>
      <c r="J513" s="77" t="s">
        <v>149</v>
      </c>
      <c r="K513" s="77">
        <f t="shared" si="19"/>
        <v>17.473000000000003</v>
      </c>
      <c r="L513" s="68" t="s">
        <v>289</v>
      </c>
    </row>
    <row r="514" spans="1:12" ht="13.5">
      <c r="A514" s="81" t="s">
        <v>69</v>
      </c>
      <c r="B514" s="65" t="s">
        <v>73</v>
      </c>
      <c r="C514" s="65" t="s">
        <v>61</v>
      </c>
      <c r="D514" s="66" t="s">
        <v>64</v>
      </c>
      <c r="E514" s="67"/>
      <c r="F514" s="65" t="s">
        <v>157</v>
      </c>
      <c r="G514" s="73" t="s">
        <v>139</v>
      </c>
      <c r="H514" s="74" t="s">
        <v>148</v>
      </c>
      <c r="I514" s="77">
        <f t="shared" si="18"/>
        <v>38.139329805996475</v>
      </c>
      <c r="J514" s="77" t="s">
        <v>149</v>
      </c>
      <c r="K514" s="77">
        <f t="shared" si="19"/>
        <v>17.473000000000003</v>
      </c>
      <c r="L514" s="68" t="s">
        <v>289</v>
      </c>
    </row>
    <row r="515" spans="1:12" ht="13.5">
      <c r="A515" s="81" t="s">
        <v>69</v>
      </c>
      <c r="B515" s="65" t="s">
        <v>73</v>
      </c>
      <c r="C515" s="65" t="s">
        <v>61</v>
      </c>
      <c r="D515" s="66" t="s">
        <v>64</v>
      </c>
      <c r="E515" s="67"/>
      <c r="F515" s="65" t="s">
        <v>157</v>
      </c>
      <c r="G515" s="73" t="s">
        <v>140</v>
      </c>
      <c r="H515" s="74" t="s">
        <v>103</v>
      </c>
      <c r="I515" s="77">
        <f t="shared" si="18"/>
        <v>37.47795414462081</v>
      </c>
      <c r="J515" s="77" t="s">
        <v>101</v>
      </c>
      <c r="K515" s="77">
        <f t="shared" si="19"/>
        <v>17.170000000000002</v>
      </c>
      <c r="L515" s="68" t="s">
        <v>289</v>
      </c>
    </row>
    <row r="516" spans="1:12" ht="13.5">
      <c r="A516" s="81" t="s">
        <v>69</v>
      </c>
      <c r="B516" s="65" t="s">
        <v>73</v>
      </c>
      <c r="C516" s="65" t="s">
        <v>61</v>
      </c>
      <c r="D516" s="66" t="s">
        <v>64</v>
      </c>
      <c r="E516" s="67"/>
      <c r="F516" s="65" t="s">
        <v>157</v>
      </c>
      <c r="G516" s="73" t="s">
        <v>167</v>
      </c>
      <c r="H516" s="74" t="s">
        <v>114</v>
      </c>
      <c r="I516" s="77">
        <f t="shared" si="18"/>
        <v>38.580246913580247</v>
      </c>
      <c r="J516" s="77" t="s">
        <v>115</v>
      </c>
      <c r="K516" s="77">
        <f t="shared" si="19"/>
        <v>17.675000000000001</v>
      </c>
      <c r="L516" s="68" t="s">
        <v>289</v>
      </c>
    </row>
    <row r="517" spans="1:12" ht="13.5">
      <c r="A517" s="81" t="s">
        <v>69</v>
      </c>
      <c r="B517" s="65" t="s">
        <v>73</v>
      </c>
      <c r="C517" s="65" t="s">
        <v>61</v>
      </c>
      <c r="D517" s="66" t="s">
        <v>64</v>
      </c>
      <c r="E517" s="67"/>
      <c r="F517" s="65" t="s">
        <v>157</v>
      </c>
      <c r="G517" s="73" t="s">
        <v>141</v>
      </c>
      <c r="H517" s="74" t="s">
        <v>103</v>
      </c>
      <c r="I517" s="77">
        <f t="shared" si="18"/>
        <v>37.698412698412703</v>
      </c>
      <c r="J517" s="77" t="s">
        <v>104</v>
      </c>
      <c r="K517" s="77">
        <f t="shared" si="19"/>
        <v>17.271000000000001</v>
      </c>
      <c r="L517" s="68" t="s">
        <v>289</v>
      </c>
    </row>
    <row r="518" spans="1:12" ht="13.5">
      <c r="A518" s="81" t="s">
        <v>69</v>
      </c>
      <c r="B518" s="65" t="s">
        <v>73</v>
      </c>
      <c r="C518" s="65" t="s">
        <v>61</v>
      </c>
      <c r="D518" s="66" t="s">
        <v>64</v>
      </c>
      <c r="E518" s="67"/>
      <c r="F518" s="65" t="s">
        <v>157</v>
      </c>
      <c r="G518" s="73" t="s">
        <v>142</v>
      </c>
      <c r="H518" s="74" t="s">
        <v>103</v>
      </c>
      <c r="I518" s="77">
        <f t="shared" si="18"/>
        <v>37.698412698412703</v>
      </c>
      <c r="J518" s="77" t="s">
        <v>104</v>
      </c>
      <c r="K518" s="77">
        <f t="shared" si="19"/>
        <v>17.271000000000001</v>
      </c>
      <c r="L518" s="68" t="s">
        <v>289</v>
      </c>
    </row>
    <row r="519" spans="1:12" ht="13.5">
      <c r="A519" s="81" t="s">
        <v>69</v>
      </c>
      <c r="B519" s="65" t="s">
        <v>73</v>
      </c>
      <c r="C519" s="65" t="s">
        <v>61</v>
      </c>
      <c r="D519" s="66" t="s">
        <v>64</v>
      </c>
      <c r="E519" s="67"/>
      <c r="F519" s="65" t="s">
        <v>157</v>
      </c>
      <c r="G519" s="73" t="s">
        <v>143</v>
      </c>
      <c r="H519" s="74" t="s">
        <v>148</v>
      </c>
      <c r="I519" s="77">
        <f t="shared" si="18"/>
        <v>37.918871252204582</v>
      </c>
      <c r="J519" s="77" t="s">
        <v>163</v>
      </c>
      <c r="K519" s="77">
        <f t="shared" si="19"/>
        <v>17.372</v>
      </c>
      <c r="L519" s="68" t="s">
        <v>289</v>
      </c>
    </row>
    <row r="520" spans="1:12" ht="13.5">
      <c r="A520" s="81" t="s">
        <v>69</v>
      </c>
      <c r="B520" s="65" t="s">
        <v>73</v>
      </c>
      <c r="C520" s="65" t="s">
        <v>61</v>
      </c>
      <c r="D520" s="66" t="s">
        <v>64</v>
      </c>
      <c r="E520" s="67"/>
      <c r="F520" s="65" t="s">
        <v>157</v>
      </c>
      <c r="G520" s="73" t="s">
        <v>146</v>
      </c>
      <c r="H520" s="74" t="s">
        <v>103</v>
      </c>
      <c r="I520" s="77">
        <f t="shared" si="18"/>
        <v>37.47795414462081</v>
      </c>
      <c r="J520" s="77" t="s">
        <v>101</v>
      </c>
      <c r="K520" s="77">
        <f t="shared" si="19"/>
        <v>17.170000000000002</v>
      </c>
      <c r="L520" s="68" t="s">
        <v>289</v>
      </c>
    </row>
    <row r="521" spans="1:12" ht="13.5">
      <c r="A521" s="81" t="s">
        <v>69</v>
      </c>
      <c r="B521" s="65" t="s">
        <v>73</v>
      </c>
      <c r="C521" s="65" t="s">
        <v>61</v>
      </c>
      <c r="D521" s="66" t="s">
        <v>64</v>
      </c>
      <c r="E521" s="67"/>
      <c r="F521" s="65" t="s">
        <v>157</v>
      </c>
      <c r="G521" s="73" t="s">
        <v>147</v>
      </c>
      <c r="H521" s="74" t="s">
        <v>103</v>
      </c>
      <c r="I521" s="77">
        <f t="shared" si="18"/>
        <v>37.47795414462081</v>
      </c>
      <c r="J521" s="77" t="s">
        <v>101</v>
      </c>
      <c r="K521" s="77">
        <f t="shared" si="19"/>
        <v>17.170000000000002</v>
      </c>
      <c r="L521" s="68" t="s">
        <v>289</v>
      </c>
    </row>
    <row r="522" spans="1:12" ht="13.5">
      <c r="A522" s="81" t="s">
        <v>69</v>
      </c>
      <c r="B522" s="65" t="s">
        <v>73</v>
      </c>
      <c r="C522" s="65" t="s">
        <v>61</v>
      </c>
      <c r="D522" s="66" t="s">
        <v>64</v>
      </c>
      <c r="E522" s="67"/>
      <c r="F522" s="65" t="s">
        <v>157</v>
      </c>
      <c r="G522" s="73" t="s">
        <v>150</v>
      </c>
      <c r="H522" s="74" t="s">
        <v>148</v>
      </c>
      <c r="I522" s="77">
        <f t="shared" si="18"/>
        <v>38.359788359788354</v>
      </c>
      <c r="J522" s="77" t="s">
        <v>162</v>
      </c>
      <c r="K522" s="77">
        <f t="shared" si="19"/>
        <v>17.573999999999998</v>
      </c>
      <c r="L522" s="68" t="s">
        <v>289</v>
      </c>
    </row>
    <row r="523" spans="1:12" ht="13.5">
      <c r="A523" s="81" t="s">
        <v>69</v>
      </c>
      <c r="B523" s="65" t="s">
        <v>73</v>
      </c>
      <c r="C523" s="65" t="s">
        <v>61</v>
      </c>
      <c r="D523" s="66" t="s">
        <v>64</v>
      </c>
      <c r="E523" s="67"/>
      <c r="F523" s="65" t="s">
        <v>157</v>
      </c>
      <c r="G523" s="73" t="s">
        <v>151</v>
      </c>
      <c r="H523" s="74" t="s">
        <v>148</v>
      </c>
      <c r="I523" s="77">
        <f t="shared" si="18"/>
        <v>37.918871252204582</v>
      </c>
      <c r="J523" s="77" t="s">
        <v>163</v>
      </c>
      <c r="K523" s="77">
        <f t="shared" si="19"/>
        <v>17.372</v>
      </c>
      <c r="L523" s="68" t="s">
        <v>289</v>
      </c>
    </row>
    <row r="524" spans="1:12" ht="13.5">
      <c r="A524" s="81" t="s">
        <v>69</v>
      </c>
      <c r="B524" s="65" t="s">
        <v>73</v>
      </c>
      <c r="C524" s="65" t="s">
        <v>61</v>
      </c>
      <c r="D524" s="66" t="s">
        <v>64</v>
      </c>
      <c r="E524" s="67"/>
      <c r="F524" s="65" t="s">
        <v>157</v>
      </c>
      <c r="G524" s="73" t="s">
        <v>152</v>
      </c>
      <c r="H524" s="74" t="s">
        <v>103</v>
      </c>
      <c r="I524" s="77">
        <f t="shared" si="18"/>
        <v>37.47795414462081</v>
      </c>
      <c r="J524" s="77" t="s">
        <v>101</v>
      </c>
      <c r="K524" s="77">
        <f t="shared" si="19"/>
        <v>17.170000000000002</v>
      </c>
      <c r="L524" s="68" t="s">
        <v>289</v>
      </c>
    </row>
    <row r="525" spans="1:12" ht="13.5">
      <c r="A525" s="81" t="s">
        <v>69</v>
      </c>
      <c r="B525" s="65" t="s">
        <v>73</v>
      </c>
      <c r="C525" s="65" t="s">
        <v>61</v>
      </c>
      <c r="D525" s="66" t="s">
        <v>64</v>
      </c>
      <c r="E525" s="67"/>
      <c r="F525" s="65" t="s">
        <v>157</v>
      </c>
      <c r="G525" s="73" t="s">
        <v>153</v>
      </c>
      <c r="H525" s="74" t="s">
        <v>114</v>
      </c>
      <c r="I525" s="77">
        <f t="shared" si="18"/>
        <v>38.580246913580247</v>
      </c>
      <c r="J525" s="77" t="s">
        <v>115</v>
      </c>
      <c r="K525" s="77">
        <f t="shared" si="19"/>
        <v>17.675000000000001</v>
      </c>
      <c r="L525" s="68" t="s">
        <v>289</v>
      </c>
    </row>
    <row r="526" spans="1:12" ht="13.5">
      <c r="A526" s="81"/>
      <c r="B526" s="65"/>
      <c r="C526" s="65"/>
      <c r="D526" s="66"/>
      <c r="E526" s="67"/>
      <c r="F526" s="65" t="s">
        <v>87</v>
      </c>
      <c r="G526" s="73">
        <v>40</v>
      </c>
      <c r="H526" s="74" t="s">
        <v>168</v>
      </c>
      <c r="I526" s="77">
        <f t="shared" si="18"/>
        <v>1512.7865961199295</v>
      </c>
      <c r="J526" s="77" t="s">
        <v>169</v>
      </c>
      <c r="K526" s="77">
        <f t="shared" si="19"/>
        <v>693.06200000000001</v>
      </c>
      <c r="L526" s="68" t="s">
        <v>289</v>
      </c>
    </row>
    <row r="527" spans="1:12" ht="13.5">
      <c r="A527" s="81" t="s">
        <v>69</v>
      </c>
      <c r="B527" s="65" t="s">
        <v>73</v>
      </c>
      <c r="C527" s="65" t="s">
        <v>61</v>
      </c>
      <c r="D527" s="66" t="s">
        <v>64</v>
      </c>
      <c r="E527" s="67"/>
      <c r="F527" s="65" t="s">
        <v>170</v>
      </c>
      <c r="G527" s="73" t="s">
        <v>99</v>
      </c>
      <c r="H527" s="74" t="s">
        <v>119</v>
      </c>
      <c r="I527" s="77">
        <f t="shared" si="18"/>
        <v>36.155202821869487</v>
      </c>
      <c r="J527" s="77" t="s">
        <v>120</v>
      </c>
      <c r="K527" s="77">
        <f t="shared" si="19"/>
        <v>16.564</v>
      </c>
      <c r="L527" s="68" t="s">
        <v>289</v>
      </c>
    </row>
    <row r="528" spans="1:12" ht="13.5">
      <c r="A528" s="81" t="s">
        <v>69</v>
      </c>
      <c r="B528" s="65" t="s">
        <v>73</v>
      </c>
      <c r="C528" s="65" t="s">
        <v>61</v>
      </c>
      <c r="D528" s="66" t="s">
        <v>64</v>
      </c>
      <c r="E528" s="67"/>
      <c r="F528" s="65" t="s">
        <v>170</v>
      </c>
      <c r="G528" s="73" t="s">
        <v>102</v>
      </c>
      <c r="H528" s="74" t="s">
        <v>109</v>
      </c>
      <c r="I528" s="77">
        <f t="shared" si="18"/>
        <v>37.257495590828924</v>
      </c>
      <c r="J528" s="77" t="s">
        <v>110</v>
      </c>
      <c r="K528" s="77">
        <f t="shared" si="19"/>
        <v>17.068999999999999</v>
      </c>
      <c r="L528" s="68" t="s">
        <v>289</v>
      </c>
    </row>
    <row r="529" spans="1:12" ht="13.5">
      <c r="A529" s="81" t="s">
        <v>69</v>
      </c>
      <c r="B529" s="65" t="s">
        <v>73</v>
      </c>
      <c r="C529" s="65" t="s">
        <v>61</v>
      </c>
      <c r="D529" s="66" t="s">
        <v>64</v>
      </c>
      <c r="E529" s="67"/>
      <c r="F529" s="65" t="s">
        <v>170</v>
      </c>
      <c r="G529" s="73" t="s">
        <v>105</v>
      </c>
      <c r="H529" s="74" t="s">
        <v>148</v>
      </c>
      <c r="I529" s="77">
        <f t="shared" si="18"/>
        <v>38.359788359788354</v>
      </c>
      <c r="J529" s="77" t="s">
        <v>162</v>
      </c>
      <c r="K529" s="77">
        <f t="shared" si="19"/>
        <v>17.573999999999998</v>
      </c>
      <c r="L529" s="68" t="s">
        <v>289</v>
      </c>
    </row>
    <row r="530" spans="1:12" ht="13.5">
      <c r="A530" s="81" t="s">
        <v>69</v>
      </c>
      <c r="B530" s="65" t="s">
        <v>73</v>
      </c>
      <c r="C530" s="65" t="s">
        <v>61</v>
      </c>
      <c r="D530" s="66" t="s">
        <v>64</v>
      </c>
      <c r="E530" s="67"/>
      <c r="F530" s="65" t="s">
        <v>170</v>
      </c>
      <c r="G530" s="73" t="s">
        <v>106</v>
      </c>
      <c r="H530" s="74" t="s">
        <v>100</v>
      </c>
      <c r="I530" s="77">
        <f t="shared" si="18"/>
        <v>35.493827160493829</v>
      </c>
      <c r="J530" s="77" t="s">
        <v>117</v>
      </c>
      <c r="K530" s="77">
        <f t="shared" si="19"/>
        <v>16.261000000000003</v>
      </c>
      <c r="L530" s="68" t="s">
        <v>289</v>
      </c>
    </row>
    <row r="531" spans="1:12" ht="13.5">
      <c r="A531" s="81" t="s">
        <v>69</v>
      </c>
      <c r="B531" s="65" t="s">
        <v>73</v>
      </c>
      <c r="C531" s="65" t="s">
        <v>61</v>
      </c>
      <c r="D531" s="66" t="s">
        <v>64</v>
      </c>
      <c r="E531" s="67"/>
      <c r="F531" s="65" t="s">
        <v>170</v>
      </c>
      <c r="G531" s="73" t="s">
        <v>108</v>
      </c>
      <c r="H531" s="74" t="s">
        <v>109</v>
      </c>
      <c r="I531" s="77">
        <f t="shared" si="18"/>
        <v>37.257495590828924</v>
      </c>
      <c r="J531" s="77" t="s">
        <v>110</v>
      </c>
      <c r="K531" s="77">
        <f t="shared" si="19"/>
        <v>17.068999999999999</v>
      </c>
      <c r="L531" s="68" t="s">
        <v>289</v>
      </c>
    </row>
    <row r="532" spans="1:12" ht="13.5">
      <c r="A532" s="81" t="s">
        <v>69</v>
      </c>
      <c r="B532" s="65" t="s">
        <v>73</v>
      </c>
      <c r="C532" s="65" t="s">
        <v>61</v>
      </c>
      <c r="D532" s="66" t="s">
        <v>64</v>
      </c>
      <c r="E532" s="67"/>
      <c r="F532" s="65" t="s">
        <v>170</v>
      </c>
      <c r="G532" s="73" t="s">
        <v>111</v>
      </c>
      <c r="H532" s="74" t="s">
        <v>114</v>
      </c>
      <c r="I532" s="77">
        <f t="shared" si="18"/>
        <v>38.80070546737214</v>
      </c>
      <c r="J532" s="77" t="s">
        <v>160</v>
      </c>
      <c r="K532" s="77">
        <f t="shared" si="19"/>
        <v>17.776000000000003</v>
      </c>
      <c r="L532" s="68" t="s">
        <v>289</v>
      </c>
    </row>
    <row r="533" spans="1:12" ht="13.5">
      <c r="A533" s="81" t="s">
        <v>69</v>
      </c>
      <c r="B533" s="65" t="s">
        <v>73</v>
      </c>
      <c r="C533" s="65" t="s">
        <v>61</v>
      </c>
      <c r="D533" s="66" t="s">
        <v>64</v>
      </c>
      <c r="E533" s="67"/>
      <c r="F533" s="65" t="s">
        <v>170</v>
      </c>
      <c r="G533" s="73" t="s">
        <v>112</v>
      </c>
      <c r="H533" s="74" t="s">
        <v>148</v>
      </c>
      <c r="I533" s="77">
        <f t="shared" si="18"/>
        <v>37.918871252204582</v>
      </c>
      <c r="J533" s="77" t="s">
        <v>163</v>
      </c>
      <c r="K533" s="77">
        <f t="shared" si="19"/>
        <v>17.372</v>
      </c>
      <c r="L533" s="68" t="s">
        <v>289</v>
      </c>
    </row>
    <row r="534" spans="1:12" ht="13.5">
      <c r="A534" s="81" t="s">
        <v>69</v>
      </c>
      <c r="B534" s="65" t="s">
        <v>73</v>
      </c>
      <c r="C534" s="65" t="s">
        <v>61</v>
      </c>
      <c r="D534" s="66" t="s">
        <v>64</v>
      </c>
      <c r="E534" s="67"/>
      <c r="F534" s="65" t="s">
        <v>170</v>
      </c>
      <c r="G534" s="73" t="s">
        <v>113</v>
      </c>
      <c r="H534" s="74" t="s">
        <v>103</v>
      </c>
      <c r="I534" s="77">
        <f t="shared" si="18"/>
        <v>37.698412698412703</v>
      </c>
      <c r="J534" s="77" t="s">
        <v>104</v>
      </c>
      <c r="K534" s="77">
        <f t="shared" si="19"/>
        <v>17.271000000000001</v>
      </c>
      <c r="L534" s="68" t="s">
        <v>289</v>
      </c>
    </row>
    <row r="535" spans="1:12" ht="13.5">
      <c r="A535" s="81" t="s">
        <v>69</v>
      </c>
      <c r="B535" s="65" t="s">
        <v>73</v>
      </c>
      <c r="C535" s="65" t="s">
        <v>61</v>
      </c>
      <c r="D535" s="66" t="s">
        <v>64</v>
      </c>
      <c r="E535" s="67"/>
      <c r="F535" s="65" t="s">
        <v>170</v>
      </c>
      <c r="G535" s="73" t="s">
        <v>116</v>
      </c>
      <c r="H535" s="74" t="s">
        <v>171</v>
      </c>
      <c r="I535" s="77">
        <f t="shared" si="18"/>
        <v>39.462081128747791</v>
      </c>
      <c r="J535" s="77" t="s">
        <v>172</v>
      </c>
      <c r="K535" s="77">
        <f t="shared" si="19"/>
        <v>18.078999999999997</v>
      </c>
      <c r="L535" s="68" t="s">
        <v>289</v>
      </c>
    </row>
    <row r="536" spans="1:12" ht="13.5">
      <c r="A536" s="81" t="s">
        <v>69</v>
      </c>
      <c r="B536" s="65" t="s">
        <v>73</v>
      </c>
      <c r="C536" s="65" t="s">
        <v>61</v>
      </c>
      <c r="D536" s="66" t="s">
        <v>64</v>
      </c>
      <c r="E536" s="67"/>
      <c r="F536" s="65" t="s">
        <v>170</v>
      </c>
      <c r="G536" s="73" t="s">
        <v>118</v>
      </c>
      <c r="H536" s="74" t="s">
        <v>148</v>
      </c>
      <c r="I536" s="77">
        <f t="shared" si="18"/>
        <v>38.359788359788354</v>
      </c>
      <c r="J536" s="77" t="s">
        <v>162</v>
      </c>
      <c r="K536" s="77">
        <f t="shared" si="19"/>
        <v>17.573999999999998</v>
      </c>
      <c r="L536" s="68" t="s">
        <v>289</v>
      </c>
    </row>
    <row r="537" spans="1:12" ht="13.5">
      <c r="A537" s="81" t="s">
        <v>69</v>
      </c>
      <c r="B537" s="65" t="s">
        <v>73</v>
      </c>
      <c r="C537" s="65" t="s">
        <v>61</v>
      </c>
      <c r="D537" s="66" t="s">
        <v>64</v>
      </c>
      <c r="E537" s="67"/>
      <c r="F537" s="65" t="s">
        <v>170</v>
      </c>
      <c r="G537" s="73" t="s">
        <v>121</v>
      </c>
      <c r="H537" s="74" t="s">
        <v>103</v>
      </c>
      <c r="I537" s="77">
        <f t="shared" si="18"/>
        <v>37.698412698412703</v>
      </c>
      <c r="J537" s="77" t="s">
        <v>104</v>
      </c>
      <c r="K537" s="77">
        <f t="shared" si="19"/>
        <v>17.271000000000001</v>
      </c>
      <c r="L537" s="68" t="s">
        <v>289</v>
      </c>
    </row>
    <row r="538" spans="1:12" ht="13.5">
      <c r="A538" s="81" t="s">
        <v>69</v>
      </c>
      <c r="B538" s="65" t="s">
        <v>73</v>
      </c>
      <c r="C538" s="65" t="s">
        <v>61</v>
      </c>
      <c r="D538" s="66" t="s">
        <v>64</v>
      </c>
      <c r="E538" s="67"/>
      <c r="F538" s="65" t="s">
        <v>170</v>
      </c>
      <c r="G538" s="73" t="s">
        <v>122</v>
      </c>
      <c r="H538" s="74" t="s">
        <v>148</v>
      </c>
      <c r="I538" s="77">
        <f t="shared" si="18"/>
        <v>38.139329805996475</v>
      </c>
      <c r="J538" s="77" t="s">
        <v>149</v>
      </c>
      <c r="K538" s="77">
        <f t="shared" si="19"/>
        <v>17.473000000000003</v>
      </c>
      <c r="L538" s="68" t="s">
        <v>289</v>
      </c>
    </row>
    <row r="539" spans="1:12" ht="13.5">
      <c r="A539" s="81" t="s">
        <v>69</v>
      </c>
      <c r="B539" s="65" t="s">
        <v>73</v>
      </c>
      <c r="C539" s="65" t="s">
        <v>61</v>
      </c>
      <c r="D539" s="66" t="s">
        <v>64</v>
      </c>
      <c r="E539" s="67"/>
      <c r="F539" s="65" t="s">
        <v>170</v>
      </c>
      <c r="G539" s="73" t="s">
        <v>123</v>
      </c>
      <c r="H539" s="74" t="s">
        <v>148</v>
      </c>
      <c r="I539" s="77">
        <f t="shared" si="18"/>
        <v>38.139329805996475</v>
      </c>
      <c r="J539" s="77" t="s">
        <v>149</v>
      </c>
      <c r="K539" s="77">
        <f t="shared" si="19"/>
        <v>17.473000000000003</v>
      </c>
      <c r="L539" s="68" t="s">
        <v>289</v>
      </c>
    </row>
    <row r="540" spans="1:12" ht="13.5">
      <c r="A540" s="81" t="s">
        <v>69</v>
      </c>
      <c r="B540" s="65" t="s">
        <v>73</v>
      </c>
      <c r="C540" s="65" t="s">
        <v>61</v>
      </c>
      <c r="D540" s="66" t="s">
        <v>64</v>
      </c>
      <c r="E540" s="67"/>
      <c r="F540" s="65" t="s">
        <v>170</v>
      </c>
      <c r="G540" s="73" t="s">
        <v>124</v>
      </c>
      <c r="H540" s="74" t="s">
        <v>148</v>
      </c>
      <c r="I540" s="77">
        <f t="shared" si="18"/>
        <v>38.139329805996475</v>
      </c>
      <c r="J540" s="77" t="s">
        <v>149</v>
      </c>
      <c r="K540" s="77">
        <f t="shared" si="19"/>
        <v>17.473000000000003</v>
      </c>
      <c r="L540" s="68" t="s">
        <v>289</v>
      </c>
    </row>
    <row r="541" spans="1:12" ht="13.5">
      <c r="A541" s="81" t="s">
        <v>69</v>
      </c>
      <c r="B541" s="65" t="s">
        <v>73</v>
      </c>
      <c r="C541" s="65" t="s">
        <v>61</v>
      </c>
      <c r="D541" s="66" t="s">
        <v>64</v>
      </c>
      <c r="E541" s="67"/>
      <c r="F541" s="65" t="s">
        <v>170</v>
      </c>
      <c r="G541" s="73" t="s">
        <v>161</v>
      </c>
      <c r="H541" s="74" t="s">
        <v>148</v>
      </c>
      <c r="I541" s="77">
        <f t="shared" si="18"/>
        <v>38.359788359788354</v>
      </c>
      <c r="J541" s="77" t="s">
        <v>162</v>
      </c>
      <c r="K541" s="77">
        <f t="shared" si="19"/>
        <v>17.573999999999998</v>
      </c>
      <c r="L541" s="68" t="s">
        <v>289</v>
      </c>
    </row>
    <row r="542" spans="1:12" ht="13.5">
      <c r="A542" s="81" t="s">
        <v>69</v>
      </c>
      <c r="B542" s="65" t="s">
        <v>73</v>
      </c>
      <c r="C542" s="65" t="s">
        <v>61</v>
      </c>
      <c r="D542" s="66" t="s">
        <v>64</v>
      </c>
      <c r="E542" s="67"/>
      <c r="F542" s="65" t="s">
        <v>170</v>
      </c>
      <c r="G542" s="73" t="s">
        <v>125</v>
      </c>
      <c r="H542" s="74" t="s">
        <v>114</v>
      </c>
      <c r="I542" s="77">
        <f t="shared" si="18"/>
        <v>38.80070546737214</v>
      </c>
      <c r="J542" s="77" t="s">
        <v>160</v>
      </c>
      <c r="K542" s="77">
        <f t="shared" si="19"/>
        <v>17.776000000000003</v>
      </c>
      <c r="L542" s="68" t="s">
        <v>289</v>
      </c>
    </row>
    <row r="543" spans="1:12" ht="13.5">
      <c r="A543" s="81" t="s">
        <v>69</v>
      </c>
      <c r="B543" s="65" t="s">
        <v>73</v>
      </c>
      <c r="C543" s="65" t="s">
        <v>61</v>
      </c>
      <c r="D543" s="66" t="s">
        <v>64</v>
      </c>
      <c r="E543" s="67"/>
      <c r="F543" s="65" t="s">
        <v>170</v>
      </c>
      <c r="G543" s="73" t="s">
        <v>128</v>
      </c>
      <c r="H543" s="74" t="s">
        <v>103</v>
      </c>
      <c r="I543" s="77">
        <f t="shared" si="18"/>
        <v>37.698412698412703</v>
      </c>
      <c r="J543" s="77" t="s">
        <v>104</v>
      </c>
      <c r="K543" s="77">
        <f t="shared" si="19"/>
        <v>17.271000000000001</v>
      </c>
      <c r="L543" s="68" t="s">
        <v>289</v>
      </c>
    </row>
    <row r="544" spans="1:12" ht="13.5">
      <c r="A544" s="81" t="s">
        <v>69</v>
      </c>
      <c r="B544" s="65" t="s">
        <v>73</v>
      </c>
      <c r="C544" s="65" t="s">
        <v>61</v>
      </c>
      <c r="D544" s="66" t="s">
        <v>64</v>
      </c>
      <c r="E544" s="67"/>
      <c r="F544" s="65" t="s">
        <v>170</v>
      </c>
      <c r="G544" s="73" t="s">
        <v>129</v>
      </c>
      <c r="H544" s="74" t="s">
        <v>144</v>
      </c>
      <c r="I544" s="77">
        <f t="shared" si="18"/>
        <v>34.391534391534393</v>
      </c>
      <c r="J544" s="77" t="s">
        <v>145</v>
      </c>
      <c r="K544" s="77">
        <f t="shared" si="19"/>
        <v>15.756</v>
      </c>
      <c r="L544" s="68" t="s">
        <v>289</v>
      </c>
    </row>
    <row r="545" spans="1:12" ht="13.5">
      <c r="A545" s="81" t="s">
        <v>69</v>
      </c>
      <c r="B545" s="65" t="s">
        <v>73</v>
      </c>
      <c r="C545" s="65" t="s">
        <v>61</v>
      </c>
      <c r="D545" s="66" t="s">
        <v>64</v>
      </c>
      <c r="E545" s="67"/>
      <c r="F545" s="65" t="s">
        <v>170</v>
      </c>
      <c r="G545" s="73" t="s">
        <v>130</v>
      </c>
      <c r="H545" s="74" t="s">
        <v>100</v>
      </c>
      <c r="I545" s="77">
        <f t="shared" si="18"/>
        <v>35.493827160493829</v>
      </c>
      <c r="J545" s="77" t="s">
        <v>117</v>
      </c>
      <c r="K545" s="77">
        <f t="shared" si="19"/>
        <v>16.261000000000003</v>
      </c>
      <c r="L545" s="68" t="s">
        <v>289</v>
      </c>
    </row>
    <row r="546" spans="1:12" ht="13.5">
      <c r="A546" s="81" t="s">
        <v>69</v>
      </c>
      <c r="B546" s="65" t="s">
        <v>73</v>
      </c>
      <c r="C546" s="65" t="s">
        <v>61</v>
      </c>
      <c r="D546" s="66" t="s">
        <v>64</v>
      </c>
      <c r="E546" s="67"/>
      <c r="F546" s="65" t="s">
        <v>170</v>
      </c>
      <c r="G546" s="73" t="s">
        <v>131</v>
      </c>
      <c r="H546" s="74" t="s">
        <v>103</v>
      </c>
      <c r="I546" s="77">
        <f t="shared" si="18"/>
        <v>37.47795414462081</v>
      </c>
      <c r="J546" s="77" t="s">
        <v>101</v>
      </c>
      <c r="K546" s="77">
        <f t="shared" si="19"/>
        <v>17.170000000000002</v>
      </c>
      <c r="L546" s="68" t="s">
        <v>289</v>
      </c>
    </row>
    <row r="547" spans="1:12" ht="13.5">
      <c r="A547" s="81" t="s">
        <v>69</v>
      </c>
      <c r="B547" s="65" t="s">
        <v>73</v>
      </c>
      <c r="C547" s="65" t="s">
        <v>61</v>
      </c>
      <c r="D547" s="66" t="s">
        <v>64</v>
      </c>
      <c r="E547" s="67"/>
      <c r="F547" s="65" t="s">
        <v>170</v>
      </c>
      <c r="G547" s="73" t="s">
        <v>164</v>
      </c>
      <c r="H547" s="74" t="s">
        <v>173</v>
      </c>
      <c r="I547" s="77">
        <f t="shared" si="18"/>
        <v>35.05291005291005</v>
      </c>
      <c r="J547" s="77" t="s">
        <v>174</v>
      </c>
      <c r="K547" s="77">
        <f t="shared" si="19"/>
        <v>16.059000000000001</v>
      </c>
      <c r="L547" s="68" t="s">
        <v>289</v>
      </c>
    </row>
    <row r="548" spans="1:12" ht="13.5">
      <c r="A548" s="81" t="s">
        <v>69</v>
      </c>
      <c r="B548" s="65" t="s">
        <v>73</v>
      </c>
      <c r="C548" s="65" t="s">
        <v>61</v>
      </c>
      <c r="D548" s="66" t="s">
        <v>64</v>
      </c>
      <c r="E548" s="67"/>
      <c r="F548" s="65" t="s">
        <v>170</v>
      </c>
      <c r="G548" s="73" t="s">
        <v>132</v>
      </c>
      <c r="H548" s="74" t="s">
        <v>148</v>
      </c>
      <c r="I548" s="77">
        <f t="shared" si="18"/>
        <v>38.139329805996475</v>
      </c>
      <c r="J548" s="77" t="s">
        <v>149</v>
      </c>
      <c r="K548" s="77">
        <f t="shared" si="19"/>
        <v>17.473000000000003</v>
      </c>
      <c r="L548" s="68" t="s">
        <v>289</v>
      </c>
    </row>
    <row r="549" spans="1:12" ht="13.5">
      <c r="A549" s="81" t="s">
        <v>69</v>
      </c>
      <c r="B549" s="65" t="s">
        <v>73</v>
      </c>
      <c r="C549" s="65" t="s">
        <v>61</v>
      </c>
      <c r="D549" s="66" t="s">
        <v>64</v>
      </c>
      <c r="E549" s="67"/>
      <c r="F549" s="65" t="s">
        <v>170</v>
      </c>
      <c r="G549" s="73" t="s">
        <v>133</v>
      </c>
      <c r="H549" s="74" t="s">
        <v>148</v>
      </c>
      <c r="I549" s="77">
        <f t="shared" si="18"/>
        <v>38.139329805996475</v>
      </c>
      <c r="J549" s="77" t="s">
        <v>149</v>
      </c>
      <c r="K549" s="77">
        <f t="shared" si="19"/>
        <v>17.473000000000003</v>
      </c>
      <c r="L549" s="68" t="s">
        <v>289</v>
      </c>
    </row>
    <row r="550" spans="1:12" ht="13.5">
      <c r="A550" s="81" t="s">
        <v>69</v>
      </c>
      <c r="B550" s="65" t="s">
        <v>73</v>
      </c>
      <c r="C550" s="65" t="s">
        <v>61</v>
      </c>
      <c r="D550" s="66" t="s">
        <v>64</v>
      </c>
      <c r="E550" s="67"/>
      <c r="F550" s="65" t="s">
        <v>170</v>
      </c>
      <c r="G550" s="73" t="s">
        <v>134</v>
      </c>
      <c r="H550" s="74" t="s">
        <v>103</v>
      </c>
      <c r="I550" s="77">
        <f t="shared" si="18"/>
        <v>37.698412698412703</v>
      </c>
      <c r="J550" s="77" t="s">
        <v>104</v>
      </c>
      <c r="K550" s="77">
        <f t="shared" si="19"/>
        <v>17.271000000000001</v>
      </c>
      <c r="L550" s="68" t="s">
        <v>289</v>
      </c>
    </row>
    <row r="551" spans="1:12" ht="13.5">
      <c r="A551" s="81" t="s">
        <v>69</v>
      </c>
      <c r="B551" s="65" t="s">
        <v>73</v>
      </c>
      <c r="C551" s="65" t="s">
        <v>61</v>
      </c>
      <c r="D551" s="66" t="s">
        <v>64</v>
      </c>
      <c r="E551" s="67"/>
      <c r="F551" s="65" t="s">
        <v>170</v>
      </c>
      <c r="G551" s="73" t="s">
        <v>135</v>
      </c>
      <c r="H551" s="74" t="s">
        <v>175</v>
      </c>
      <c r="I551" s="77">
        <f t="shared" si="18"/>
        <v>39.90299823633157</v>
      </c>
      <c r="J551" s="77" t="s">
        <v>176</v>
      </c>
      <c r="K551" s="77">
        <f t="shared" si="19"/>
        <v>18.281000000000002</v>
      </c>
      <c r="L551" s="68" t="s">
        <v>289</v>
      </c>
    </row>
    <row r="552" spans="1:12" ht="13.5">
      <c r="A552" s="81" t="s">
        <v>69</v>
      </c>
      <c r="B552" s="65" t="s">
        <v>73</v>
      </c>
      <c r="C552" s="65" t="s">
        <v>61</v>
      </c>
      <c r="D552" s="66" t="s">
        <v>64</v>
      </c>
      <c r="E552" s="67"/>
      <c r="F552" s="65" t="s">
        <v>170</v>
      </c>
      <c r="G552" s="73" t="s">
        <v>136</v>
      </c>
      <c r="H552" s="74" t="s">
        <v>114</v>
      </c>
      <c r="I552" s="77">
        <f t="shared" si="18"/>
        <v>38.80070546737214</v>
      </c>
      <c r="J552" s="77" t="s">
        <v>160</v>
      </c>
      <c r="K552" s="77">
        <f t="shared" si="19"/>
        <v>17.776000000000003</v>
      </c>
      <c r="L552" s="68" t="s">
        <v>289</v>
      </c>
    </row>
    <row r="553" spans="1:12" ht="13.5">
      <c r="A553" s="81" t="s">
        <v>69</v>
      </c>
      <c r="B553" s="65" t="s">
        <v>73</v>
      </c>
      <c r="C553" s="65" t="s">
        <v>61</v>
      </c>
      <c r="D553" s="66" t="s">
        <v>64</v>
      </c>
      <c r="E553" s="67"/>
      <c r="F553" s="65" t="s">
        <v>170</v>
      </c>
      <c r="G553" s="73" t="s">
        <v>137</v>
      </c>
      <c r="H553" s="74" t="s">
        <v>148</v>
      </c>
      <c r="I553" s="77">
        <f t="shared" si="18"/>
        <v>38.139329805996475</v>
      </c>
      <c r="J553" s="77" t="s">
        <v>149</v>
      </c>
      <c r="K553" s="77">
        <f t="shared" si="19"/>
        <v>17.473000000000003</v>
      </c>
      <c r="L553" s="68" t="s">
        <v>289</v>
      </c>
    </row>
    <row r="554" spans="1:12" ht="13.5">
      <c r="A554" s="81" t="s">
        <v>69</v>
      </c>
      <c r="B554" s="65" t="s">
        <v>73</v>
      </c>
      <c r="C554" s="65" t="s">
        <v>61</v>
      </c>
      <c r="D554" s="66" t="s">
        <v>64</v>
      </c>
      <c r="E554" s="67"/>
      <c r="F554" s="65" t="s">
        <v>170</v>
      </c>
      <c r="G554" s="73" t="s">
        <v>138</v>
      </c>
      <c r="H554" s="74" t="s">
        <v>148</v>
      </c>
      <c r="I554" s="77">
        <f t="shared" si="18"/>
        <v>38.139329805996475</v>
      </c>
      <c r="J554" s="77" t="s">
        <v>149</v>
      </c>
      <c r="K554" s="77">
        <f t="shared" si="19"/>
        <v>17.473000000000003</v>
      </c>
      <c r="L554" s="68" t="s">
        <v>289</v>
      </c>
    </row>
    <row r="555" spans="1:12" ht="13.5">
      <c r="A555" s="81" t="s">
        <v>69</v>
      </c>
      <c r="B555" s="65" t="s">
        <v>73</v>
      </c>
      <c r="C555" s="65" t="s">
        <v>61</v>
      </c>
      <c r="D555" s="66" t="s">
        <v>64</v>
      </c>
      <c r="E555" s="67"/>
      <c r="F555" s="65" t="s">
        <v>170</v>
      </c>
      <c r="G555" s="73" t="s">
        <v>139</v>
      </c>
      <c r="H555" s="74" t="s">
        <v>148</v>
      </c>
      <c r="I555" s="77">
        <f t="shared" si="18"/>
        <v>38.139329805996475</v>
      </c>
      <c r="J555" s="77" t="s">
        <v>149</v>
      </c>
      <c r="K555" s="77">
        <f t="shared" si="19"/>
        <v>17.473000000000003</v>
      </c>
      <c r="L555" s="68" t="s">
        <v>289</v>
      </c>
    </row>
    <row r="556" spans="1:12" ht="13.5">
      <c r="A556" s="81" t="s">
        <v>69</v>
      </c>
      <c r="B556" s="65" t="s">
        <v>73</v>
      </c>
      <c r="C556" s="65" t="s">
        <v>61</v>
      </c>
      <c r="D556" s="66" t="s">
        <v>64</v>
      </c>
      <c r="E556" s="67"/>
      <c r="F556" s="65" t="s">
        <v>170</v>
      </c>
      <c r="G556" s="73" t="s">
        <v>140</v>
      </c>
      <c r="H556" s="74" t="s">
        <v>148</v>
      </c>
      <c r="I556" s="77">
        <f t="shared" si="18"/>
        <v>38.359788359788354</v>
      </c>
      <c r="J556" s="77" t="s">
        <v>162</v>
      </c>
      <c r="K556" s="77">
        <f t="shared" si="19"/>
        <v>17.573999999999998</v>
      </c>
      <c r="L556" s="68" t="s">
        <v>289</v>
      </c>
    </row>
    <row r="557" spans="1:12" ht="13.5">
      <c r="A557" s="81" t="s">
        <v>69</v>
      </c>
      <c r="B557" s="65" t="s">
        <v>73</v>
      </c>
      <c r="C557" s="65" t="s">
        <v>61</v>
      </c>
      <c r="D557" s="66" t="s">
        <v>64</v>
      </c>
      <c r="E557" s="67"/>
      <c r="F557" s="65" t="s">
        <v>170</v>
      </c>
      <c r="G557" s="73" t="s">
        <v>167</v>
      </c>
      <c r="H557" s="74" t="s">
        <v>114</v>
      </c>
      <c r="I557" s="77">
        <f t="shared" si="18"/>
        <v>38.580246913580247</v>
      </c>
      <c r="J557" s="77" t="s">
        <v>115</v>
      </c>
      <c r="K557" s="77">
        <f t="shared" si="19"/>
        <v>17.675000000000001</v>
      </c>
      <c r="L557" s="68" t="s">
        <v>289</v>
      </c>
    </row>
    <row r="558" spans="1:12" ht="13.5">
      <c r="A558" s="81" t="s">
        <v>69</v>
      </c>
      <c r="B558" s="65" t="s">
        <v>73</v>
      </c>
      <c r="C558" s="65" t="s">
        <v>61</v>
      </c>
      <c r="D558" s="66" t="s">
        <v>64</v>
      </c>
      <c r="E558" s="67"/>
      <c r="F558" s="65" t="s">
        <v>170</v>
      </c>
      <c r="G558" s="73" t="s">
        <v>141</v>
      </c>
      <c r="H558" s="74" t="s">
        <v>114</v>
      </c>
      <c r="I558" s="77">
        <f t="shared" si="18"/>
        <v>38.580246913580247</v>
      </c>
      <c r="J558" s="77" t="s">
        <v>115</v>
      </c>
      <c r="K558" s="77">
        <f t="shared" si="19"/>
        <v>17.675000000000001</v>
      </c>
      <c r="L558" s="68" t="s">
        <v>289</v>
      </c>
    </row>
    <row r="559" spans="1:12" ht="13.5">
      <c r="A559" s="81" t="s">
        <v>69</v>
      </c>
      <c r="B559" s="65" t="s">
        <v>73</v>
      </c>
      <c r="C559" s="65" t="s">
        <v>61</v>
      </c>
      <c r="D559" s="66" t="s">
        <v>64</v>
      </c>
      <c r="E559" s="67"/>
      <c r="F559" s="65" t="s">
        <v>170</v>
      </c>
      <c r="G559" s="73" t="s">
        <v>142</v>
      </c>
      <c r="H559" s="74" t="s">
        <v>103</v>
      </c>
      <c r="I559" s="77">
        <f t="shared" si="18"/>
        <v>37.698412698412703</v>
      </c>
      <c r="J559" s="77" t="s">
        <v>104</v>
      </c>
      <c r="K559" s="77">
        <f t="shared" si="19"/>
        <v>17.271000000000001</v>
      </c>
      <c r="L559" s="68" t="s">
        <v>289</v>
      </c>
    </row>
    <row r="560" spans="1:12" ht="13.5">
      <c r="A560" s="81" t="s">
        <v>69</v>
      </c>
      <c r="B560" s="65" t="s">
        <v>73</v>
      </c>
      <c r="C560" s="65" t="s">
        <v>61</v>
      </c>
      <c r="D560" s="66" t="s">
        <v>64</v>
      </c>
      <c r="E560" s="67"/>
      <c r="F560" s="65" t="s">
        <v>170</v>
      </c>
      <c r="G560" s="73" t="s">
        <v>143</v>
      </c>
      <c r="H560" s="74" t="s">
        <v>114</v>
      </c>
      <c r="I560" s="77">
        <f t="shared" si="18"/>
        <v>38.80070546737214</v>
      </c>
      <c r="J560" s="77" t="s">
        <v>160</v>
      </c>
      <c r="K560" s="77">
        <f t="shared" si="19"/>
        <v>17.776000000000003</v>
      </c>
      <c r="L560" s="68" t="s">
        <v>289</v>
      </c>
    </row>
    <row r="561" spans="1:12" ht="13.5">
      <c r="A561" s="81" t="s">
        <v>69</v>
      </c>
      <c r="B561" s="65" t="s">
        <v>73</v>
      </c>
      <c r="C561" s="65" t="s">
        <v>61</v>
      </c>
      <c r="D561" s="66" t="s">
        <v>64</v>
      </c>
      <c r="E561" s="67"/>
      <c r="F561" s="65" t="s">
        <v>170</v>
      </c>
      <c r="G561" s="73" t="s">
        <v>146</v>
      </c>
      <c r="H561" s="74" t="s">
        <v>165</v>
      </c>
      <c r="I561" s="77">
        <f t="shared" si="18"/>
        <v>39.241622574955912</v>
      </c>
      <c r="J561" s="77" t="s">
        <v>166</v>
      </c>
      <c r="K561" s="77">
        <f t="shared" si="19"/>
        <v>17.978000000000002</v>
      </c>
      <c r="L561" s="68" t="s">
        <v>289</v>
      </c>
    </row>
    <row r="562" spans="1:12" ht="13.5">
      <c r="A562" s="81" t="s">
        <v>69</v>
      </c>
      <c r="B562" s="65" t="s">
        <v>73</v>
      </c>
      <c r="C562" s="65" t="s">
        <v>61</v>
      </c>
      <c r="D562" s="66" t="s">
        <v>64</v>
      </c>
      <c r="E562" s="67"/>
      <c r="F562" s="65" t="s">
        <v>170</v>
      </c>
      <c r="G562" s="73" t="s">
        <v>147</v>
      </c>
      <c r="H562" s="74" t="s">
        <v>109</v>
      </c>
      <c r="I562" s="77">
        <f t="shared" si="18"/>
        <v>37.257495590828924</v>
      </c>
      <c r="J562" s="77" t="s">
        <v>110</v>
      </c>
      <c r="K562" s="77">
        <f t="shared" si="19"/>
        <v>17.068999999999999</v>
      </c>
      <c r="L562" s="68" t="s">
        <v>289</v>
      </c>
    </row>
    <row r="563" spans="1:12" ht="13.5">
      <c r="A563" s="81" t="s">
        <v>69</v>
      </c>
      <c r="B563" s="65" t="s">
        <v>73</v>
      </c>
      <c r="C563" s="65" t="s">
        <v>61</v>
      </c>
      <c r="D563" s="66" t="s">
        <v>64</v>
      </c>
      <c r="E563" s="67"/>
      <c r="F563" s="65" t="s">
        <v>170</v>
      </c>
      <c r="G563" s="73" t="s">
        <v>150</v>
      </c>
      <c r="H563" s="74" t="s">
        <v>109</v>
      </c>
      <c r="I563" s="77">
        <f t="shared" si="18"/>
        <v>37.257495590828924</v>
      </c>
      <c r="J563" s="77" t="s">
        <v>110</v>
      </c>
      <c r="K563" s="77">
        <f t="shared" si="19"/>
        <v>17.068999999999999</v>
      </c>
      <c r="L563" s="68" t="s">
        <v>289</v>
      </c>
    </row>
    <row r="564" spans="1:12" ht="13.5">
      <c r="A564" s="81" t="s">
        <v>69</v>
      </c>
      <c r="B564" s="65" t="s">
        <v>73</v>
      </c>
      <c r="C564" s="65" t="s">
        <v>61</v>
      </c>
      <c r="D564" s="66" t="s">
        <v>64</v>
      </c>
      <c r="E564" s="67"/>
      <c r="F564" s="65" t="s">
        <v>170</v>
      </c>
      <c r="G564" s="73" t="s">
        <v>151</v>
      </c>
      <c r="H564" s="74" t="s">
        <v>148</v>
      </c>
      <c r="I564" s="77">
        <f t="shared" si="18"/>
        <v>38.359788359788354</v>
      </c>
      <c r="J564" s="77" t="s">
        <v>162</v>
      </c>
      <c r="K564" s="77">
        <f t="shared" si="19"/>
        <v>17.573999999999998</v>
      </c>
      <c r="L564" s="68" t="s">
        <v>289</v>
      </c>
    </row>
    <row r="565" spans="1:12" ht="13.5">
      <c r="A565" s="81" t="s">
        <v>69</v>
      </c>
      <c r="B565" s="65" t="s">
        <v>73</v>
      </c>
      <c r="C565" s="65" t="s">
        <v>61</v>
      </c>
      <c r="D565" s="66" t="s">
        <v>64</v>
      </c>
      <c r="E565" s="67"/>
      <c r="F565" s="65" t="s">
        <v>170</v>
      </c>
      <c r="G565" s="73" t="s">
        <v>152</v>
      </c>
      <c r="H565" s="74" t="s">
        <v>103</v>
      </c>
      <c r="I565" s="77">
        <f t="shared" si="18"/>
        <v>37.47795414462081</v>
      </c>
      <c r="J565" s="77" t="s">
        <v>101</v>
      </c>
      <c r="K565" s="77">
        <f t="shared" si="19"/>
        <v>17.170000000000002</v>
      </c>
      <c r="L565" s="68" t="s">
        <v>289</v>
      </c>
    </row>
    <row r="566" spans="1:12" ht="13.5">
      <c r="A566" s="81" t="s">
        <v>69</v>
      </c>
      <c r="B566" s="65" t="s">
        <v>73</v>
      </c>
      <c r="C566" s="65" t="s">
        <v>61</v>
      </c>
      <c r="D566" s="66" t="s">
        <v>64</v>
      </c>
      <c r="E566" s="67"/>
      <c r="F566" s="65" t="s">
        <v>170</v>
      </c>
      <c r="G566" s="73" t="s">
        <v>153</v>
      </c>
      <c r="H566" s="74" t="s">
        <v>109</v>
      </c>
      <c r="I566" s="77">
        <f t="shared" si="18"/>
        <v>37.257495590828924</v>
      </c>
      <c r="J566" s="77" t="s">
        <v>110</v>
      </c>
      <c r="K566" s="77">
        <f t="shared" si="19"/>
        <v>17.068999999999999</v>
      </c>
      <c r="L566" s="68" t="s">
        <v>289</v>
      </c>
    </row>
    <row r="567" spans="1:12" ht="13.5">
      <c r="A567" s="81"/>
      <c r="B567" s="65"/>
      <c r="C567" s="65"/>
      <c r="D567" s="66"/>
      <c r="E567" s="67"/>
      <c r="F567" s="65" t="s">
        <v>87</v>
      </c>
      <c r="G567" s="73">
        <v>40</v>
      </c>
      <c r="H567" s="74" t="s">
        <v>177</v>
      </c>
      <c r="I567" s="77">
        <f t="shared" si="18"/>
        <v>1512.1252204585537</v>
      </c>
      <c r="J567" s="77" t="s">
        <v>178</v>
      </c>
      <c r="K567" s="77">
        <f t="shared" si="19"/>
        <v>692.75900000000001</v>
      </c>
      <c r="L567" s="68" t="s">
        <v>289</v>
      </c>
    </row>
    <row r="568" spans="1:12" ht="13.5">
      <c r="A568" s="81" t="s">
        <v>69</v>
      </c>
      <c r="B568" s="65" t="s">
        <v>73</v>
      </c>
      <c r="C568" s="65" t="s">
        <v>61</v>
      </c>
      <c r="D568" s="66" t="s">
        <v>64</v>
      </c>
      <c r="E568" s="67"/>
      <c r="F568" s="65" t="s">
        <v>179</v>
      </c>
      <c r="G568" s="73" t="s">
        <v>99</v>
      </c>
      <c r="H568" s="74" t="s">
        <v>109</v>
      </c>
      <c r="I568" s="77">
        <f t="shared" si="18"/>
        <v>37.037037037037038</v>
      </c>
      <c r="J568" s="77" t="s">
        <v>158</v>
      </c>
      <c r="K568" s="77">
        <f t="shared" si="19"/>
        <v>16.968</v>
      </c>
      <c r="L568" s="68" t="s">
        <v>289</v>
      </c>
    </row>
    <row r="569" spans="1:12" ht="13.5">
      <c r="A569" s="81" t="s">
        <v>69</v>
      </c>
      <c r="B569" s="65" t="s">
        <v>73</v>
      </c>
      <c r="C569" s="65" t="s">
        <v>61</v>
      </c>
      <c r="D569" s="66" t="s">
        <v>64</v>
      </c>
      <c r="E569" s="67"/>
      <c r="F569" s="65" t="s">
        <v>179</v>
      </c>
      <c r="G569" s="73" t="s">
        <v>102</v>
      </c>
      <c r="H569" s="74" t="s">
        <v>180</v>
      </c>
      <c r="I569" s="77">
        <f t="shared" si="18"/>
        <v>28.880070546737212</v>
      </c>
      <c r="J569" s="77" t="s">
        <v>181</v>
      </c>
      <c r="K569" s="77">
        <f t="shared" si="19"/>
        <v>13.231</v>
      </c>
      <c r="L569" s="68" t="s">
        <v>289</v>
      </c>
    </row>
    <row r="570" spans="1:12" ht="13.5">
      <c r="A570" s="81" t="s">
        <v>69</v>
      </c>
      <c r="B570" s="65" t="s">
        <v>73</v>
      </c>
      <c r="C570" s="65" t="s">
        <v>61</v>
      </c>
      <c r="D570" s="66" t="s">
        <v>64</v>
      </c>
      <c r="E570" s="67"/>
      <c r="F570" s="65" t="s">
        <v>179</v>
      </c>
      <c r="G570" s="73" t="s">
        <v>105</v>
      </c>
      <c r="H570" s="74" t="s">
        <v>173</v>
      </c>
      <c r="I570" s="77">
        <f t="shared" si="18"/>
        <v>35.273368606701936</v>
      </c>
      <c r="J570" s="77" t="s">
        <v>182</v>
      </c>
      <c r="K570" s="77">
        <f t="shared" si="19"/>
        <v>16.16</v>
      </c>
      <c r="L570" s="68" t="s">
        <v>289</v>
      </c>
    </row>
    <row r="571" spans="1:12" ht="13.5">
      <c r="A571" s="81" t="s">
        <v>69</v>
      </c>
      <c r="B571" s="65" t="s">
        <v>73</v>
      </c>
      <c r="C571" s="65" t="s">
        <v>61</v>
      </c>
      <c r="D571" s="66" t="s">
        <v>64</v>
      </c>
      <c r="E571" s="67"/>
      <c r="F571" s="65" t="s">
        <v>179</v>
      </c>
      <c r="G571" s="73" t="s">
        <v>106</v>
      </c>
      <c r="H571" s="74" t="s">
        <v>183</v>
      </c>
      <c r="I571" s="77">
        <f t="shared" si="18"/>
        <v>31.966490299823633</v>
      </c>
      <c r="J571" s="77" t="s">
        <v>184</v>
      </c>
      <c r="K571" s="77">
        <f t="shared" si="19"/>
        <v>14.645</v>
      </c>
      <c r="L571" s="68" t="s">
        <v>289</v>
      </c>
    </row>
    <row r="572" spans="1:12" ht="13.5">
      <c r="A572" s="81" t="s">
        <v>69</v>
      </c>
      <c r="B572" s="65" t="s">
        <v>73</v>
      </c>
      <c r="C572" s="65" t="s">
        <v>61</v>
      </c>
      <c r="D572" s="66" t="s">
        <v>64</v>
      </c>
      <c r="E572" s="67"/>
      <c r="F572" s="65" t="s">
        <v>179</v>
      </c>
      <c r="G572" s="73" t="s">
        <v>108</v>
      </c>
      <c r="H572" s="74" t="s">
        <v>109</v>
      </c>
      <c r="I572" s="77">
        <f t="shared" si="18"/>
        <v>37.257495590828924</v>
      </c>
      <c r="J572" s="77" t="s">
        <v>110</v>
      </c>
      <c r="K572" s="77">
        <f t="shared" si="19"/>
        <v>17.068999999999999</v>
      </c>
      <c r="L572" s="68" t="s">
        <v>289</v>
      </c>
    </row>
    <row r="573" spans="1:12" ht="13.5">
      <c r="A573" s="81" t="s">
        <v>69</v>
      </c>
      <c r="B573" s="65" t="s">
        <v>73</v>
      </c>
      <c r="C573" s="65" t="s">
        <v>61</v>
      </c>
      <c r="D573" s="66" t="s">
        <v>64</v>
      </c>
      <c r="E573" s="67"/>
      <c r="F573" s="65" t="s">
        <v>179</v>
      </c>
      <c r="G573" s="73" t="s">
        <v>111</v>
      </c>
      <c r="H573" s="74" t="s">
        <v>103</v>
      </c>
      <c r="I573" s="77">
        <f t="shared" si="18"/>
        <v>37.47795414462081</v>
      </c>
      <c r="J573" s="77" t="s">
        <v>101</v>
      </c>
      <c r="K573" s="77">
        <f t="shared" si="19"/>
        <v>17.170000000000002</v>
      </c>
      <c r="L573" s="68" t="s">
        <v>289</v>
      </c>
    </row>
    <row r="574" spans="1:12" ht="13.5">
      <c r="A574" s="81" t="s">
        <v>69</v>
      </c>
      <c r="B574" s="65" t="s">
        <v>73</v>
      </c>
      <c r="C574" s="65" t="s">
        <v>61</v>
      </c>
      <c r="D574" s="66" t="s">
        <v>64</v>
      </c>
      <c r="E574" s="67"/>
      <c r="F574" s="65" t="s">
        <v>179</v>
      </c>
      <c r="G574" s="73" t="s">
        <v>112</v>
      </c>
      <c r="H574" s="74" t="s">
        <v>109</v>
      </c>
      <c r="I574" s="77">
        <f t="shared" si="18"/>
        <v>37.037037037037038</v>
      </c>
      <c r="J574" s="77" t="s">
        <v>158</v>
      </c>
      <c r="K574" s="77">
        <f t="shared" si="19"/>
        <v>16.968</v>
      </c>
      <c r="L574" s="68" t="s">
        <v>289</v>
      </c>
    </row>
    <row r="575" spans="1:12" ht="13.5">
      <c r="A575" s="81" t="s">
        <v>69</v>
      </c>
      <c r="B575" s="65" t="s">
        <v>73</v>
      </c>
      <c r="C575" s="65" t="s">
        <v>61</v>
      </c>
      <c r="D575" s="66" t="s">
        <v>64</v>
      </c>
      <c r="E575" s="67"/>
      <c r="F575" s="65" t="s">
        <v>179</v>
      </c>
      <c r="G575" s="73" t="s">
        <v>113</v>
      </c>
      <c r="H575" s="74" t="s">
        <v>109</v>
      </c>
      <c r="I575" s="77">
        <f t="shared" si="18"/>
        <v>37.037037037037038</v>
      </c>
      <c r="J575" s="77" t="s">
        <v>158</v>
      </c>
      <c r="K575" s="77">
        <f t="shared" si="19"/>
        <v>16.968</v>
      </c>
      <c r="L575" s="68" t="s">
        <v>289</v>
      </c>
    </row>
    <row r="576" spans="1:12" ht="13.5">
      <c r="A576" s="81" t="s">
        <v>69</v>
      </c>
      <c r="B576" s="65" t="s">
        <v>73</v>
      </c>
      <c r="C576" s="65" t="s">
        <v>61</v>
      </c>
      <c r="D576" s="66" t="s">
        <v>64</v>
      </c>
      <c r="E576" s="67"/>
      <c r="F576" s="65" t="s">
        <v>179</v>
      </c>
      <c r="G576" s="73" t="s">
        <v>116</v>
      </c>
      <c r="H576" s="74" t="s">
        <v>126</v>
      </c>
      <c r="I576" s="77">
        <f t="shared" ref="I576:I639" si="20">+J576/0.4536</f>
        <v>36.816578483245145</v>
      </c>
      <c r="J576" s="77" t="s">
        <v>127</v>
      </c>
      <c r="K576" s="77">
        <f t="shared" ref="K576:K639" si="21">+J576*1.01</f>
        <v>16.867000000000001</v>
      </c>
      <c r="L576" s="68" t="s">
        <v>289</v>
      </c>
    </row>
    <row r="577" spans="1:12" ht="13.5">
      <c r="A577" s="81" t="s">
        <v>69</v>
      </c>
      <c r="B577" s="65" t="s">
        <v>73</v>
      </c>
      <c r="C577" s="65" t="s">
        <v>61</v>
      </c>
      <c r="D577" s="66" t="s">
        <v>64</v>
      </c>
      <c r="E577" s="67"/>
      <c r="F577" s="65" t="s">
        <v>179</v>
      </c>
      <c r="G577" s="73" t="s">
        <v>118</v>
      </c>
      <c r="H577" s="74" t="s">
        <v>109</v>
      </c>
      <c r="I577" s="77">
        <f t="shared" si="20"/>
        <v>37.037037037037038</v>
      </c>
      <c r="J577" s="77" t="s">
        <v>158</v>
      </c>
      <c r="K577" s="77">
        <f t="shared" si="21"/>
        <v>16.968</v>
      </c>
      <c r="L577" s="68" t="s">
        <v>289</v>
      </c>
    </row>
    <row r="578" spans="1:12" ht="13.5">
      <c r="A578" s="81" t="s">
        <v>69</v>
      </c>
      <c r="B578" s="65" t="s">
        <v>73</v>
      </c>
      <c r="C578" s="65" t="s">
        <v>61</v>
      </c>
      <c r="D578" s="66" t="s">
        <v>64</v>
      </c>
      <c r="E578" s="67"/>
      <c r="F578" s="65" t="s">
        <v>179</v>
      </c>
      <c r="G578" s="73" t="s">
        <v>121</v>
      </c>
      <c r="H578" s="74" t="s">
        <v>109</v>
      </c>
      <c r="I578" s="77">
        <f t="shared" si="20"/>
        <v>37.037037037037038</v>
      </c>
      <c r="J578" s="77" t="s">
        <v>158</v>
      </c>
      <c r="K578" s="77">
        <f t="shared" si="21"/>
        <v>16.968</v>
      </c>
      <c r="L578" s="68" t="s">
        <v>289</v>
      </c>
    </row>
    <row r="579" spans="1:12" ht="13.5">
      <c r="A579" s="81" t="s">
        <v>69</v>
      </c>
      <c r="B579" s="65" t="s">
        <v>73</v>
      </c>
      <c r="C579" s="65" t="s">
        <v>61</v>
      </c>
      <c r="D579" s="66" t="s">
        <v>64</v>
      </c>
      <c r="E579" s="67"/>
      <c r="F579" s="65" t="s">
        <v>179</v>
      </c>
      <c r="G579" s="73" t="s">
        <v>122</v>
      </c>
      <c r="H579" s="74" t="s">
        <v>109</v>
      </c>
      <c r="I579" s="77">
        <f t="shared" si="20"/>
        <v>37.257495590828924</v>
      </c>
      <c r="J579" s="77" t="s">
        <v>110</v>
      </c>
      <c r="K579" s="77">
        <f t="shared" si="21"/>
        <v>17.068999999999999</v>
      </c>
      <c r="L579" s="68" t="s">
        <v>289</v>
      </c>
    </row>
    <row r="580" spans="1:12" ht="13.5">
      <c r="A580" s="81" t="s">
        <v>69</v>
      </c>
      <c r="B580" s="65" t="s">
        <v>73</v>
      </c>
      <c r="C580" s="65" t="s">
        <v>61</v>
      </c>
      <c r="D580" s="66" t="s">
        <v>64</v>
      </c>
      <c r="E580" s="67"/>
      <c r="F580" s="65" t="s">
        <v>179</v>
      </c>
      <c r="G580" s="73" t="s">
        <v>123</v>
      </c>
      <c r="H580" s="74" t="s">
        <v>126</v>
      </c>
      <c r="I580" s="77">
        <f t="shared" si="20"/>
        <v>36.596119929453266</v>
      </c>
      <c r="J580" s="77" t="s">
        <v>159</v>
      </c>
      <c r="K580" s="77">
        <f t="shared" si="21"/>
        <v>16.766000000000002</v>
      </c>
      <c r="L580" s="68" t="s">
        <v>289</v>
      </c>
    </row>
    <row r="581" spans="1:12" ht="13.5">
      <c r="A581" s="81" t="s">
        <v>69</v>
      </c>
      <c r="B581" s="65" t="s">
        <v>73</v>
      </c>
      <c r="C581" s="65" t="s">
        <v>61</v>
      </c>
      <c r="D581" s="66" t="s">
        <v>64</v>
      </c>
      <c r="E581" s="67"/>
      <c r="F581" s="65" t="s">
        <v>179</v>
      </c>
      <c r="G581" s="73" t="s">
        <v>124</v>
      </c>
      <c r="H581" s="74" t="s">
        <v>109</v>
      </c>
      <c r="I581" s="77">
        <f t="shared" si="20"/>
        <v>37.257495590828924</v>
      </c>
      <c r="J581" s="77" t="s">
        <v>110</v>
      </c>
      <c r="K581" s="77">
        <f t="shared" si="21"/>
        <v>17.068999999999999</v>
      </c>
      <c r="L581" s="68" t="s">
        <v>289</v>
      </c>
    </row>
    <row r="582" spans="1:12" ht="13.5">
      <c r="A582" s="81" t="s">
        <v>69</v>
      </c>
      <c r="B582" s="65" t="s">
        <v>73</v>
      </c>
      <c r="C582" s="65" t="s">
        <v>61</v>
      </c>
      <c r="D582" s="66" t="s">
        <v>64</v>
      </c>
      <c r="E582" s="67"/>
      <c r="F582" s="65" t="s">
        <v>179</v>
      </c>
      <c r="G582" s="73" t="s">
        <v>161</v>
      </c>
      <c r="H582" s="74" t="s">
        <v>109</v>
      </c>
      <c r="I582" s="77">
        <f t="shared" si="20"/>
        <v>37.257495590828924</v>
      </c>
      <c r="J582" s="77" t="s">
        <v>110</v>
      </c>
      <c r="K582" s="77">
        <f t="shared" si="21"/>
        <v>17.068999999999999</v>
      </c>
      <c r="L582" s="68" t="s">
        <v>289</v>
      </c>
    </row>
    <row r="583" spans="1:12" ht="13.5">
      <c r="A583" s="81" t="s">
        <v>69</v>
      </c>
      <c r="B583" s="65" t="s">
        <v>73</v>
      </c>
      <c r="C583" s="65" t="s">
        <v>61</v>
      </c>
      <c r="D583" s="66" t="s">
        <v>64</v>
      </c>
      <c r="E583" s="67"/>
      <c r="F583" s="65" t="s">
        <v>179</v>
      </c>
      <c r="G583" s="73" t="s">
        <v>125</v>
      </c>
      <c r="H583" s="74" t="s">
        <v>109</v>
      </c>
      <c r="I583" s="77">
        <f t="shared" si="20"/>
        <v>37.037037037037038</v>
      </c>
      <c r="J583" s="77" t="s">
        <v>158</v>
      </c>
      <c r="K583" s="77">
        <f t="shared" si="21"/>
        <v>16.968</v>
      </c>
      <c r="L583" s="68" t="s">
        <v>289</v>
      </c>
    </row>
    <row r="584" spans="1:12" ht="13.5">
      <c r="A584" s="81" t="s">
        <v>69</v>
      </c>
      <c r="B584" s="65" t="s">
        <v>73</v>
      </c>
      <c r="C584" s="65" t="s">
        <v>61</v>
      </c>
      <c r="D584" s="66" t="s">
        <v>64</v>
      </c>
      <c r="E584" s="67"/>
      <c r="F584" s="65" t="s">
        <v>179</v>
      </c>
      <c r="G584" s="73" t="s">
        <v>128</v>
      </c>
      <c r="H584" s="74" t="s">
        <v>109</v>
      </c>
      <c r="I584" s="77">
        <f t="shared" si="20"/>
        <v>37.037037037037038</v>
      </c>
      <c r="J584" s="77" t="s">
        <v>158</v>
      </c>
      <c r="K584" s="77">
        <f t="shared" si="21"/>
        <v>16.968</v>
      </c>
      <c r="L584" s="68" t="s">
        <v>289</v>
      </c>
    </row>
    <row r="585" spans="1:12" ht="13.5">
      <c r="A585" s="81" t="s">
        <v>69</v>
      </c>
      <c r="B585" s="65" t="s">
        <v>73</v>
      </c>
      <c r="C585" s="65" t="s">
        <v>61</v>
      </c>
      <c r="D585" s="66" t="s">
        <v>64</v>
      </c>
      <c r="E585" s="67"/>
      <c r="F585" s="65" t="s">
        <v>179</v>
      </c>
      <c r="G585" s="73" t="s">
        <v>135</v>
      </c>
      <c r="H585" s="74" t="s">
        <v>109</v>
      </c>
      <c r="I585" s="77">
        <f t="shared" si="20"/>
        <v>37.257495590828924</v>
      </c>
      <c r="J585" s="77" t="s">
        <v>110</v>
      </c>
      <c r="K585" s="77">
        <f t="shared" si="21"/>
        <v>17.068999999999999</v>
      </c>
      <c r="L585" s="68" t="s">
        <v>289</v>
      </c>
    </row>
    <row r="586" spans="1:12" ht="13.5">
      <c r="A586" s="81" t="s">
        <v>69</v>
      </c>
      <c r="B586" s="65" t="s">
        <v>73</v>
      </c>
      <c r="C586" s="65" t="s">
        <v>61</v>
      </c>
      <c r="D586" s="66" t="s">
        <v>64</v>
      </c>
      <c r="E586" s="67"/>
      <c r="F586" s="65" t="s">
        <v>179</v>
      </c>
      <c r="G586" s="73" t="s">
        <v>136</v>
      </c>
      <c r="H586" s="74" t="s">
        <v>109</v>
      </c>
      <c r="I586" s="77">
        <f t="shared" si="20"/>
        <v>37.037037037037038</v>
      </c>
      <c r="J586" s="77" t="s">
        <v>158</v>
      </c>
      <c r="K586" s="77">
        <f t="shared" si="21"/>
        <v>16.968</v>
      </c>
      <c r="L586" s="68" t="s">
        <v>289</v>
      </c>
    </row>
    <row r="587" spans="1:12" ht="13.5">
      <c r="A587" s="81" t="s">
        <v>69</v>
      </c>
      <c r="B587" s="65" t="s">
        <v>73</v>
      </c>
      <c r="C587" s="65" t="s">
        <v>61</v>
      </c>
      <c r="D587" s="66" t="s">
        <v>64</v>
      </c>
      <c r="E587" s="67"/>
      <c r="F587" s="65" t="s">
        <v>179</v>
      </c>
      <c r="G587" s="73" t="s">
        <v>137</v>
      </c>
      <c r="H587" s="74" t="s">
        <v>109</v>
      </c>
      <c r="I587" s="77">
        <f t="shared" si="20"/>
        <v>37.037037037037038</v>
      </c>
      <c r="J587" s="77" t="s">
        <v>158</v>
      </c>
      <c r="K587" s="77">
        <f t="shared" si="21"/>
        <v>16.968</v>
      </c>
      <c r="L587" s="68" t="s">
        <v>289</v>
      </c>
    </row>
    <row r="588" spans="1:12" ht="13.5">
      <c r="A588" s="81" t="s">
        <v>69</v>
      </c>
      <c r="B588" s="65" t="s">
        <v>73</v>
      </c>
      <c r="C588" s="65" t="s">
        <v>61</v>
      </c>
      <c r="D588" s="66" t="s">
        <v>64</v>
      </c>
      <c r="E588" s="67"/>
      <c r="F588" s="65" t="s">
        <v>179</v>
      </c>
      <c r="G588" s="73" t="s">
        <v>138</v>
      </c>
      <c r="H588" s="74" t="s">
        <v>126</v>
      </c>
      <c r="I588" s="77">
        <f t="shared" si="20"/>
        <v>36.816578483245145</v>
      </c>
      <c r="J588" s="77" t="s">
        <v>127</v>
      </c>
      <c r="K588" s="77">
        <f t="shared" si="21"/>
        <v>16.867000000000001</v>
      </c>
      <c r="L588" s="68" t="s">
        <v>289</v>
      </c>
    </row>
    <row r="589" spans="1:12" ht="13.5">
      <c r="A589" s="81" t="s">
        <v>69</v>
      </c>
      <c r="B589" s="65" t="s">
        <v>73</v>
      </c>
      <c r="C589" s="65" t="s">
        <v>61</v>
      </c>
      <c r="D589" s="66" t="s">
        <v>64</v>
      </c>
      <c r="E589" s="67"/>
      <c r="F589" s="65" t="s">
        <v>179</v>
      </c>
      <c r="G589" s="73" t="s">
        <v>139</v>
      </c>
      <c r="H589" s="74" t="s">
        <v>119</v>
      </c>
      <c r="I589" s="77">
        <f t="shared" si="20"/>
        <v>36.375661375661373</v>
      </c>
      <c r="J589" s="77" t="s">
        <v>154</v>
      </c>
      <c r="K589" s="77">
        <f t="shared" si="21"/>
        <v>16.664999999999999</v>
      </c>
      <c r="L589" s="68" t="s">
        <v>289</v>
      </c>
    </row>
    <row r="590" spans="1:12" ht="13.5">
      <c r="A590" s="81" t="s">
        <v>69</v>
      </c>
      <c r="B590" s="65" t="s">
        <v>73</v>
      </c>
      <c r="C590" s="65" t="s">
        <v>61</v>
      </c>
      <c r="D590" s="66" t="s">
        <v>64</v>
      </c>
      <c r="E590" s="67"/>
      <c r="F590" s="65" t="s">
        <v>179</v>
      </c>
      <c r="G590" s="73" t="s">
        <v>140</v>
      </c>
      <c r="H590" s="74" t="s">
        <v>126</v>
      </c>
      <c r="I590" s="77">
        <f t="shared" si="20"/>
        <v>36.816578483245145</v>
      </c>
      <c r="J590" s="77" t="s">
        <v>127</v>
      </c>
      <c r="K590" s="77">
        <f t="shared" si="21"/>
        <v>16.867000000000001</v>
      </c>
      <c r="L590" s="68" t="s">
        <v>289</v>
      </c>
    </row>
    <row r="591" spans="1:12" ht="13.5">
      <c r="A591" s="81" t="s">
        <v>69</v>
      </c>
      <c r="B591" s="65" t="s">
        <v>73</v>
      </c>
      <c r="C591" s="65" t="s">
        <v>61</v>
      </c>
      <c r="D591" s="66" t="s">
        <v>64</v>
      </c>
      <c r="E591" s="67"/>
      <c r="F591" s="65" t="s">
        <v>179</v>
      </c>
      <c r="G591" s="73" t="s">
        <v>167</v>
      </c>
      <c r="H591" s="74" t="s">
        <v>109</v>
      </c>
      <c r="I591" s="77">
        <f t="shared" si="20"/>
        <v>37.257495590828924</v>
      </c>
      <c r="J591" s="77" t="s">
        <v>110</v>
      </c>
      <c r="K591" s="77">
        <f t="shared" si="21"/>
        <v>17.068999999999999</v>
      </c>
      <c r="L591" s="68" t="s">
        <v>289</v>
      </c>
    </row>
    <row r="592" spans="1:12" ht="13.5">
      <c r="A592" s="81" t="s">
        <v>69</v>
      </c>
      <c r="B592" s="65" t="s">
        <v>73</v>
      </c>
      <c r="C592" s="65" t="s">
        <v>61</v>
      </c>
      <c r="D592" s="66" t="s">
        <v>64</v>
      </c>
      <c r="E592" s="67"/>
      <c r="F592" s="65" t="s">
        <v>179</v>
      </c>
      <c r="G592" s="73" t="s">
        <v>141</v>
      </c>
      <c r="H592" s="74" t="s">
        <v>109</v>
      </c>
      <c r="I592" s="77">
        <f t="shared" si="20"/>
        <v>37.037037037037038</v>
      </c>
      <c r="J592" s="77" t="s">
        <v>158</v>
      </c>
      <c r="K592" s="77">
        <f t="shared" si="21"/>
        <v>16.968</v>
      </c>
      <c r="L592" s="68" t="s">
        <v>289</v>
      </c>
    </row>
    <row r="593" spans="1:12" ht="13.5">
      <c r="A593" s="81" t="s">
        <v>69</v>
      </c>
      <c r="B593" s="65" t="s">
        <v>73</v>
      </c>
      <c r="C593" s="65" t="s">
        <v>61</v>
      </c>
      <c r="D593" s="66" t="s">
        <v>64</v>
      </c>
      <c r="E593" s="67"/>
      <c r="F593" s="65" t="s">
        <v>179</v>
      </c>
      <c r="G593" s="73" t="s">
        <v>142</v>
      </c>
      <c r="H593" s="74" t="s">
        <v>109</v>
      </c>
      <c r="I593" s="77">
        <f t="shared" si="20"/>
        <v>37.257495590828924</v>
      </c>
      <c r="J593" s="77" t="s">
        <v>110</v>
      </c>
      <c r="K593" s="77">
        <f t="shared" si="21"/>
        <v>17.068999999999999</v>
      </c>
      <c r="L593" s="68" t="s">
        <v>289</v>
      </c>
    </row>
    <row r="594" spans="1:12" ht="13.5">
      <c r="A594" s="81" t="s">
        <v>69</v>
      </c>
      <c r="B594" s="65" t="s">
        <v>73</v>
      </c>
      <c r="C594" s="65" t="s">
        <v>61</v>
      </c>
      <c r="D594" s="66" t="s">
        <v>64</v>
      </c>
      <c r="E594" s="67"/>
      <c r="F594" s="65" t="s">
        <v>179</v>
      </c>
      <c r="G594" s="73" t="s">
        <v>143</v>
      </c>
      <c r="H594" s="74" t="s">
        <v>109</v>
      </c>
      <c r="I594" s="77">
        <f t="shared" si="20"/>
        <v>37.037037037037038</v>
      </c>
      <c r="J594" s="77" t="s">
        <v>158</v>
      </c>
      <c r="K594" s="77">
        <f t="shared" si="21"/>
        <v>16.968</v>
      </c>
      <c r="L594" s="68" t="s">
        <v>289</v>
      </c>
    </row>
    <row r="595" spans="1:12" ht="13.5">
      <c r="A595" s="81" t="s">
        <v>69</v>
      </c>
      <c r="B595" s="65" t="s">
        <v>73</v>
      </c>
      <c r="C595" s="65" t="s">
        <v>61</v>
      </c>
      <c r="D595" s="66" t="s">
        <v>64</v>
      </c>
      <c r="E595" s="67"/>
      <c r="F595" s="65" t="s">
        <v>179</v>
      </c>
      <c r="G595" s="73" t="s">
        <v>146</v>
      </c>
      <c r="H595" s="74" t="s">
        <v>126</v>
      </c>
      <c r="I595" s="77">
        <f t="shared" si="20"/>
        <v>36.596119929453266</v>
      </c>
      <c r="J595" s="77" t="s">
        <v>159</v>
      </c>
      <c r="K595" s="77">
        <f t="shared" si="21"/>
        <v>16.766000000000002</v>
      </c>
      <c r="L595" s="68" t="s">
        <v>289</v>
      </c>
    </row>
    <row r="596" spans="1:12" ht="13.5">
      <c r="A596" s="81" t="s">
        <v>69</v>
      </c>
      <c r="B596" s="65" t="s">
        <v>73</v>
      </c>
      <c r="C596" s="65" t="s">
        <v>61</v>
      </c>
      <c r="D596" s="66" t="s">
        <v>64</v>
      </c>
      <c r="E596" s="67"/>
      <c r="F596" s="65" t="s">
        <v>179</v>
      </c>
      <c r="G596" s="73" t="s">
        <v>147</v>
      </c>
      <c r="H596" s="74" t="s">
        <v>109</v>
      </c>
      <c r="I596" s="77">
        <f t="shared" si="20"/>
        <v>37.037037037037038</v>
      </c>
      <c r="J596" s="77" t="s">
        <v>158</v>
      </c>
      <c r="K596" s="77">
        <f t="shared" si="21"/>
        <v>16.968</v>
      </c>
      <c r="L596" s="68" t="s">
        <v>289</v>
      </c>
    </row>
    <row r="597" spans="1:12" ht="13.5">
      <c r="A597" s="81" t="s">
        <v>69</v>
      </c>
      <c r="B597" s="65" t="s">
        <v>73</v>
      </c>
      <c r="C597" s="65" t="s">
        <v>61</v>
      </c>
      <c r="D597" s="66" t="s">
        <v>64</v>
      </c>
      <c r="E597" s="67"/>
      <c r="F597" s="65" t="s">
        <v>179</v>
      </c>
      <c r="G597" s="73" t="s">
        <v>150</v>
      </c>
      <c r="H597" s="74" t="s">
        <v>126</v>
      </c>
      <c r="I597" s="77">
        <f t="shared" si="20"/>
        <v>36.816578483245145</v>
      </c>
      <c r="J597" s="77" t="s">
        <v>127</v>
      </c>
      <c r="K597" s="77">
        <f t="shared" si="21"/>
        <v>16.867000000000001</v>
      </c>
      <c r="L597" s="68" t="s">
        <v>289</v>
      </c>
    </row>
    <row r="598" spans="1:12" ht="13.5">
      <c r="A598" s="81" t="s">
        <v>69</v>
      </c>
      <c r="B598" s="65" t="s">
        <v>73</v>
      </c>
      <c r="C598" s="65" t="s">
        <v>61</v>
      </c>
      <c r="D598" s="66" t="s">
        <v>64</v>
      </c>
      <c r="E598" s="67"/>
      <c r="F598" s="65" t="s">
        <v>179</v>
      </c>
      <c r="G598" s="73" t="s">
        <v>151</v>
      </c>
      <c r="H598" s="74" t="s">
        <v>109</v>
      </c>
      <c r="I598" s="77">
        <f t="shared" si="20"/>
        <v>37.037037037037038</v>
      </c>
      <c r="J598" s="77" t="s">
        <v>158</v>
      </c>
      <c r="K598" s="77">
        <f t="shared" si="21"/>
        <v>16.968</v>
      </c>
      <c r="L598" s="68" t="s">
        <v>289</v>
      </c>
    </row>
    <row r="599" spans="1:12" ht="13.5">
      <c r="A599" s="81" t="s">
        <v>69</v>
      </c>
      <c r="B599" s="65" t="s">
        <v>73</v>
      </c>
      <c r="C599" s="65" t="s">
        <v>61</v>
      </c>
      <c r="D599" s="66" t="s">
        <v>64</v>
      </c>
      <c r="E599" s="67"/>
      <c r="F599" s="65" t="s">
        <v>179</v>
      </c>
      <c r="G599" s="73" t="s">
        <v>152</v>
      </c>
      <c r="H599" s="74" t="s">
        <v>126</v>
      </c>
      <c r="I599" s="77">
        <f t="shared" si="20"/>
        <v>36.816578483245145</v>
      </c>
      <c r="J599" s="77" t="s">
        <v>127</v>
      </c>
      <c r="K599" s="77">
        <f t="shared" si="21"/>
        <v>16.867000000000001</v>
      </c>
      <c r="L599" s="68" t="s">
        <v>289</v>
      </c>
    </row>
    <row r="600" spans="1:12" ht="13.5">
      <c r="A600" s="81" t="s">
        <v>69</v>
      </c>
      <c r="B600" s="65" t="s">
        <v>73</v>
      </c>
      <c r="C600" s="65" t="s">
        <v>61</v>
      </c>
      <c r="D600" s="66" t="s">
        <v>64</v>
      </c>
      <c r="E600" s="67"/>
      <c r="F600" s="65" t="s">
        <v>179</v>
      </c>
      <c r="G600" s="73" t="s">
        <v>153</v>
      </c>
      <c r="H600" s="74" t="s">
        <v>103</v>
      </c>
      <c r="I600" s="77">
        <f t="shared" si="20"/>
        <v>37.698412698412703</v>
      </c>
      <c r="J600" s="77" t="s">
        <v>104</v>
      </c>
      <c r="K600" s="77">
        <f t="shared" si="21"/>
        <v>17.271000000000001</v>
      </c>
      <c r="L600" s="68" t="s">
        <v>289</v>
      </c>
    </row>
    <row r="601" spans="1:12" ht="13.5">
      <c r="A601" s="81"/>
      <c r="B601" s="65"/>
      <c r="C601" s="65"/>
      <c r="D601" s="66"/>
      <c r="E601" s="67"/>
      <c r="F601" s="65" t="s">
        <v>87</v>
      </c>
      <c r="G601" s="73">
        <v>33</v>
      </c>
      <c r="H601" s="74" t="s">
        <v>185</v>
      </c>
      <c r="I601" s="77">
        <f t="shared" si="20"/>
        <v>1207.2310405643739</v>
      </c>
      <c r="J601" s="77" t="s">
        <v>186</v>
      </c>
      <c r="K601" s="77">
        <f t="shared" si="21"/>
        <v>553.07600000000002</v>
      </c>
      <c r="L601" s="68" t="s">
        <v>289</v>
      </c>
    </row>
    <row r="602" spans="1:12" ht="13.5">
      <c r="A602" s="81" t="s">
        <v>69</v>
      </c>
      <c r="B602" s="65" t="s">
        <v>73</v>
      </c>
      <c r="C602" s="65" t="s">
        <v>61</v>
      </c>
      <c r="D602" s="66" t="s">
        <v>64</v>
      </c>
      <c r="E602" s="67"/>
      <c r="F602" s="65" t="s">
        <v>187</v>
      </c>
      <c r="G602" s="73" t="s">
        <v>99</v>
      </c>
      <c r="H602" s="74" t="s">
        <v>126</v>
      </c>
      <c r="I602" s="77">
        <f t="shared" si="20"/>
        <v>36.596119929453266</v>
      </c>
      <c r="J602" s="77" t="s">
        <v>159</v>
      </c>
      <c r="K602" s="77">
        <f t="shared" si="21"/>
        <v>16.766000000000002</v>
      </c>
      <c r="L602" s="68" t="s">
        <v>289</v>
      </c>
    </row>
    <row r="603" spans="1:12" ht="13.5">
      <c r="A603" s="81" t="s">
        <v>69</v>
      </c>
      <c r="B603" s="65" t="s">
        <v>73</v>
      </c>
      <c r="C603" s="65" t="s">
        <v>61</v>
      </c>
      <c r="D603" s="66" t="s">
        <v>64</v>
      </c>
      <c r="E603" s="67"/>
      <c r="F603" s="65" t="s">
        <v>187</v>
      </c>
      <c r="G603" s="73" t="s">
        <v>102</v>
      </c>
      <c r="H603" s="74" t="s">
        <v>100</v>
      </c>
      <c r="I603" s="77">
        <f t="shared" si="20"/>
        <v>35.934744268077601</v>
      </c>
      <c r="J603" s="77" t="s">
        <v>107</v>
      </c>
      <c r="K603" s="77">
        <f t="shared" si="21"/>
        <v>16.463000000000001</v>
      </c>
      <c r="L603" s="68" t="s">
        <v>289</v>
      </c>
    </row>
    <row r="604" spans="1:12" ht="13.5">
      <c r="A604" s="81" t="s">
        <v>69</v>
      </c>
      <c r="B604" s="65" t="s">
        <v>73</v>
      </c>
      <c r="C604" s="65" t="s">
        <v>61</v>
      </c>
      <c r="D604" s="66" t="s">
        <v>64</v>
      </c>
      <c r="E604" s="67"/>
      <c r="F604" s="65" t="s">
        <v>187</v>
      </c>
      <c r="G604" s="73" t="s">
        <v>105</v>
      </c>
      <c r="H604" s="74" t="s">
        <v>103</v>
      </c>
      <c r="I604" s="77">
        <f t="shared" si="20"/>
        <v>37.47795414462081</v>
      </c>
      <c r="J604" s="77" t="s">
        <v>101</v>
      </c>
      <c r="K604" s="77">
        <f t="shared" si="21"/>
        <v>17.170000000000002</v>
      </c>
      <c r="L604" s="68" t="s">
        <v>289</v>
      </c>
    </row>
    <row r="605" spans="1:12" ht="13.5">
      <c r="A605" s="81" t="s">
        <v>69</v>
      </c>
      <c r="B605" s="65" t="s">
        <v>73</v>
      </c>
      <c r="C605" s="65" t="s">
        <v>61</v>
      </c>
      <c r="D605" s="66" t="s">
        <v>64</v>
      </c>
      <c r="E605" s="67"/>
      <c r="F605" s="65" t="s">
        <v>187</v>
      </c>
      <c r="G605" s="73" t="s">
        <v>106</v>
      </c>
      <c r="H605" s="74" t="s">
        <v>119</v>
      </c>
      <c r="I605" s="77">
        <f t="shared" si="20"/>
        <v>36.375661375661373</v>
      </c>
      <c r="J605" s="77" t="s">
        <v>154</v>
      </c>
      <c r="K605" s="77">
        <f t="shared" si="21"/>
        <v>16.664999999999999</v>
      </c>
      <c r="L605" s="68" t="s">
        <v>289</v>
      </c>
    </row>
    <row r="606" spans="1:12" ht="13.5">
      <c r="A606" s="81"/>
      <c r="B606" s="65"/>
      <c r="C606" s="65"/>
      <c r="D606" s="66"/>
      <c r="E606" s="67"/>
      <c r="F606" s="65" t="s">
        <v>87</v>
      </c>
      <c r="G606" s="73">
        <v>4</v>
      </c>
      <c r="H606" s="74" t="s">
        <v>188</v>
      </c>
      <c r="I606" s="77">
        <f t="shared" si="20"/>
        <v>146.38447971781306</v>
      </c>
      <c r="J606" s="77" t="s">
        <v>189</v>
      </c>
      <c r="K606" s="77">
        <f t="shared" si="21"/>
        <v>67.064000000000007</v>
      </c>
      <c r="L606" s="68" t="s">
        <v>289</v>
      </c>
    </row>
    <row r="607" spans="1:12" ht="13.5">
      <c r="A607" s="81"/>
      <c r="B607" s="65"/>
      <c r="C607" s="65"/>
      <c r="D607" s="66" t="s">
        <v>76</v>
      </c>
      <c r="E607" s="67"/>
      <c r="F607" s="65"/>
      <c r="G607" s="73" t="s">
        <v>190</v>
      </c>
      <c r="H607" s="74" t="s">
        <v>191</v>
      </c>
      <c r="I607" s="77">
        <f t="shared" si="20"/>
        <v>5758.5978835978831</v>
      </c>
      <c r="J607" s="77" t="s">
        <v>192</v>
      </c>
      <c r="K607" s="77">
        <f t="shared" si="21"/>
        <v>2638.221</v>
      </c>
      <c r="L607" s="68" t="s">
        <v>289</v>
      </c>
    </row>
    <row r="608" spans="1:12" ht="13.5">
      <c r="A608" s="81" t="s">
        <v>69</v>
      </c>
      <c r="B608" s="65" t="s">
        <v>73</v>
      </c>
      <c r="C608" s="65" t="s">
        <v>61</v>
      </c>
      <c r="D608" s="66" t="s">
        <v>80</v>
      </c>
      <c r="E608" s="67"/>
      <c r="F608" s="65" t="s">
        <v>193</v>
      </c>
      <c r="G608" s="73" t="s">
        <v>99</v>
      </c>
      <c r="H608" s="74" t="s">
        <v>114</v>
      </c>
      <c r="I608" s="77">
        <f t="shared" si="20"/>
        <v>38.80070546737214</v>
      </c>
      <c r="J608" s="77" t="s">
        <v>160</v>
      </c>
      <c r="K608" s="77">
        <f t="shared" si="21"/>
        <v>17.776000000000003</v>
      </c>
      <c r="L608" s="68" t="s">
        <v>289</v>
      </c>
    </row>
    <row r="609" spans="1:12" ht="13.5">
      <c r="A609" s="81" t="s">
        <v>69</v>
      </c>
      <c r="B609" s="65" t="s">
        <v>73</v>
      </c>
      <c r="C609" s="65" t="s">
        <v>61</v>
      </c>
      <c r="D609" s="66" t="s">
        <v>80</v>
      </c>
      <c r="E609" s="67"/>
      <c r="F609" s="65" t="s">
        <v>193</v>
      </c>
      <c r="G609" s="73" t="s">
        <v>102</v>
      </c>
      <c r="H609" s="74" t="s">
        <v>148</v>
      </c>
      <c r="I609" s="77">
        <f t="shared" si="20"/>
        <v>38.139329805996475</v>
      </c>
      <c r="J609" s="77" t="s">
        <v>149</v>
      </c>
      <c r="K609" s="77">
        <f t="shared" si="21"/>
        <v>17.473000000000003</v>
      </c>
      <c r="L609" s="68" t="s">
        <v>289</v>
      </c>
    </row>
    <row r="610" spans="1:12" ht="13.5">
      <c r="A610" s="81" t="s">
        <v>69</v>
      </c>
      <c r="B610" s="65" t="s">
        <v>73</v>
      </c>
      <c r="C610" s="65" t="s">
        <v>61</v>
      </c>
      <c r="D610" s="66" t="s">
        <v>80</v>
      </c>
      <c r="E610" s="67"/>
      <c r="F610" s="65" t="s">
        <v>193</v>
      </c>
      <c r="G610" s="73" t="s">
        <v>105</v>
      </c>
      <c r="H610" s="74" t="s">
        <v>148</v>
      </c>
      <c r="I610" s="77">
        <f t="shared" si="20"/>
        <v>38.359788359788354</v>
      </c>
      <c r="J610" s="77" t="s">
        <v>162</v>
      </c>
      <c r="K610" s="77">
        <f t="shared" si="21"/>
        <v>17.573999999999998</v>
      </c>
      <c r="L610" s="68" t="s">
        <v>289</v>
      </c>
    </row>
    <row r="611" spans="1:12" ht="13.5">
      <c r="A611" s="81" t="s">
        <v>69</v>
      </c>
      <c r="B611" s="65" t="s">
        <v>73</v>
      </c>
      <c r="C611" s="65" t="s">
        <v>61</v>
      </c>
      <c r="D611" s="66" t="s">
        <v>80</v>
      </c>
      <c r="E611" s="67"/>
      <c r="F611" s="65" t="s">
        <v>193</v>
      </c>
      <c r="G611" s="73" t="s">
        <v>106</v>
      </c>
      <c r="H611" s="74" t="s">
        <v>148</v>
      </c>
      <c r="I611" s="77">
        <f t="shared" si="20"/>
        <v>38.359788359788354</v>
      </c>
      <c r="J611" s="77" t="s">
        <v>162</v>
      </c>
      <c r="K611" s="77">
        <f t="shared" si="21"/>
        <v>17.573999999999998</v>
      </c>
      <c r="L611" s="68" t="s">
        <v>289</v>
      </c>
    </row>
    <row r="612" spans="1:12" ht="13.5">
      <c r="A612" s="81" t="s">
        <v>69</v>
      </c>
      <c r="B612" s="65" t="s">
        <v>73</v>
      </c>
      <c r="C612" s="65" t="s">
        <v>61</v>
      </c>
      <c r="D612" s="66" t="s">
        <v>80</v>
      </c>
      <c r="E612" s="67"/>
      <c r="F612" s="65" t="s">
        <v>193</v>
      </c>
      <c r="G612" s="73" t="s">
        <v>108</v>
      </c>
      <c r="H612" s="74" t="s">
        <v>148</v>
      </c>
      <c r="I612" s="77">
        <f t="shared" si="20"/>
        <v>38.359788359788354</v>
      </c>
      <c r="J612" s="77" t="s">
        <v>162</v>
      </c>
      <c r="K612" s="77">
        <f t="shared" si="21"/>
        <v>17.573999999999998</v>
      </c>
      <c r="L612" s="68" t="s">
        <v>289</v>
      </c>
    </row>
    <row r="613" spans="1:12" ht="13.5">
      <c r="A613" s="81" t="s">
        <v>69</v>
      </c>
      <c r="B613" s="65" t="s">
        <v>73</v>
      </c>
      <c r="C613" s="65" t="s">
        <v>61</v>
      </c>
      <c r="D613" s="66" t="s">
        <v>80</v>
      </c>
      <c r="E613" s="67"/>
      <c r="F613" s="65" t="s">
        <v>193</v>
      </c>
      <c r="G613" s="73" t="s">
        <v>111</v>
      </c>
      <c r="H613" s="74" t="s">
        <v>114</v>
      </c>
      <c r="I613" s="77">
        <f t="shared" si="20"/>
        <v>38.580246913580247</v>
      </c>
      <c r="J613" s="77" t="s">
        <v>115</v>
      </c>
      <c r="K613" s="77">
        <f t="shared" si="21"/>
        <v>17.675000000000001</v>
      </c>
      <c r="L613" s="68" t="s">
        <v>289</v>
      </c>
    </row>
    <row r="614" spans="1:12" ht="13.5">
      <c r="A614" s="81" t="s">
        <v>69</v>
      </c>
      <c r="B614" s="65" t="s">
        <v>73</v>
      </c>
      <c r="C614" s="65" t="s">
        <v>61</v>
      </c>
      <c r="D614" s="66" t="s">
        <v>80</v>
      </c>
      <c r="E614" s="67"/>
      <c r="F614" s="65" t="s">
        <v>193</v>
      </c>
      <c r="G614" s="73" t="s">
        <v>112</v>
      </c>
      <c r="H614" s="74" t="s">
        <v>148</v>
      </c>
      <c r="I614" s="77">
        <f t="shared" si="20"/>
        <v>38.139329805996475</v>
      </c>
      <c r="J614" s="77" t="s">
        <v>149</v>
      </c>
      <c r="K614" s="77">
        <f t="shared" si="21"/>
        <v>17.473000000000003</v>
      </c>
      <c r="L614" s="68" t="s">
        <v>289</v>
      </c>
    </row>
    <row r="615" spans="1:12" ht="13.5">
      <c r="A615" s="81" t="s">
        <v>69</v>
      </c>
      <c r="B615" s="65" t="s">
        <v>73</v>
      </c>
      <c r="C615" s="65" t="s">
        <v>61</v>
      </c>
      <c r="D615" s="66" t="s">
        <v>80</v>
      </c>
      <c r="E615" s="67"/>
      <c r="F615" s="65" t="s">
        <v>193</v>
      </c>
      <c r="G615" s="73" t="s">
        <v>113</v>
      </c>
      <c r="H615" s="74" t="s">
        <v>148</v>
      </c>
      <c r="I615" s="77">
        <f t="shared" si="20"/>
        <v>38.359788359788354</v>
      </c>
      <c r="J615" s="77" t="s">
        <v>162</v>
      </c>
      <c r="K615" s="77">
        <f t="shared" si="21"/>
        <v>17.573999999999998</v>
      </c>
      <c r="L615" s="68" t="s">
        <v>289</v>
      </c>
    </row>
    <row r="616" spans="1:12" ht="13.5">
      <c r="A616" s="81" t="s">
        <v>69</v>
      </c>
      <c r="B616" s="65" t="s">
        <v>73</v>
      </c>
      <c r="C616" s="65" t="s">
        <v>61</v>
      </c>
      <c r="D616" s="66" t="s">
        <v>80</v>
      </c>
      <c r="E616" s="67"/>
      <c r="F616" s="65" t="s">
        <v>193</v>
      </c>
      <c r="G616" s="73" t="s">
        <v>116</v>
      </c>
      <c r="H616" s="74" t="s">
        <v>114</v>
      </c>
      <c r="I616" s="77">
        <f t="shared" si="20"/>
        <v>38.80070546737214</v>
      </c>
      <c r="J616" s="77" t="s">
        <v>160</v>
      </c>
      <c r="K616" s="77">
        <f t="shared" si="21"/>
        <v>17.776000000000003</v>
      </c>
      <c r="L616" s="68" t="s">
        <v>289</v>
      </c>
    </row>
    <row r="617" spans="1:12" ht="13.5">
      <c r="A617" s="81" t="s">
        <v>69</v>
      </c>
      <c r="B617" s="65" t="s">
        <v>73</v>
      </c>
      <c r="C617" s="65" t="s">
        <v>61</v>
      </c>
      <c r="D617" s="66" t="s">
        <v>80</v>
      </c>
      <c r="E617" s="67"/>
      <c r="F617" s="65" t="s">
        <v>193</v>
      </c>
      <c r="G617" s="73" t="s">
        <v>118</v>
      </c>
      <c r="H617" s="74" t="s">
        <v>148</v>
      </c>
      <c r="I617" s="77">
        <f t="shared" si="20"/>
        <v>37.918871252204582</v>
      </c>
      <c r="J617" s="77" t="s">
        <v>163</v>
      </c>
      <c r="K617" s="77">
        <f t="shared" si="21"/>
        <v>17.372</v>
      </c>
      <c r="L617" s="68" t="s">
        <v>289</v>
      </c>
    </row>
    <row r="618" spans="1:12" ht="13.5">
      <c r="A618" s="81" t="s">
        <v>69</v>
      </c>
      <c r="B618" s="65" t="s">
        <v>73</v>
      </c>
      <c r="C618" s="65" t="s">
        <v>61</v>
      </c>
      <c r="D618" s="66" t="s">
        <v>80</v>
      </c>
      <c r="E618" s="67"/>
      <c r="F618" s="65" t="s">
        <v>193</v>
      </c>
      <c r="G618" s="73" t="s">
        <v>122</v>
      </c>
      <c r="H618" s="74" t="s">
        <v>165</v>
      </c>
      <c r="I618" s="77">
        <f t="shared" si="20"/>
        <v>39.241622574955912</v>
      </c>
      <c r="J618" s="77" t="s">
        <v>166</v>
      </c>
      <c r="K618" s="77">
        <f t="shared" si="21"/>
        <v>17.978000000000002</v>
      </c>
      <c r="L618" s="68" t="s">
        <v>289</v>
      </c>
    </row>
    <row r="619" spans="1:12" ht="13.5">
      <c r="A619" s="81" t="s">
        <v>69</v>
      </c>
      <c r="B619" s="65" t="s">
        <v>73</v>
      </c>
      <c r="C619" s="65" t="s">
        <v>61</v>
      </c>
      <c r="D619" s="66" t="s">
        <v>80</v>
      </c>
      <c r="E619" s="67"/>
      <c r="F619" s="65" t="s">
        <v>193</v>
      </c>
      <c r="G619" s="73" t="s">
        <v>123</v>
      </c>
      <c r="H619" s="74" t="s">
        <v>109</v>
      </c>
      <c r="I619" s="77">
        <f t="shared" si="20"/>
        <v>37.257495590828924</v>
      </c>
      <c r="J619" s="77" t="s">
        <v>110</v>
      </c>
      <c r="K619" s="77">
        <f t="shared" si="21"/>
        <v>17.068999999999999</v>
      </c>
      <c r="L619" s="68" t="s">
        <v>289</v>
      </c>
    </row>
    <row r="620" spans="1:12" ht="13.5">
      <c r="A620" s="81" t="s">
        <v>69</v>
      </c>
      <c r="B620" s="65" t="s">
        <v>73</v>
      </c>
      <c r="C620" s="65" t="s">
        <v>61</v>
      </c>
      <c r="D620" s="66" t="s">
        <v>80</v>
      </c>
      <c r="E620" s="67"/>
      <c r="F620" s="65" t="s">
        <v>193</v>
      </c>
      <c r="G620" s="73" t="s">
        <v>124</v>
      </c>
      <c r="H620" s="74" t="s">
        <v>165</v>
      </c>
      <c r="I620" s="77">
        <f t="shared" si="20"/>
        <v>39.241622574955912</v>
      </c>
      <c r="J620" s="77" t="s">
        <v>166</v>
      </c>
      <c r="K620" s="77">
        <f t="shared" si="21"/>
        <v>17.978000000000002</v>
      </c>
      <c r="L620" s="68" t="s">
        <v>289</v>
      </c>
    </row>
    <row r="621" spans="1:12" ht="13.5">
      <c r="A621" s="81" t="s">
        <v>69</v>
      </c>
      <c r="B621" s="65" t="s">
        <v>73</v>
      </c>
      <c r="C621" s="65" t="s">
        <v>61</v>
      </c>
      <c r="D621" s="66" t="s">
        <v>80</v>
      </c>
      <c r="E621" s="67"/>
      <c r="F621" s="65" t="s">
        <v>193</v>
      </c>
      <c r="G621" s="73" t="s">
        <v>161</v>
      </c>
      <c r="H621" s="74" t="s">
        <v>148</v>
      </c>
      <c r="I621" s="77">
        <f t="shared" si="20"/>
        <v>38.139329805996475</v>
      </c>
      <c r="J621" s="77" t="s">
        <v>149</v>
      </c>
      <c r="K621" s="77">
        <f t="shared" si="21"/>
        <v>17.473000000000003</v>
      </c>
      <c r="L621" s="68" t="s">
        <v>289</v>
      </c>
    </row>
    <row r="622" spans="1:12" ht="13.5">
      <c r="A622" s="81" t="s">
        <v>69</v>
      </c>
      <c r="B622" s="65" t="s">
        <v>73</v>
      </c>
      <c r="C622" s="65" t="s">
        <v>61</v>
      </c>
      <c r="D622" s="66" t="s">
        <v>80</v>
      </c>
      <c r="E622" s="67"/>
      <c r="F622" s="65" t="s">
        <v>193</v>
      </c>
      <c r="G622" s="73" t="s">
        <v>125</v>
      </c>
      <c r="H622" s="74" t="s">
        <v>148</v>
      </c>
      <c r="I622" s="77">
        <f t="shared" si="20"/>
        <v>38.359788359788354</v>
      </c>
      <c r="J622" s="77" t="s">
        <v>162</v>
      </c>
      <c r="K622" s="77">
        <f t="shared" si="21"/>
        <v>17.573999999999998</v>
      </c>
      <c r="L622" s="68" t="s">
        <v>289</v>
      </c>
    </row>
    <row r="623" spans="1:12" ht="13.5">
      <c r="A623" s="81" t="s">
        <v>69</v>
      </c>
      <c r="B623" s="65" t="s">
        <v>73</v>
      </c>
      <c r="C623" s="65" t="s">
        <v>61</v>
      </c>
      <c r="D623" s="66" t="s">
        <v>80</v>
      </c>
      <c r="E623" s="67"/>
      <c r="F623" s="65" t="s">
        <v>193</v>
      </c>
      <c r="G623" s="73" t="s">
        <v>128</v>
      </c>
      <c r="H623" s="74" t="s">
        <v>165</v>
      </c>
      <c r="I623" s="77">
        <f t="shared" si="20"/>
        <v>39.021164021164019</v>
      </c>
      <c r="J623" s="77" t="s">
        <v>194</v>
      </c>
      <c r="K623" s="77">
        <f t="shared" si="21"/>
        <v>17.876999999999999</v>
      </c>
      <c r="L623" s="68" t="s">
        <v>289</v>
      </c>
    </row>
    <row r="624" spans="1:12" ht="13.5">
      <c r="A624" s="81" t="s">
        <v>69</v>
      </c>
      <c r="B624" s="65" t="s">
        <v>73</v>
      </c>
      <c r="C624" s="65" t="s">
        <v>61</v>
      </c>
      <c r="D624" s="66" t="s">
        <v>80</v>
      </c>
      <c r="E624" s="67"/>
      <c r="F624" s="65" t="s">
        <v>193</v>
      </c>
      <c r="G624" s="73" t="s">
        <v>129</v>
      </c>
      <c r="H624" s="74" t="s">
        <v>165</v>
      </c>
      <c r="I624" s="77">
        <f t="shared" si="20"/>
        <v>39.241622574955912</v>
      </c>
      <c r="J624" s="77" t="s">
        <v>166</v>
      </c>
      <c r="K624" s="77">
        <f t="shared" si="21"/>
        <v>17.978000000000002</v>
      </c>
      <c r="L624" s="68" t="s">
        <v>289</v>
      </c>
    </row>
    <row r="625" spans="1:12" ht="13.5">
      <c r="A625" s="81" t="s">
        <v>69</v>
      </c>
      <c r="B625" s="65" t="s">
        <v>73</v>
      </c>
      <c r="C625" s="65" t="s">
        <v>61</v>
      </c>
      <c r="D625" s="66" t="s">
        <v>80</v>
      </c>
      <c r="E625" s="67"/>
      <c r="F625" s="65" t="s">
        <v>193</v>
      </c>
      <c r="G625" s="73" t="s">
        <v>130</v>
      </c>
      <c r="H625" s="74" t="s">
        <v>148</v>
      </c>
      <c r="I625" s="77">
        <f t="shared" si="20"/>
        <v>38.139329805996475</v>
      </c>
      <c r="J625" s="77" t="s">
        <v>149</v>
      </c>
      <c r="K625" s="77">
        <f t="shared" si="21"/>
        <v>17.473000000000003</v>
      </c>
      <c r="L625" s="68" t="s">
        <v>289</v>
      </c>
    </row>
    <row r="626" spans="1:12" ht="13.5">
      <c r="A626" s="81" t="s">
        <v>69</v>
      </c>
      <c r="B626" s="65" t="s">
        <v>73</v>
      </c>
      <c r="C626" s="65" t="s">
        <v>61</v>
      </c>
      <c r="D626" s="66" t="s">
        <v>80</v>
      </c>
      <c r="E626" s="67"/>
      <c r="F626" s="65" t="s">
        <v>193</v>
      </c>
      <c r="G626" s="73" t="s">
        <v>131</v>
      </c>
      <c r="H626" s="74" t="s">
        <v>165</v>
      </c>
      <c r="I626" s="77">
        <f t="shared" si="20"/>
        <v>39.241622574955912</v>
      </c>
      <c r="J626" s="77" t="s">
        <v>166</v>
      </c>
      <c r="K626" s="77">
        <f t="shared" si="21"/>
        <v>17.978000000000002</v>
      </c>
      <c r="L626" s="68" t="s">
        <v>289</v>
      </c>
    </row>
    <row r="627" spans="1:12" ht="13.5">
      <c r="A627" s="81" t="s">
        <v>69</v>
      </c>
      <c r="B627" s="65" t="s">
        <v>73</v>
      </c>
      <c r="C627" s="65" t="s">
        <v>61</v>
      </c>
      <c r="D627" s="66" t="s">
        <v>80</v>
      </c>
      <c r="E627" s="67"/>
      <c r="F627" s="65" t="s">
        <v>193</v>
      </c>
      <c r="G627" s="73" t="s">
        <v>164</v>
      </c>
      <c r="H627" s="74" t="s">
        <v>148</v>
      </c>
      <c r="I627" s="77">
        <f t="shared" si="20"/>
        <v>37.918871252204582</v>
      </c>
      <c r="J627" s="77" t="s">
        <v>163</v>
      </c>
      <c r="K627" s="77">
        <f t="shared" si="21"/>
        <v>17.372</v>
      </c>
      <c r="L627" s="68" t="s">
        <v>289</v>
      </c>
    </row>
    <row r="628" spans="1:12" ht="13.5">
      <c r="A628" s="81" t="s">
        <v>69</v>
      </c>
      <c r="B628" s="65" t="s">
        <v>73</v>
      </c>
      <c r="C628" s="65" t="s">
        <v>61</v>
      </c>
      <c r="D628" s="66" t="s">
        <v>80</v>
      </c>
      <c r="E628" s="67"/>
      <c r="F628" s="65" t="s">
        <v>193</v>
      </c>
      <c r="G628" s="73" t="s">
        <v>132</v>
      </c>
      <c r="H628" s="74" t="s">
        <v>148</v>
      </c>
      <c r="I628" s="77">
        <f t="shared" si="20"/>
        <v>38.139329805996475</v>
      </c>
      <c r="J628" s="77" t="s">
        <v>149</v>
      </c>
      <c r="K628" s="77">
        <f t="shared" si="21"/>
        <v>17.473000000000003</v>
      </c>
      <c r="L628" s="68" t="s">
        <v>289</v>
      </c>
    </row>
    <row r="629" spans="1:12" ht="13.5">
      <c r="A629" s="81" t="s">
        <v>69</v>
      </c>
      <c r="B629" s="65" t="s">
        <v>73</v>
      </c>
      <c r="C629" s="65" t="s">
        <v>61</v>
      </c>
      <c r="D629" s="66" t="s">
        <v>80</v>
      </c>
      <c r="E629" s="67"/>
      <c r="F629" s="65" t="s">
        <v>193</v>
      </c>
      <c r="G629" s="73" t="s">
        <v>133</v>
      </c>
      <c r="H629" s="74" t="s">
        <v>148</v>
      </c>
      <c r="I629" s="77">
        <f t="shared" si="20"/>
        <v>38.139329805996475</v>
      </c>
      <c r="J629" s="77" t="s">
        <v>149</v>
      </c>
      <c r="K629" s="77">
        <f t="shared" si="21"/>
        <v>17.473000000000003</v>
      </c>
      <c r="L629" s="68" t="s">
        <v>289</v>
      </c>
    </row>
    <row r="630" spans="1:12" ht="13.5">
      <c r="A630" s="81" t="s">
        <v>69</v>
      </c>
      <c r="B630" s="65" t="s">
        <v>73</v>
      </c>
      <c r="C630" s="65" t="s">
        <v>61</v>
      </c>
      <c r="D630" s="66" t="s">
        <v>80</v>
      </c>
      <c r="E630" s="67"/>
      <c r="F630" s="65" t="s">
        <v>193</v>
      </c>
      <c r="G630" s="73" t="s">
        <v>134</v>
      </c>
      <c r="H630" s="74" t="s">
        <v>175</v>
      </c>
      <c r="I630" s="77">
        <f t="shared" si="20"/>
        <v>39.90299823633157</v>
      </c>
      <c r="J630" s="77" t="s">
        <v>176</v>
      </c>
      <c r="K630" s="77">
        <f t="shared" si="21"/>
        <v>18.281000000000002</v>
      </c>
      <c r="L630" s="68" t="s">
        <v>289</v>
      </c>
    </row>
    <row r="631" spans="1:12" ht="13.5">
      <c r="A631" s="81" t="s">
        <v>69</v>
      </c>
      <c r="B631" s="65" t="s">
        <v>73</v>
      </c>
      <c r="C631" s="65" t="s">
        <v>61</v>
      </c>
      <c r="D631" s="66" t="s">
        <v>80</v>
      </c>
      <c r="E631" s="67"/>
      <c r="F631" s="65" t="s">
        <v>193</v>
      </c>
      <c r="G631" s="73" t="s">
        <v>135</v>
      </c>
      <c r="H631" s="74" t="s">
        <v>114</v>
      </c>
      <c r="I631" s="77">
        <f t="shared" si="20"/>
        <v>38.580246913580247</v>
      </c>
      <c r="J631" s="77" t="s">
        <v>115</v>
      </c>
      <c r="K631" s="77">
        <f t="shared" si="21"/>
        <v>17.675000000000001</v>
      </c>
      <c r="L631" s="68" t="s">
        <v>289</v>
      </c>
    </row>
    <row r="632" spans="1:12" ht="13.5">
      <c r="A632" s="81" t="s">
        <v>69</v>
      </c>
      <c r="B632" s="65" t="s">
        <v>73</v>
      </c>
      <c r="C632" s="65" t="s">
        <v>61</v>
      </c>
      <c r="D632" s="66" t="s">
        <v>80</v>
      </c>
      <c r="E632" s="67"/>
      <c r="F632" s="65" t="s">
        <v>193</v>
      </c>
      <c r="G632" s="73" t="s">
        <v>136</v>
      </c>
      <c r="H632" s="74" t="s">
        <v>114</v>
      </c>
      <c r="I632" s="77">
        <f t="shared" si="20"/>
        <v>38.80070546737214</v>
      </c>
      <c r="J632" s="77" t="s">
        <v>160</v>
      </c>
      <c r="K632" s="77">
        <f t="shared" si="21"/>
        <v>17.776000000000003</v>
      </c>
      <c r="L632" s="68" t="s">
        <v>289</v>
      </c>
    </row>
    <row r="633" spans="1:12" ht="13.5">
      <c r="A633" s="81" t="s">
        <v>69</v>
      </c>
      <c r="B633" s="65" t="s">
        <v>73</v>
      </c>
      <c r="C633" s="65" t="s">
        <v>61</v>
      </c>
      <c r="D633" s="66" t="s">
        <v>80</v>
      </c>
      <c r="E633" s="67"/>
      <c r="F633" s="65" t="s">
        <v>193</v>
      </c>
      <c r="G633" s="73" t="s">
        <v>137</v>
      </c>
      <c r="H633" s="74" t="s">
        <v>109</v>
      </c>
      <c r="I633" s="77">
        <f t="shared" si="20"/>
        <v>37.037037037037038</v>
      </c>
      <c r="J633" s="77" t="s">
        <v>158</v>
      </c>
      <c r="K633" s="77">
        <f t="shared" si="21"/>
        <v>16.968</v>
      </c>
      <c r="L633" s="68" t="s">
        <v>289</v>
      </c>
    </row>
    <row r="634" spans="1:12" ht="13.5">
      <c r="A634" s="81" t="s">
        <v>69</v>
      </c>
      <c r="B634" s="65" t="s">
        <v>73</v>
      </c>
      <c r="C634" s="65" t="s">
        <v>61</v>
      </c>
      <c r="D634" s="66" t="s">
        <v>80</v>
      </c>
      <c r="E634" s="67"/>
      <c r="F634" s="65" t="s">
        <v>193</v>
      </c>
      <c r="G634" s="73" t="s">
        <v>138</v>
      </c>
      <c r="H634" s="74" t="s">
        <v>114</v>
      </c>
      <c r="I634" s="77">
        <f t="shared" si="20"/>
        <v>38.80070546737214</v>
      </c>
      <c r="J634" s="77" t="s">
        <v>160</v>
      </c>
      <c r="K634" s="77">
        <f t="shared" si="21"/>
        <v>17.776000000000003</v>
      </c>
      <c r="L634" s="68" t="s">
        <v>289</v>
      </c>
    </row>
    <row r="635" spans="1:12" ht="13.5">
      <c r="A635" s="81" t="s">
        <v>69</v>
      </c>
      <c r="B635" s="65" t="s">
        <v>73</v>
      </c>
      <c r="C635" s="65" t="s">
        <v>61</v>
      </c>
      <c r="D635" s="66" t="s">
        <v>80</v>
      </c>
      <c r="E635" s="67"/>
      <c r="F635" s="65" t="s">
        <v>193</v>
      </c>
      <c r="G635" s="73" t="s">
        <v>139</v>
      </c>
      <c r="H635" s="74" t="s">
        <v>114</v>
      </c>
      <c r="I635" s="77">
        <f t="shared" si="20"/>
        <v>38.80070546737214</v>
      </c>
      <c r="J635" s="77" t="s">
        <v>160</v>
      </c>
      <c r="K635" s="77">
        <f t="shared" si="21"/>
        <v>17.776000000000003</v>
      </c>
      <c r="L635" s="68" t="s">
        <v>289</v>
      </c>
    </row>
    <row r="636" spans="1:12" ht="13.5">
      <c r="A636" s="81" t="s">
        <v>69</v>
      </c>
      <c r="B636" s="65" t="s">
        <v>73</v>
      </c>
      <c r="C636" s="65" t="s">
        <v>61</v>
      </c>
      <c r="D636" s="66" t="s">
        <v>80</v>
      </c>
      <c r="E636" s="67"/>
      <c r="F636" s="65" t="s">
        <v>193</v>
      </c>
      <c r="G636" s="73" t="s">
        <v>140</v>
      </c>
      <c r="H636" s="74" t="s">
        <v>114</v>
      </c>
      <c r="I636" s="77">
        <f t="shared" si="20"/>
        <v>38.580246913580247</v>
      </c>
      <c r="J636" s="77" t="s">
        <v>115</v>
      </c>
      <c r="K636" s="77">
        <f t="shared" si="21"/>
        <v>17.675000000000001</v>
      </c>
      <c r="L636" s="68" t="s">
        <v>289</v>
      </c>
    </row>
    <row r="637" spans="1:12" ht="13.5">
      <c r="A637" s="81" t="s">
        <v>69</v>
      </c>
      <c r="B637" s="65" t="s">
        <v>73</v>
      </c>
      <c r="C637" s="65" t="s">
        <v>61</v>
      </c>
      <c r="D637" s="66" t="s">
        <v>80</v>
      </c>
      <c r="E637" s="67"/>
      <c r="F637" s="65" t="s">
        <v>193</v>
      </c>
      <c r="G637" s="73" t="s">
        <v>167</v>
      </c>
      <c r="H637" s="74" t="s">
        <v>148</v>
      </c>
      <c r="I637" s="77">
        <f t="shared" si="20"/>
        <v>38.359788359788354</v>
      </c>
      <c r="J637" s="77" t="s">
        <v>162</v>
      </c>
      <c r="K637" s="77">
        <f t="shared" si="21"/>
        <v>17.573999999999998</v>
      </c>
      <c r="L637" s="68" t="s">
        <v>289</v>
      </c>
    </row>
    <row r="638" spans="1:12" ht="13.5">
      <c r="A638" s="81" t="s">
        <v>69</v>
      </c>
      <c r="B638" s="65" t="s">
        <v>73</v>
      </c>
      <c r="C638" s="65" t="s">
        <v>61</v>
      </c>
      <c r="D638" s="66" t="s">
        <v>80</v>
      </c>
      <c r="E638" s="67"/>
      <c r="F638" s="65" t="s">
        <v>193</v>
      </c>
      <c r="G638" s="73" t="s">
        <v>141</v>
      </c>
      <c r="H638" s="74" t="s">
        <v>109</v>
      </c>
      <c r="I638" s="77">
        <f t="shared" si="20"/>
        <v>37.257495590828924</v>
      </c>
      <c r="J638" s="77" t="s">
        <v>110</v>
      </c>
      <c r="K638" s="77">
        <f t="shared" si="21"/>
        <v>17.068999999999999</v>
      </c>
      <c r="L638" s="68" t="s">
        <v>289</v>
      </c>
    </row>
    <row r="639" spans="1:12" ht="13.5">
      <c r="A639" s="81" t="s">
        <v>69</v>
      </c>
      <c r="B639" s="65" t="s">
        <v>73</v>
      </c>
      <c r="C639" s="65" t="s">
        <v>61</v>
      </c>
      <c r="D639" s="66" t="s">
        <v>80</v>
      </c>
      <c r="E639" s="67"/>
      <c r="F639" s="65" t="s">
        <v>193</v>
      </c>
      <c r="G639" s="73" t="s">
        <v>142</v>
      </c>
      <c r="H639" s="74" t="s">
        <v>148</v>
      </c>
      <c r="I639" s="77">
        <f t="shared" si="20"/>
        <v>38.139329805996475</v>
      </c>
      <c r="J639" s="77" t="s">
        <v>149</v>
      </c>
      <c r="K639" s="77">
        <f t="shared" si="21"/>
        <v>17.473000000000003</v>
      </c>
      <c r="L639" s="68" t="s">
        <v>289</v>
      </c>
    </row>
    <row r="640" spans="1:12" ht="13.5">
      <c r="A640" s="81" t="s">
        <v>69</v>
      </c>
      <c r="B640" s="65" t="s">
        <v>73</v>
      </c>
      <c r="C640" s="65" t="s">
        <v>61</v>
      </c>
      <c r="D640" s="66" t="s">
        <v>80</v>
      </c>
      <c r="E640" s="67"/>
      <c r="F640" s="65" t="s">
        <v>193</v>
      </c>
      <c r="G640" s="73" t="s">
        <v>143</v>
      </c>
      <c r="H640" s="74" t="s">
        <v>148</v>
      </c>
      <c r="I640" s="77">
        <f t="shared" ref="I640:I703" si="22">+J640/0.4536</f>
        <v>38.139329805996475</v>
      </c>
      <c r="J640" s="77" t="s">
        <v>149</v>
      </c>
      <c r="K640" s="77">
        <f t="shared" ref="K640:K703" si="23">+J640*1.01</f>
        <v>17.473000000000003</v>
      </c>
      <c r="L640" s="68" t="s">
        <v>289</v>
      </c>
    </row>
    <row r="641" spans="1:12" ht="13.5">
      <c r="A641" s="81" t="s">
        <v>69</v>
      </c>
      <c r="B641" s="65" t="s">
        <v>73</v>
      </c>
      <c r="C641" s="65" t="s">
        <v>61</v>
      </c>
      <c r="D641" s="66" t="s">
        <v>80</v>
      </c>
      <c r="E641" s="67"/>
      <c r="F641" s="65" t="s">
        <v>193</v>
      </c>
      <c r="G641" s="73" t="s">
        <v>146</v>
      </c>
      <c r="H641" s="74" t="s">
        <v>148</v>
      </c>
      <c r="I641" s="77">
        <f t="shared" si="22"/>
        <v>38.359788359788354</v>
      </c>
      <c r="J641" s="77" t="s">
        <v>162</v>
      </c>
      <c r="K641" s="77">
        <f t="shared" si="23"/>
        <v>17.573999999999998</v>
      </c>
      <c r="L641" s="68" t="s">
        <v>289</v>
      </c>
    </row>
    <row r="642" spans="1:12" ht="13.5">
      <c r="A642" s="81" t="s">
        <v>69</v>
      </c>
      <c r="B642" s="65" t="s">
        <v>73</v>
      </c>
      <c r="C642" s="65" t="s">
        <v>61</v>
      </c>
      <c r="D642" s="66" t="s">
        <v>80</v>
      </c>
      <c r="E642" s="67"/>
      <c r="F642" s="65" t="s">
        <v>193</v>
      </c>
      <c r="G642" s="73" t="s">
        <v>147</v>
      </c>
      <c r="H642" s="74" t="s">
        <v>114</v>
      </c>
      <c r="I642" s="77">
        <f t="shared" si="22"/>
        <v>38.580246913580247</v>
      </c>
      <c r="J642" s="77" t="s">
        <v>115</v>
      </c>
      <c r="K642" s="77">
        <f t="shared" si="23"/>
        <v>17.675000000000001</v>
      </c>
      <c r="L642" s="68" t="s">
        <v>289</v>
      </c>
    </row>
    <row r="643" spans="1:12" ht="13.5">
      <c r="A643" s="81" t="s">
        <v>69</v>
      </c>
      <c r="B643" s="65" t="s">
        <v>73</v>
      </c>
      <c r="C643" s="65" t="s">
        <v>61</v>
      </c>
      <c r="D643" s="66" t="s">
        <v>80</v>
      </c>
      <c r="E643" s="67"/>
      <c r="F643" s="65" t="s">
        <v>193</v>
      </c>
      <c r="G643" s="73" t="s">
        <v>150</v>
      </c>
      <c r="H643" s="74" t="s">
        <v>114</v>
      </c>
      <c r="I643" s="77">
        <f t="shared" si="22"/>
        <v>38.580246913580247</v>
      </c>
      <c r="J643" s="77" t="s">
        <v>115</v>
      </c>
      <c r="K643" s="77">
        <f t="shared" si="23"/>
        <v>17.675000000000001</v>
      </c>
      <c r="L643" s="68" t="s">
        <v>289</v>
      </c>
    </row>
    <row r="644" spans="1:12" ht="13.5">
      <c r="A644" s="81" t="s">
        <v>69</v>
      </c>
      <c r="B644" s="65" t="s">
        <v>73</v>
      </c>
      <c r="C644" s="65" t="s">
        <v>61</v>
      </c>
      <c r="D644" s="66" t="s">
        <v>80</v>
      </c>
      <c r="E644" s="67"/>
      <c r="F644" s="65" t="s">
        <v>193</v>
      </c>
      <c r="G644" s="73" t="s">
        <v>151</v>
      </c>
      <c r="H644" s="74" t="s">
        <v>148</v>
      </c>
      <c r="I644" s="77">
        <f t="shared" si="22"/>
        <v>38.359788359788354</v>
      </c>
      <c r="J644" s="77" t="s">
        <v>162</v>
      </c>
      <c r="K644" s="77">
        <f t="shared" si="23"/>
        <v>17.573999999999998</v>
      </c>
      <c r="L644" s="68" t="s">
        <v>289</v>
      </c>
    </row>
    <row r="645" spans="1:12" ht="13.5">
      <c r="A645" s="81" t="s">
        <v>69</v>
      </c>
      <c r="B645" s="65" t="s">
        <v>73</v>
      </c>
      <c r="C645" s="65" t="s">
        <v>61</v>
      </c>
      <c r="D645" s="66" t="s">
        <v>80</v>
      </c>
      <c r="E645" s="67"/>
      <c r="F645" s="65" t="s">
        <v>193</v>
      </c>
      <c r="G645" s="73" t="s">
        <v>152</v>
      </c>
      <c r="H645" s="74" t="s">
        <v>109</v>
      </c>
      <c r="I645" s="77">
        <f t="shared" si="22"/>
        <v>37.257495590828924</v>
      </c>
      <c r="J645" s="77" t="s">
        <v>110</v>
      </c>
      <c r="K645" s="77">
        <f t="shared" si="23"/>
        <v>17.068999999999999</v>
      </c>
      <c r="L645" s="68" t="s">
        <v>289</v>
      </c>
    </row>
    <row r="646" spans="1:12" ht="13.5">
      <c r="A646" s="81" t="s">
        <v>69</v>
      </c>
      <c r="B646" s="65" t="s">
        <v>73</v>
      </c>
      <c r="C646" s="65" t="s">
        <v>61</v>
      </c>
      <c r="D646" s="66" t="s">
        <v>80</v>
      </c>
      <c r="E646" s="67"/>
      <c r="F646" s="65" t="s">
        <v>193</v>
      </c>
      <c r="G646" s="73" t="s">
        <v>153</v>
      </c>
      <c r="H646" s="74" t="s">
        <v>114</v>
      </c>
      <c r="I646" s="77">
        <f t="shared" si="22"/>
        <v>38.80070546737214</v>
      </c>
      <c r="J646" s="77" t="s">
        <v>160</v>
      </c>
      <c r="K646" s="77">
        <f t="shared" si="23"/>
        <v>17.776000000000003</v>
      </c>
      <c r="L646" s="68" t="s">
        <v>289</v>
      </c>
    </row>
    <row r="647" spans="1:12" ht="13.5">
      <c r="A647" s="81"/>
      <c r="B647" s="65"/>
      <c r="C647" s="65"/>
      <c r="D647" s="66"/>
      <c r="E647" s="67"/>
      <c r="F647" s="65" t="s">
        <v>87</v>
      </c>
      <c r="G647" s="73">
        <v>39</v>
      </c>
      <c r="H647" s="74" t="s">
        <v>195</v>
      </c>
      <c r="I647" s="77">
        <f t="shared" si="22"/>
        <v>1498.236331569665</v>
      </c>
      <c r="J647" s="77" t="s">
        <v>196</v>
      </c>
      <c r="K647" s="77">
        <f t="shared" si="23"/>
        <v>686.39600000000007</v>
      </c>
      <c r="L647" s="68" t="s">
        <v>289</v>
      </c>
    </row>
    <row r="648" spans="1:12" ht="13.5">
      <c r="A648" s="81" t="s">
        <v>69</v>
      </c>
      <c r="B648" s="65" t="s">
        <v>73</v>
      </c>
      <c r="C648" s="65" t="s">
        <v>61</v>
      </c>
      <c r="D648" s="66" t="s">
        <v>80</v>
      </c>
      <c r="E648" s="67"/>
      <c r="F648" s="65" t="s">
        <v>197</v>
      </c>
      <c r="G648" s="73" t="s">
        <v>99</v>
      </c>
      <c r="H648" s="74" t="s">
        <v>148</v>
      </c>
      <c r="I648" s="77">
        <f t="shared" si="22"/>
        <v>38.139329805996475</v>
      </c>
      <c r="J648" s="77" t="s">
        <v>149</v>
      </c>
      <c r="K648" s="77">
        <f t="shared" si="23"/>
        <v>17.473000000000003</v>
      </c>
      <c r="L648" s="68" t="s">
        <v>289</v>
      </c>
    </row>
    <row r="649" spans="1:12" ht="13.5">
      <c r="A649" s="81" t="s">
        <v>69</v>
      </c>
      <c r="B649" s="65" t="s">
        <v>73</v>
      </c>
      <c r="C649" s="65" t="s">
        <v>61</v>
      </c>
      <c r="D649" s="66" t="s">
        <v>80</v>
      </c>
      <c r="E649" s="67"/>
      <c r="F649" s="65" t="s">
        <v>197</v>
      </c>
      <c r="G649" s="73" t="s">
        <v>102</v>
      </c>
      <c r="H649" s="74" t="s">
        <v>148</v>
      </c>
      <c r="I649" s="77">
        <f t="shared" si="22"/>
        <v>38.359788359788354</v>
      </c>
      <c r="J649" s="77" t="s">
        <v>162</v>
      </c>
      <c r="K649" s="77">
        <f t="shared" si="23"/>
        <v>17.573999999999998</v>
      </c>
      <c r="L649" s="68" t="s">
        <v>289</v>
      </c>
    </row>
    <row r="650" spans="1:12" ht="13.5">
      <c r="A650" s="81" t="s">
        <v>69</v>
      </c>
      <c r="B650" s="65" t="s">
        <v>73</v>
      </c>
      <c r="C650" s="65" t="s">
        <v>61</v>
      </c>
      <c r="D650" s="66" t="s">
        <v>80</v>
      </c>
      <c r="E650" s="67"/>
      <c r="F650" s="65" t="s">
        <v>197</v>
      </c>
      <c r="G650" s="73" t="s">
        <v>105</v>
      </c>
      <c r="H650" s="74" t="s">
        <v>148</v>
      </c>
      <c r="I650" s="77">
        <f t="shared" si="22"/>
        <v>38.359788359788354</v>
      </c>
      <c r="J650" s="77" t="s">
        <v>162</v>
      </c>
      <c r="K650" s="77">
        <f t="shared" si="23"/>
        <v>17.573999999999998</v>
      </c>
      <c r="L650" s="68" t="s">
        <v>289</v>
      </c>
    </row>
    <row r="651" spans="1:12" ht="13.5">
      <c r="A651" s="81" t="s">
        <v>69</v>
      </c>
      <c r="B651" s="65" t="s">
        <v>73</v>
      </c>
      <c r="C651" s="65" t="s">
        <v>61</v>
      </c>
      <c r="D651" s="66" t="s">
        <v>80</v>
      </c>
      <c r="E651" s="67"/>
      <c r="F651" s="65" t="s">
        <v>197</v>
      </c>
      <c r="G651" s="73" t="s">
        <v>106</v>
      </c>
      <c r="H651" s="74" t="s">
        <v>148</v>
      </c>
      <c r="I651" s="77">
        <f t="shared" si="22"/>
        <v>38.359788359788354</v>
      </c>
      <c r="J651" s="77" t="s">
        <v>162</v>
      </c>
      <c r="K651" s="77">
        <f t="shared" si="23"/>
        <v>17.573999999999998</v>
      </c>
      <c r="L651" s="68" t="s">
        <v>289</v>
      </c>
    </row>
    <row r="652" spans="1:12" ht="13.5">
      <c r="A652" s="81" t="s">
        <v>69</v>
      </c>
      <c r="B652" s="65" t="s">
        <v>73</v>
      </c>
      <c r="C652" s="65" t="s">
        <v>61</v>
      </c>
      <c r="D652" s="66" t="s">
        <v>80</v>
      </c>
      <c r="E652" s="67"/>
      <c r="F652" s="65" t="s">
        <v>197</v>
      </c>
      <c r="G652" s="73" t="s">
        <v>108</v>
      </c>
      <c r="H652" s="74" t="s">
        <v>148</v>
      </c>
      <c r="I652" s="77">
        <f t="shared" si="22"/>
        <v>38.139329805996475</v>
      </c>
      <c r="J652" s="77" t="s">
        <v>149</v>
      </c>
      <c r="K652" s="77">
        <f t="shared" si="23"/>
        <v>17.473000000000003</v>
      </c>
      <c r="L652" s="68" t="s">
        <v>289</v>
      </c>
    </row>
    <row r="653" spans="1:12" ht="13.5">
      <c r="A653" s="81" t="s">
        <v>69</v>
      </c>
      <c r="B653" s="65" t="s">
        <v>73</v>
      </c>
      <c r="C653" s="65" t="s">
        <v>61</v>
      </c>
      <c r="D653" s="66" t="s">
        <v>80</v>
      </c>
      <c r="E653" s="67"/>
      <c r="F653" s="65" t="s">
        <v>197</v>
      </c>
      <c r="G653" s="73" t="s">
        <v>111</v>
      </c>
      <c r="H653" s="74" t="s">
        <v>114</v>
      </c>
      <c r="I653" s="77">
        <f t="shared" si="22"/>
        <v>38.580246913580247</v>
      </c>
      <c r="J653" s="77" t="s">
        <v>115</v>
      </c>
      <c r="K653" s="77">
        <f t="shared" si="23"/>
        <v>17.675000000000001</v>
      </c>
      <c r="L653" s="68" t="s">
        <v>289</v>
      </c>
    </row>
    <row r="654" spans="1:12" ht="13.5">
      <c r="A654" s="81" t="s">
        <v>69</v>
      </c>
      <c r="B654" s="65" t="s">
        <v>73</v>
      </c>
      <c r="C654" s="65" t="s">
        <v>61</v>
      </c>
      <c r="D654" s="66" t="s">
        <v>80</v>
      </c>
      <c r="E654" s="67"/>
      <c r="F654" s="65" t="s">
        <v>197</v>
      </c>
      <c r="G654" s="73" t="s">
        <v>112</v>
      </c>
      <c r="H654" s="74" t="s">
        <v>109</v>
      </c>
      <c r="I654" s="77">
        <f t="shared" si="22"/>
        <v>37.257495590828924</v>
      </c>
      <c r="J654" s="77" t="s">
        <v>110</v>
      </c>
      <c r="K654" s="77">
        <f t="shared" si="23"/>
        <v>17.068999999999999</v>
      </c>
      <c r="L654" s="68" t="s">
        <v>289</v>
      </c>
    </row>
    <row r="655" spans="1:12" ht="13.5">
      <c r="A655" s="81" t="s">
        <v>69</v>
      </c>
      <c r="B655" s="65" t="s">
        <v>73</v>
      </c>
      <c r="C655" s="65" t="s">
        <v>61</v>
      </c>
      <c r="D655" s="66" t="s">
        <v>80</v>
      </c>
      <c r="E655" s="67"/>
      <c r="F655" s="65" t="s">
        <v>197</v>
      </c>
      <c r="G655" s="73" t="s">
        <v>113</v>
      </c>
      <c r="H655" s="74" t="s">
        <v>109</v>
      </c>
      <c r="I655" s="77">
        <f t="shared" si="22"/>
        <v>37.257495590828924</v>
      </c>
      <c r="J655" s="77" t="s">
        <v>110</v>
      </c>
      <c r="K655" s="77">
        <f t="shared" si="23"/>
        <v>17.068999999999999</v>
      </c>
      <c r="L655" s="68" t="s">
        <v>289</v>
      </c>
    </row>
    <row r="656" spans="1:12" ht="13.5">
      <c r="A656" s="81" t="s">
        <v>69</v>
      </c>
      <c r="B656" s="65" t="s">
        <v>73</v>
      </c>
      <c r="C656" s="65" t="s">
        <v>61</v>
      </c>
      <c r="D656" s="66" t="s">
        <v>80</v>
      </c>
      <c r="E656" s="67"/>
      <c r="F656" s="65" t="s">
        <v>197</v>
      </c>
      <c r="G656" s="73" t="s">
        <v>116</v>
      </c>
      <c r="H656" s="74" t="s">
        <v>148</v>
      </c>
      <c r="I656" s="77">
        <f t="shared" si="22"/>
        <v>38.139329805996475</v>
      </c>
      <c r="J656" s="77" t="s">
        <v>149</v>
      </c>
      <c r="K656" s="77">
        <f t="shared" si="23"/>
        <v>17.473000000000003</v>
      </c>
      <c r="L656" s="68" t="s">
        <v>289</v>
      </c>
    </row>
    <row r="657" spans="1:12" ht="13.5">
      <c r="A657" s="81" t="s">
        <v>69</v>
      </c>
      <c r="B657" s="65" t="s">
        <v>73</v>
      </c>
      <c r="C657" s="65" t="s">
        <v>61</v>
      </c>
      <c r="D657" s="66" t="s">
        <v>80</v>
      </c>
      <c r="E657" s="67"/>
      <c r="F657" s="65" t="s">
        <v>197</v>
      </c>
      <c r="G657" s="73" t="s">
        <v>118</v>
      </c>
      <c r="H657" s="74" t="s">
        <v>103</v>
      </c>
      <c r="I657" s="77">
        <f t="shared" si="22"/>
        <v>37.698412698412703</v>
      </c>
      <c r="J657" s="77" t="s">
        <v>104</v>
      </c>
      <c r="K657" s="77">
        <f t="shared" si="23"/>
        <v>17.271000000000001</v>
      </c>
      <c r="L657" s="68" t="s">
        <v>289</v>
      </c>
    </row>
    <row r="658" spans="1:12" ht="13.5">
      <c r="A658" s="81" t="s">
        <v>69</v>
      </c>
      <c r="B658" s="65" t="s">
        <v>73</v>
      </c>
      <c r="C658" s="65" t="s">
        <v>61</v>
      </c>
      <c r="D658" s="66" t="s">
        <v>80</v>
      </c>
      <c r="E658" s="67"/>
      <c r="F658" s="65" t="s">
        <v>197</v>
      </c>
      <c r="G658" s="73" t="s">
        <v>121</v>
      </c>
      <c r="H658" s="74" t="s">
        <v>114</v>
      </c>
      <c r="I658" s="77">
        <f t="shared" si="22"/>
        <v>38.80070546737214</v>
      </c>
      <c r="J658" s="77" t="s">
        <v>160</v>
      </c>
      <c r="K658" s="77">
        <f t="shared" si="23"/>
        <v>17.776000000000003</v>
      </c>
      <c r="L658" s="68" t="s">
        <v>289</v>
      </c>
    </row>
    <row r="659" spans="1:12" ht="13.5">
      <c r="A659" s="81" t="s">
        <v>69</v>
      </c>
      <c r="B659" s="65" t="s">
        <v>73</v>
      </c>
      <c r="C659" s="65" t="s">
        <v>61</v>
      </c>
      <c r="D659" s="66" t="s">
        <v>80</v>
      </c>
      <c r="E659" s="67"/>
      <c r="F659" s="65" t="s">
        <v>197</v>
      </c>
      <c r="G659" s="73" t="s">
        <v>122</v>
      </c>
      <c r="H659" s="74" t="s">
        <v>114</v>
      </c>
      <c r="I659" s="77">
        <f t="shared" si="22"/>
        <v>38.80070546737214</v>
      </c>
      <c r="J659" s="77" t="s">
        <v>160</v>
      </c>
      <c r="K659" s="77">
        <f t="shared" si="23"/>
        <v>17.776000000000003</v>
      </c>
      <c r="L659" s="68" t="s">
        <v>289</v>
      </c>
    </row>
    <row r="660" spans="1:12" ht="13.5">
      <c r="A660" s="81" t="s">
        <v>69</v>
      </c>
      <c r="B660" s="65" t="s">
        <v>73</v>
      </c>
      <c r="C660" s="65" t="s">
        <v>61</v>
      </c>
      <c r="D660" s="66" t="s">
        <v>80</v>
      </c>
      <c r="E660" s="67"/>
      <c r="F660" s="65" t="s">
        <v>197</v>
      </c>
      <c r="G660" s="73" t="s">
        <v>123</v>
      </c>
      <c r="H660" s="74" t="s">
        <v>198</v>
      </c>
      <c r="I660" s="77">
        <f t="shared" si="22"/>
        <v>32.627865961199298</v>
      </c>
      <c r="J660" s="77" t="s">
        <v>199</v>
      </c>
      <c r="K660" s="77">
        <f t="shared" si="23"/>
        <v>14.948</v>
      </c>
      <c r="L660" s="68" t="s">
        <v>289</v>
      </c>
    </row>
    <row r="661" spans="1:12" ht="13.5">
      <c r="A661" s="81" t="s">
        <v>69</v>
      </c>
      <c r="B661" s="65" t="s">
        <v>73</v>
      </c>
      <c r="C661" s="65" t="s">
        <v>61</v>
      </c>
      <c r="D661" s="66" t="s">
        <v>80</v>
      </c>
      <c r="E661" s="67"/>
      <c r="F661" s="65" t="s">
        <v>197</v>
      </c>
      <c r="G661" s="73" t="s">
        <v>124</v>
      </c>
      <c r="H661" s="74" t="s">
        <v>200</v>
      </c>
      <c r="I661" s="77">
        <f t="shared" si="22"/>
        <v>43.20987654320988</v>
      </c>
      <c r="J661" s="77" t="s">
        <v>201</v>
      </c>
      <c r="K661" s="77">
        <f t="shared" si="23"/>
        <v>19.796000000000003</v>
      </c>
      <c r="L661" s="68" t="s">
        <v>289</v>
      </c>
    </row>
    <row r="662" spans="1:12" ht="13.5">
      <c r="A662" s="81" t="s">
        <v>69</v>
      </c>
      <c r="B662" s="65" t="s">
        <v>73</v>
      </c>
      <c r="C662" s="65" t="s">
        <v>61</v>
      </c>
      <c r="D662" s="66" t="s">
        <v>80</v>
      </c>
      <c r="E662" s="67"/>
      <c r="F662" s="65" t="s">
        <v>197</v>
      </c>
      <c r="G662" s="73" t="s">
        <v>161</v>
      </c>
      <c r="H662" s="74" t="s">
        <v>165</v>
      </c>
      <c r="I662" s="77">
        <f t="shared" si="22"/>
        <v>39.241622574955912</v>
      </c>
      <c r="J662" s="77" t="s">
        <v>166</v>
      </c>
      <c r="K662" s="77">
        <f t="shared" si="23"/>
        <v>17.978000000000002</v>
      </c>
      <c r="L662" s="68" t="s">
        <v>289</v>
      </c>
    </row>
    <row r="663" spans="1:12" ht="13.5">
      <c r="A663" s="81" t="s">
        <v>69</v>
      </c>
      <c r="B663" s="65" t="s">
        <v>73</v>
      </c>
      <c r="C663" s="65" t="s">
        <v>61</v>
      </c>
      <c r="D663" s="66" t="s">
        <v>80</v>
      </c>
      <c r="E663" s="67"/>
      <c r="F663" s="65" t="s">
        <v>197</v>
      </c>
      <c r="G663" s="73" t="s">
        <v>125</v>
      </c>
      <c r="H663" s="74" t="s">
        <v>114</v>
      </c>
      <c r="I663" s="77">
        <f t="shared" si="22"/>
        <v>38.580246913580247</v>
      </c>
      <c r="J663" s="77" t="s">
        <v>115</v>
      </c>
      <c r="K663" s="77">
        <f t="shared" si="23"/>
        <v>17.675000000000001</v>
      </c>
      <c r="L663" s="68" t="s">
        <v>289</v>
      </c>
    </row>
    <row r="664" spans="1:12" ht="13.5">
      <c r="A664" s="81" t="s">
        <v>69</v>
      </c>
      <c r="B664" s="65" t="s">
        <v>73</v>
      </c>
      <c r="C664" s="65" t="s">
        <v>61</v>
      </c>
      <c r="D664" s="66" t="s">
        <v>80</v>
      </c>
      <c r="E664" s="67"/>
      <c r="F664" s="65" t="s">
        <v>197</v>
      </c>
      <c r="G664" s="73" t="s">
        <v>128</v>
      </c>
      <c r="H664" s="74" t="s">
        <v>148</v>
      </c>
      <c r="I664" s="77">
        <f t="shared" si="22"/>
        <v>38.139329805996475</v>
      </c>
      <c r="J664" s="77" t="s">
        <v>149</v>
      </c>
      <c r="K664" s="77">
        <f t="shared" si="23"/>
        <v>17.473000000000003</v>
      </c>
      <c r="L664" s="68" t="s">
        <v>289</v>
      </c>
    </row>
    <row r="665" spans="1:12" ht="13.5">
      <c r="A665" s="81" t="s">
        <v>69</v>
      </c>
      <c r="B665" s="65" t="s">
        <v>73</v>
      </c>
      <c r="C665" s="65" t="s">
        <v>61</v>
      </c>
      <c r="D665" s="66" t="s">
        <v>80</v>
      </c>
      <c r="E665" s="67"/>
      <c r="F665" s="65" t="s">
        <v>197</v>
      </c>
      <c r="G665" s="73" t="s">
        <v>129</v>
      </c>
      <c r="H665" s="74" t="s">
        <v>165</v>
      </c>
      <c r="I665" s="77">
        <f t="shared" si="22"/>
        <v>39.021164021164019</v>
      </c>
      <c r="J665" s="77" t="s">
        <v>194</v>
      </c>
      <c r="K665" s="77">
        <f t="shared" si="23"/>
        <v>17.876999999999999</v>
      </c>
      <c r="L665" s="68" t="s">
        <v>289</v>
      </c>
    </row>
    <row r="666" spans="1:12" ht="13.5">
      <c r="A666" s="81" t="s">
        <v>69</v>
      </c>
      <c r="B666" s="65" t="s">
        <v>73</v>
      </c>
      <c r="C666" s="65" t="s">
        <v>61</v>
      </c>
      <c r="D666" s="66" t="s">
        <v>80</v>
      </c>
      <c r="E666" s="67"/>
      <c r="F666" s="65" t="s">
        <v>197</v>
      </c>
      <c r="G666" s="73" t="s">
        <v>130</v>
      </c>
      <c r="H666" s="74" t="s">
        <v>171</v>
      </c>
      <c r="I666" s="77">
        <f t="shared" si="22"/>
        <v>39.462081128747791</v>
      </c>
      <c r="J666" s="77" t="s">
        <v>172</v>
      </c>
      <c r="K666" s="77">
        <f t="shared" si="23"/>
        <v>18.078999999999997</v>
      </c>
      <c r="L666" s="68" t="s">
        <v>289</v>
      </c>
    </row>
    <row r="667" spans="1:12" ht="13.5">
      <c r="A667" s="81" t="s">
        <v>69</v>
      </c>
      <c r="B667" s="65" t="s">
        <v>73</v>
      </c>
      <c r="C667" s="65" t="s">
        <v>61</v>
      </c>
      <c r="D667" s="66" t="s">
        <v>80</v>
      </c>
      <c r="E667" s="67"/>
      <c r="F667" s="65" t="s">
        <v>197</v>
      </c>
      <c r="G667" s="73" t="s">
        <v>131</v>
      </c>
      <c r="H667" s="74" t="s">
        <v>114</v>
      </c>
      <c r="I667" s="77">
        <f t="shared" si="22"/>
        <v>38.580246913580247</v>
      </c>
      <c r="J667" s="77" t="s">
        <v>115</v>
      </c>
      <c r="K667" s="77">
        <f t="shared" si="23"/>
        <v>17.675000000000001</v>
      </c>
      <c r="L667" s="68" t="s">
        <v>289</v>
      </c>
    </row>
    <row r="668" spans="1:12" ht="13.5">
      <c r="A668" s="81" t="s">
        <v>69</v>
      </c>
      <c r="B668" s="65" t="s">
        <v>73</v>
      </c>
      <c r="C668" s="65" t="s">
        <v>61</v>
      </c>
      <c r="D668" s="66" t="s">
        <v>80</v>
      </c>
      <c r="E668" s="67"/>
      <c r="F668" s="65" t="s">
        <v>197</v>
      </c>
      <c r="G668" s="73" t="s">
        <v>164</v>
      </c>
      <c r="H668" s="74" t="s">
        <v>148</v>
      </c>
      <c r="I668" s="77">
        <f t="shared" si="22"/>
        <v>38.359788359788354</v>
      </c>
      <c r="J668" s="77" t="s">
        <v>162</v>
      </c>
      <c r="K668" s="77">
        <f t="shared" si="23"/>
        <v>17.573999999999998</v>
      </c>
      <c r="L668" s="68" t="s">
        <v>289</v>
      </c>
    </row>
    <row r="669" spans="1:12" ht="13.5">
      <c r="A669" s="81" t="s">
        <v>69</v>
      </c>
      <c r="B669" s="65" t="s">
        <v>73</v>
      </c>
      <c r="C669" s="65" t="s">
        <v>61</v>
      </c>
      <c r="D669" s="66" t="s">
        <v>80</v>
      </c>
      <c r="E669" s="67"/>
      <c r="F669" s="65" t="s">
        <v>197</v>
      </c>
      <c r="G669" s="73" t="s">
        <v>132</v>
      </c>
      <c r="H669" s="74" t="s">
        <v>114</v>
      </c>
      <c r="I669" s="77">
        <f t="shared" si="22"/>
        <v>38.580246913580247</v>
      </c>
      <c r="J669" s="77" t="s">
        <v>115</v>
      </c>
      <c r="K669" s="77">
        <f t="shared" si="23"/>
        <v>17.675000000000001</v>
      </c>
      <c r="L669" s="68" t="s">
        <v>289</v>
      </c>
    </row>
    <row r="670" spans="1:12" ht="13.5">
      <c r="A670" s="81" t="s">
        <v>69</v>
      </c>
      <c r="B670" s="65" t="s">
        <v>73</v>
      </c>
      <c r="C670" s="65" t="s">
        <v>61</v>
      </c>
      <c r="D670" s="66" t="s">
        <v>80</v>
      </c>
      <c r="E670" s="67"/>
      <c r="F670" s="65" t="s">
        <v>197</v>
      </c>
      <c r="G670" s="73" t="s">
        <v>133</v>
      </c>
      <c r="H670" s="74" t="s">
        <v>148</v>
      </c>
      <c r="I670" s="77">
        <f t="shared" si="22"/>
        <v>38.359788359788354</v>
      </c>
      <c r="J670" s="77" t="s">
        <v>162</v>
      </c>
      <c r="K670" s="77">
        <f t="shared" si="23"/>
        <v>17.573999999999998</v>
      </c>
      <c r="L670" s="68" t="s">
        <v>289</v>
      </c>
    </row>
    <row r="671" spans="1:12" ht="13.5">
      <c r="A671" s="81" t="s">
        <v>69</v>
      </c>
      <c r="B671" s="65" t="s">
        <v>73</v>
      </c>
      <c r="C671" s="65" t="s">
        <v>61</v>
      </c>
      <c r="D671" s="66" t="s">
        <v>80</v>
      </c>
      <c r="E671" s="67"/>
      <c r="F671" s="65" t="s">
        <v>197</v>
      </c>
      <c r="G671" s="73" t="s">
        <v>134</v>
      </c>
      <c r="H671" s="74" t="s">
        <v>171</v>
      </c>
      <c r="I671" s="77">
        <f t="shared" si="22"/>
        <v>39.462081128747791</v>
      </c>
      <c r="J671" s="77" t="s">
        <v>172</v>
      </c>
      <c r="K671" s="77">
        <f t="shared" si="23"/>
        <v>18.078999999999997</v>
      </c>
      <c r="L671" s="68" t="s">
        <v>289</v>
      </c>
    </row>
    <row r="672" spans="1:12" ht="13.5">
      <c r="A672" s="81" t="s">
        <v>69</v>
      </c>
      <c r="B672" s="65" t="s">
        <v>73</v>
      </c>
      <c r="C672" s="65" t="s">
        <v>61</v>
      </c>
      <c r="D672" s="66" t="s">
        <v>80</v>
      </c>
      <c r="E672" s="67"/>
      <c r="F672" s="65" t="s">
        <v>197</v>
      </c>
      <c r="G672" s="73" t="s">
        <v>135</v>
      </c>
      <c r="H672" s="74" t="s">
        <v>114</v>
      </c>
      <c r="I672" s="77">
        <f t="shared" si="22"/>
        <v>38.580246913580247</v>
      </c>
      <c r="J672" s="77" t="s">
        <v>115</v>
      </c>
      <c r="K672" s="77">
        <f t="shared" si="23"/>
        <v>17.675000000000001</v>
      </c>
      <c r="L672" s="68" t="s">
        <v>289</v>
      </c>
    </row>
    <row r="673" spans="1:12" ht="13.5">
      <c r="A673" s="81" t="s">
        <v>69</v>
      </c>
      <c r="B673" s="65" t="s">
        <v>73</v>
      </c>
      <c r="C673" s="65" t="s">
        <v>61</v>
      </c>
      <c r="D673" s="66" t="s">
        <v>80</v>
      </c>
      <c r="E673" s="67"/>
      <c r="F673" s="65" t="s">
        <v>197</v>
      </c>
      <c r="G673" s="73" t="s">
        <v>136</v>
      </c>
      <c r="H673" s="74" t="s">
        <v>148</v>
      </c>
      <c r="I673" s="77">
        <f t="shared" si="22"/>
        <v>38.359788359788354</v>
      </c>
      <c r="J673" s="77" t="s">
        <v>162</v>
      </c>
      <c r="K673" s="77">
        <f t="shared" si="23"/>
        <v>17.573999999999998</v>
      </c>
      <c r="L673" s="68" t="s">
        <v>289</v>
      </c>
    </row>
    <row r="674" spans="1:12" ht="13.5">
      <c r="A674" s="81" t="s">
        <v>69</v>
      </c>
      <c r="B674" s="65" t="s">
        <v>73</v>
      </c>
      <c r="C674" s="65" t="s">
        <v>61</v>
      </c>
      <c r="D674" s="66" t="s">
        <v>80</v>
      </c>
      <c r="E674" s="67"/>
      <c r="F674" s="65" t="s">
        <v>197</v>
      </c>
      <c r="G674" s="73" t="s">
        <v>137</v>
      </c>
      <c r="H674" s="74" t="s">
        <v>148</v>
      </c>
      <c r="I674" s="77">
        <f t="shared" si="22"/>
        <v>38.139329805996475</v>
      </c>
      <c r="J674" s="77" t="s">
        <v>149</v>
      </c>
      <c r="K674" s="77">
        <f t="shared" si="23"/>
        <v>17.473000000000003</v>
      </c>
      <c r="L674" s="68" t="s">
        <v>289</v>
      </c>
    </row>
    <row r="675" spans="1:12" ht="13.5">
      <c r="A675" s="81" t="s">
        <v>69</v>
      </c>
      <c r="B675" s="65" t="s">
        <v>73</v>
      </c>
      <c r="C675" s="65" t="s">
        <v>61</v>
      </c>
      <c r="D675" s="66" t="s">
        <v>80</v>
      </c>
      <c r="E675" s="67"/>
      <c r="F675" s="65" t="s">
        <v>197</v>
      </c>
      <c r="G675" s="73" t="s">
        <v>138</v>
      </c>
      <c r="H675" s="74" t="s">
        <v>171</v>
      </c>
      <c r="I675" s="77">
        <f t="shared" si="22"/>
        <v>39.462081128747791</v>
      </c>
      <c r="J675" s="77" t="s">
        <v>172</v>
      </c>
      <c r="K675" s="77">
        <f t="shared" si="23"/>
        <v>18.078999999999997</v>
      </c>
      <c r="L675" s="68" t="s">
        <v>289</v>
      </c>
    </row>
    <row r="676" spans="1:12" ht="13.5">
      <c r="A676" s="81" t="s">
        <v>69</v>
      </c>
      <c r="B676" s="65" t="s">
        <v>73</v>
      </c>
      <c r="C676" s="65" t="s">
        <v>61</v>
      </c>
      <c r="D676" s="66" t="s">
        <v>80</v>
      </c>
      <c r="E676" s="67"/>
      <c r="F676" s="65" t="s">
        <v>197</v>
      </c>
      <c r="G676" s="73" t="s">
        <v>139</v>
      </c>
      <c r="H676" s="74" t="s">
        <v>103</v>
      </c>
      <c r="I676" s="77">
        <f t="shared" si="22"/>
        <v>37.698412698412703</v>
      </c>
      <c r="J676" s="77" t="s">
        <v>104</v>
      </c>
      <c r="K676" s="77">
        <f t="shared" si="23"/>
        <v>17.271000000000001</v>
      </c>
      <c r="L676" s="68" t="s">
        <v>289</v>
      </c>
    </row>
    <row r="677" spans="1:12" ht="13.5">
      <c r="A677" s="81" t="s">
        <v>69</v>
      </c>
      <c r="B677" s="65" t="s">
        <v>73</v>
      </c>
      <c r="C677" s="65" t="s">
        <v>61</v>
      </c>
      <c r="D677" s="66" t="s">
        <v>80</v>
      </c>
      <c r="E677" s="67"/>
      <c r="F677" s="65" t="s">
        <v>197</v>
      </c>
      <c r="G677" s="73" t="s">
        <v>140</v>
      </c>
      <c r="H677" s="74" t="s">
        <v>148</v>
      </c>
      <c r="I677" s="77">
        <f t="shared" si="22"/>
        <v>38.139329805996475</v>
      </c>
      <c r="J677" s="77" t="s">
        <v>149</v>
      </c>
      <c r="K677" s="77">
        <f t="shared" si="23"/>
        <v>17.473000000000003</v>
      </c>
      <c r="L677" s="68" t="s">
        <v>289</v>
      </c>
    </row>
    <row r="678" spans="1:12" ht="13.5">
      <c r="A678" s="81" t="s">
        <v>69</v>
      </c>
      <c r="B678" s="65" t="s">
        <v>73</v>
      </c>
      <c r="C678" s="65" t="s">
        <v>61</v>
      </c>
      <c r="D678" s="66" t="s">
        <v>80</v>
      </c>
      <c r="E678" s="67"/>
      <c r="F678" s="65" t="s">
        <v>197</v>
      </c>
      <c r="G678" s="73" t="s">
        <v>167</v>
      </c>
      <c r="H678" s="74" t="s">
        <v>114</v>
      </c>
      <c r="I678" s="77">
        <f t="shared" si="22"/>
        <v>38.80070546737214</v>
      </c>
      <c r="J678" s="77" t="s">
        <v>160</v>
      </c>
      <c r="K678" s="77">
        <f t="shared" si="23"/>
        <v>17.776000000000003</v>
      </c>
      <c r="L678" s="68" t="s">
        <v>289</v>
      </c>
    </row>
    <row r="679" spans="1:12" ht="13.5">
      <c r="A679" s="81" t="s">
        <v>69</v>
      </c>
      <c r="B679" s="65" t="s">
        <v>73</v>
      </c>
      <c r="C679" s="65" t="s">
        <v>61</v>
      </c>
      <c r="D679" s="66" t="s">
        <v>80</v>
      </c>
      <c r="E679" s="67"/>
      <c r="F679" s="65" t="s">
        <v>197</v>
      </c>
      <c r="G679" s="73" t="s">
        <v>141</v>
      </c>
      <c r="H679" s="74" t="s">
        <v>109</v>
      </c>
      <c r="I679" s="77">
        <f t="shared" si="22"/>
        <v>37.257495590828924</v>
      </c>
      <c r="J679" s="77" t="s">
        <v>110</v>
      </c>
      <c r="K679" s="77">
        <f t="shared" si="23"/>
        <v>17.068999999999999</v>
      </c>
      <c r="L679" s="68" t="s">
        <v>289</v>
      </c>
    </row>
    <row r="680" spans="1:12" ht="13.5">
      <c r="A680" s="81" t="s">
        <v>69</v>
      </c>
      <c r="B680" s="65" t="s">
        <v>73</v>
      </c>
      <c r="C680" s="65" t="s">
        <v>61</v>
      </c>
      <c r="D680" s="66" t="s">
        <v>80</v>
      </c>
      <c r="E680" s="67"/>
      <c r="F680" s="65" t="s">
        <v>197</v>
      </c>
      <c r="G680" s="73" t="s">
        <v>142</v>
      </c>
      <c r="H680" s="74" t="s">
        <v>148</v>
      </c>
      <c r="I680" s="77">
        <f t="shared" si="22"/>
        <v>38.359788359788354</v>
      </c>
      <c r="J680" s="77" t="s">
        <v>162</v>
      </c>
      <c r="K680" s="77">
        <f t="shared" si="23"/>
        <v>17.573999999999998</v>
      </c>
      <c r="L680" s="68" t="s">
        <v>289</v>
      </c>
    </row>
    <row r="681" spans="1:12" ht="13.5">
      <c r="A681" s="81" t="s">
        <v>69</v>
      </c>
      <c r="B681" s="65" t="s">
        <v>73</v>
      </c>
      <c r="C681" s="65" t="s">
        <v>61</v>
      </c>
      <c r="D681" s="66" t="s">
        <v>80</v>
      </c>
      <c r="E681" s="67"/>
      <c r="F681" s="65" t="s">
        <v>197</v>
      </c>
      <c r="G681" s="73" t="s">
        <v>143</v>
      </c>
      <c r="H681" s="74" t="s">
        <v>148</v>
      </c>
      <c r="I681" s="77">
        <f t="shared" si="22"/>
        <v>38.139329805996475</v>
      </c>
      <c r="J681" s="77" t="s">
        <v>149</v>
      </c>
      <c r="K681" s="77">
        <f t="shared" si="23"/>
        <v>17.473000000000003</v>
      </c>
      <c r="L681" s="68" t="s">
        <v>289</v>
      </c>
    </row>
    <row r="682" spans="1:12" ht="13.5">
      <c r="A682" s="81" t="s">
        <v>69</v>
      </c>
      <c r="B682" s="65" t="s">
        <v>73</v>
      </c>
      <c r="C682" s="65" t="s">
        <v>61</v>
      </c>
      <c r="D682" s="66" t="s">
        <v>80</v>
      </c>
      <c r="E682" s="67"/>
      <c r="F682" s="65" t="s">
        <v>197</v>
      </c>
      <c r="G682" s="73" t="s">
        <v>146</v>
      </c>
      <c r="H682" s="74" t="s">
        <v>148</v>
      </c>
      <c r="I682" s="77">
        <f t="shared" si="22"/>
        <v>38.359788359788354</v>
      </c>
      <c r="J682" s="77" t="s">
        <v>162</v>
      </c>
      <c r="K682" s="77">
        <f t="shared" si="23"/>
        <v>17.573999999999998</v>
      </c>
      <c r="L682" s="68" t="s">
        <v>289</v>
      </c>
    </row>
    <row r="683" spans="1:12" ht="13.5">
      <c r="A683" s="81" t="s">
        <v>69</v>
      </c>
      <c r="B683" s="65" t="s">
        <v>73</v>
      </c>
      <c r="C683" s="65" t="s">
        <v>61</v>
      </c>
      <c r="D683" s="66" t="s">
        <v>80</v>
      </c>
      <c r="E683" s="67"/>
      <c r="F683" s="65" t="s">
        <v>197</v>
      </c>
      <c r="G683" s="73" t="s">
        <v>147</v>
      </c>
      <c r="H683" s="74" t="s">
        <v>109</v>
      </c>
      <c r="I683" s="77">
        <f t="shared" si="22"/>
        <v>37.257495590828924</v>
      </c>
      <c r="J683" s="77" t="s">
        <v>110</v>
      </c>
      <c r="K683" s="77">
        <f t="shared" si="23"/>
        <v>17.068999999999999</v>
      </c>
      <c r="L683" s="68" t="s">
        <v>289</v>
      </c>
    </row>
    <row r="684" spans="1:12" ht="13.5">
      <c r="A684" s="81" t="s">
        <v>69</v>
      </c>
      <c r="B684" s="65" t="s">
        <v>73</v>
      </c>
      <c r="C684" s="65" t="s">
        <v>61</v>
      </c>
      <c r="D684" s="66" t="s">
        <v>80</v>
      </c>
      <c r="E684" s="67"/>
      <c r="F684" s="65" t="s">
        <v>197</v>
      </c>
      <c r="G684" s="73" t="s">
        <v>150</v>
      </c>
      <c r="H684" s="74" t="s">
        <v>126</v>
      </c>
      <c r="I684" s="77">
        <f t="shared" si="22"/>
        <v>36.816578483245145</v>
      </c>
      <c r="J684" s="77" t="s">
        <v>127</v>
      </c>
      <c r="K684" s="77">
        <f t="shared" si="23"/>
        <v>16.867000000000001</v>
      </c>
      <c r="L684" s="68" t="s">
        <v>289</v>
      </c>
    </row>
    <row r="685" spans="1:12" ht="13.5">
      <c r="A685" s="81" t="s">
        <v>69</v>
      </c>
      <c r="B685" s="65" t="s">
        <v>73</v>
      </c>
      <c r="C685" s="65" t="s">
        <v>61</v>
      </c>
      <c r="D685" s="66" t="s">
        <v>80</v>
      </c>
      <c r="E685" s="67"/>
      <c r="F685" s="65" t="s">
        <v>197</v>
      </c>
      <c r="G685" s="73" t="s">
        <v>151</v>
      </c>
      <c r="H685" s="74" t="s">
        <v>148</v>
      </c>
      <c r="I685" s="77">
        <f t="shared" si="22"/>
        <v>38.139329805996475</v>
      </c>
      <c r="J685" s="77" t="s">
        <v>149</v>
      </c>
      <c r="K685" s="77">
        <f t="shared" si="23"/>
        <v>17.473000000000003</v>
      </c>
      <c r="L685" s="68" t="s">
        <v>289</v>
      </c>
    </row>
    <row r="686" spans="1:12" ht="13.5">
      <c r="A686" s="81" t="s">
        <v>69</v>
      </c>
      <c r="B686" s="65" t="s">
        <v>73</v>
      </c>
      <c r="C686" s="65" t="s">
        <v>61</v>
      </c>
      <c r="D686" s="66" t="s">
        <v>80</v>
      </c>
      <c r="E686" s="67"/>
      <c r="F686" s="65" t="s">
        <v>197</v>
      </c>
      <c r="G686" s="73" t="s">
        <v>152</v>
      </c>
      <c r="H686" s="74" t="s">
        <v>114</v>
      </c>
      <c r="I686" s="77">
        <f t="shared" si="22"/>
        <v>38.80070546737214</v>
      </c>
      <c r="J686" s="77" t="s">
        <v>160</v>
      </c>
      <c r="K686" s="77">
        <f t="shared" si="23"/>
        <v>17.776000000000003</v>
      </c>
      <c r="L686" s="68" t="s">
        <v>289</v>
      </c>
    </row>
    <row r="687" spans="1:12" ht="13.5">
      <c r="A687" s="81" t="s">
        <v>69</v>
      </c>
      <c r="B687" s="65" t="s">
        <v>73</v>
      </c>
      <c r="C687" s="65" t="s">
        <v>61</v>
      </c>
      <c r="D687" s="66" t="s">
        <v>80</v>
      </c>
      <c r="E687" s="67"/>
      <c r="F687" s="65" t="s">
        <v>197</v>
      </c>
      <c r="G687" s="73" t="s">
        <v>153</v>
      </c>
      <c r="H687" s="74" t="s">
        <v>148</v>
      </c>
      <c r="I687" s="77">
        <f t="shared" si="22"/>
        <v>38.359788359788354</v>
      </c>
      <c r="J687" s="77" t="s">
        <v>162</v>
      </c>
      <c r="K687" s="77">
        <f t="shared" si="23"/>
        <v>17.573999999999998</v>
      </c>
      <c r="L687" s="68" t="s">
        <v>289</v>
      </c>
    </row>
    <row r="688" spans="1:12" ht="13.5">
      <c r="A688" s="81"/>
      <c r="B688" s="65"/>
      <c r="C688" s="65"/>
      <c r="D688" s="66"/>
      <c r="E688" s="67"/>
      <c r="F688" s="65" t="s">
        <v>87</v>
      </c>
      <c r="G688" s="73">
        <v>40</v>
      </c>
      <c r="H688" s="74" t="s">
        <v>202</v>
      </c>
      <c r="I688" s="77">
        <f t="shared" si="22"/>
        <v>1532.1869488536156</v>
      </c>
      <c r="J688" s="77" t="s">
        <v>203</v>
      </c>
      <c r="K688" s="77">
        <f t="shared" si="23"/>
        <v>701.95</v>
      </c>
      <c r="L688" s="68" t="s">
        <v>289</v>
      </c>
    </row>
    <row r="689" spans="1:12" ht="13.5">
      <c r="A689" s="81" t="s">
        <v>69</v>
      </c>
      <c r="B689" s="65" t="s">
        <v>73</v>
      </c>
      <c r="C689" s="65" t="s">
        <v>61</v>
      </c>
      <c r="D689" s="66" t="s">
        <v>80</v>
      </c>
      <c r="E689" s="67"/>
      <c r="F689" s="65" t="s">
        <v>204</v>
      </c>
      <c r="G689" s="73" t="s">
        <v>99</v>
      </c>
      <c r="H689" s="74" t="s">
        <v>103</v>
      </c>
      <c r="I689" s="77">
        <f t="shared" si="22"/>
        <v>37.47795414462081</v>
      </c>
      <c r="J689" s="77" t="s">
        <v>101</v>
      </c>
      <c r="K689" s="77">
        <f t="shared" si="23"/>
        <v>17.170000000000002</v>
      </c>
      <c r="L689" s="68" t="s">
        <v>289</v>
      </c>
    </row>
    <row r="690" spans="1:12" ht="13.5">
      <c r="A690" s="81" t="s">
        <v>69</v>
      </c>
      <c r="B690" s="65" t="s">
        <v>73</v>
      </c>
      <c r="C690" s="65" t="s">
        <v>61</v>
      </c>
      <c r="D690" s="66" t="s">
        <v>80</v>
      </c>
      <c r="E690" s="67"/>
      <c r="F690" s="65" t="s">
        <v>204</v>
      </c>
      <c r="G690" s="73" t="s">
        <v>102</v>
      </c>
      <c r="H690" s="74" t="s">
        <v>148</v>
      </c>
      <c r="I690" s="77">
        <f t="shared" si="22"/>
        <v>37.918871252204582</v>
      </c>
      <c r="J690" s="77" t="s">
        <v>163</v>
      </c>
      <c r="K690" s="77">
        <f t="shared" si="23"/>
        <v>17.372</v>
      </c>
      <c r="L690" s="68" t="s">
        <v>289</v>
      </c>
    </row>
    <row r="691" spans="1:12" ht="13.5">
      <c r="A691" s="81" t="s">
        <v>69</v>
      </c>
      <c r="B691" s="65" t="s">
        <v>73</v>
      </c>
      <c r="C691" s="65" t="s">
        <v>61</v>
      </c>
      <c r="D691" s="66" t="s">
        <v>80</v>
      </c>
      <c r="E691" s="67"/>
      <c r="F691" s="65" t="s">
        <v>204</v>
      </c>
      <c r="G691" s="73" t="s">
        <v>105</v>
      </c>
      <c r="H691" s="74" t="s">
        <v>148</v>
      </c>
      <c r="I691" s="77">
        <f t="shared" si="22"/>
        <v>38.359788359788354</v>
      </c>
      <c r="J691" s="77" t="s">
        <v>162</v>
      </c>
      <c r="K691" s="77">
        <f t="shared" si="23"/>
        <v>17.573999999999998</v>
      </c>
      <c r="L691" s="68" t="s">
        <v>289</v>
      </c>
    </row>
    <row r="692" spans="1:12" ht="13.5">
      <c r="A692" s="81" t="s">
        <v>69</v>
      </c>
      <c r="B692" s="65" t="s">
        <v>73</v>
      </c>
      <c r="C692" s="65" t="s">
        <v>61</v>
      </c>
      <c r="D692" s="66" t="s">
        <v>80</v>
      </c>
      <c r="E692" s="67"/>
      <c r="F692" s="65" t="s">
        <v>204</v>
      </c>
      <c r="G692" s="73" t="s">
        <v>106</v>
      </c>
      <c r="H692" s="74" t="s">
        <v>165</v>
      </c>
      <c r="I692" s="77">
        <f t="shared" si="22"/>
        <v>39.021164021164019</v>
      </c>
      <c r="J692" s="77" t="s">
        <v>194</v>
      </c>
      <c r="K692" s="77">
        <f t="shared" si="23"/>
        <v>17.876999999999999</v>
      </c>
      <c r="L692" s="68" t="s">
        <v>289</v>
      </c>
    </row>
    <row r="693" spans="1:12" ht="13.5">
      <c r="A693" s="81" t="s">
        <v>69</v>
      </c>
      <c r="B693" s="65" t="s">
        <v>73</v>
      </c>
      <c r="C693" s="65" t="s">
        <v>61</v>
      </c>
      <c r="D693" s="66" t="s">
        <v>80</v>
      </c>
      <c r="E693" s="67"/>
      <c r="F693" s="65" t="s">
        <v>204</v>
      </c>
      <c r="G693" s="73" t="s">
        <v>108</v>
      </c>
      <c r="H693" s="74" t="s">
        <v>114</v>
      </c>
      <c r="I693" s="77">
        <f t="shared" si="22"/>
        <v>38.580246913580247</v>
      </c>
      <c r="J693" s="77" t="s">
        <v>115</v>
      </c>
      <c r="K693" s="77">
        <f t="shared" si="23"/>
        <v>17.675000000000001</v>
      </c>
      <c r="L693" s="68" t="s">
        <v>289</v>
      </c>
    </row>
    <row r="694" spans="1:12" ht="13.5">
      <c r="A694" s="81" t="s">
        <v>69</v>
      </c>
      <c r="B694" s="65" t="s">
        <v>73</v>
      </c>
      <c r="C694" s="65" t="s">
        <v>61</v>
      </c>
      <c r="D694" s="66" t="s">
        <v>80</v>
      </c>
      <c r="E694" s="67"/>
      <c r="F694" s="65" t="s">
        <v>204</v>
      </c>
      <c r="G694" s="73" t="s">
        <v>111</v>
      </c>
      <c r="H694" s="74" t="s">
        <v>103</v>
      </c>
      <c r="I694" s="77">
        <f t="shared" si="22"/>
        <v>37.698412698412703</v>
      </c>
      <c r="J694" s="77" t="s">
        <v>104</v>
      </c>
      <c r="K694" s="77">
        <f t="shared" si="23"/>
        <v>17.271000000000001</v>
      </c>
      <c r="L694" s="68" t="s">
        <v>289</v>
      </c>
    </row>
    <row r="695" spans="1:12" ht="13.5">
      <c r="A695" s="81" t="s">
        <v>69</v>
      </c>
      <c r="B695" s="65" t="s">
        <v>73</v>
      </c>
      <c r="C695" s="65" t="s">
        <v>61</v>
      </c>
      <c r="D695" s="66" t="s">
        <v>80</v>
      </c>
      <c r="E695" s="67"/>
      <c r="F695" s="65" t="s">
        <v>204</v>
      </c>
      <c r="G695" s="73" t="s">
        <v>112</v>
      </c>
      <c r="H695" s="74" t="s">
        <v>103</v>
      </c>
      <c r="I695" s="77">
        <f t="shared" si="22"/>
        <v>37.698412698412703</v>
      </c>
      <c r="J695" s="77" t="s">
        <v>104</v>
      </c>
      <c r="K695" s="77">
        <f t="shared" si="23"/>
        <v>17.271000000000001</v>
      </c>
      <c r="L695" s="68" t="s">
        <v>289</v>
      </c>
    </row>
    <row r="696" spans="1:12" ht="13.5">
      <c r="A696" s="81" t="s">
        <v>69</v>
      </c>
      <c r="B696" s="65" t="s">
        <v>73</v>
      </c>
      <c r="C696" s="65" t="s">
        <v>61</v>
      </c>
      <c r="D696" s="66" t="s">
        <v>80</v>
      </c>
      <c r="E696" s="67"/>
      <c r="F696" s="65" t="s">
        <v>204</v>
      </c>
      <c r="G696" s="73" t="s">
        <v>113</v>
      </c>
      <c r="H696" s="74" t="s">
        <v>114</v>
      </c>
      <c r="I696" s="77">
        <f t="shared" si="22"/>
        <v>38.80070546737214</v>
      </c>
      <c r="J696" s="77" t="s">
        <v>160</v>
      </c>
      <c r="K696" s="77">
        <f t="shared" si="23"/>
        <v>17.776000000000003</v>
      </c>
      <c r="L696" s="68" t="s">
        <v>289</v>
      </c>
    </row>
    <row r="697" spans="1:12" ht="13.5">
      <c r="A697" s="81" t="s">
        <v>69</v>
      </c>
      <c r="B697" s="65" t="s">
        <v>73</v>
      </c>
      <c r="C697" s="65" t="s">
        <v>61</v>
      </c>
      <c r="D697" s="66" t="s">
        <v>80</v>
      </c>
      <c r="E697" s="67"/>
      <c r="F697" s="65" t="s">
        <v>204</v>
      </c>
      <c r="G697" s="73" t="s">
        <v>116</v>
      </c>
      <c r="H697" s="74" t="s">
        <v>148</v>
      </c>
      <c r="I697" s="77">
        <f t="shared" si="22"/>
        <v>38.359788359788354</v>
      </c>
      <c r="J697" s="77" t="s">
        <v>162</v>
      </c>
      <c r="K697" s="77">
        <f t="shared" si="23"/>
        <v>17.573999999999998</v>
      </c>
      <c r="L697" s="68" t="s">
        <v>289</v>
      </c>
    </row>
    <row r="698" spans="1:12" ht="13.5">
      <c r="A698" s="81" t="s">
        <v>69</v>
      </c>
      <c r="B698" s="65" t="s">
        <v>73</v>
      </c>
      <c r="C698" s="65" t="s">
        <v>61</v>
      </c>
      <c r="D698" s="66" t="s">
        <v>80</v>
      </c>
      <c r="E698" s="67"/>
      <c r="F698" s="65" t="s">
        <v>204</v>
      </c>
      <c r="G698" s="73" t="s">
        <v>118</v>
      </c>
      <c r="H698" s="74" t="s">
        <v>148</v>
      </c>
      <c r="I698" s="77">
        <f t="shared" si="22"/>
        <v>38.139329805996475</v>
      </c>
      <c r="J698" s="77" t="s">
        <v>149</v>
      </c>
      <c r="K698" s="77">
        <f t="shared" si="23"/>
        <v>17.473000000000003</v>
      </c>
      <c r="L698" s="68" t="s">
        <v>289</v>
      </c>
    </row>
    <row r="699" spans="1:12" ht="13.5">
      <c r="A699" s="81" t="s">
        <v>69</v>
      </c>
      <c r="B699" s="65" t="s">
        <v>73</v>
      </c>
      <c r="C699" s="65" t="s">
        <v>61</v>
      </c>
      <c r="D699" s="66" t="s">
        <v>80</v>
      </c>
      <c r="E699" s="67"/>
      <c r="F699" s="65" t="s">
        <v>204</v>
      </c>
      <c r="G699" s="73" t="s">
        <v>121</v>
      </c>
      <c r="H699" s="74" t="s">
        <v>148</v>
      </c>
      <c r="I699" s="77">
        <f t="shared" si="22"/>
        <v>38.139329805996475</v>
      </c>
      <c r="J699" s="77" t="s">
        <v>149</v>
      </c>
      <c r="K699" s="77">
        <f t="shared" si="23"/>
        <v>17.473000000000003</v>
      </c>
      <c r="L699" s="68" t="s">
        <v>289</v>
      </c>
    </row>
    <row r="700" spans="1:12" ht="13.5">
      <c r="A700" s="81" t="s">
        <v>69</v>
      </c>
      <c r="B700" s="65" t="s">
        <v>73</v>
      </c>
      <c r="C700" s="65" t="s">
        <v>61</v>
      </c>
      <c r="D700" s="66" t="s">
        <v>80</v>
      </c>
      <c r="E700" s="67"/>
      <c r="F700" s="65" t="s">
        <v>204</v>
      </c>
      <c r="G700" s="73" t="s">
        <v>122</v>
      </c>
      <c r="H700" s="74" t="s">
        <v>148</v>
      </c>
      <c r="I700" s="77">
        <f t="shared" si="22"/>
        <v>38.359788359788354</v>
      </c>
      <c r="J700" s="77" t="s">
        <v>162</v>
      </c>
      <c r="K700" s="77">
        <f t="shared" si="23"/>
        <v>17.573999999999998</v>
      </c>
      <c r="L700" s="68" t="s">
        <v>289</v>
      </c>
    </row>
    <row r="701" spans="1:12" ht="13.5">
      <c r="A701" s="81" t="s">
        <v>69</v>
      </c>
      <c r="B701" s="65" t="s">
        <v>73</v>
      </c>
      <c r="C701" s="65" t="s">
        <v>61</v>
      </c>
      <c r="D701" s="66" t="s">
        <v>80</v>
      </c>
      <c r="E701" s="67"/>
      <c r="F701" s="65" t="s">
        <v>204</v>
      </c>
      <c r="G701" s="73" t="s">
        <v>123</v>
      </c>
      <c r="H701" s="74" t="s">
        <v>148</v>
      </c>
      <c r="I701" s="77">
        <f t="shared" si="22"/>
        <v>38.359788359788354</v>
      </c>
      <c r="J701" s="77" t="s">
        <v>162</v>
      </c>
      <c r="K701" s="77">
        <f t="shared" si="23"/>
        <v>17.573999999999998</v>
      </c>
      <c r="L701" s="68" t="s">
        <v>289</v>
      </c>
    </row>
    <row r="702" spans="1:12" ht="13.5">
      <c r="A702" s="81" t="s">
        <v>69</v>
      </c>
      <c r="B702" s="65" t="s">
        <v>73</v>
      </c>
      <c r="C702" s="65" t="s">
        <v>61</v>
      </c>
      <c r="D702" s="66" t="s">
        <v>80</v>
      </c>
      <c r="E702" s="67"/>
      <c r="F702" s="65" t="s">
        <v>204</v>
      </c>
      <c r="G702" s="73" t="s">
        <v>124</v>
      </c>
      <c r="H702" s="74" t="s">
        <v>148</v>
      </c>
      <c r="I702" s="77">
        <f t="shared" si="22"/>
        <v>38.359788359788354</v>
      </c>
      <c r="J702" s="77" t="s">
        <v>162</v>
      </c>
      <c r="K702" s="77">
        <f t="shared" si="23"/>
        <v>17.573999999999998</v>
      </c>
      <c r="L702" s="68" t="s">
        <v>289</v>
      </c>
    </row>
    <row r="703" spans="1:12" ht="13.5">
      <c r="A703" s="81" t="s">
        <v>69</v>
      </c>
      <c r="B703" s="65" t="s">
        <v>73</v>
      </c>
      <c r="C703" s="65" t="s">
        <v>61</v>
      </c>
      <c r="D703" s="66" t="s">
        <v>80</v>
      </c>
      <c r="E703" s="67"/>
      <c r="F703" s="65" t="s">
        <v>204</v>
      </c>
      <c r="G703" s="73" t="s">
        <v>161</v>
      </c>
      <c r="H703" s="74" t="s">
        <v>114</v>
      </c>
      <c r="I703" s="77">
        <f t="shared" si="22"/>
        <v>38.80070546737214</v>
      </c>
      <c r="J703" s="77" t="s">
        <v>160</v>
      </c>
      <c r="K703" s="77">
        <f t="shared" si="23"/>
        <v>17.776000000000003</v>
      </c>
      <c r="L703" s="68" t="s">
        <v>289</v>
      </c>
    </row>
    <row r="704" spans="1:12" ht="13.5">
      <c r="A704" s="81" t="s">
        <v>69</v>
      </c>
      <c r="B704" s="65" t="s">
        <v>73</v>
      </c>
      <c r="C704" s="65" t="s">
        <v>61</v>
      </c>
      <c r="D704" s="66" t="s">
        <v>80</v>
      </c>
      <c r="E704" s="67"/>
      <c r="F704" s="65" t="s">
        <v>204</v>
      </c>
      <c r="G704" s="73" t="s">
        <v>125</v>
      </c>
      <c r="H704" s="74" t="s">
        <v>148</v>
      </c>
      <c r="I704" s="77">
        <f t="shared" ref="I704:I767" si="24">+J704/0.4536</f>
        <v>38.139329805996475</v>
      </c>
      <c r="J704" s="77" t="s">
        <v>149</v>
      </c>
      <c r="K704" s="77">
        <f t="shared" ref="K704:K767" si="25">+J704*1.01</f>
        <v>17.473000000000003</v>
      </c>
      <c r="L704" s="68" t="s">
        <v>289</v>
      </c>
    </row>
    <row r="705" spans="1:12" ht="13.5">
      <c r="A705" s="81" t="s">
        <v>69</v>
      </c>
      <c r="B705" s="65" t="s">
        <v>73</v>
      </c>
      <c r="C705" s="65" t="s">
        <v>61</v>
      </c>
      <c r="D705" s="66" t="s">
        <v>80</v>
      </c>
      <c r="E705" s="67"/>
      <c r="F705" s="65" t="s">
        <v>204</v>
      </c>
      <c r="G705" s="73" t="s">
        <v>128</v>
      </c>
      <c r="H705" s="74" t="s">
        <v>148</v>
      </c>
      <c r="I705" s="77">
        <f t="shared" si="24"/>
        <v>38.139329805996475</v>
      </c>
      <c r="J705" s="77" t="s">
        <v>149</v>
      </c>
      <c r="K705" s="77">
        <f t="shared" si="25"/>
        <v>17.473000000000003</v>
      </c>
      <c r="L705" s="68" t="s">
        <v>289</v>
      </c>
    </row>
    <row r="706" spans="1:12" ht="13.5">
      <c r="A706" s="81" t="s">
        <v>69</v>
      </c>
      <c r="B706" s="65" t="s">
        <v>73</v>
      </c>
      <c r="C706" s="65" t="s">
        <v>61</v>
      </c>
      <c r="D706" s="66" t="s">
        <v>80</v>
      </c>
      <c r="E706" s="67"/>
      <c r="F706" s="65" t="s">
        <v>204</v>
      </c>
      <c r="G706" s="73" t="s">
        <v>129</v>
      </c>
      <c r="H706" s="74" t="s">
        <v>148</v>
      </c>
      <c r="I706" s="77">
        <f t="shared" si="24"/>
        <v>38.139329805996475</v>
      </c>
      <c r="J706" s="77" t="s">
        <v>149</v>
      </c>
      <c r="K706" s="77">
        <f t="shared" si="25"/>
        <v>17.473000000000003</v>
      </c>
      <c r="L706" s="68" t="s">
        <v>289</v>
      </c>
    </row>
    <row r="707" spans="1:12" ht="13.5">
      <c r="A707" s="81" t="s">
        <v>69</v>
      </c>
      <c r="B707" s="65" t="s">
        <v>73</v>
      </c>
      <c r="C707" s="65" t="s">
        <v>61</v>
      </c>
      <c r="D707" s="66" t="s">
        <v>80</v>
      </c>
      <c r="E707" s="67"/>
      <c r="F707" s="65" t="s">
        <v>204</v>
      </c>
      <c r="G707" s="73" t="s">
        <v>130</v>
      </c>
      <c r="H707" s="74" t="s">
        <v>114</v>
      </c>
      <c r="I707" s="77">
        <f t="shared" si="24"/>
        <v>38.580246913580247</v>
      </c>
      <c r="J707" s="77" t="s">
        <v>115</v>
      </c>
      <c r="K707" s="77">
        <f t="shared" si="25"/>
        <v>17.675000000000001</v>
      </c>
      <c r="L707" s="68" t="s">
        <v>289</v>
      </c>
    </row>
    <row r="708" spans="1:12" ht="13.5">
      <c r="A708" s="81" t="s">
        <v>69</v>
      </c>
      <c r="B708" s="65" t="s">
        <v>73</v>
      </c>
      <c r="C708" s="65" t="s">
        <v>61</v>
      </c>
      <c r="D708" s="66" t="s">
        <v>80</v>
      </c>
      <c r="E708" s="67"/>
      <c r="F708" s="65" t="s">
        <v>204</v>
      </c>
      <c r="G708" s="73" t="s">
        <v>131</v>
      </c>
      <c r="H708" s="74" t="s">
        <v>103</v>
      </c>
      <c r="I708" s="77">
        <f t="shared" si="24"/>
        <v>37.698412698412703</v>
      </c>
      <c r="J708" s="77" t="s">
        <v>104</v>
      </c>
      <c r="K708" s="77">
        <f t="shared" si="25"/>
        <v>17.271000000000001</v>
      </c>
      <c r="L708" s="68" t="s">
        <v>289</v>
      </c>
    </row>
    <row r="709" spans="1:12" ht="13.5">
      <c r="A709" s="81" t="s">
        <v>69</v>
      </c>
      <c r="B709" s="65" t="s">
        <v>73</v>
      </c>
      <c r="C709" s="65" t="s">
        <v>61</v>
      </c>
      <c r="D709" s="66" t="s">
        <v>80</v>
      </c>
      <c r="E709" s="67"/>
      <c r="F709" s="65" t="s">
        <v>204</v>
      </c>
      <c r="G709" s="73" t="s">
        <v>164</v>
      </c>
      <c r="H709" s="74" t="s">
        <v>103</v>
      </c>
      <c r="I709" s="77">
        <f t="shared" si="24"/>
        <v>37.698412698412703</v>
      </c>
      <c r="J709" s="77" t="s">
        <v>104</v>
      </c>
      <c r="K709" s="77">
        <f t="shared" si="25"/>
        <v>17.271000000000001</v>
      </c>
      <c r="L709" s="68" t="s">
        <v>289</v>
      </c>
    </row>
    <row r="710" spans="1:12" ht="13.5">
      <c r="A710" s="81" t="s">
        <v>69</v>
      </c>
      <c r="B710" s="65" t="s">
        <v>73</v>
      </c>
      <c r="C710" s="65" t="s">
        <v>61</v>
      </c>
      <c r="D710" s="66" t="s">
        <v>80</v>
      </c>
      <c r="E710" s="67"/>
      <c r="F710" s="65" t="s">
        <v>204</v>
      </c>
      <c r="G710" s="73" t="s">
        <v>132</v>
      </c>
      <c r="H710" s="74" t="s">
        <v>173</v>
      </c>
      <c r="I710" s="77">
        <f t="shared" si="24"/>
        <v>35.05291005291005</v>
      </c>
      <c r="J710" s="77" t="s">
        <v>174</v>
      </c>
      <c r="K710" s="77">
        <f t="shared" si="25"/>
        <v>16.059000000000001</v>
      </c>
      <c r="L710" s="68" t="s">
        <v>289</v>
      </c>
    </row>
    <row r="711" spans="1:12" ht="13.5">
      <c r="A711" s="81" t="s">
        <v>69</v>
      </c>
      <c r="B711" s="65" t="s">
        <v>73</v>
      </c>
      <c r="C711" s="65" t="s">
        <v>61</v>
      </c>
      <c r="D711" s="66" t="s">
        <v>80</v>
      </c>
      <c r="E711" s="67"/>
      <c r="F711" s="65" t="s">
        <v>204</v>
      </c>
      <c r="G711" s="73" t="s">
        <v>133</v>
      </c>
      <c r="H711" s="74" t="s">
        <v>148</v>
      </c>
      <c r="I711" s="77">
        <f t="shared" si="24"/>
        <v>38.139329805996475</v>
      </c>
      <c r="J711" s="77" t="s">
        <v>149</v>
      </c>
      <c r="K711" s="77">
        <f t="shared" si="25"/>
        <v>17.473000000000003</v>
      </c>
      <c r="L711" s="68" t="s">
        <v>289</v>
      </c>
    </row>
    <row r="712" spans="1:12" ht="13.5">
      <c r="A712" s="81" t="s">
        <v>69</v>
      </c>
      <c r="B712" s="65" t="s">
        <v>73</v>
      </c>
      <c r="C712" s="65" t="s">
        <v>61</v>
      </c>
      <c r="D712" s="66" t="s">
        <v>80</v>
      </c>
      <c r="E712" s="67"/>
      <c r="F712" s="65" t="s">
        <v>204</v>
      </c>
      <c r="G712" s="73" t="s">
        <v>134</v>
      </c>
      <c r="H712" s="74" t="s">
        <v>103</v>
      </c>
      <c r="I712" s="77">
        <f t="shared" si="24"/>
        <v>37.47795414462081</v>
      </c>
      <c r="J712" s="77" t="s">
        <v>101</v>
      </c>
      <c r="K712" s="77">
        <f t="shared" si="25"/>
        <v>17.170000000000002</v>
      </c>
      <c r="L712" s="68" t="s">
        <v>289</v>
      </c>
    </row>
    <row r="713" spans="1:12" ht="13.5">
      <c r="A713" s="81" t="s">
        <v>69</v>
      </c>
      <c r="B713" s="65" t="s">
        <v>73</v>
      </c>
      <c r="C713" s="65" t="s">
        <v>61</v>
      </c>
      <c r="D713" s="66" t="s">
        <v>80</v>
      </c>
      <c r="E713" s="67"/>
      <c r="F713" s="65" t="s">
        <v>204</v>
      </c>
      <c r="G713" s="73" t="s">
        <v>135</v>
      </c>
      <c r="H713" s="74" t="s">
        <v>148</v>
      </c>
      <c r="I713" s="77">
        <f t="shared" si="24"/>
        <v>38.139329805996475</v>
      </c>
      <c r="J713" s="77" t="s">
        <v>149</v>
      </c>
      <c r="K713" s="77">
        <f t="shared" si="25"/>
        <v>17.473000000000003</v>
      </c>
      <c r="L713" s="68" t="s">
        <v>289</v>
      </c>
    </row>
    <row r="714" spans="1:12" ht="13.5">
      <c r="A714" s="81" t="s">
        <v>69</v>
      </c>
      <c r="B714" s="65" t="s">
        <v>73</v>
      </c>
      <c r="C714" s="65" t="s">
        <v>61</v>
      </c>
      <c r="D714" s="66" t="s">
        <v>80</v>
      </c>
      <c r="E714" s="67"/>
      <c r="F714" s="65" t="s">
        <v>204</v>
      </c>
      <c r="G714" s="73" t="s">
        <v>136</v>
      </c>
      <c r="H714" s="74" t="s">
        <v>126</v>
      </c>
      <c r="I714" s="77">
        <f t="shared" si="24"/>
        <v>36.596119929453266</v>
      </c>
      <c r="J714" s="77" t="s">
        <v>159</v>
      </c>
      <c r="K714" s="77">
        <f t="shared" si="25"/>
        <v>16.766000000000002</v>
      </c>
      <c r="L714" s="68" t="s">
        <v>289</v>
      </c>
    </row>
    <row r="715" spans="1:12" ht="13.5">
      <c r="A715" s="81" t="s">
        <v>69</v>
      </c>
      <c r="B715" s="65" t="s">
        <v>73</v>
      </c>
      <c r="C715" s="65" t="s">
        <v>61</v>
      </c>
      <c r="D715" s="66" t="s">
        <v>80</v>
      </c>
      <c r="E715" s="67"/>
      <c r="F715" s="65" t="s">
        <v>204</v>
      </c>
      <c r="G715" s="73" t="s">
        <v>137</v>
      </c>
      <c r="H715" s="74" t="s">
        <v>148</v>
      </c>
      <c r="I715" s="77">
        <f t="shared" si="24"/>
        <v>38.359788359788354</v>
      </c>
      <c r="J715" s="77" t="s">
        <v>162</v>
      </c>
      <c r="K715" s="77">
        <f t="shared" si="25"/>
        <v>17.573999999999998</v>
      </c>
      <c r="L715" s="68" t="s">
        <v>289</v>
      </c>
    </row>
    <row r="716" spans="1:12" ht="13.5">
      <c r="A716" s="81" t="s">
        <v>69</v>
      </c>
      <c r="B716" s="65" t="s">
        <v>73</v>
      </c>
      <c r="C716" s="65" t="s">
        <v>61</v>
      </c>
      <c r="D716" s="66" t="s">
        <v>80</v>
      </c>
      <c r="E716" s="67"/>
      <c r="F716" s="65" t="s">
        <v>204</v>
      </c>
      <c r="G716" s="73" t="s">
        <v>138</v>
      </c>
      <c r="H716" s="74" t="s">
        <v>114</v>
      </c>
      <c r="I716" s="77">
        <f t="shared" si="24"/>
        <v>38.80070546737214</v>
      </c>
      <c r="J716" s="77" t="s">
        <v>160</v>
      </c>
      <c r="K716" s="77">
        <f t="shared" si="25"/>
        <v>17.776000000000003</v>
      </c>
      <c r="L716" s="68" t="s">
        <v>289</v>
      </c>
    </row>
    <row r="717" spans="1:12" ht="13.5">
      <c r="A717" s="81" t="s">
        <v>69</v>
      </c>
      <c r="B717" s="65" t="s">
        <v>73</v>
      </c>
      <c r="C717" s="65" t="s">
        <v>61</v>
      </c>
      <c r="D717" s="66" t="s">
        <v>80</v>
      </c>
      <c r="E717" s="67"/>
      <c r="F717" s="65" t="s">
        <v>204</v>
      </c>
      <c r="G717" s="73" t="s">
        <v>139</v>
      </c>
      <c r="H717" s="74" t="s">
        <v>148</v>
      </c>
      <c r="I717" s="77">
        <f t="shared" si="24"/>
        <v>38.139329805996475</v>
      </c>
      <c r="J717" s="77" t="s">
        <v>149</v>
      </c>
      <c r="K717" s="77">
        <f t="shared" si="25"/>
        <v>17.473000000000003</v>
      </c>
      <c r="L717" s="68" t="s">
        <v>289</v>
      </c>
    </row>
    <row r="718" spans="1:12" ht="13.5">
      <c r="A718" s="81" t="s">
        <v>69</v>
      </c>
      <c r="B718" s="65" t="s">
        <v>73</v>
      </c>
      <c r="C718" s="65" t="s">
        <v>61</v>
      </c>
      <c r="D718" s="66" t="s">
        <v>80</v>
      </c>
      <c r="E718" s="67"/>
      <c r="F718" s="65" t="s">
        <v>204</v>
      </c>
      <c r="G718" s="73" t="s">
        <v>140</v>
      </c>
      <c r="H718" s="74" t="s">
        <v>148</v>
      </c>
      <c r="I718" s="77">
        <f t="shared" si="24"/>
        <v>38.139329805996475</v>
      </c>
      <c r="J718" s="77" t="s">
        <v>149</v>
      </c>
      <c r="K718" s="77">
        <f t="shared" si="25"/>
        <v>17.473000000000003</v>
      </c>
      <c r="L718" s="68" t="s">
        <v>289</v>
      </c>
    </row>
    <row r="719" spans="1:12" ht="13.5">
      <c r="A719" s="81" t="s">
        <v>69</v>
      </c>
      <c r="B719" s="65" t="s">
        <v>73</v>
      </c>
      <c r="C719" s="65" t="s">
        <v>61</v>
      </c>
      <c r="D719" s="66" t="s">
        <v>80</v>
      </c>
      <c r="E719" s="67"/>
      <c r="F719" s="65" t="s">
        <v>204</v>
      </c>
      <c r="G719" s="73" t="s">
        <v>167</v>
      </c>
      <c r="H719" s="74" t="s">
        <v>103</v>
      </c>
      <c r="I719" s="77">
        <f t="shared" si="24"/>
        <v>37.698412698412703</v>
      </c>
      <c r="J719" s="77" t="s">
        <v>104</v>
      </c>
      <c r="K719" s="77">
        <f t="shared" si="25"/>
        <v>17.271000000000001</v>
      </c>
      <c r="L719" s="68" t="s">
        <v>289</v>
      </c>
    </row>
    <row r="720" spans="1:12" ht="13.5">
      <c r="A720" s="81" t="s">
        <v>69</v>
      </c>
      <c r="B720" s="65" t="s">
        <v>73</v>
      </c>
      <c r="C720" s="65" t="s">
        <v>61</v>
      </c>
      <c r="D720" s="66" t="s">
        <v>80</v>
      </c>
      <c r="E720" s="67"/>
      <c r="F720" s="65" t="s">
        <v>204</v>
      </c>
      <c r="G720" s="73" t="s">
        <v>141</v>
      </c>
      <c r="H720" s="74" t="s">
        <v>148</v>
      </c>
      <c r="I720" s="77">
        <f t="shared" si="24"/>
        <v>38.359788359788354</v>
      </c>
      <c r="J720" s="77" t="s">
        <v>162</v>
      </c>
      <c r="K720" s="77">
        <f t="shared" si="25"/>
        <v>17.573999999999998</v>
      </c>
      <c r="L720" s="68" t="s">
        <v>289</v>
      </c>
    </row>
    <row r="721" spans="1:12" ht="13.5">
      <c r="A721" s="81" t="s">
        <v>69</v>
      </c>
      <c r="B721" s="65" t="s">
        <v>73</v>
      </c>
      <c r="C721" s="65" t="s">
        <v>61</v>
      </c>
      <c r="D721" s="66" t="s">
        <v>80</v>
      </c>
      <c r="E721" s="67"/>
      <c r="F721" s="65" t="s">
        <v>204</v>
      </c>
      <c r="G721" s="73" t="s">
        <v>142</v>
      </c>
      <c r="H721" s="74" t="s">
        <v>103</v>
      </c>
      <c r="I721" s="77">
        <f t="shared" si="24"/>
        <v>37.698412698412703</v>
      </c>
      <c r="J721" s="77" t="s">
        <v>104</v>
      </c>
      <c r="K721" s="77">
        <f t="shared" si="25"/>
        <v>17.271000000000001</v>
      </c>
      <c r="L721" s="68" t="s">
        <v>289</v>
      </c>
    </row>
    <row r="722" spans="1:12" ht="13.5">
      <c r="A722" s="81" t="s">
        <v>69</v>
      </c>
      <c r="B722" s="65" t="s">
        <v>73</v>
      </c>
      <c r="C722" s="65" t="s">
        <v>61</v>
      </c>
      <c r="D722" s="66" t="s">
        <v>80</v>
      </c>
      <c r="E722" s="67"/>
      <c r="F722" s="65" t="s">
        <v>204</v>
      </c>
      <c r="G722" s="73" t="s">
        <v>143</v>
      </c>
      <c r="H722" s="74" t="s">
        <v>103</v>
      </c>
      <c r="I722" s="77">
        <f t="shared" si="24"/>
        <v>37.698412698412703</v>
      </c>
      <c r="J722" s="77" t="s">
        <v>104</v>
      </c>
      <c r="K722" s="77">
        <f t="shared" si="25"/>
        <v>17.271000000000001</v>
      </c>
      <c r="L722" s="68" t="s">
        <v>289</v>
      </c>
    </row>
    <row r="723" spans="1:12" ht="13.5">
      <c r="A723" s="81" t="s">
        <v>69</v>
      </c>
      <c r="B723" s="65" t="s">
        <v>73</v>
      </c>
      <c r="C723" s="65" t="s">
        <v>61</v>
      </c>
      <c r="D723" s="66" t="s">
        <v>80</v>
      </c>
      <c r="E723" s="67"/>
      <c r="F723" s="65" t="s">
        <v>204</v>
      </c>
      <c r="G723" s="73" t="s">
        <v>146</v>
      </c>
      <c r="H723" s="74" t="s">
        <v>148</v>
      </c>
      <c r="I723" s="77">
        <f t="shared" si="24"/>
        <v>38.139329805996475</v>
      </c>
      <c r="J723" s="77" t="s">
        <v>149</v>
      </c>
      <c r="K723" s="77">
        <f t="shared" si="25"/>
        <v>17.473000000000003</v>
      </c>
      <c r="L723" s="68" t="s">
        <v>289</v>
      </c>
    </row>
    <row r="724" spans="1:12" ht="13.5">
      <c r="A724" s="81" t="s">
        <v>69</v>
      </c>
      <c r="B724" s="65" t="s">
        <v>73</v>
      </c>
      <c r="C724" s="65" t="s">
        <v>61</v>
      </c>
      <c r="D724" s="66" t="s">
        <v>80</v>
      </c>
      <c r="E724" s="67"/>
      <c r="F724" s="65" t="s">
        <v>204</v>
      </c>
      <c r="G724" s="73" t="s">
        <v>147</v>
      </c>
      <c r="H724" s="74" t="s">
        <v>148</v>
      </c>
      <c r="I724" s="77">
        <f t="shared" si="24"/>
        <v>38.359788359788354</v>
      </c>
      <c r="J724" s="77" t="s">
        <v>162</v>
      </c>
      <c r="K724" s="77">
        <f t="shared" si="25"/>
        <v>17.573999999999998</v>
      </c>
      <c r="L724" s="68" t="s">
        <v>289</v>
      </c>
    </row>
    <row r="725" spans="1:12" ht="13.5">
      <c r="A725" s="81" t="s">
        <v>69</v>
      </c>
      <c r="B725" s="65" t="s">
        <v>73</v>
      </c>
      <c r="C725" s="65" t="s">
        <v>61</v>
      </c>
      <c r="D725" s="66" t="s">
        <v>80</v>
      </c>
      <c r="E725" s="67"/>
      <c r="F725" s="65" t="s">
        <v>204</v>
      </c>
      <c r="G725" s="73" t="s">
        <v>150</v>
      </c>
      <c r="H725" s="74" t="s">
        <v>103</v>
      </c>
      <c r="I725" s="77">
        <f t="shared" si="24"/>
        <v>37.698412698412703</v>
      </c>
      <c r="J725" s="77" t="s">
        <v>104</v>
      </c>
      <c r="K725" s="77">
        <f t="shared" si="25"/>
        <v>17.271000000000001</v>
      </c>
      <c r="L725" s="68" t="s">
        <v>289</v>
      </c>
    </row>
    <row r="726" spans="1:12" ht="13.5">
      <c r="A726" s="81" t="s">
        <v>69</v>
      </c>
      <c r="B726" s="65" t="s">
        <v>73</v>
      </c>
      <c r="C726" s="65" t="s">
        <v>61</v>
      </c>
      <c r="D726" s="66" t="s">
        <v>80</v>
      </c>
      <c r="E726" s="67"/>
      <c r="F726" s="65" t="s">
        <v>204</v>
      </c>
      <c r="G726" s="73" t="s">
        <v>151</v>
      </c>
      <c r="H726" s="74" t="s">
        <v>205</v>
      </c>
      <c r="I726" s="77">
        <f t="shared" si="24"/>
        <v>40.343915343915349</v>
      </c>
      <c r="J726" s="77" t="s">
        <v>206</v>
      </c>
      <c r="K726" s="77">
        <f t="shared" si="25"/>
        <v>18.483000000000001</v>
      </c>
      <c r="L726" s="68" t="s">
        <v>289</v>
      </c>
    </row>
    <row r="727" spans="1:12" ht="13.5">
      <c r="A727" s="81" t="s">
        <v>69</v>
      </c>
      <c r="B727" s="65" t="s">
        <v>73</v>
      </c>
      <c r="C727" s="65" t="s">
        <v>61</v>
      </c>
      <c r="D727" s="66" t="s">
        <v>80</v>
      </c>
      <c r="E727" s="67"/>
      <c r="F727" s="65" t="s">
        <v>204</v>
      </c>
      <c r="G727" s="73" t="s">
        <v>152</v>
      </c>
      <c r="H727" s="74" t="s">
        <v>148</v>
      </c>
      <c r="I727" s="77">
        <f t="shared" si="24"/>
        <v>38.139329805996475</v>
      </c>
      <c r="J727" s="77" t="s">
        <v>149</v>
      </c>
      <c r="K727" s="77">
        <f t="shared" si="25"/>
        <v>17.473000000000003</v>
      </c>
      <c r="L727" s="68" t="s">
        <v>289</v>
      </c>
    </row>
    <row r="728" spans="1:12" ht="13.5">
      <c r="A728" s="81" t="s">
        <v>69</v>
      </c>
      <c r="B728" s="65" t="s">
        <v>73</v>
      </c>
      <c r="C728" s="65" t="s">
        <v>61</v>
      </c>
      <c r="D728" s="66" t="s">
        <v>80</v>
      </c>
      <c r="E728" s="67"/>
      <c r="F728" s="65" t="s">
        <v>204</v>
      </c>
      <c r="G728" s="73" t="s">
        <v>153</v>
      </c>
      <c r="H728" s="74" t="s">
        <v>171</v>
      </c>
      <c r="I728" s="77">
        <f t="shared" si="24"/>
        <v>39.462081128747791</v>
      </c>
      <c r="J728" s="77" t="s">
        <v>172</v>
      </c>
      <c r="K728" s="77">
        <f t="shared" si="25"/>
        <v>18.078999999999997</v>
      </c>
      <c r="L728" s="68" t="s">
        <v>289</v>
      </c>
    </row>
    <row r="729" spans="1:12" ht="13.5">
      <c r="A729" s="81"/>
      <c r="B729" s="65"/>
      <c r="C729" s="65"/>
      <c r="D729" s="66"/>
      <c r="E729" s="67"/>
      <c r="F729" s="65" t="s">
        <v>87</v>
      </c>
      <c r="G729" s="73">
        <v>40</v>
      </c>
      <c r="H729" s="74" t="s">
        <v>207</v>
      </c>
      <c r="I729" s="77">
        <f t="shared" si="24"/>
        <v>1524.9118165784832</v>
      </c>
      <c r="J729" s="77" t="s">
        <v>208</v>
      </c>
      <c r="K729" s="77">
        <f t="shared" si="25"/>
        <v>698.61700000000008</v>
      </c>
      <c r="L729" s="68" t="s">
        <v>289</v>
      </c>
    </row>
    <row r="730" spans="1:12" ht="13.5">
      <c r="A730" s="81" t="s">
        <v>69</v>
      </c>
      <c r="B730" s="65" t="s">
        <v>73</v>
      </c>
      <c r="C730" s="65" t="s">
        <v>61</v>
      </c>
      <c r="D730" s="66" t="s">
        <v>80</v>
      </c>
      <c r="E730" s="67"/>
      <c r="F730" s="65" t="s">
        <v>209</v>
      </c>
      <c r="G730" s="73" t="s">
        <v>99</v>
      </c>
      <c r="H730" s="74" t="s">
        <v>114</v>
      </c>
      <c r="I730" s="77">
        <f t="shared" si="24"/>
        <v>38.80070546737214</v>
      </c>
      <c r="J730" s="77" t="s">
        <v>160</v>
      </c>
      <c r="K730" s="77">
        <f t="shared" si="25"/>
        <v>17.776000000000003</v>
      </c>
      <c r="L730" s="68" t="s">
        <v>289</v>
      </c>
    </row>
    <row r="731" spans="1:12" ht="13.5">
      <c r="A731" s="81" t="s">
        <v>69</v>
      </c>
      <c r="B731" s="65" t="s">
        <v>73</v>
      </c>
      <c r="C731" s="65" t="s">
        <v>61</v>
      </c>
      <c r="D731" s="66" t="s">
        <v>80</v>
      </c>
      <c r="E731" s="67"/>
      <c r="F731" s="65" t="s">
        <v>209</v>
      </c>
      <c r="G731" s="73" t="s">
        <v>102</v>
      </c>
      <c r="H731" s="74" t="s">
        <v>148</v>
      </c>
      <c r="I731" s="77">
        <f t="shared" si="24"/>
        <v>37.918871252204582</v>
      </c>
      <c r="J731" s="77" t="s">
        <v>163</v>
      </c>
      <c r="K731" s="77">
        <f t="shared" si="25"/>
        <v>17.372</v>
      </c>
      <c r="L731" s="68" t="s">
        <v>289</v>
      </c>
    </row>
    <row r="732" spans="1:12" ht="13.5">
      <c r="A732" s="81" t="s">
        <v>69</v>
      </c>
      <c r="B732" s="65" t="s">
        <v>73</v>
      </c>
      <c r="C732" s="65" t="s">
        <v>61</v>
      </c>
      <c r="D732" s="66" t="s">
        <v>80</v>
      </c>
      <c r="E732" s="67"/>
      <c r="F732" s="65" t="s">
        <v>209</v>
      </c>
      <c r="G732" s="73" t="s">
        <v>105</v>
      </c>
      <c r="H732" s="74" t="s">
        <v>148</v>
      </c>
      <c r="I732" s="77">
        <f t="shared" si="24"/>
        <v>37.918871252204582</v>
      </c>
      <c r="J732" s="77" t="s">
        <v>163</v>
      </c>
      <c r="K732" s="77">
        <f t="shared" si="25"/>
        <v>17.372</v>
      </c>
      <c r="L732" s="68" t="s">
        <v>289</v>
      </c>
    </row>
    <row r="733" spans="1:12" ht="13.5">
      <c r="A733" s="81" t="s">
        <v>69</v>
      </c>
      <c r="B733" s="65" t="s">
        <v>73</v>
      </c>
      <c r="C733" s="65" t="s">
        <v>61</v>
      </c>
      <c r="D733" s="66" t="s">
        <v>80</v>
      </c>
      <c r="E733" s="67"/>
      <c r="F733" s="65" t="s">
        <v>209</v>
      </c>
      <c r="G733" s="73" t="s">
        <v>106</v>
      </c>
      <c r="H733" s="74" t="s">
        <v>148</v>
      </c>
      <c r="I733" s="77">
        <f t="shared" si="24"/>
        <v>38.359788359788354</v>
      </c>
      <c r="J733" s="77" t="s">
        <v>162</v>
      </c>
      <c r="K733" s="77">
        <f t="shared" si="25"/>
        <v>17.573999999999998</v>
      </c>
      <c r="L733" s="68" t="s">
        <v>289</v>
      </c>
    </row>
    <row r="734" spans="1:12" ht="13.5">
      <c r="A734" s="81" t="s">
        <v>69</v>
      </c>
      <c r="B734" s="65" t="s">
        <v>73</v>
      </c>
      <c r="C734" s="65" t="s">
        <v>61</v>
      </c>
      <c r="D734" s="66" t="s">
        <v>80</v>
      </c>
      <c r="E734" s="67"/>
      <c r="F734" s="65" t="s">
        <v>209</v>
      </c>
      <c r="G734" s="73" t="s">
        <v>108</v>
      </c>
      <c r="H734" s="74" t="s">
        <v>210</v>
      </c>
      <c r="I734" s="77">
        <f t="shared" si="24"/>
        <v>41.88712522045855</v>
      </c>
      <c r="J734" s="77" t="s">
        <v>211</v>
      </c>
      <c r="K734" s="77">
        <f t="shared" si="25"/>
        <v>19.190000000000001</v>
      </c>
      <c r="L734" s="68" t="s">
        <v>289</v>
      </c>
    </row>
    <row r="735" spans="1:12" ht="13.5">
      <c r="A735" s="81" t="s">
        <v>69</v>
      </c>
      <c r="B735" s="65" t="s">
        <v>73</v>
      </c>
      <c r="C735" s="65" t="s">
        <v>61</v>
      </c>
      <c r="D735" s="66" t="s">
        <v>80</v>
      </c>
      <c r="E735" s="67"/>
      <c r="F735" s="65" t="s">
        <v>209</v>
      </c>
      <c r="G735" s="73" t="s">
        <v>111</v>
      </c>
      <c r="H735" s="74" t="s">
        <v>148</v>
      </c>
      <c r="I735" s="77">
        <f t="shared" si="24"/>
        <v>38.139329805996475</v>
      </c>
      <c r="J735" s="77" t="s">
        <v>149</v>
      </c>
      <c r="K735" s="77">
        <f t="shared" si="25"/>
        <v>17.473000000000003</v>
      </c>
      <c r="L735" s="68" t="s">
        <v>289</v>
      </c>
    </row>
    <row r="736" spans="1:12" ht="13.5">
      <c r="A736" s="81" t="s">
        <v>69</v>
      </c>
      <c r="B736" s="65" t="s">
        <v>73</v>
      </c>
      <c r="C736" s="65" t="s">
        <v>61</v>
      </c>
      <c r="D736" s="66" t="s">
        <v>80</v>
      </c>
      <c r="E736" s="67"/>
      <c r="F736" s="65" t="s">
        <v>209</v>
      </c>
      <c r="G736" s="73" t="s">
        <v>112</v>
      </c>
      <c r="H736" s="74" t="s">
        <v>109</v>
      </c>
      <c r="I736" s="77">
        <f t="shared" si="24"/>
        <v>37.037037037037038</v>
      </c>
      <c r="J736" s="77" t="s">
        <v>158</v>
      </c>
      <c r="K736" s="77">
        <f t="shared" si="25"/>
        <v>16.968</v>
      </c>
      <c r="L736" s="68" t="s">
        <v>289</v>
      </c>
    </row>
    <row r="737" spans="1:12" ht="13.5">
      <c r="A737" s="81" t="s">
        <v>69</v>
      </c>
      <c r="B737" s="65" t="s">
        <v>73</v>
      </c>
      <c r="C737" s="65" t="s">
        <v>61</v>
      </c>
      <c r="D737" s="66" t="s">
        <v>80</v>
      </c>
      <c r="E737" s="67"/>
      <c r="F737" s="65" t="s">
        <v>209</v>
      </c>
      <c r="G737" s="73" t="s">
        <v>113</v>
      </c>
      <c r="H737" s="74" t="s">
        <v>148</v>
      </c>
      <c r="I737" s="77">
        <f t="shared" si="24"/>
        <v>38.359788359788354</v>
      </c>
      <c r="J737" s="77" t="s">
        <v>162</v>
      </c>
      <c r="K737" s="77">
        <f t="shared" si="25"/>
        <v>17.573999999999998</v>
      </c>
      <c r="L737" s="68" t="s">
        <v>289</v>
      </c>
    </row>
    <row r="738" spans="1:12" ht="13.5">
      <c r="A738" s="81" t="s">
        <v>69</v>
      </c>
      <c r="B738" s="65" t="s">
        <v>73</v>
      </c>
      <c r="C738" s="65" t="s">
        <v>61</v>
      </c>
      <c r="D738" s="66" t="s">
        <v>80</v>
      </c>
      <c r="E738" s="67"/>
      <c r="F738" s="65" t="s">
        <v>209</v>
      </c>
      <c r="G738" s="73" t="s">
        <v>116</v>
      </c>
      <c r="H738" s="74" t="s">
        <v>114</v>
      </c>
      <c r="I738" s="77">
        <f t="shared" si="24"/>
        <v>38.80070546737214</v>
      </c>
      <c r="J738" s="77" t="s">
        <v>160</v>
      </c>
      <c r="K738" s="77">
        <f t="shared" si="25"/>
        <v>17.776000000000003</v>
      </c>
      <c r="L738" s="68" t="s">
        <v>289</v>
      </c>
    </row>
    <row r="739" spans="1:12" ht="13.5">
      <c r="A739" s="81" t="s">
        <v>69</v>
      </c>
      <c r="B739" s="65" t="s">
        <v>73</v>
      </c>
      <c r="C739" s="65" t="s">
        <v>61</v>
      </c>
      <c r="D739" s="66" t="s">
        <v>80</v>
      </c>
      <c r="E739" s="67"/>
      <c r="F739" s="65" t="s">
        <v>209</v>
      </c>
      <c r="G739" s="73" t="s">
        <v>118</v>
      </c>
      <c r="H739" s="74" t="s">
        <v>114</v>
      </c>
      <c r="I739" s="77">
        <f t="shared" si="24"/>
        <v>38.80070546737214</v>
      </c>
      <c r="J739" s="77" t="s">
        <v>160</v>
      </c>
      <c r="K739" s="77">
        <f t="shared" si="25"/>
        <v>17.776000000000003</v>
      </c>
      <c r="L739" s="68" t="s">
        <v>289</v>
      </c>
    </row>
    <row r="740" spans="1:12" ht="13.5">
      <c r="A740" s="81" t="s">
        <v>69</v>
      </c>
      <c r="B740" s="65" t="s">
        <v>73</v>
      </c>
      <c r="C740" s="65" t="s">
        <v>61</v>
      </c>
      <c r="D740" s="66" t="s">
        <v>80</v>
      </c>
      <c r="E740" s="67"/>
      <c r="F740" s="65" t="s">
        <v>209</v>
      </c>
      <c r="G740" s="73" t="s">
        <v>121</v>
      </c>
      <c r="H740" s="74" t="s">
        <v>148</v>
      </c>
      <c r="I740" s="77">
        <f t="shared" si="24"/>
        <v>38.139329805996475</v>
      </c>
      <c r="J740" s="77" t="s">
        <v>149</v>
      </c>
      <c r="K740" s="77">
        <f t="shared" si="25"/>
        <v>17.473000000000003</v>
      </c>
      <c r="L740" s="68" t="s">
        <v>289</v>
      </c>
    </row>
    <row r="741" spans="1:12" ht="13.5">
      <c r="A741" s="81" t="s">
        <v>69</v>
      </c>
      <c r="B741" s="65" t="s">
        <v>73</v>
      </c>
      <c r="C741" s="65" t="s">
        <v>61</v>
      </c>
      <c r="D741" s="66" t="s">
        <v>80</v>
      </c>
      <c r="E741" s="67"/>
      <c r="F741" s="65" t="s">
        <v>209</v>
      </c>
      <c r="G741" s="73" t="s">
        <v>122</v>
      </c>
      <c r="H741" s="74" t="s">
        <v>205</v>
      </c>
      <c r="I741" s="77">
        <f t="shared" si="24"/>
        <v>40.343915343915349</v>
      </c>
      <c r="J741" s="77" t="s">
        <v>206</v>
      </c>
      <c r="K741" s="77">
        <f t="shared" si="25"/>
        <v>18.483000000000001</v>
      </c>
      <c r="L741" s="68" t="s">
        <v>289</v>
      </c>
    </row>
    <row r="742" spans="1:12" ht="13.5">
      <c r="A742" s="81" t="s">
        <v>69</v>
      </c>
      <c r="B742" s="65" t="s">
        <v>73</v>
      </c>
      <c r="C742" s="65" t="s">
        <v>61</v>
      </c>
      <c r="D742" s="66" t="s">
        <v>80</v>
      </c>
      <c r="E742" s="67"/>
      <c r="F742" s="65" t="s">
        <v>209</v>
      </c>
      <c r="G742" s="73" t="s">
        <v>123</v>
      </c>
      <c r="H742" s="74" t="s">
        <v>114</v>
      </c>
      <c r="I742" s="77">
        <f t="shared" si="24"/>
        <v>38.80070546737214</v>
      </c>
      <c r="J742" s="77" t="s">
        <v>160</v>
      </c>
      <c r="K742" s="77">
        <f t="shared" si="25"/>
        <v>17.776000000000003</v>
      </c>
      <c r="L742" s="68" t="s">
        <v>289</v>
      </c>
    </row>
    <row r="743" spans="1:12" ht="13.5">
      <c r="A743" s="81" t="s">
        <v>69</v>
      </c>
      <c r="B743" s="65" t="s">
        <v>73</v>
      </c>
      <c r="C743" s="65" t="s">
        <v>61</v>
      </c>
      <c r="D743" s="66" t="s">
        <v>80</v>
      </c>
      <c r="E743" s="67"/>
      <c r="F743" s="65" t="s">
        <v>209</v>
      </c>
      <c r="G743" s="73" t="s">
        <v>124</v>
      </c>
      <c r="H743" s="74" t="s">
        <v>148</v>
      </c>
      <c r="I743" s="77">
        <f t="shared" si="24"/>
        <v>38.139329805996475</v>
      </c>
      <c r="J743" s="77" t="s">
        <v>149</v>
      </c>
      <c r="K743" s="77">
        <f t="shared" si="25"/>
        <v>17.473000000000003</v>
      </c>
      <c r="L743" s="68" t="s">
        <v>289</v>
      </c>
    </row>
    <row r="744" spans="1:12" ht="13.5">
      <c r="A744" s="81" t="s">
        <v>69</v>
      </c>
      <c r="B744" s="65" t="s">
        <v>73</v>
      </c>
      <c r="C744" s="65" t="s">
        <v>61</v>
      </c>
      <c r="D744" s="66" t="s">
        <v>80</v>
      </c>
      <c r="E744" s="67"/>
      <c r="F744" s="65" t="s">
        <v>209</v>
      </c>
      <c r="G744" s="73" t="s">
        <v>161</v>
      </c>
      <c r="H744" s="74" t="s">
        <v>148</v>
      </c>
      <c r="I744" s="77">
        <f t="shared" si="24"/>
        <v>37.918871252204582</v>
      </c>
      <c r="J744" s="77" t="s">
        <v>163</v>
      </c>
      <c r="K744" s="77">
        <f t="shared" si="25"/>
        <v>17.372</v>
      </c>
      <c r="L744" s="68" t="s">
        <v>289</v>
      </c>
    </row>
    <row r="745" spans="1:12" ht="13.5">
      <c r="A745" s="81" t="s">
        <v>69</v>
      </c>
      <c r="B745" s="65" t="s">
        <v>73</v>
      </c>
      <c r="C745" s="65" t="s">
        <v>61</v>
      </c>
      <c r="D745" s="66" t="s">
        <v>80</v>
      </c>
      <c r="E745" s="67"/>
      <c r="F745" s="65" t="s">
        <v>209</v>
      </c>
      <c r="G745" s="73" t="s">
        <v>125</v>
      </c>
      <c r="H745" s="74" t="s">
        <v>165</v>
      </c>
      <c r="I745" s="77">
        <f t="shared" si="24"/>
        <v>39.021164021164019</v>
      </c>
      <c r="J745" s="77" t="s">
        <v>194</v>
      </c>
      <c r="K745" s="77">
        <f t="shared" si="25"/>
        <v>17.876999999999999</v>
      </c>
      <c r="L745" s="68" t="s">
        <v>289</v>
      </c>
    </row>
    <row r="746" spans="1:12" ht="13.5">
      <c r="A746" s="81" t="s">
        <v>69</v>
      </c>
      <c r="B746" s="65" t="s">
        <v>73</v>
      </c>
      <c r="C746" s="65" t="s">
        <v>61</v>
      </c>
      <c r="D746" s="66" t="s">
        <v>80</v>
      </c>
      <c r="E746" s="67"/>
      <c r="F746" s="65" t="s">
        <v>209</v>
      </c>
      <c r="G746" s="73" t="s">
        <v>128</v>
      </c>
      <c r="H746" s="74" t="s">
        <v>148</v>
      </c>
      <c r="I746" s="77">
        <f t="shared" si="24"/>
        <v>38.139329805996475</v>
      </c>
      <c r="J746" s="77" t="s">
        <v>149</v>
      </c>
      <c r="K746" s="77">
        <f t="shared" si="25"/>
        <v>17.473000000000003</v>
      </c>
      <c r="L746" s="68" t="s">
        <v>289</v>
      </c>
    </row>
    <row r="747" spans="1:12" ht="13.5">
      <c r="A747" s="81" t="s">
        <v>69</v>
      </c>
      <c r="B747" s="65" t="s">
        <v>73</v>
      </c>
      <c r="C747" s="65" t="s">
        <v>61</v>
      </c>
      <c r="D747" s="66" t="s">
        <v>80</v>
      </c>
      <c r="E747" s="67"/>
      <c r="F747" s="65" t="s">
        <v>209</v>
      </c>
      <c r="G747" s="73" t="s">
        <v>129</v>
      </c>
      <c r="H747" s="74" t="s">
        <v>114</v>
      </c>
      <c r="I747" s="77">
        <f t="shared" si="24"/>
        <v>38.580246913580247</v>
      </c>
      <c r="J747" s="77" t="s">
        <v>115</v>
      </c>
      <c r="K747" s="77">
        <f t="shared" si="25"/>
        <v>17.675000000000001</v>
      </c>
      <c r="L747" s="68" t="s">
        <v>289</v>
      </c>
    </row>
    <row r="748" spans="1:12" ht="13.5">
      <c r="A748" s="81" t="s">
        <v>69</v>
      </c>
      <c r="B748" s="65" t="s">
        <v>73</v>
      </c>
      <c r="C748" s="65" t="s">
        <v>61</v>
      </c>
      <c r="D748" s="66" t="s">
        <v>80</v>
      </c>
      <c r="E748" s="67"/>
      <c r="F748" s="65" t="s">
        <v>209</v>
      </c>
      <c r="G748" s="73" t="s">
        <v>130</v>
      </c>
      <c r="H748" s="74" t="s">
        <v>165</v>
      </c>
      <c r="I748" s="77">
        <f t="shared" si="24"/>
        <v>39.241622574955912</v>
      </c>
      <c r="J748" s="77" t="s">
        <v>166</v>
      </c>
      <c r="K748" s="77">
        <f t="shared" si="25"/>
        <v>17.978000000000002</v>
      </c>
      <c r="L748" s="68" t="s">
        <v>289</v>
      </c>
    </row>
    <row r="749" spans="1:12" ht="13.5">
      <c r="A749" s="81" t="s">
        <v>69</v>
      </c>
      <c r="B749" s="65" t="s">
        <v>73</v>
      </c>
      <c r="C749" s="65" t="s">
        <v>61</v>
      </c>
      <c r="D749" s="66" t="s">
        <v>80</v>
      </c>
      <c r="E749" s="67"/>
      <c r="F749" s="65" t="s">
        <v>209</v>
      </c>
      <c r="G749" s="73" t="s">
        <v>131</v>
      </c>
      <c r="H749" s="74" t="s">
        <v>148</v>
      </c>
      <c r="I749" s="77">
        <f t="shared" si="24"/>
        <v>37.918871252204582</v>
      </c>
      <c r="J749" s="77" t="s">
        <v>163</v>
      </c>
      <c r="K749" s="77">
        <f t="shared" si="25"/>
        <v>17.372</v>
      </c>
      <c r="L749" s="68" t="s">
        <v>289</v>
      </c>
    </row>
    <row r="750" spans="1:12" ht="13.5">
      <c r="A750" s="81" t="s">
        <v>69</v>
      </c>
      <c r="B750" s="65" t="s">
        <v>73</v>
      </c>
      <c r="C750" s="65" t="s">
        <v>61</v>
      </c>
      <c r="D750" s="66" t="s">
        <v>80</v>
      </c>
      <c r="E750" s="67"/>
      <c r="F750" s="65" t="s">
        <v>209</v>
      </c>
      <c r="G750" s="73" t="s">
        <v>164</v>
      </c>
      <c r="H750" s="74" t="s">
        <v>126</v>
      </c>
      <c r="I750" s="77">
        <f t="shared" si="24"/>
        <v>36.816578483245145</v>
      </c>
      <c r="J750" s="77" t="s">
        <v>127</v>
      </c>
      <c r="K750" s="77">
        <f t="shared" si="25"/>
        <v>16.867000000000001</v>
      </c>
      <c r="L750" s="68" t="s">
        <v>289</v>
      </c>
    </row>
    <row r="751" spans="1:12" ht="13.5">
      <c r="A751" s="81" t="s">
        <v>69</v>
      </c>
      <c r="B751" s="65" t="s">
        <v>73</v>
      </c>
      <c r="C751" s="65" t="s">
        <v>61</v>
      </c>
      <c r="D751" s="66" t="s">
        <v>80</v>
      </c>
      <c r="E751" s="67"/>
      <c r="F751" s="65" t="s">
        <v>209</v>
      </c>
      <c r="G751" s="73" t="s">
        <v>132</v>
      </c>
      <c r="H751" s="74" t="s">
        <v>109</v>
      </c>
      <c r="I751" s="77">
        <f t="shared" si="24"/>
        <v>37.257495590828924</v>
      </c>
      <c r="J751" s="77" t="s">
        <v>110</v>
      </c>
      <c r="K751" s="77">
        <f t="shared" si="25"/>
        <v>17.068999999999999</v>
      </c>
      <c r="L751" s="68" t="s">
        <v>289</v>
      </c>
    </row>
    <row r="752" spans="1:12" ht="13.5">
      <c r="A752" s="81" t="s">
        <v>69</v>
      </c>
      <c r="B752" s="65" t="s">
        <v>73</v>
      </c>
      <c r="C752" s="65" t="s">
        <v>61</v>
      </c>
      <c r="D752" s="66" t="s">
        <v>80</v>
      </c>
      <c r="E752" s="67"/>
      <c r="F752" s="65" t="s">
        <v>209</v>
      </c>
      <c r="G752" s="73" t="s">
        <v>133</v>
      </c>
      <c r="H752" s="74" t="s">
        <v>171</v>
      </c>
      <c r="I752" s="77">
        <f t="shared" si="24"/>
        <v>39.462081128747791</v>
      </c>
      <c r="J752" s="77" t="s">
        <v>172</v>
      </c>
      <c r="K752" s="77">
        <f t="shared" si="25"/>
        <v>18.078999999999997</v>
      </c>
      <c r="L752" s="68" t="s">
        <v>289</v>
      </c>
    </row>
    <row r="753" spans="1:12" ht="13.5">
      <c r="A753" s="81" t="s">
        <v>69</v>
      </c>
      <c r="B753" s="65" t="s">
        <v>73</v>
      </c>
      <c r="C753" s="65" t="s">
        <v>61</v>
      </c>
      <c r="D753" s="66" t="s">
        <v>80</v>
      </c>
      <c r="E753" s="67"/>
      <c r="F753" s="65" t="s">
        <v>209</v>
      </c>
      <c r="G753" s="73" t="s">
        <v>134</v>
      </c>
      <c r="H753" s="74" t="s">
        <v>148</v>
      </c>
      <c r="I753" s="77">
        <f t="shared" si="24"/>
        <v>38.139329805996475</v>
      </c>
      <c r="J753" s="77" t="s">
        <v>149</v>
      </c>
      <c r="K753" s="77">
        <f t="shared" si="25"/>
        <v>17.473000000000003</v>
      </c>
      <c r="L753" s="68" t="s">
        <v>289</v>
      </c>
    </row>
    <row r="754" spans="1:12" ht="13.5">
      <c r="A754" s="81" t="s">
        <v>69</v>
      </c>
      <c r="B754" s="65" t="s">
        <v>73</v>
      </c>
      <c r="C754" s="65" t="s">
        <v>61</v>
      </c>
      <c r="D754" s="66" t="s">
        <v>80</v>
      </c>
      <c r="E754" s="67"/>
      <c r="F754" s="65" t="s">
        <v>209</v>
      </c>
      <c r="G754" s="73" t="s">
        <v>135</v>
      </c>
      <c r="H754" s="74" t="s">
        <v>148</v>
      </c>
      <c r="I754" s="77">
        <f t="shared" si="24"/>
        <v>38.359788359788354</v>
      </c>
      <c r="J754" s="77" t="s">
        <v>162</v>
      </c>
      <c r="K754" s="77">
        <f t="shared" si="25"/>
        <v>17.573999999999998</v>
      </c>
      <c r="L754" s="68" t="s">
        <v>289</v>
      </c>
    </row>
    <row r="755" spans="1:12" ht="13.5">
      <c r="A755" s="81" t="s">
        <v>69</v>
      </c>
      <c r="B755" s="65" t="s">
        <v>73</v>
      </c>
      <c r="C755" s="65" t="s">
        <v>61</v>
      </c>
      <c r="D755" s="66" t="s">
        <v>80</v>
      </c>
      <c r="E755" s="67"/>
      <c r="F755" s="65" t="s">
        <v>209</v>
      </c>
      <c r="G755" s="73" t="s">
        <v>136</v>
      </c>
      <c r="H755" s="74" t="s">
        <v>109</v>
      </c>
      <c r="I755" s="77">
        <f t="shared" si="24"/>
        <v>37.257495590828924</v>
      </c>
      <c r="J755" s="77" t="s">
        <v>110</v>
      </c>
      <c r="K755" s="77">
        <f t="shared" si="25"/>
        <v>17.068999999999999</v>
      </c>
      <c r="L755" s="68" t="s">
        <v>289</v>
      </c>
    </row>
    <row r="756" spans="1:12" ht="13.5">
      <c r="A756" s="81" t="s">
        <v>69</v>
      </c>
      <c r="B756" s="65" t="s">
        <v>73</v>
      </c>
      <c r="C756" s="65" t="s">
        <v>61</v>
      </c>
      <c r="D756" s="66" t="s">
        <v>80</v>
      </c>
      <c r="E756" s="67"/>
      <c r="F756" s="65" t="s">
        <v>209</v>
      </c>
      <c r="G756" s="73" t="s">
        <v>137</v>
      </c>
      <c r="H756" s="74" t="s">
        <v>148</v>
      </c>
      <c r="I756" s="77">
        <f t="shared" si="24"/>
        <v>38.139329805996475</v>
      </c>
      <c r="J756" s="77" t="s">
        <v>149</v>
      </c>
      <c r="K756" s="77">
        <f t="shared" si="25"/>
        <v>17.473000000000003</v>
      </c>
      <c r="L756" s="68" t="s">
        <v>289</v>
      </c>
    </row>
    <row r="757" spans="1:12" ht="13.5">
      <c r="A757" s="81" t="s">
        <v>69</v>
      </c>
      <c r="B757" s="65" t="s">
        <v>73</v>
      </c>
      <c r="C757" s="65" t="s">
        <v>61</v>
      </c>
      <c r="D757" s="66" t="s">
        <v>80</v>
      </c>
      <c r="E757" s="67"/>
      <c r="F757" s="65" t="s">
        <v>209</v>
      </c>
      <c r="G757" s="73" t="s">
        <v>138</v>
      </c>
      <c r="H757" s="74" t="s">
        <v>109</v>
      </c>
      <c r="I757" s="77">
        <f t="shared" si="24"/>
        <v>37.257495590828924</v>
      </c>
      <c r="J757" s="77" t="s">
        <v>110</v>
      </c>
      <c r="K757" s="77">
        <f t="shared" si="25"/>
        <v>17.068999999999999</v>
      </c>
      <c r="L757" s="68" t="s">
        <v>289</v>
      </c>
    </row>
    <row r="758" spans="1:12" ht="13.5">
      <c r="A758" s="81" t="s">
        <v>69</v>
      </c>
      <c r="B758" s="65" t="s">
        <v>73</v>
      </c>
      <c r="C758" s="65" t="s">
        <v>61</v>
      </c>
      <c r="D758" s="66" t="s">
        <v>80</v>
      </c>
      <c r="E758" s="67"/>
      <c r="F758" s="65" t="s">
        <v>209</v>
      </c>
      <c r="G758" s="73" t="s">
        <v>139</v>
      </c>
      <c r="H758" s="74" t="s">
        <v>148</v>
      </c>
      <c r="I758" s="77">
        <f t="shared" si="24"/>
        <v>38.359788359788354</v>
      </c>
      <c r="J758" s="77" t="s">
        <v>162</v>
      </c>
      <c r="K758" s="77">
        <f t="shared" si="25"/>
        <v>17.573999999999998</v>
      </c>
      <c r="L758" s="68" t="s">
        <v>289</v>
      </c>
    </row>
    <row r="759" spans="1:12" ht="13.5">
      <c r="A759" s="81" t="s">
        <v>69</v>
      </c>
      <c r="B759" s="65" t="s">
        <v>73</v>
      </c>
      <c r="C759" s="65" t="s">
        <v>61</v>
      </c>
      <c r="D759" s="66" t="s">
        <v>80</v>
      </c>
      <c r="E759" s="67"/>
      <c r="F759" s="65" t="s">
        <v>209</v>
      </c>
      <c r="G759" s="73" t="s">
        <v>140</v>
      </c>
      <c r="H759" s="74" t="s">
        <v>148</v>
      </c>
      <c r="I759" s="77">
        <f t="shared" si="24"/>
        <v>38.139329805996475</v>
      </c>
      <c r="J759" s="77" t="s">
        <v>149</v>
      </c>
      <c r="K759" s="77">
        <f t="shared" si="25"/>
        <v>17.473000000000003</v>
      </c>
      <c r="L759" s="68" t="s">
        <v>289</v>
      </c>
    </row>
    <row r="760" spans="1:12" ht="13.5">
      <c r="A760" s="81" t="s">
        <v>69</v>
      </c>
      <c r="B760" s="65" t="s">
        <v>73</v>
      </c>
      <c r="C760" s="65" t="s">
        <v>61</v>
      </c>
      <c r="D760" s="66" t="s">
        <v>80</v>
      </c>
      <c r="E760" s="67"/>
      <c r="F760" s="65" t="s">
        <v>209</v>
      </c>
      <c r="G760" s="73" t="s">
        <v>167</v>
      </c>
      <c r="H760" s="74" t="s">
        <v>148</v>
      </c>
      <c r="I760" s="77">
        <f t="shared" si="24"/>
        <v>38.139329805996475</v>
      </c>
      <c r="J760" s="77" t="s">
        <v>149</v>
      </c>
      <c r="K760" s="77">
        <f t="shared" si="25"/>
        <v>17.473000000000003</v>
      </c>
      <c r="L760" s="68" t="s">
        <v>289</v>
      </c>
    </row>
    <row r="761" spans="1:12" ht="13.5">
      <c r="A761" s="81" t="s">
        <v>69</v>
      </c>
      <c r="B761" s="65" t="s">
        <v>73</v>
      </c>
      <c r="C761" s="65" t="s">
        <v>61</v>
      </c>
      <c r="D761" s="66" t="s">
        <v>80</v>
      </c>
      <c r="E761" s="67"/>
      <c r="F761" s="65" t="s">
        <v>209</v>
      </c>
      <c r="G761" s="73" t="s">
        <v>141</v>
      </c>
      <c r="H761" s="74" t="s">
        <v>148</v>
      </c>
      <c r="I761" s="77">
        <f t="shared" si="24"/>
        <v>38.139329805996475</v>
      </c>
      <c r="J761" s="77" t="s">
        <v>149</v>
      </c>
      <c r="K761" s="77">
        <f t="shared" si="25"/>
        <v>17.473000000000003</v>
      </c>
      <c r="L761" s="68" t="s">
        <v>289</v>
      </c>
    </row>
    <row r="762" spans="1:12" ht="13.5">
      <c r="A762" s="81" t="s">
        <v>69</v>
      </c>
      <c r="B762" s="65" t="s">
        <v>73</v>
      </c>
      <c r="C762" s="65" t="s">
        <v>61</v>
      </c>
      <c r="D762" s="66" t="s">
        <v>80</v>
      </c>
      <c r="E762" s="67"/>
      <c r="F762" s="65" t="s">
        <v>209</v>
      </c>
      <c r="G762" s="73" t="s">
        <v>142</v>
      </c>
      <c r="H762" s="74" t="s">
        <v>148</v>
      </c>
      <c r="I762" s="77">
        <f t="shared" si="24"/>
        <v>38.139329805996475</v>
      </c>
      <c r="J762" s="77" t="s">
        <v>149</v>
      </c>
      <c r="K762" s="77">
        <f t="shared" si="25"/>
        <v>17.473000000000003</v>
      </c>
      <c r="L762" s="68" t="s">
        <v>289</v>
      </c>
    </row>
    <row r="763" spans="1:12" ht="13.5">
      <c r="A763" s="81" t="s">
        <v>69</v>
      </c>
      <c r="B763" s="65" t="s">
        <v>73</v>
      </c>
      <c r="C763" s="65" t="s">
        <v>61</v>
      </c>
      <c r="D763" s="66" t="s">
        <v>80</v>
      </c>
      <c r="E763" s="67"/>
      <c r="F763" s="65" t="s">
        <v>209</v>
      </c>
      <c r="G763" s="73" t="s">
        <v>143</v>
      </c>
      <c r="H763" s="74" t="s">
        <v>148</v>
      </c>
      <c r="I763" s="77">
        <f t="shared" si="24"/>
        <v>38.139329805996475</v>
      </c>
      <c r="J763" s="77" t="s">
        <v>149</v>
      </c>
      <c r="K763" s="77">
        <f t="shared" si="25"/>
        <v>17.473000000000003</v>
      </c>
      <c r="L763" s="68" t="s">
        <v>289</v>
      </c>
    </row>
    <row r="764" spans="1:12" ht="13.5">
      <c r="A764" s="81" t="s">
        <v>69</v>
      </c>
      <c r="B764" s="65" t="s">
        <v>73</v>
      </c>
      <c r="C764" s="65" t="s">
        <v>61</v>
      </c>
      <c r="D764" s="66" t="s">
        <v>80</v>
      </c>
      <c r="E764" s="67"/>
      <c r="F764" s="65" t="s">
        <v>209</v>
      </c>
      <c r="G764" s="73" t="s">
        <v>146</v>
      </c>
      <c r="H764" s="74" t="s">
        <v>148</v>
      </c>
      <c r="I764" s="77">
        <f t="shared" si="24"/>
        <v>38.359788359788354</v>
      </c>
      <c r="J764" s="77" t="s">
        <v>162</v>
      </c>
      <c r="K764" s="77">
        <f t="shared" si="25"/>
        <v>17.573999999999998</v>
      </c>
      <c r="L764" s="68" t="s">
        <v>289</v>
      </c>
    </row>
    <row r="765" spans="1:12" ht="13.5">
      <c r="A765" s="81" t="s">
        <v>69</v>
      </c>
      <c r="B765" s="65" t="s">
        <v>73</v>
      </c>
      <c r="C765" s="65" t="s">
        <v>61</v>
      </c>
      <c r="D765" s="66" t="s">
        <v>80</v>
      </c>
      <c r="E765" s="67"/>
      <c r="F765" s="65" t="s">
        <v>209</v>
      </c>
      <c r="G765" s="73" t="s">
        <v>147</v>
      </c>
      <c r="H765" s="74" t="s">
        <v>148</v>
      </c>
      <c r="I765" s="77">
        <f t="shared" si="24"/>
        <v>38.139329805996475</v>
      </c>
      <c r="J765" s="77" t="s">
        <v>149</v>
      </c>
      <c r="K765" s="77">
        <f t="shared" si="25"/>
        <v>17.473000000000003</v>
      </c>
      <c r="L765" s="68" t="s">
        <v>289</v>
      </c>
    </row>
    <row r="766" spans="1:12" ht="13.5">
      <c r="A766" s="81" t="s">
        <v>69</v>
      </c>
      <c r="B766" s="65" t="s">
        <v>73</v>
      </c>
      <c r="C766" s="65" t="s">
        <v>61</v>
      </c>
      <c r="D766" s="66" t="s">
        <v>80</v>
      </c>
      <c r="E766" s="67"/>
      <c r="F766" s="65" t="s">
        <v>209</v>
      </c>
      <c r="G766" s="73" t="s">
        <v>150</v>
      </c>
      <c r="H766" s="74" t="s">
        <v>114</v>
      </c>
      <c r="I766" s="77">
        <f t="shared" si="24"/>
        <v>38.580246913580247</v>
      </c>
      <c r="J766" s="77" t="s">
        <v>115</v>
      </c>
      <c r="K766" s="77">
        <f t="shared" si="25"/>
        <v>17.675000000000001</v>
      </c>
      <c r="L766" s="68" t="s">
        <v>289</v>
      </c>
    </row>
    <row r="767" spans="1:12" ht="13.5">
      <c r="A767" s="81" t="s">
        <v>69</v>
      </c>
      <c r="B767" s="65" t="s">
        <v>73</v>
      </c>
      <c r="C767" s="65" t="s">
        <v>61</v>
      </c>
      <c r="D767" s="66" t="s">
        <v>80</v>
      </c>
      <c r="E767" s="67"/>
      <c r="F767" s="65" t="s">
        <v>209</v>
      </c>
      <c r="G767" s="73" t="s">
        <v>151</v>
      </c>
      <c r="H767" s="74" t="s">
        <v>148</v>
      </c>
      <c r="I767" s="77">
        <f t="shared" si="24"/>
        <v>38.359788359788354</v>
      </c>
      <c r="J767" s="77" t="s">
        <v>162</v>
      </c>
      <c r="K767" s="77">
        <f t="shared" si="25"/>
        <v>17.573999999999998</v>
      </c>
      <c r="L767" s="68" t="s">
        <v>289</v>
      </c>
    </row>
    <row r="768" spans="1:12" ht="13.5">
      <c r="A768" s="81" t="s">
        <v>69</v>
      </c>
      <c r="B768" s="65" t="s">
        <v>73</v>
      </c>
      <c r="C768" s="65" t="s">
        <v>61</v>
      </c>
      <c r="D768" s="66" t="s">
        <v>80</v>
      </c>
      <c r="E768" s="67"/>
      <c r="F768" s="65" t="s">
        <v>209</v>
      </c>
      <c r="G768" s="73" t="s">
        <v>152</v>
      </c>
      <c r="H768" s="74" t="s">
        <v>148</v>
      </c>
      <c r="I768" s="77">
        <f t="shared" ref="I768:I831" si="26">+J768/0.4536</f>
        <v>38.139329805996475</v>
      </c>
      <c r="J768" s="77" t="s">
        <v>149</v>
      </c>
      <c r="K768" s="77">
        <f t="shared" ref="K768:K831" si="27">+J768*1.01</f>
        <v>17.473000000000003</v>
      </c>
      <c r="L768" s="68" t="s">
        <v>289</v>
      </c>
    </row>
    <row r="769" spans="1:12" ht="13.5">
      <c r="A769" s="81" t="s">
        <v>69</v>
      </c>
      <c r="B769" s="65" t="s">
        <v>73</v>
      </c>
      <c r="C769" s="65" t="s">
        <v>61</v>
      </c>
      <c r="D769" s="66" t="s">
        <v>80</v>
      </c>
      <c r="E769" s="67"/>
      <c r="F769" s="65" t="s">
        <v>209</v>
      </c>
      <c r="G769" s="73" t="s">
        <v>153</v>
      </c>
      <c r="H769" s="74" t="s">
        <v>148</v>
      </c>
      <c r="I769" s="77">
        <f t="shared" si="26"/>
        <v>37.918871252204582</v>
      </c>
      <c r="J769" s="77" t="s">
        <v>163</v>
      </c>
      <c r="K769" s="77">
        <f t="shared" si="27"/>
        <v>17.372</v>
      </c>
      <c r="L769" s="68" t="s">
        <v>289</v>
      </c>
    </row>
    <row r="770" spans="1:12" ht="13.5">
      <c r="A770" s="81"/>
      <c r="B770" s="65"/>
      <c r="C770" s="65"/>
      <c r="D770" s="66"/>
      <c r="E770" s="67"/>
      <c r="F770" s="65" t="s">
        <v>87</v>
      </c>
      <c r="G770" s="73">
        <v>40</v>
      </c>
      <c r="H770" s="74" t="s">
        <v>212</v>
      </c>
      <c r="I770" s="77">
        <f t="shared" si="26"/>
        <v>1533.5097001763668</v>
      </c>
      <c r="J770" s="77" t="s">
        <v>213</v>
      </c>
      <c r="K770" s="77">
        <f t="shared" si="27"/>
        <v>702.55600000000004</v>
      </c>
      <c r="L770" s="68" t="s">
        <v>289</v>
      </c>
    </row>
    <row r="771" spans="1:12" ht="13.5">
      <c r="A771" s="81"/>
      <c r="B771" s="65"/>
      <c r="C771" s="65"/>
      <c r="D771" s="66" t="s">
        <v>76</v>
      </c>
      <c r="E771" s="67"/>
      <c r="F771" s="65"/>
      <c r="G771" s="73" t="s">
        <v>214</v>
      </c>
      <c r="H771" s="74" t="s">
        <v>215</v>
      </c>
      <c r="I771" s="77">
        <f t="shared" si="26"/>
        <v>6088.8447971781306</v>
      </c>
      <c r="J771" s="77" t="s">
        <v>216</v>
      </c>
      <c r="K771" s="77">
        <f t="shared" si="27"/>
        <v>2789.5190000000002</v>
      </c>
      <c r="L771" s="68" t="s">
        <v>289</v>
      </c>
    </row>
    <row r="772" spans="1:12" ht="13.5">
      <c r="A772" s="81" t="s">
        <v>69</v>
      </c>
      <c r="B772" s="65" t="s">
        <v>73</v>
      </c>
      <c r="C772" s="65" t="s">
        <v>61</v>
      </c>
      <c r="D772" s="66" t="s">
        <v>290</v>
      </c>
      <c r="E772" s="67"/>
      <c r="F772" s="65" t="s">
        <v>217</v>
      </c>
      <c r="G772" s="73" t="s">
        <v>99</v>
      </c>
      <c r="H772" s="74" t="s">
        <v>109</v>
      </c>
      <c r="I772" s="77">
        <f t="shared" si="26"/>
        <v>37.257495590828924</v>
      </c>
      <c r="J772" s="77" t="s">
        <v>110</v>
      </c>
      <c r="K772" s="77">
        <f t="shared" si="27"/>
        <v>17.068999999999999</v>
      </c>
      <c r="L772" s="68" t="s">
        <v>289</v>
      </c>
    </row>
    <row r="773" spans="1:12" ht="13.5">
      <c r="A773" s="81" t="s">
        <v>69</v>
      </c>
      <c r="B773" s="65" t="s">
        <v>73</v>
      </c>
      <c r="C773" s="65" t="s">
        <v>61</v>
      </c>
      <c r="D773" s="66" t="s">
        <v>290</v>
      </c>
      <c r="E773" s="67"/>
      <c r="F773" s="65" t="s">
        <v>217</v>
      </c>
      <c r="G773" s="73" t="s">
        <v>102</v>
      </c>
      <c r="H773" s="74" t="s">
        <v>103</v>
      </c>
      <c r="I773" s="77">
        <f t="shared" si="26"/>
        <v>37.698412698412703</v>
      </c>
      <c r="J773" s="77" t="s">
        <v>104</v>
      </c>
      <c r="K773" s="77">
        <f t="shared" si="27"/>
        <v>17.271000000000001</v>
      </c>
      <c r="L773" s="68" t="s">
        <v>289</v>
      </c>
    </row>
    <row r="774" spans="1:12" ht="13.5">
      <c r="A774" s="81" t="s">
        <v>69</v>
      </c>
      <c r="B774" s="65" t="s">
        <v>73</v>
      </c>
      <c r="C774" s="65" t="s">
        <v>61</v>
      </c>
      <c r="D774" s="66" t="s">
        <v>290</v>
      </c>
      <c r="E774" s="67"/>
      <c r="F774" s="65" t="s">
        <v>217</v>
      </c>
      <c r="G774" s="73" t="s">
        <v>105</v>
      </c>
      <c r="H774" s="74" t="s">
        <v>109</v>
      </c>
      <c r="I774" s="77">
        <f t="shared" si="26"/>
        <v>37.257495590828924</v>
      </c>
      <c r="J774" s="77" t="s">
        <v>110</v>
      </c>
      <c r="K774" s="77">
        <f t="shared" si="27"/>
        <v>17.068999999999999</v>
      </c>
      <c r="L774" s="68" t="s">
        <v>289</v>
      </c>
    </row>
    <row r="775" spans="1:12" ht="13.5">
      <c r="A775" s="81" t="s">
        <v>69</v>
      </c>
      <c r="B775" s="65" t="s">
        <v>73</v>
      </c>
      <c r="C775" s="65" t="s">
        <v>61</v>
      </c>
      <c r="D775" s="66" t="s">
        <v>290</v>
      </c>
      <c r="E775" s="67"/>
      <c r="F775" s="65" t="s">
        <v>217</v>
      </c>
      <c r="G775" s="73" t="s">
        <v>106</v>
      </c>
      <c r="H775" s="74" t="s">
        <v>119</v>
      </c>
      <c r="I775" s="77">
        <f t="shared" si="26"/>
        <v>36.155202821869487</v>
      </c>
      <c r="J775" s="77" t="s">
        <v>120</v>
      </c>
      <c r="K775" s="77">
        <f t="shared" si="27"/>
        <v>16.564</v>
      </c>
      <c r="L775" s="68" t="s">
        <v>289</v>
      </c>
    </row>
    <row r="776" spans="1:12" ht="13.5">
      <c r="A776" s="81" t="s">
        <v>69</v>
      </c>
      <c r="B776" s="65" t="s">
        <v>73</v>
      </c>
      <c r="C776" s="65" t="s">
        <v>61</v>
      </c>
      <c r="D776" s="66" t="s">
        <v>290</v>
      </c>
      <c r="E776" s="67"/>
      <c r="F776" s="65" t="s">
        <v>217</v>
      </c>
      <c r="G776" s="73" t="s">
        <v>108</v>
      </c>
      <c r="H776" s="74" t="s">
        <v>103</v>
      </c>
      <c r="I776" s="77">
        <f t="shared" si="26"/>
        <v>37.698412698412703</v>
      </c>
      <c r="J776" s="77" t="s">
        <v>104</v>
      </c>
      <c r="K776" s="77">
        <f t="shared" si="27"/>
        <v>17.271000000000001</v>
      </c>
      <c r="L776" s="68" t="s">
        <v>289</v>
      </c>
    </row>
    <row r="777" spans="1:12" ht="13.5">
      <c r="A777" s="81" t="s">
        <v>69</v>
      </c>
      <c r="B777" s="65" t="s">
        <v>73</v>
      </c>
      <c r="C777" s="65" t="s">
        <v>61</v>
      </c>
      <c r="D777" s="66" t="s">
        <v>290</v>
      </c>
      <c r="E777" s="67"/>
      <c r="F777" s="65" t="s">
        <v>217</v>
      </c>
      <c r="G777" s="73" t="s">
        <v>111</v>
      </c>
      <c r="H777" s="74" t="s">
        <v>119</v>
      </c>
      <c r="I777" s="77">
        <f t="shared" si="26"/>
        <v>36.155202821869487</v>
      </c>
      <c r="J777" s="77" t="s">
        <v>120</v>
      </c>
      <c r="K777" s="77">
        <f t="shared" si="27"/>
        <v>16.564</v>
      </c>
      <c r="L777" s="68" t="s">
        <v>289</v>
      </c>
    </row>
    <row r="778" spans="1:12" ht="13.5">
      <c r="A778" s="81" t="s">
        <v>69</v>
      </c>
      <c r="B778" s="65" t="s">
        <v>73</v>
      </c>
      <c r="C778" s="65" t="s">
        <v>61</v>
      </c>
      <c r="D778" s="66" t="s">
        <v>290</v>
      </c>
      <c r="E778" s="67"/>
      <c r="F778" s="65" t="s">
        <v>217</v>
      </c>
      <c r="G778" s="73" t="s">
        <v>112</v>
      </c>
      <c r="H778" s="74" t="s">
        <v>114</v>
      </c>
      <c r="I778" s="77">
        <f t="shared" si="26"/>
        <v>38.580246913580247</v>
      </c>
      <c r="J778" s="77" t="s">
        <v>115</v>
      </c>
      <c r="K778" s="77">
        <f t="shared" si="27"/>
        <v>17.675000000000001</v>
      </c>
      <c r="L778" s="68" t="s">
        <v>289</v>
      </c>
    </row>
    <row r="779" spans="1:12" ht="13.5">
      <c r="A779" s="81" t="s">
        <v>69</v>
      </c>
      <c r="B779" s="65" t="s">
        <v>73</v>
      </c>
      <c r="C779" s="65" t="s">
        <v>61</v>
      </c>
      <c r="D779" s="66" t="s">
        <v>290</v>
      </c>
      <c r="E779" s="67"/>
      <c r="F779" s="65" t="s">
        <v>217</v>
      </c>
      <c r="G779" s="73" t="s">
        <v>113</v>
      </c>
      <c r="H779" s="74" t="s">
        <v>103</v>
      </c>
      <c r="I779" s="77">
        <f t="shared" si="26"/>
        <v>37.698412698412703</v>
      </c>
      <c r="J779" s="77" t="s">
        <v>104</v>
      </c>
      <c r="K779" s="77">
        <f t="shared" si="27"/>
        <v>17.271000000000001</v>
      </c>
      <c r="L779" s="68" t="s">
        <v>289</v>
      </c>
    </row>
    <row r="780" spans="1:12" ht="13.5">
      <c r="A780" s="81" t="s">
        <v>69</v>
      </c>
      <c r="B780" s="65" t="s">
        <v>73</v>
      </c>
      <c r="C780" s="65" t="s">
        <v>61</v>
      </c>
      <c r="D780" s="66" t="s">
        <v>290</v>
      </c>
      <c r="E780" s="67"/>
      <c r="F780" s="65" t="s">
        <v>217</v>
      </c>
      <c r="G780" s="73" t="s">
        <v>116</v>
      </c>
      <c r="H780" s="74" t="s">
        <v>109</v>
      </c>
      <c r="I780" s="77">
        <f t="shared" si="26"/>
        <v>37.257495590828924</v>
      </c>
      <c r="J780" s="77" t="s">
        <v>110</v>
      </c>
      <c r="K780" s="77">
        <f t="shared" si="27"/>
        <v>17.068999999999999</v>
      </c>
      <c r="L780" s="68" t="s">
        <v>289</v>
      </c>
    </row>
    <row r="781" spans="1:12" ht="13.5">
      <c r="A781" s="81" t="s">
        <v>69</v>
      </c>
      <c r="B781" s="65" t="s">
        <v>73</v>
      </c>
      <c r="C781" s="65" t="s">
        <v>61</v>
      </c>
      <c r="D781" s="66" t="s">
        <v>290</v>
      </c>
      <c r="E781" s="67"/>
      <c r="F781" s="65" t="s">
        <v>217</v>
      </c>
      <c r="G781" s="73" t="s">
        <v>118</v>
      </c>
      <c r="H781" s="74" t="s">
        <v>103</v>
      </c>
      <c r="I781" s="77">
        <f t="shared" si="26"/>
        <v>37.698412698412703</v>
      </c>
      <c r="J781" s="77" t="s">
        <v>104</v>
      </c>
      <c r="K781" s="77">
        <f t="shared" si="27"/>
        <v>17.271000000000001</v>
      </c>
      <c r="L781" s="68" t="s">
        <v>289</v>
      </c>
    </row>
    <row r="782" spans="1:12" ht="13.5">
      <c r="A782" s="81" t="s">
        <v>69</v>
      </c>
      <c r="B782" s="65" t="s">
        <v>73</v>
      </c>
      <c r="C782" s="65" t="s">
        <v>61</v>
      </c>
      <c r="D782" s="66" t="s">
        <v>290</v>
      </c>
      <c r="E782" s="67"/>
      <c r="F782" s="65" t="s">
        <v>217</v>
      </c>
      <c r="G782" s="73" t="s">
        <v>121</v>
      </c>
      <c r="H782" s="74" t="s">
        <v>109</v>
      </c>
      <c r="I782" s="77">
        <f t="shared" si="26"/>
        <v>37.257495590828924</v>
      </c>
      <c r="J782" s="77" t="s">
        <v>110</v>
      </c>
      <c r="K782" s="77">
        <f t="shared" si="27"/>
        <v>17.068999999999999</v>
      </c>
      <c r="L782" s="68" t="s">
        <v>289</v>
      </c>
    </row>
    <row r="783" spans="1:12" ht="13.5">
      <c r="A783" s="81" t="s">
        <v>69</v>
      </c>
      <c r="B783" s="65" t="s">
        <v>73</v>
      </c>
      <c r="C783" s="65" t="s">
        <v>61</v>
      </c>
      <c r="D783" s="66" t="s">
        <v>290</v>
      </c>
      <c r="E783" s="67"/>
      <c r="F783" s="65" t="s">
        <v>217</v>
      </c>
      <c r="G783" s="73" t="s">
        <v>122</v>
      </c>
      <c r="H783" s="74" t="s">
        <v>218</v>
      </c>
      <c r="I783" s="77">
        <f t="shared" si="26"/>
        <v>33.289241622574956</v>
      </c>
      <c r="J783" s="77" t="s">
        <v>219</v>
      </c>
      <c r="K783" s="77">
        <f t="shared" si="27"/>
        <v>15.250999999999999</v>
      </c>
      <c r="L783" s="68" t="s">
        <v>289</v>
      </c>
    </row>
    <row r="784" spans="1:12" ht="13.5">
      <c r="A784" s="81" t="s">
        <v>69</v>
      </c>
      <c r="B784" s="65" t="s">
        <v>73</v>
      </c>
      <c r="C784" s="65" t="s">
        <v>61</v>
      </c>
      <c r="D784" s="66" t="s">
        <v>290</v>
      </c>
      <c r="E784" s="67"/>
      <c r="F784" s="65" t="s">
        <v>217</v>
      </c>
      <c r="G784" s="73" t="s">
        <v>123</v>
      </c>
      <c r="H784" s="74" t="s">
        <v>165</v>
      </c>
      <c r="I784" s="77">
        <f t="shared" si="26"/>
        <v>39.241622574955912</v>
      </c>
      <c r="J784" s="77" t="s">
        <v>166</v>
      </c>
      <c r="K784" s="77">
        <f t="shared" si="27"/>
        <v>17.978000000000002</v>
      </c>
      <c r="L784" s="68" t="s">
        <v>289</v>
      </c>
    </row>
    <row r="785" spans="1:12" ht="13.5">
      <c r="A785" s="81" t="s">
        <v>69</v>
      </c>
      <c r="B785" s="65" t="s">
        <v>73</v>
      </c>
      <c r="C785" s="65" t="s">
        <v>61</v>
      </c>
      <c r="D785" s="66" t="s">
        <v>290</v>
      </c>
      <c r="E785" s="67"/>
      <c r="F785" s="65" t="s">
        <v>217</v>
      </c>
      <c r="G785" s="73" t="s">
        <v>124</v>
      </c>
      <c r="H785" s="74" t="s">
        <v>148</v>
      </c>
      <c r="I785" s="77">
        <f t="shared" si="26"/>
        <v>38.139329805996475</v>
      </c>
      <c r="J785" s="77" t="s">
        <v>149</v>
      </c>
      <c r="K785" s="77">
        <f t="shared" si="27"/>
        <v>17.473000000000003</v>
      </c>
      <c r="L785" s="68" t="s">
        <v>289</v>
      </c>
    </row>
    <row r="786" spans="1:12" ht="13.5">
      <c r="A786" s="81" t="s">
        <v>69</v>
      </c>
      <c r="B786" s="65" t="s">
        <v>73</v>
      </c>
      <c r="C786" s="65" t="s">
        <v>61</v>
      </c>
      <c r="D786" s="66" t="s">
        <v>290</v>
      </c>
      <c r="E786" s="67"/>
      <c r="F786" s="65" t="s">
        <v>217</v>
      </c>
      <c r="G786" s="73" t="s">
        <v>161</v>
      </c>
      <c r="H786" s="74" t="s">
        <v>126</v>
      </c>
      <c r="I786" s="77">
        <f t="shared" si="26"/>
        <v>36.816578483245145</v>
      </c>
      <c r="J786" s="77" t="s">
        <v>127</v>
      </c>
      <c r="K786" s="77">
        <f t="shared" si="27"/>
        <v>16.867000000000001</v>
      </c>
      <c r="L786" s="68" t="s">
        <v>289</v>
      </c>
    </row>
    <row r="787" spans="1:12" ht="13.5">
      <c r="A787" s="81" t="s">
        <v>69</v>
      </c>
      <c r="B787" s="65" t="s">
        <v>73</v>
      </c>
      <c r="C787" s="65" t="s">
        <v>61</v>
      </c>
      <c r="D787" s="66" t="s">
        <v>290</v>
      </c>
      <c r="E787" s="67"/>
      <c r="F787" s="65" t="s">
        <v>217</v>
      </c>
      <c r="G787" s="73" t="s">
        <v>125</v>
      </c>
      <c r="H787" s="74" t="s">
        <v>148</v>
      </c>
      <c r="I787" s="77">
        <f t="shared" si="26"/>
        <v>38.359788359788354</v>
      </c>
      <c r="J787" s="77" t="s">
        <v>162</v>
      </c>
      <c r="K787" s="77">
        <f t="shared" si="27"/>
        <v>17.573999999999998</v>
      </c>
      <c r="L787" s="68" t="s">
        <v>289</v>
      </c>
    </row>
    <row r="788" spans="1:12" ht="13.5">
      <c r="A788" s="81" t="s">
        <v>69</v>
      </c>
      <c r="B788" s="65" t="s">
        <v>73</v>
      </c>
      <c r="C788" s="65" t="s">
        <v>61</v>
      </c>
      <c r="D788" s="66" t="s">
        <v>290</v>
      </c>
      <c r="E788" s="67"/>
      <c r="F788" s="65" t="s">
        <v>217</v>
      </c>
      <c r="G788" s="73" t="s">
        <v>128</v>
      </c>
      <c r="H788" s="74" t="s">
        <v>103</v>
      </c>
      <c r="I788" s="77">
        <f t="shared" si="26"/>
        <v>37.698412698412703</v>
      </c>
      <c r="J788" s="77" t="s">
        <v>104</v>
      </c>
      <c r="K788" s="77">
        <f t="shared" si="27"/>
        <v>17.271000000000001</v>
      </c>
      <c r="L788" s="68" t="s">
        <v>289</v>
      </c>
    </row>
    <row r="789" spans="1:12" ht="13.5">
      <c r="A789" s="81" t="s">
        <v>69</v>
      </c>
      <c r="B789" s="65" t="s">
        <v>73</v>
      </c>
      <c r="C789" s="65" t="s">
        <v>61</v>
      </c>
      <c r="D789" s="66" t="s">
        <v>290</v>
      </c>
      <c r="E789" s="67"/>
      <c r="F789" s="65" t="s">
        <v>217</v>
      </c>
      <c r="G789" s="73" t="s">
        <v>129</v>
      </c>
      <c r="H789" s="74" t="s">
        <v>103</v>
      </c>
      <c r="I789" s="77">
        <f t="shared" si="26"/>
        <v>37.698412698412703</v>
      </c>
      <c r="J789" s="77" t="s">
        <v>104</v>
      </c>
      <c r="K789" s="77">
        <f t="shared" si="27"/>
        <v>17.271000000000001</v>
      </c>
      <c r="L789" s="68" t="s">
        <v>289</v>
      </c>
    </row>
    <row r="790" spans="1:12" ht="13.5">
      <c r="A790" s="81" t="s">
        <v>69</v>
      </c>
      <c r="B790" s="65" t="s">
        <v>73</v>
      </c>
      <c r="C790" s="65" t="s">
        <v>61</v>
      </c>
      <c r="D790" s="66" t="s">
        <v>290</v>
      </c>
      <c r="E790" s="67"/>
      <c r="F790" s="65" t="s">
        <v>217</v>
      </c>
      <c r="G790" s="73" t="s">
        <v>130</v>
      </c>
      <c r="H790" s="74" t="s">
        <v>109</v>
      </c>
      <c r="I790" s="77">
        <f t="shared" si="26"/>
        <v>37.257495590828924</v>
      </c>
      <c r="J790" s="77" t="s">
        <v>110</v>
      </c>
      <c r="K790" s="77">
        <f t="shared" si="27"/>
        <v>17.068999999999999</v>
      </c>
      <c r="L790" s="68" t="s">
        <v>289</v>
      </c>
    </row>
    <row r="791" spans="1:12" ht="13.5">
      <c r="A791" s="81" t="s">
        <v>69</v>
      </c>
      <c r="B791" s="65" t="s">
        <v>73</v>
      </c>
      <c r="C791" s="65" t="s">
        <v>61</v>
      </c>
      <c r="D791" s="66" t="s">
        <v>290</v>
      </c>
      <c r="E791" s="67"/>
      <c r="F791" s="65" t="s">
        <v>217</v>
      </c>
      <c r="G791" s="73" t="s">
        <v>131</v>
      </c>
      <c r="H791" s="74" t="s">
        <v>173</v>
      </c>
      <c r="I791" s="77">
        <f t="shared" si="26"/>
        <v>35.05291005291005</v>
      </c>
      <c r="J791" s="77" t="s">
        <v>174</v>
      </c>
      <c r="K791" s="77">
        <f t="shared" si="27"/>
        <v>16.059000000000001</v>
      </c>
      <c r="L791" s="68" t="s">
        <v>289</v>
      </c>
    </row>
    <row r="792" spans="1:12" ht="13.5">
      <c r="A792" s="81" t="s">
        <v>69</v>
      </c>
      <c r="B792" s="65" t="s">
        <v>73</v>
      </c>
      <c r="C792" s="65" t="s">
        <v>61</v>
      </c>
      <c r="D792" s="66" t="s">
        <v>290</v>
      </c>
      <c r="E792" s="67"/>
      <c r="F792" s="65" t="s">
        <v>217</v>
      </c>
      <c r="G792" s="73" t="s">
        <v>164</v>
      </c>
      <c r="H792" s="74" t="s">
        <v>103</v>
      </c>
      <c r="I792" s="77">
        <f t="shared" si="26"/>
        <v>37.698412698412703</v>
      </c>
      <c r="J792" s="77" t="s">
        <v>104</v>
      </c>
      <c r="K792" s="77">
        <f t="shared" si="27"/>
        <v>17.271000000000001</v>
      </c>
      <c r="L792" s="68" t="s">
        <v>289</v>
      </c>
    </row>
    <row r="793" spans="1:12" ht="13.5">
      <c r="A793" s="81" t="s">
        <v>69</v>
      </c>
      <c r="B793" s="65" t="s">
        <v>73</v>
      </c>
      <c r="C793" s="65" t="s">
        <v>61</v>
      </c>
      <c r="D793" s="66" t="s">
        <v>290</v>
      </c>
      <c r="E793" s="67"/>
      <c r="F793" s="65" t="s">
        <v>217</v>
      </c>
      <c r="G793" s="73" t="s">
        <v>132</v>
      </c>
      <c r="H793" s="74" t="s">
        <v>109</v>
      </c>
      <c r="I793" s="77">
        <f t="shared" si="26"/>
        <v>37.257495590828924</v>
      </c>
      <c r="J793" s="77" t="s">
        <v>110</v>
      </c>
      <c r="K793" s="77">
        <f t="shared" si="27"/>
        <v>17.068999999999999</v>
      </c>
      <c r="L793" s="68" t="s">
        <v>289</v>
      </c>
    </row>
    <row r="794" spans="1:12" ht="13.5">
      <c r="A794" s="81" t="s">
        <v>69</v>
      </c>
      <c r="B794" s="65" t="s">
        <v>73</v>
      </c>
      <c r="C794" s="65" t="s">
        <v>61</v>
      </c>
      <c r="D794" s="66" t="s">
        <v>290</v>
      </c>
      <c r="E794" s="67"/>
      <c r="F794" s="65" t="s">
        <v>217</v>
      </c>
      <c r="G794" s="73" t="s">
        <v>133</v>
      </c>
      <c r="H794" s="74" t="s">
        <v>109</v>
      </c>
      <c r="I794" s="77">
        <f t="shared" si="26"/>
        <v>37.037037037037038</v>
      </c>
      <c r="J794" s="77" t="s">
        <v>158</v>
      </c>
      <c r="K794" s="77">
        <f t="shared" si="27"/>
        <v>16.968</v>
      </c>
      <c r="L794" s="68" t="s">
        <v>289</v>
      </c>
    </row>
    <row r="795" spans="1:12" ht="13.5">
      <c r="A795" s="81" t="s">
        <v>69</v>
      </c>
      <c r="B795" s="65" t="s">
        <v>73</v>
      </c>
      <c r="C795" s="65" t="s">
        <v>61</v>
      </c>
      <c r="D795" s="66" t="s">
        <v>290</v>
      </c>
      <c r="E795" s="67"/>
      <c r="F795" s="65" t="s">
        <v>217</v>
      </c>
      <c r="G795" s="73" t="s">
        <v>134</v>
      </c>
      <c r="H795" s="74" t="s">
        <v>148</v>
      </c>
      <c r="I795" s="77">
        <f t="shared" si="26"/>
        <v>38.359788359788354</v>
      </c>
      <c r="J795" s="77" t="s">
        <v>162</v>
      </c>
      <c r="K795" s="77">
        <f t="shared" si="27"/>
        <v>17.573999999999998</v>
      </c>
      <c r="L795" s="68" t="s">
        <v>289</v>
      </c>
    </row>
    <row r="796" spans="1:12" ht="13.5">
      <c r="A796" s="81" t="s">
        <v>69</v>
      </c>
      <c r="B796" s="65" t="s">
        <v>73</v>
      </c>
      <c r="C796" s="65" t="s">
        <v>61</v>
      </c>
      <c r="D796" s="66" t="s">
        <v>290</v>
      </c>
      <c r="E796" s="67"/>
      <c r="F796" s="65" t="s">
        <v>217</v>
      </c>
      <c r="G796" s="73" t="s">
        <v>135</v>
      </c>
      <c r="H796" s="74" t="s">
        <v>109</v>
      </c>
      <c r="I796" s="77">
        <f t="shared" si="26"/>
        <v>37.257495590828924</v>
      </c>
      <c r="J796" s="77" t="s">
        <v>110</v>
      </c>
      <c r="K796" s="77">
        <f t="shared" si="27"/>
        <v>17.068999999999999</v>
      </c>
      <c r="L796" s="68" t="s">
        <v>289</v>
      </c>
    </row>
    <row r="797" spans="1:12" ht="13.5">
      <c r="A797" s="81" t="s">
        <v>69</v>
      </c>
      <c r="B797" s="65" t="s">
        <v>73</v>
      </c>
      <c r="C797" s="65" t="s">
        <v>61</v>
      </c>
      <c r="D797" s="66" t="s">
        <v>290</v>
      </c>
      <c r="E797" s="67"/>
      <c r="F797" s="65" t="s">
        <v>217</v>
      </c>
      <c r="G797" s="73" t="s">
        <v>136</v>
      </c>
      <c r="H797" s="74" t="s">
        <v>109</v>
      </c>
      <c r="I797" s="77">
        <f t="shared" si="26"/>
        <v>37.257495590828924</v>
      </c>
      <c r="J797" s="77" t="s">
        <v>110</v>
      </c>
      <c r="K797" s="77">
        <f t="shared" si="27"/>
        <v>17.068999999999999</v>
      </c>
      <c r="L797" s="68" t="s">
        <v>289</v>
      </c>
    </row>
    <row r="798" spans="1:12" ht="13.5">
      <c r="A798" s="81" t="s">
        <v>69</v>
      </c>
      <c r="B798" s="65" t="s">
        <v>73</v>
      </c>
      <c r="C798" s="65" t="s">
        <v>61</v>
      </c>
      <c r="D798" s="66" t="s">
        <v>290</v>
      </c>
      <c r="E798" s="67"/>
      <c r="F798" s="65" t="s">
        <v>217</v>
      </c>
      <c r="G798" s="73" t="s">
        <v>137</v>
      </c>
      <c r="H798" s="74" t="s">
        <v>114</v>
      </c>
      <c r="I798" s="77">
        <f t="shared" si="26"/>
        <v>38.580246913580247</v>
      </c>
      <c r="J798" s="77" t="s">
        <v>115</v>
      </c>
      <c r="K798" s="77">
        <f t="shared" si="27"/>
        <v>17.675000000000001</v>
      </c>
      <c r="L798" s="68" t="s">
        <v>289</v>
      </c>
    </row>
    <row r="799" spans="1:12" ht="13.5">
      <c r="A799" s="81" t="s">
        <v>69</v>
      </c>
      <c r="B799" s="65" t="s">
        <v>73</v>
      </c>
      <c r="C799" s="65" t="s">
        <v>61</v>
      </c>
      <c r="D799" s="66" t="s">
        <v>290</v>
      </c>
      <c r="E799" s="67"/>
      <c r="F799" s="65" t="s">
        <v>217</v>
      </c>
      <c r="G799" s="73" t="s">
        <v>138</v>
      </c>
      <c r="H799" s="74" t="s">
        <v>103</v>
      </c>
      <c r="I799" s="77">
        <f t="shared" si="26"/>
        <v>37.698412698412703</v>
      </c>
      <c r="J799" s="77" t="s">
        <v>104</v>
      </c>
      <c r="K799" s="77">
        <f t="shared" si="27"/>
        <v>17.271000000000001</v>
      </c>
      <c r="L799" s="68" t="s">
        <v>289</v>
      </c>
    </row>
    <row r="800" spans="1:12" ht="13.5">
      <c r="A800" s="81" t="s">
        <v>69</v>
      </c>
      <c r="B800" s="65" t="s">
        <v>73</v>
      </c>
      <c r="C800" s="65" t="s">
        <v>61</v>
      </c>
      <c r="D800" s="66" t="s">
        <v>290</v>
      </c>
      <c r="E800" s="67"/>
      <c r="F800" s="65" t="s">
        <v>217</v>
      </c>
      <c r="G800" s="73" t="s">
        <v>139</v>
      </c>
      <c r="H800" s="74" t="s">
        <v>109</v>
      </c>
      <c r="I800" s="77">
        <f t="shared" si="26"/>
        <v>37.257495590828924</v>
      </c>
      <c r="J800" s="77" t="s">
        <v>110</v>
      </c>
      <c r="K800" s="77">
        <f t="shared" si="27"/>
        <v>17.068999999999999</v>
      </c>
      <c r="L800" s="68" t="s">
        <v>289</v>
      </c>
    </row>
    <row r="801" spans="1:12" ht="13.5">
      <c r="A801" s="81" t="s">
        <v>69</v>
      </c>
      <c r="B801" s="65" t="s">
        <v>73</v>
      </c>
      <c r="C801" s="65" t="s">
        <v>61</v>
      </c>
      <c r="D801" s="66" t="s">
        <v>290</v>
      </c>
      <c r="E801" s="67"/>
      <c r="F801" s="65" t="s">
        <v>217</v>
      </c>
      <c r="G801" s="73" t="s">
        <v>140</v>
      </c>
      <c r="H801" s="74" t="s">
        <v>114</v>
      </c>
      <c r="I801" s="77">
        <f t="shared" si="26"/>
        <v>38.80070546737214</v>
      </c>
      <c r="J801" s="77" t="s">
        <v>160</v>
      </c>
      <c r="K801" s="77">
        <f t="shared" si="27"/>
        <v>17.776000000000003</v>
      </c>
      <c r="L801" s="68" t="s">
        <v>289</v>
      </c>
    </row>
    <row r="802" spans="1:12" ht="13.5">
      <c r="A802" s="81" t="s">
        <v>69</v>
      </c>
      <c r="B802" s="65" t="s">
        <v>73</v>
      </c>
      <c r="C802" s="65" t="s">
        <v>61</v>
      </c>
      <c r="D802" s="66" t="s">
        <v>290</v>
      </c>
      <c r="E802" s="67"/>
      <c r="F802" s="65" t="s">
        <v>217</v>
      </c>
      <c r="G802" s="73" t="s">
        <v>167</v>
      </c>
      <c r="H802" s="74" t="s">
        <v>148</v>
      </c>
      <c r="I802" s="77">
        <f t="shared" si="26"/>
        <v>38.359788359788354</v>
      </c>
      <c r="J802" s="77" t="s">
        <v>162</v>
      </c>
      <c r="K802" s="77">
        <f t="shared" si="27"/>
        <v>17.573999999999998</v>
      </c>
      <c r="L802" s="68" t="s">
        <v>289</v>
      </c>
    </row>
    <row r="803" spans="1:12" ht="13.5">
      <c r="A803" s="81" t="s">
        <v>69</v>
      </c>
      <c r="B803" s="65" t="s">
        <v>73</v>
      </c>
      <c r="C803" s="65" t="s">
        <v>61</v>
      </c>
      <c r="D803" s="66" t="s">
        <v>290</v>
      </c>
      <c r="E803" s="67"/>
      <c r="F803" s="65" t="s">
        <v>217</v>
      </c>
      <c r="G803" s="73" t="s">
        <v>141</v>
      </c>
      <c r="H803" s="74" t="s">
        <v>103</v>
      </c>
      <c r="I803" s="77">
        <f t="shared" si="26"/>
        <v>37.698412698412703</v>
      </c>
      <c r="J803" s="77" t="s">
        <v>104</v>
      </c>
      <c r="K803" s="77">
        <f t="shared" si="27"/>
        <v>17.271000000000001</v>
      </c>
      <c r="L803" s="68" t="s">
        <v>289</v>
      </c>
    </row>
    <row r="804" spans="1:12" ht="13.5">
      <c r="A804" s="81" t="s">
        <v>69</v>
      </c>
      <c r="B804" s="65" t="s">
        <v>73</v>
      </c>
      <c r="C804" s="65" t="s">
        <v>61</v>
      </c>
      <c r="D804" s="66" t="s">
        <v>290</v>
      </c>
      <c r="E804" s="67"/>
      <c r="F804" s="65" t="s">
        <v>217</v>
      </c>
      <c r="G804" s="73" t="s">
        <v>142</v>
      </c>
      <c r="H804" s="74" t="s">
        <v>148</v>
      </c>
      <c r="I804" s="77">
        <f t="shared" si="26"/>
        <v>38.359788359788354</v>
      </c>
      <c r="J804" s="77" t="s">
        <v>162</v>
      </c>
      <c r="K804" s="77">
        <f t="shared" si="27"/>
        <v>17.573999999999998</v>
      </c>
      <c r="L804" s="68" t="s">
        <v>289</v>
      </c>
    </row>
    <row r="805" spans="1:12" ht="13.5">
      <c r="A805" s="81" t="s">
        <v>69</v>
      </c>
      <c r="B805" s="65" t="s">
        <v>73</v>
      </c>
      <c r="C805" s="65" t="s">
        <v>61</v>
      </c>
      <c r="D805" s="66" t="s">
        <v>290</v>
      </c>
      <c r="E805" s="67"/>
      <c r="F805" s="65" t="s">
        <v>217</v>
      </c>
      <c r="G805" s="73" t="s">
        <v>143</v>
      </c>
      <c r="H805" s="74" t="s">
        <v>109</v>
      </c>
      <c r="I805" s="77">
        <f t="shared" si="26"/>
        <v>37.257495590828924</v>
      </c>
      <c r="J805" s="77" t="s">
        <v>110</v>
      </c>
      <c r="K805" s="77">
        <f t="shared" si="27"/>
        <v>17.068999999999999</v>
      </c>
      <c r="L805" s="68" t="s">
        <v>289</v>
      </c>
    </row>
    <row r="806" spans="1:12" ht="13.5">
      <c r="A806" s="81" t="s">
        <v>69</v>
      </c>
      <c r="B806" s="65" t="s">
        <v>73</v>
      </c>
      <c r="C806" s="65" t="s">
        <v>61</v>
      </c>
      <c r="D806" s="66" t="s">
        <v>290</v>
      </c>
      <c r="E806" s="67"/>
      <c r="F806" s="65" t="s">
        <v>217</v>
      </c>
      <c r="G806" s="73" t="s">
        <v>146</v>
      </c>
      <c r="H806" s="74" t="s">
        <v>103</v>
      </c>
      <c r="I806" s="77">
        <f t="shared" si="26"/>
        <v>37.698412698412703</v>
      </c>
      <c r="J806" s="77" t="s">
        <v>104</v>
      </c>
      <c r="K806" s="77">
        <f t="shared" si="27"/>
        <v>17.271000000000001</v>
      </c>
      <c r="L806" s="68" t="s">
        <v>289</v>
      </c>
    </row>
    <row r="807" spans="1:12" ht="13.5">
      <c r="A807" s="81" t="s">
        <v>69</v>
      </c>
      <c r="B807" s="65" t="s">
        <v>73</v>
      </c>
      <c r="C807" s="65" t="s">
        <v>61</v>
      </c>
      <c r="D807" s="66" t="s">
        <v>290</v>
      </c>
      <c r="E807" s="67"/>
      <c r="F807" s="65" t="s">
        <v>217</v>
      </c>
      <c r="G807" s="73" t="s">
        <v>147</v>
      </c>
      <c r="H807" s="74" t="s">
        <v>103</v>
      </c>
      <c r="I807" s="77">
        <f t="shared" si="26"/>
        <v>37.698412698412703</v>
      </c>
      <c r="J807" s="77" t="s">
        <v>104</v>
      </c>
      <c r="K807" s="77">
        <f t="shared" si="27"/>
        <v>17.271000000000001</v>
      </c>
      <c r="L807" s="68" t="s">
        <v>289</v>
      </c>
    </row>
    <row r="808" spans="1:12" ht="13.5">
      <c r="A808" s="81" t="s">
        <v>69</v>
      </c>
      <c r="B808" s="65" t="s">
        <v>73</v>
      </c>
      <c r="C808" s="65" t="s">
        <v>61</v>
      </c>
      <c r="D808" s="66" t="s">
        <v>290</v>
      </c>
      <c r="E808" s="67"/>
      <c r="F808" s="65" t="s">
        <v>217</v>
      </c>
      <c r="G808" s="73" t="s">
        <v>150</v>
      </c>
      <c r="H808" s="74" t="s">
        <v>109</v>
      </c>
      <c r="I808" s="77">
        <f t="shared" si="26"/>
        <v>37.257495590828924</v>
      </c>
      <c r="J808" s="77" t="s">
        <v>110</v>
      </c>
      <c r="K808" s="77">
        <f t="shared" si="27"/>
        <v>17.068999999999999</v>
      </c>
      <c r="L808" s="68" t="s">
        <v>289</v>
      </c>
    </row>
    <row r="809" spans="1:12" ht="13.5">
      <c r="A809" s="81" t="s">
        <v>69</v>
      </c>
      <c r="B809" s="65" t="s">
        <v>73</v>
      </c>
      <c r="C809" s="65" t="s">
        <v>61</v>
      </c>
      <c r="D809" s="66" t="s">
        <v>290</v>
      </c>
      <c r="E809" s="67"/>
      <c r="F809" s="65" t="s">
        <v>217</v>
      </c>
      <c r="G809" s="73" t="s">
        <v>151</v>
      </c>
      <c r="H809" s="74" t="s">
        <v>109</v>
      </c>
      <c r="I809" s="77">
        <f t="shared" si="26"/>
        <v>37.257495590828924</v>
      </c>
      <c r="J809" s="77" t="s">
        <v>110</v>
      </c>
      <c r="K809" s="77">
        <f t="shared" si="27"/>
        <v>17.068999999999999</v>
      </c>
      <c r="L809" s="68" t="s">
        <v>289</v>
      </c>
    </row>
    <row r="810" spans="1:12" ht="13.5">
      <c r="A810" s="81" t="s">
        <v>69</v>
      </c>
      <c r="B810" s="65" t="s">
        <v>73</v>
      </c>
      <c r="C810" s="65" t="s">
        <v>61</v>
      </c>
      <c r="D810" s="66" t="s">
        <v>290</v>
      </c>
      <c r="E810" s="67"/>
      <c r="F810" s="65" t="s">
        <v>217</v>
      </c>
      <c r="G810" s="73" t="s">
        <v>152</v>
      </c>
      <c r="H810" s="74" t="s">
        <v>103</v>
      </c>
      <c r="I810" s="77">
        <f t="shared" si="26"/>
        <v>37.698412698412703</v>
      </c>
      <c r="J810" s="77" t="s">
        <v>104</v>
      </c>
      <c r="K810" s="77">
        <f t="shared" si="27"/>
        <v>17.271000000000001</v>
      </c>
      <c r="L810" s="68" t="s">
        <v>289</v>
      </c>
    </row>
    <row r="811" spans="1:12" ht="13.5">
      <c r="A811" s="81" t="s">
        <v>69</v>
      </c>
      <c r="B811" s="65" t="s">
        <v>73</v>
      </c>
      <c r="C811" s="65" t="s">
        <v>61</v>
      </c>
      <c r="D811" s="66" t="s">
        <v>290</v>
      </c>
      <c r="E811" s="67"/>
      <c r="F811" s="65" t="s">
        <v>217</v>
      </c>
      <c r="G811" s="73" t="s">
        <v>153</v>
      </c>
      <c r="H811" s="74" t="s">
        <v>109</v>
      </c>
      <c r="I811" s="77">
        <f t="shared" si="26"/>
        <v>37.257495590828924</v>
      </c>
      <c r="J811" s="77" t="s">
        <v>110</v>
      </c>
      <c r="K811" s="77">
        <f t="shared" si="27"/>
        <v>17.068999999999999</v>
      </c>
      <c r="L811" s="68" t="s">
        <v>289</v>
      </c>
    </row>
    <row r="812" spans="1:12" ht="13.5">
      <c r="A812" s="81"/>
      <c r="B812" s="65"/>
      <c r="C812" s="65"/>
      <c r="D812" s="66"/>
      <c r="E812" s="67"/>
      <c r="F812" s="65" t="s">
        <v>87</v>
      </c>
      <c r="G812" s="73">
        <v>40</v>
      </c>
      <c r="H812" s="74" t="s">
        <v>195</v>
      </c>
      <c r="I812" s="77">
        <f t="shared" si="26"/>
        <v>1498.015873015873</v>
      </c>
      <c r="J812" s="77" t="s">
        <v>220</v>
      </c>
      <c r="K812" s="77">
        <f t="shared" si="27"/>
        <v>686.29499999999996</v>
      </c>
      <c r="L812" s="68" t="s">
        <v>289</v>
      </c>
    </row>
    <row r="813" spans="1:12" ht="13.5">
      <c r="A813" s="81" t="s">
        <v>69</v>
      </c>
      <c r="B813" s="65" t="s">
        <v>73</v>
      </c>
      <c r="C813" s="65" t="s">
        <v>61</v>
      </c>
      <c r="D813" s="66" t="s">
        <v>290</v>
      </c>
      <c r="E813" s="67"/>
      <c r="F813" s="65" t="s">
        <v>221</v>
      </c>
      <c r="G813" s="73" t="s">
        <v>99</v>
      </c>
      <c r="H813" s="74" t="s">
        <v>109</v>
      </c>
      <c r="I813" s="77">
        <f t="shared" si="26"/>
        <v>37.037037037037038</v>
      </c>
      <c r="J813" s="77" t="s">
        <v>158</v>
      </c>
      <c r="K813" s="77">
        <f t="shared" si="27"/>
        <v>16.968</v>
      </c>
      <c r="L813" s="68" t="s">
        <v>289</v>
      </c>
    </row>
    <row r="814" spans="1:12" ht="13.5">
      <c r="A814" s="81" t="s">
        <v>69</v>
      </c>
      <c r="B814" s="65" t="s">
        <v>73</v>
      </c>
      <c r="C814" s="65" t="s">
        <v>61</v>
      </c>
      <c r="D814" s="66" t="s">
        <v>290</v>
      </c>
      <c r="E814" s="67"/>
      <c r="F814" s="65" t="s">
        <v>221</v>
      </c>
      <c r="G814" s="73" t="s">
        <v>102</v>
      </c>
      <c r="H814" s="74" t="s">
        <v>103</v>
      </c>
      <c r="I814" s="77">
        <f t="shared" si="26"/>
        <v>37.47795414462081</v>
      </c>
      <c r="J814" s="77" t="s">
        <v>101</v>
      </c>
      <c r="K814" s="77">
        <f t="shared" si="27"/>
        <v>17.170000000000002</v>
      </c>
      <c r="L814" s="68" t="s">
        <v>289</v>
      </c>
    </row>
    <row r="815" spans="1:12" ht="13.5">
      <c r="A815" s="81" t="s">
        <v>69</v>
      </c>
      <c r="B815" s="65" t="s">
        <v>73</v>
      </c>
      <c r="C815" s="65" t="s">
        <v>61</v>
      </c>
      <c r="D815" s="66" t="s">
        <v>290</v>
      </c>
      <c r="E815" s="67"/>
      <c r="F815" s="65" t="s">
        <v>221</v>
      </c>
      <c r="G815" s="73" t="s">
        <v>105</v>
      </c>
      <c r="H815" s="74" t="s">
        <v>165</v>
      </c>
      <c r="I815" s="77">
        <f t="shared" si="26"/>
        <v>39.021164021164019</v>
      </c>
      <c r="J815" s="77" t="s">
        <v>194</v>
      </c>
      <c r="K815" s="77">
        <f t="shared" si="27"/>
        <v>17.876999999999999</v>
      </c>
      <c r="L815" s="68" t="s">
        <v>289</v>
      </c>
    </row>
    <row r="816" spans="1:12" ht="13.5">
      <c r="A816" s="81" t="s">
        <v>69</v>
      </c>
      <c r="B816" s="65" t="s">
        <v>73</v>
      </c>
      <c r="C816" s="65" t="s">
        <v>61</v>
      </c>
      <c r="D816" s="66" t="s">
        <v>290</v>
      </c>
      <c r="E816" s="67"/>
      <c r="F816" s="65" t="s">
        <v>221</v>
      </c>
      <c r="G816" s="73" t="s">
        <v>106</v>
      </c>
      <c r="H816" s="74" t="s">
        <v>171</v>
      </c>
      <c r="I816" s="77">
        <f t="shared" si="26"/>
        <v>39.682539682539684</v>
      </c>
      <c r="J816" s="77" t="s">
        <v>222</v>
      </c>
      <c r="K816" s="77">
        <f t="shared" si="27"/>
        <v>18.18</v>
      </c>
      <c r="L816" s="68" t="s">
        <v>289</v>
      </c>
    </row>
    <row r="817" spans="1:12" ht="13.5">
      <c r="A817" s="81" t="s">
        <v>69</v>
      </c>
      <c r="B817" s="65" t="s">
        <v>73</v>
      </c>
      <c r="C817" s="65" t="s">
        <v>61</v>
      </c>
      <c r="D817" s="66" t="s">
        <v>290</v>
      </c>
      <c r="E817" s="67"/>
      <c r="F817" s="65" t="s">
        <v>221</v>
      </c>
      <c r="G817" s="73" t="s">
        <v>108</v>
      </c>
      <c r="H817" s="74" t="s">
        <v>103</v>
      </c>
      <c r="I817" s="77">
        <f t="shared" si="26"/>
        <v>37.698412698412703</v>
      </c>
      <c r="J817" s="77" t="s">
        <v>104</v>
      </c>
      <c r="K817" s="77">
        <f t="shared" si="27"/>
        <v>17.271000000000001</v>
      </c>
      <c r="L817" s="68" t="s">
        <v>289</v>
      </c>
    </row>
    <row r="818" spans="1:12" ht="13.5">
      <c r="A818" s="81" t="s">
        <v>69</v>
      </c>
      <c r="B818" s="65" t="s">
        <v>73</v>
      </c>
      <c r="C818" s="65" t="s">
        <v>61</v>
      </c>
      <c r="D818" s="66" t="s">
        <v>290</v>
      </c>
      <c r="E818" s="67"/>
      <c r="F818" s="65" t="s">
        <v>221</v>
      </c>
      <c r="G818" s="73" t="s">
        <v>111</v>
      </c>
      <c r="H818" s="74" t="s">
        <v>148</v>
      </c>
      <c r="I818" s="77">
        <f t="shared" si="26"/>
        <v>38.359788359788354</v>
      </c>
      <c r="J818" s="77" t="s">
        <v>162</v>
      </c>
      <c r="K818" s="77">
        <f t="shared" si="27"/>
        <v>17.573999999999998</v>
      </c>
      <c r="L818" s="68" t="s">
        <v>289</v>
      </c>
    </row>
    <row r="819" spans="1:12" ht="13.5">
      <c r="A819" s="81" t="s">
        <v>69</v>
      </c>
      <c r="B819" s="65" t="s">
        <v>73</v>
      </c>
      <c r="C819" s="65" t="s">
        <v>61</v>
      </c>
      <c r="D819" s="66" t="s">
        <v>290</v>
      </c>
      <c r="E819" s="67"/>
      <c r="F819" s="65" t="s">
        <v>221</v>
      </c>
      <c r="G819" s="73" t="s">
        <v>112</v>
      </c>
      <c r="H819" s="74" t="s">
        <v>148</v>
      </c>
      <c r="I819" s="77">
        <f t="shared" si="26"/>
        <v>38.359788359788354</v>
      </c>
      <c r="J819" s="77" t="s">
        <v>162</v>
      </c>
      <c r="K819" s="77">
        <f t="shared" si="27"/>
        <v>17.573999999999998</v>
      </c>
      <c r="L819" s="68" t="s">
        <v>289</v>
      </c>
    </row>
    <row r="820" spans="1:12" ht="13.5">
      <c r="A820" s="81" t="s">
        <v>69</v>
      </c>
      <c r="B820" s="65" t="s">
        <v>73</v>
      </c>
      <c r="C820" s="65" t="s">
        <v>61</v>
      </c>
      <c r="D820" s="66" t="s">
        <v>290</v>
      </c>
      <c r="E820" s="67"/>
      <c r="F820" s="65" t="s">
        <v>221</v>
      </c>
      <c r="G820" s="73" t="s">
        <v>113</v>
      </c>
      <c r="H820" s="74" t="s">
        <v>114</v>
      </c>
      <c r="I820" s="77">
        <f t="shared" si="26"/>
        <v>38.580246913580247</v>
      </c>
      <c r="J820" s="77" t="s">
        <v>115</v>
      </c>
      <c r="K820" s="77">
        <f t="shared" si="27"/>
        <v>17.675000000000001</v>
      </c>
      <c r="L820" s="68" t="s">
        <v>289</v>
      </c>
    </row>
    <row r="821" spans="1:12" ht="13.5">
      <c r="A821" s="81" t="s">
        <v>69</v>
      </c>
      <c r="B821" s="65" t="s">
        <v>73</v>
      </c>
      <c r="C821" s="65" t="s">
        <v>61</v>
      </c>
      <c r="D821" s="66" t="s">
        <v>290</v>
      </c>
      <c r="E821" s="67"/>
      <c r="F821" s="65" t="s">
        <v>221</v>
      </c>
      <c r="G821" s="73" t="s">
        <v>116</v>
      </c>
      <c r="H821" s="74" t="s">
        <v>114</v>
      </c>
      <c r="I821" s="77">
        <f t="shared" si="26"/>
        <v>38.80070546737214</v>
      </c>
      <c r="J821" s="77" t="s">
        <v>160</v>
      </c>
      <c r="K821" s="77">
        <f t="shared" si="27"/>
        <v>17.776000000000003</v>
      </c>
      <c r="L821" s="68" t="s">
        <v>289</v>
      </c>
    </row>
    <row r="822" spans="1:12" ht="13.5">
      <c r="A822" s="81" t="s">
        <v>69</v>
      </c>
      <c r="B822" s="65" t="s">
        <v>73</v>
      </c>
      <c r="C822" s="65" t="s">
        <v>61</v>
      </c>
      <c r="D822" s="66" t="s">
        <v>290</v>
      </c>
      <c r="E822" s="67"/>
      <c r="F822" s="65" t="s">
        <v>221</v>
      </c>
      <c r="G822" s="73" t="s">
        <v>118</v>
      </c>
      <c r="H822" s="74" t="s">
        <v>165</v>
      </c>
      <c r="I822" s="77">
        <f t="shared" si="26"/>
        <v>39.021164021164019</v>
      </c>
      <c r="J822" s="77" t="s">
        <v>194</v>
      </c>
      <c r="K822" s="77">
        <f t="shared" si="27"/>
        <v>17.876999999999999</v>
      </c>
      <c r="L822" s="68" t="s">
        <v>289</v>
      </c>
    </row>
    <row r="823" spans="1:12" ht="13.5">
      <c r="A823" s="81" t="s">
        <v>69</v>
      </c>
      <c r="B823" s="65" t="s">
        <v>73</v>
      </c>
      <c r="C823" s="65" t="s">
        <v>61</v>
      </c>
      <c r="D823" s="66" t="s">
        <v>290</v>
      </c>
      <c r="E823" s="67"/>
      <c r="F823" s="65" t="s">
        <v>221</v>
      </c>
      <c r="G823" s="73" t="s">
        <v>121</v>
      </c>
      <c r="H823" s="74" t="s">
        <v>148</v>
      </c>
      <c r="I823" s="77">
        <f t="shared" si="26"/>
        <v>38.139329805996475</v>
      </c>
      <c r="J823" s="77" t="s">
        <v>149</v>
      </c>
      <c r="K823" s="77">
        <f t="shared" si="27"/>
        <v>17.473000000000003</v>
      </c>
      <c r="L823" s="68" t="s">
        <v>289</v>
      </c>
    </row>
    <row r="824" spans="1:12" ht="13.5">
      <c r="A824" s="81" t="s">
        <v>69</v>
      </c>
      <c r="B824" s="65" t="s">
        <v>73</v>
      </c>
      <c r="C824" s="65" t="s">
        <v>61</v>
      </c>
      <c r="D824" s="66" t="s">
        <v>290</v>
      </c>
      <c r="E824" s="67"/>
      <c r="F824" s="65" t="s">
        <v>221</v>
      </c>
      <c r="G824" s="73" t="s">
        <v>122</v>
      </c>
      <c r="H824" s="74" t="s">
        <v>148</v>
      </c>
      <c r="I824" s="77">
        <f t="shared" si="26"/>
        <v>38.139329805996475</v>
      </c>
      <c r="J824" s="77" t="s">
        <v>149</v>
      </c>
      <c r="K824" s="77">
        <f t="shared" si="27"/>
        <v>17.473000000000003</v>
      </c>
      <c r="L824" s="68" t="s">
        <v>289</v>
      </c>
    </row>
    <row r="825" spans="1:12" ht="13.5">
      <c r="A825" s="81" t="s">
        <v>69</v>
      </c>
      <c r="B825" s="65" t="s">
        <v>73</v>
      </c>
      <c r="C825" s="65" t="s">
        <v>61</v>
      </c>
      <c r="D825" s="66" t="s">
        <v>290</v>
      </c>
      <c r="E825" s="67"/>
      <c r="F825" s="65" t="s">
        <v>221</v>
      </c>
      <c r="G825" s="73" t="s">
        <v>123</v>
      </c>
      <c r="H825" s="74" t="s">
        <v>103</v>
      </c>
      <c r="I825" s="77">
        <f t="shared" si="26"/>
        <v>37.698412698412703</v>
      </c>
      <c r="J825" s="77" t="s">
        <v>104</v>
      </c>
      <c r="K825" s="77">
        <f t="shared" si="27"/>
        <v>17.271000000000001</v>
      </c>
      <c r="L825" s="68" t="s">
        <v>289</v>
      </c>
    </row>
    <row r="826" spans="1:12" ht="13.5">
      <c r="A826" s="81" t="s">
        <v>69</v>
      </c>
      <c r="B826" s="65" t="s">
        <v>73</v>
      </c>
      <c r="C826" s="65" t="s">
        <v>61</v>
      </c>
      <c r="D826" s="66" t="s">
        <v>290</v>
      </c>
      <c r="E826" s="67"/>
      <c r="F826" s="65" t="s">
        <v>221</v>
      </c>
      <c r="G826" s="73" t="s">
        <v>124</v>
      </c>
      <c r="H826" s="74" t="s">
        <v>103</v>
      </c>
      <c r="I826" s="77">
        <f t="shared" si="26"/>
        <v>37.698412698412703</v>
      </c>
      <c r="J826" s="77" t="s">
        <v>104</v>
      </c>
      <c r="K826" s="77">
        <f t="shared" si="27"/>
        <v>17.271000000000001</v>
      </c>
      <c r="L826" s="68" t="s">
        <v>289</v>
      </c>
    </row>
    <row r="827" spans="1:12" ht="13.5">
      <c r="A827" s="81" t="s">
        <v>69</v>
      </c>
      <c r="B827" s="65" t="s">
        <v>73</v>
      </c>
      <c r="C827" s="65" t="s">
        <v>61</v>
      </c>
      <c r="D827" s="66" t="s">
        <v>290</v>
      </c>
      <c r="E827" s="67"/>
      <c r="F827" s="65" t="s">
        <v>221</v>
      </c>
      <c r="G827" s="73" t="s">
        <v>161</v>
      </c>
      <c r="H827" s="74" t="s">
        <v>148</v>
      </c>
      <c r="I827" s="77">
        <f t="shared" si="26"/>
        <v>38.359788359788354</v>
      </c>
      <c r="J827" s="77" t="s">
        <v>162</v>
      </c>
      <c r="K827" s="77">
        <f t="shared" si="27"/>
        <v>17.573999999999998</v>
      </c>
      <c r="L827" s="68" t="s">
        <v>289</v>
      </c>
    </row>
    <row r="828" spans="1:12" ht="13.5">
      <c r="A828" s="81" t="s">
        <v>69</v>
      </c>
      <c r="B828" s="65" t="s">
        <v>73</v>
      </c>
      <c r="C828" s="65" t="s">
        <v>61</v>
      </c>
      <c r="D828" s="66" t="s">
        <v>290</v>
      </c>
      <c r="E828" s="67"/>
      <c r="F828" s="65" t="s">
        <v>221</v>
      </c>
      <c r="G828" s="73" t="s">
        <v>125</v>
      </c>
      <c r="H828" s="74" t="s">
        <v>103</v>
      </c>
      <c r="I828" s="77">
        <f t="shared" si="26"/>
        <v>37.698412698412703</v>
      </c>
      <c r="J828" s="77" t="s">
        <v>104</v>
      </c>
      <c r="K828" s="77">
        <f t="shared" si="27"/>
        <v>17.271000000000001</v>
      </c>
      <c r="L828" s="68" t="s">
        <v>289</v>
      </c>
    </row>
    <row r="829" spans="1:12" ht="13.5">
      <c r="A829" s="81" t="s">
        <v>69</v>
      </c>
      <c r="B829" s="65" t="s">
        <v>73</v>
      </c>
      <c r="C829" s="65" t="s">
        <v>61</v>
      </c>
      <c r="D829" s="66" t="s">
        <v>290</v>
      </c>
      <c r="E829" s="67"/>
      <c r="F829" s="65" t="s">
        <v>221</v>
      </c>
      <c r="G829" s="73" t="s">
        <v>128</v>
      </c>
      <c r="H829" s="74" t="s">
        <v>148</v>
      </c>
      <c r="I829" s="77">
        <f t="shared" si="26"/>
        <v>38.139329805996475</v>
      </c>
      <c r="J829" s="77" t="s">
        <v>149</v>
      </c>
      <c r="K829" s="77">
        <f t="shared" si="27"/>
        <v>17.473000000000003</v>
      </c>
      <c r="L829" s="68" t="s">
        <v>289</v>
      </c>
    </row>
    <row r="830" spans="1:12" ht="13.5">
      <c r="A830" s="81" t="s">
        <v>69</v>
      </c>
      <c r="B830" s="65" t="s">
        <v>73</v>
      </c>
      <c r="C830" s="65" t="s">
        <v>61</v>
      </c>
      <c r="D830" s="66" t="s">
        <v>290</v>
      </c>
      <c r="E830" s="67"/>
      <c r="F830" s="65" t="s">
        <v>221</v>
      </c>
      <c r="G830" s="73" t="s">
        <v>129</v>
      </c>
      <c r="H830" s="74" t="s">
        <v>103</v>
      </c>
      <c r="I830" s="77">
        <f t="shared" si="26"/>
        <v>37.698412698412703</v>
      </c>
      <c r="J830" s="77" t="s">
        <v>104</v>
      </c>
      <c r="K830" s="77">
        <f t="shared" si="27"/>
        <v>17.271000000000001</v>
      </c>
      <c r="L830" s="68" t="s">
        <v>289</v>
      </c>
    </row>
    <row r="831" spans="1:12" ht="13.5">
      <c r="A831" s="81" t="s">
        <v>69</v>
      </c>
      <c r="B831" s="65" t="s">
        <v>73</v>
      </c>
      <c r="C831" s="65" t="s">
        <v>61</v>
      </c>
      <c r="D831" s="66" t="s">
        <v>290</v>
      </c>
      <c r="E831" s="67"/>
      <c r="F831" s="65" t="s">
        <v>221</v>
      </c>
      <c r="G831" s="73" t="s">
        <v>130</v>
      </c>
      <c r="H831" s="74" t="s">
        <v>126</v>
      </c>
      <c r="I831" s="77">
        <f t="shared" si="26"/>
        <v>36.816578483245145</v>
      </c>
      <c r="J831" s="77" t="s">
        <v>127</v>
      </c>
      <c r="K831" s="77">
        <f t="shared" si="27"/>
        <v>16.867000000000001</v>
      </c>
      <c r="L831" s="68" t="s">
        <v>289</v>
      </c>
    </row>
    <row r="832" spans="1:12" ht="13.5">
      <c r="A832" s="81" t="s">
        <v>69</v>
      </c>
      <c r="B832" s="65" t="s">
        <v>73</v>
      </c>
      <c r="C832" s="65" t="s">
        <v>61</v>
      </c>
      <c r="D832" s="66" t="s">
        <v>290</v>
      </c>
      <c r="E832" s="67"/>
      <c r="F832" s="65" t="s">
        <v>221</v>
      </c>
      <c r="G832" s="73" t="s">
        <v>131</v>
      </c>
      <c r="H832" s="74" t="s">
        <v>119</v>
      </c>
      <c r="I832" s="77">
        <f t="shared" ref="I832:I895" si="28">+J832/0.4536</f>
        <v>36.155202821869487</v>
      </c>
      <c r="J832" s="77" t="s">
        <v>120</v>
      </c>
      <c r="K832" s="77">
        <f t="shared" ref="K832:K895" si="29">+J832*1.01</f>
        <v>16.564</v>
      </c>
      <c r="L832" s="68" t="s">
        <v>289</v>
      </c>
    </row>
    <row r="833" spans="1:12" ht="13.5">
      <c r="A833" s="81" t="s">
        <v>69</v>
      </c>
      <c r="B833" s="65" t="s">
        <v>73</v>
      </c>
      <c r="C833" s="65" t="s">
        <v>61</v>
      </c>
      <c r="D833" s="66" t="s">
        <v>290</v>
      </c>
      <c r="E833" s="67"/>
      <c r="F833" s="65" t="s">
        <v>221</v>
      </c>
      <c r="G833" s="73" t="s">
        <v>164</v>
      </c>
      <c r="H833" s="74" t="s">
        <v>223</v>
      </c>
      <c r="I833" s="77">
        <f t="shared" si="28"/>
        <v>49.603174603174601</v>
      </c>
      <c r="J833" s="77" t="s">
        <v>224</v>
      </c>
      <c r="K833" s="77">
        <f t="shared" si="29"/>
        <v>22.725000000000001</v>
      </c>
      <c r="L833" s="68" t="s">
        <v>289</v>
      </c>
    </row>
    <row r="834" spans="1:12" ht="13.5">
      <c r="A834" s="81" t="s">
        <v>69</v>
      </c>
      <c r="B834" s="65" t="s">
        <v>73</v>
      </c>
      <c r="C834" s="65" t="s">
        <v>61</v>
      </c>
      <c r="D834" s="66" t="s">
        <v>290</v>
      </c>
      <c r="E834" s="67"/>
      <c r="F834" s="65" t="s">
        <v>221</v>
      </c>
      <c r="G834" s="73" t="s">
        <v>132</v>
      </c>
      <c r="H834" s="74" t="s">
        <v>103</v>
      </c>
      <c r="I834" s="77">
        <f t="shared" si="28"/>
        <v>37.47795414462081</v>
      </c>
      <c r="J834" s="77" t="s">
        <v>101</v>
      </c>
      <c r="K834" s="77">
        <f t="shared" si="29"/>
        <v>17.170000000000002</v>
      </c>
      <c r="L834" s="68" t="s">
        <v>289</v>
      </c>
    </row>
    <row r="835" spans="1:12" ht="13.5">
      <c r="A835" s="81" t="s">
        <v>69</v>
      </c>
      <c r="B835" s="65" t="s">
        <v>73</v>
      </c>
      <c r="C835" s="65" t="s">
        <v>61</v>
      </c>
      <c r="D835" s="66" t="s">
        <v>290</v>
      </c>
      <c r="E835" s="67"/>
      <c r="F835" s="65" t="s">
        <v>221</v>
      </c>
      <c r="G835" s="73" t="s">
        <v>133</v>
      </c>
      <c r="H835" s="74" t="s">
        <v>148</v>
      </c>
      <c r="I835" s="77">
        <f t="shared" si="28"/>
        <v>38.139329805996475</v>
      </c>
      <c r="J835" s="77" t="s">
        <v>149</v>
      </c>
      <c r="K835" s="77">
        <f t="shared" si="29"/>
        <v>17.473000000000003</v>
      </c>
      <c r="L835" s="68" t="s">
        <v>289</v>
      </c>
    </row>
    <row r="836" spans="1:12" ht="13.5">
      <c r="A836" s="81" t="s">
        <v>69</v>
      </c>
      <c r="B836" s="65" t="s">
        <v>73</v>
      </c>
      <c r="C836" s="65" t="s">
        <v>61</v>
      </c>
      <c r="D836" s="66" t="s">
        <v>290</v>
      </c>
      <c r="E836" s="67"/>
      <c r="F836" s="65" t="s">
        <v>221</v>
      </c>
      <c r="G836" s="73" t="s">
        <v>134</v>
      </c>
      <c r="H836" s="74" t="s">
        <v>103</v>
      </c>
      <c r="I836" s="77">
        <f t="shared" si="28"/>
        <v>37.698412698412703</v>
      </c>
      <c r="J836" s="77" t="s">
        <v>104</v>
      </c>
      <c r="K836" s="77">
        <f t="shared" si="29"/>
        <v>17.271000000000001</v>
      </c>
      <c r="L836" s="68" t="s">
        <v>289</v>
      </c>
    </row>
    <row r="837" spans="1:12" ht="13.5">
      <c r="A837" s="81" t="s">
        <v>69</v>
      </c>
      <c r="B837" s="65" t="s">
        <v>73</v>
      </c>
      <c r="C837" s="65" t="s">
        <v>61</v>
      </c>
      <c r="D837" s="66" t="s">
        <v>290</v>
      </c>
      <c r="E837" s="67"/>
      <c r="F837" s="65" t="s">
        <v>221</v>
      </c>
      <c r="G837" s="73" t="s">
        <v>135</v>
      </c>
      <c r="H837" s="74" t="s">
        <v>144</v>
      </c>
      <c r="I837" s="77">
        <f t="shared" si="28"/>
        <v>34.171075837742507</v>
      </c>
      <c r="J837" s="77" t="s">
        <v>225</v>
      </c>
      <c r="K837" s="77">
        <f t="shared" si="29"/>
        <v>15.654999999999999</v>
      </c>
      <c r="L837" s="68" t="s">
        <v>289</v>
      </c>
    </row>
    <row r="838" spans="1:12" ht="13.5">
      <c r="A838" s="81" t="s">
        <v>69</v>
      </c>
      <c r="B838" s="65" t="s">
        <v>73</v>
      </c>
      <c r="C838" s="65" t="s">
        <v>61</v>
      </c>
      <c r="D838" s="66" t="s">
        <v>290</v>
      </c>
      <c r="E838" s="67"/>
      <c r="F838" s="65" t="s">
        <v>221</v>
      </c>
      <c r="G838" s="73" t="s">
        <v>136</v>
      </c>
      <c r="H838" s="74" t="s">
        <v>226</v>
      </c>
      <c r="I838" s="77">
        <f t="shared" si="28"/>
        <v>47.839506172839506</v>
      </c>
      <c r="J838" s="77" t="s">
        <v>227</v>
      </c>
      <c r="K838" s="77">
        <f t="shared" si="29"/>
        <v>21.916999999999998</v>
      </c>
      <c r="L838" s="68" t="s">
        <v>289</v>
      </c>
    </row>
    <row r="839" spans="1:12" ht="13.5">
      <c r="A839" s="81" t="s">
        <v>69</v>
      </c>
      <c r="B839" s="65" t="s">
        <v>73</v>
      </c>
      <c r="C839" s="65" t="s">
        <v>61</v>
      </c>
      <c r="D839" s="66" t="s">
        <v>290</v>
      </c>
      <c r="E839" s="67"/>
      <c r="F839" s="65" t="s">
        <v>221</v>
      </c>
      <c r="G839" s="73" t="s">
        <v>137</v>
      </c>
      <c r="H839" s="74" t="s">
        <v>165</v>
      </c>
      <c r="I839" s="77">
        <f t="shared" si="28"/>
        <v>39.021164021164019</v>
      </c>
      <c r="J839" s="77" t="s">
        <v>194</v>
      </c>
      <c r="K839" s="77">
        <f t="shared" si="29"/>
        <v>17.876999999999999</v>
      </c>
      <c r="L839" s="68" t="s">
        <v>289</v>
      </c>
    </row>
    <row r="840" spans="1:12" ht="13.5">
      <c r="A840" s="81" t="s">
        <v>69</v>
      </c>
      <c r="B840" s="65" t="s">
        <v>73</v>
      </c>
      <c r="C840" s="65" t="s">
        <v>61</v>
      </c>
      <c r="D840" s="66" t="s">
        <v>290</v>
      </c>
      <c r="E840" s="67"/>
      <c r="F840" s="65" t="s">
        <v>221</v>
      </c>
      <c r="G840" s="73" t="s">
        <v>138</v>
      </c>
      <c r="H840" s="74" t="s">
        <v>148</v>
      </c>
      <c r="I840" s="77">
        <f t="shared" si="28"/>
        <v>37.918871252204582</v>
      </c>
      <c r="J840" s="77" t="s">
        <v>163</v>
      </c>
      <c r="K840" s="77">
        <f t="shared" si="29"/>
        <v>17.372</v>
      </c>
      <c r="L840" s="68" t="s">
        <v>289</v>
      </c>
    </row>
    <row r="841" spans="1:12" ht="13.5">
      <c r="A841" s="81" t="s">
        <v>69</v>
      </c>
      <c r="B841" s="65" t="s">
        <v>73</v>
      </c>
      <c r="C841" s="65" t="s">
        <v>61</v>
      </c>
      <c r="D841" s="66" t="s">
        <v>290</v>
      </c>
      <c r="E841" s="67"/>
      <c r="F841" s="65" t="s">
        <v>221</v>
      </c>
      <c r="G841" s="73" t="s">
        <v>139</v>
      </c>
      <c r="H841" s="74" t="s">
        <v>148</v>
      </c>
      <c r="I841" s="77">
        <f t="shared" si="28"/>
        <v>37.918871252204582</v>
      </c>
      <c r="J841" s="77" t="s">
        <v>163</v>
      </c>
      <c r="K841" s="77">
        <f t="shared" si="29"/>
        <v>17.372</v>
      </c>
      <c r="L841" s="68" t="s">
        <v>289</v>
      </c>
    </row>
    <row r="842" spans="1:12" ht="13.5">
      <c r="A842" s="81" t="s">
        <v>69</v>
      </c>
      <c r="B842" s="65" t="s">
        <v>73</v>
      </c>
      <c r="C842" s="65" t="s">
        <v>61</v>
      </c>
      <c r="D842" s="66" t="s">
        <v>290</v>
      </c>
      <c r="E842" s="67"/>
      <c r="F842" s="65" t="s">
        <v>221</v>
      </c>
      <c r="G842" s="73" t="s">
        <v>140</v>
      </c>
      <c r="H842" s="74" t="s">
        <v>114</v>
      </c>
      <c r="I842" s="77">
        <f t="shared" si="28"/>
        <v>38.580246913580247</v>
      </c>
      <c r="J842" s="77" t="s">
        <v>115</v>
      </c>
      <c r="K842" s="77">
        <f t="shared" si="29"/>
        <v>17.675000000000001</v>
      </c>
      <c r="L842" s="68" t="s">
        <v>289</v>
      </c>
    </row>
    <row r="843" spans="1:12" ht="13.5">
      <c r="A843" s="81" t="s">
        <v>69</v>
      </c>
      <c r="B843" s="65" t="s">
        <v>73</v>
      </c>
      <c r="C843" s="65" t="s">
        <v>61</v>
      </c>
      <c r="D843" s="66" t="s">
        <v>290</v>
      </c>
      <c r="E843" s="67"/>
      <c r="F843" s="65" t="s">
        <v>221</v>
      </c>
      <c r="G843" s="73" t="s">
        <v>167</v>
      </c>
      <c r="H843" s="74" t="s">
        <v>148</v>
      </c>
      <c r="I843" s="77">
        <f t="shared" si="28"/>
        <v>38.139329805996475</v>
      </c>
      <c r="J843" s="77" t="s">
        <v>149</v>
      </c>
      <c r="K843" s="77">
        <f t="shared" si="29"/>
        <v>17.473000000000003</v>
      </c>
      <c r="L843" s="68" t="s">
        <v>289</v>
      </c>
    </row>
    <row r="844" spans="1:12" ht="13.5">
      <c r="A844" s="81" t="s">
        <v>69</v>
      </c>
      <c r="B844" s="65" t="s">
        <v>73</v>
      </c>
      <c r="C844" s="65" t="s">
        <v>61</v>
      </c>
      <c r="D844" s="66" t="s">
        <v>290</v>
      </c>
      <c r="E844" s="67"/>
      <c r="F844" s="65" t="s">
        <v>221</v>
      </c>
      <c r="G844" s="73" t="s">
        <v>141</v>
      </c>
      <c r="H844" s="74" t="s">
        <v>114</v>
      </c>
      <c r="I844" s="77">
        <f t="shared" si="28"/>
        <v>38.80070546737214</v>
      </c>
      <c r="J844" s="77" t="s">
        <v>160</v>
      </c>
      <c r="K844" s="77">
        <f t="shared" si="29"/>
        <v>17.776000000000003</v>
      </c>
      <c r="L844" s="68" t="s">
        <v>289</v>
      </c>
    </row>
    <row r="845" spans="1:12" ht="13.5">
      <c r="A845" s="81" t="s">
        <v>69</v>
      </c>
      <c r="B845" s="65" t="s">
        <v>73</v>
      </c>
      <c r="C845" s="65" t="s">
        <v>61</v>
      </c>
      <c r="D845" s="66" t="s">
        <v>290</v>
      </c>
      <c r="E845" s="67"/>
      <c r="F845" s="65" t="s">
        <v>221</v>
      </c>
      <c r="G845" s="73" t="s">
        <v>142</v>
      </c>
      <c r="H845" s="74" t="s">
        <v>114</v>
      </c>
      <c r="I845" s="77">
        <f t="shared" si="28"/>
        <v>38.580246913580247</v>
      </c>
      <c r="J845" s="77" t="s">
        <v>115</v>
      </c>
      <c r="K845" s="77">
        <f t="shared" si="29"/>
        <v>17.675000000000001</v>
      </c>
      <c r="L845" s="68" t="s">
        <v>289</v>
      </c>
    </row>
    <row r="846" spans="1:12" ht="13.5">
      <c r="A846" s="81" t="s">
        <v>69</v>
      </c>
      <c r="B846" s="65" t="s">
        <v>73</v>
      </c>
      <c r="C846" s="65" t="s">
        <v>61</v>
      </c>
      <c r="D846" s="66" t="s">
        <v>290</v>
      </c>
      <c r="E846" s="67"/>
      <c r="F846" s="65" t="s">
        <v>221</v>
      </c>
      <c r="G846" s="73" t="s">
        <v>143</v>
      </c>
      <c r="H846" s="74" t="s">
        <v>103</v>
      </c>
      <c r="I846" s="77">
        <f t="shared" si="28"/>
        <v>37.698412698412703</v>
      </c>
      <c r="J846" s="77" t="s">
        <v>104</v>
      </c>
      <c r="K846" s="77">
        <f t="shared" si="29"/>
        <v>17.271000000000001</v>
      </c>
      <c r="L846" s="68" t="s">
        <v>289</v>
      </c>
    </row>
    <row r="847" spans="1:12" ht="13.5">
      <c r="A847" s="81" t="s">
        <v>69</v>
      </c>
      <c r="B847" s="65" t="s">
        <v>73</v>
      </c>
      <c r="C847" s="65" t="s">
        <v>61</v>
      </c>
      <c r="D847" s="66" t="s">
        <v>290</v>
      </c>
      <c r="E847" s="67"/>
      <c r="F847" s="65" t="s">
        <v>221</v>
      </c>
      <c r="G847" s="73" t="s">
        <v>146</v>
      </c>
      <c r="H847" s="74" t="s">
        <v>114</v>
      </c>
      <c r="I847" s="77">
        <f t="shared" si="28"/>
        <v>38.580246913580247</v>
      </c>
      <c r="J847" s="77" t="s">
        <v>115</v>
      </c>
      <c r="K847" s="77">
        <f t="shared" si="29"/>
        <v>17.675000000000001</v>
      </c>
      <c r="L847" s="68" t="s">
        <v>289</v>
      </c>
    </row>
    <row r="848" spans="1:12" ht="13.5">
      <c r="A848" s="81" t="s">
        <v>69</v>
      </c>
      <c r="B848" s="65" t="s">
        <v>73</v>
      </c>
      <c r="C848" s="65" t="s">
        <v>61</v>
      </c>
      <c r="D848" s="66" t="s">
        <v>290</v>
      </c>
      <c r="E848" s="67"/>
      <c r="F848" s="65" t="s">
        <v>221</v>
      </c>
      <c r="G848" s="73" t="s">
        <v>147</v>
      </c>
      <c r="H848" s="74" t="s">
        <v>109</v>
      </c>
      <c r="I848" s="77">
        <f t="shared" si="28"/>
        <v>37.257495590828924</v>
      </c>
      <c r="J848" s="77" t="s">
        <v>110</v>
      </c>
      <c r="K848" s="77">
        <f t="shared" si="29"/>
        <v>17.068999999999999</v>
      </c>
      <c r="L848" s="68" t="s">
        <v>289</v>
      </c>
    </row>
    <row r="849" spans="1:12" ht="13.5">
      <c r="A849" s="81" t="s">
        <v>69</v>
      </c>
      <c r="B849" s="65" t="s">
        <v>73</v>
      </c>
      <c r="C849" s="65" t="s">
        <v>61</v>
      </c>
      <c r="D849" s="66" t="s">
        <v>290</v>
      </c>
      <c r="E849" s="67"/>
      <c r="F849" s="65" t="s">
        <v>221</v>
      </c>
      <c r="G849" s="73" t="s">
        <v>150</v>
      </c>
      <c r="H849" s="74" t="s">
        <v>103</v>
      </c>
      <c r="I849" s="77">
        <f t="shared" si="28"/>
        <v>37.698412698412703</v>
      </c>
      <c r="J849" s="77" t="s">
        <v>104</v>
      </c>
      <c r="K849" s="77">
        <f t="shared" si="29"/>
        <v>17.271000000000001</v>
      </c>
      <c r="L849" s="68" t="s">
        <v>289</v>
      </c>
    </row>
    <row r="850" spans="1:12" ht="13.5">
      <c r="A850" s="81" t="s">
        <v>69</v>
      </c>
      <c r="B850" s="65" t="s">
        <v>73</v>
      </c>
      <c r="C850" s="65" t="s">
        <v>61</v>
      </c>
      <c r="D850" s="66" t="s">
        <v>290</v>
      </c>
      <c r="E850" s="67"/>
      <c r="F850" s="65" t="s">
        <v>221</v>
      </c>
      <c r="G850" s="73" t="s">
        <v>151</v>
      </c>
      <c r="H850" s="74" t="s">
        <v>103</v>
      </c>
      <c r="I850" s="77">
        <f t="shared" si="28"/>
        <v>37.698412698412703</v>
      </c>
      <c r="J850" s="77" t="s">
        <v>104</v>
      </c>
      <c r="K850" s="77">
        <f t="shared" si="29"/>
        <v>17.271000000000001</v>
      </c>
      <c r="L850" s="68" t="s">
        <v>289</v>
      </c>
    </row>
    <row r="851" spans="1:12" ht="13.5">
      <c r="A851" s="81" t="s">
        <v>69</v>
      </c>
      <c r="B851" s="65" t="s">
        <v>73</v>
      </c>
      <c r="C851" s="65" t="s">
        <v>61</v>
      </c>
      <c r="D851" s="66" t="s">
        <v>290</v>
      </c>
      <c r="E851" s="67"/>
      <c r="F851" s="65" t="s">
        <v>221</v>
      </c>
      <c r="G851" s="73" t="s">
        <v>152</v>
      </c>
      <c r="H851" s="74" t="s">
        <v>228</v>
      </c>
      <c r="I851" s="77">
        <f t="shared" si="28"/>
        <v>34.832451499118164</v>
      </c>
      <c r="J851" s="77" t="s">
        <v>229</v>
      </c>
      <c r="K851" s="77">
        <f t="shared" si="29"/>
        <v>15.958</v>
      </c>
      <c r="L851" s="68" t="s">
        <v>289</v>
      </c>
    </row>
    <row r="852" spans="1:12" ht="13.5">
      <c r="A852" s="81" t="s">
        <v>69</v>
      </c>
      <c r="B852" s="65" t="s">
        <v>73</v>
      </c>
      <c r="C852" s="65" t="s">
        <v>61</v>
      </c>
      <c r="D852" s="66" t="s">
        <v>290</v>
      </c>
      <c r="E852" s="67"/>
      <c r="F852" s="65" t="s">
        <v>221</v>
      </c>
      <c r="G852" s="73" t="s">
        <v>153</v>
      </c>
      <c r="H852" s="74" t="s">
        <v>148</v>
      </c>
      <c r="I852" s="77">
        <f t="shared" si="28"/>
        <v>37.918871252204582</v>
      </c>
      <c r="J852" s="77" t="s">
        <v>163</v>
      </c>
      <c r="K852" s="77">
        <f t="shared" si="29"/>
        <v>17.372</v>
      </c>
      <c r="L852" s="68" t="s">
        <v>289</v>
      </c>
    </row>
    <row r="853" spans="1:12" ht="13.5">
      <c r="A853" s="81"/>
      <c r="B853" s="65" t="s">
        <v>73</v>
      </c>
      <c r="C853" s="65"/>
      <c r="D853" s="66"/>
      <c r="E853" s="67"/>
      <c r="F853" s="65" t="s">
        <v>87</v>
      </c>
      <c r="G853" s="73">
        <v>40</v>
      </c>
      <c r="H853" s="74" t="s">
        <v>230</v>
      </c>
      <c r="I853" s="77">
        <f t="shared" si="28"/>
        <v>1536.1552028218694</v>
      </c>
      <c r="J853" s="77" t="s">
        <v>231</v>
      </c>
      <c r="K853" s="77">
        <f t="shared" si="29"/>
        <v>703.76799999999992</v>
      </c>
      <c r="L853" s="68" t="s">
        <v>289</v>
      </c>
    </row>
    <row r="854" spans="1:12" ht="13.5">
      <c r="A854" s="81" t="s">
        <v>69</v>
      </c>
      <c r="B854" s="65" t="s">
        <v>73</v>
      </c>
      <c r="C854" s="65" t="s">
        <v>61</v>
      </c>
      <c r="D854" s="66" t="s">
        <v>290</v>
      </c>
      <c r="E854" s="67"/>
      <c r="F854" s="65" t="s">
        <v>232</v>
      </c>
      <c r="G854" s="73" t="s">
        <v>99</v>
      </c>
      <c r="H854" s="74" t="s">
        <v>148</v>
      </c>
      <c r="I854" s="77">
        <f t="shared" si="28"/>
        <v>38.139329805996475</v>
      </c>
      <c r="J854" s="77" t="s">
        <v>149</v>
      </c>
      <c r="K854" s="77">
        <f t="shared" si="29"/>
        <v>17.473000000000003</v>
      </c>
      <c r="L854" s="68" t="s">
        <v>289</v>
      </c>
    </row>
    <row r="855" spans="1:12" ht="13.5">
      <c r="A855" s="81" t="s">
        <v>69</v>
      </c>
      <c r="B855" s="65" t="s">
        <v>73</v>
      </c>
      <c r="C855" s="65" t="s">
        <v>61</v>
      </c>
      <c r="D855" s="66" t="s">
        <v>290</v>
      </c>
      <c r="E855" s="67"/>
      <c r="F855" s="65" t="s">
        <v>232</v>
      </c>
      <c r="G855" s="73" t="s">
        <v>102</v>
      </c>
      <c r="H855" s="74" t="s">
        <v>148</v>
      </c>
      <c r="I855" s="77">
        <f t="shared" si="28"/>
        <v>38.139329805996475</v>
      </c>
      <c r="J855" s="77" t="s">
        <v>149</v>
      </c>
      <c r="K855" s="77">
        <f t="shared" si="29"/>
        <v>17.473000000000003</v>
      </c>
      <c r="L855" s="68" t="s">
        <v>289</v>
      </c>
    </row>
    <row r="856" spans="1:12" ht="13.5">
      <c r="A856" s="81" t="s">
        <v>69</v>
      </c>
      <c r="B856" s="65" t="s">
        <v>73</v>
      </c>
      <c r="C856" s="65" t="s">
        <v>61</v>
      </c>
      <c r="D856" s="66" t="s">
        <v>290</v>
      </c>
      <c r="E856" s="67"/>
      <c r="F856" s="65" t="s">
        <v>232</v>
      </c>
      <c r="G856" s="73" t="s">
        <v>105</v>
      </c>
      <c r="H856" s="74" t="s">
        <v>126</v>
      </c>
      <c r="I856" s="77">
        <f t="shared" si="28"/>
        <v>36.816578483245145</v>
      </c>
      <c r="J856" s="77" t="s">
        <v>127</v>
      </c>
      <c r="K856" s="77">
        <f t="shared" si="29"/>
        <v>16.867000000000001</v>
      </c>
      <c r="L856" s="68" t="s">
        <v>289</v>
      </c>
    </row>
    <row r="857" spans="1:12" ht="13.5">
      <c r="A857" s="81" t="s">
        <v>69</v>
      </c>
      <c r="B857" s="65" t="s">
        <v>73</v>
      </c>
      <c r="C857" s="65" t="s">
        <v>61</v>
      </c>
      <c r="D857" s="66" t="s">
        <v>290</v>
      </c>
      <c r="E857" s="67"/>
      <c r="F857" s="65" t="s">
        <v>232</v>
      </c>
      <c r="G857" s="73" t="s">
        <v>106</v>
      </c>
      <c r="H857" s="74" t="s">
        <v>148</v>
      </c>
      <c r="I857" s="77">
        <f t="shared" si="28"/>
        <v>38.139329805996475</v>
      </c>
      <c r="J857" s="77" t="s">
        <v>149</v>
      </c>
      <c r="K857" s="77">
        <f t="shared" si="29"/>
        <v>17.473000000000003</v>
      </c>
      <c r="L857" s="68" t="s">
        <v>289</v>
      </c>
    </row>
    <row r="858" spans="1:12" ht="13.5">
      <c r="A858" s="81" t="s">
        <v>69</v>
      </c>
      <c r="B858" s="65" t="s">
        <v>73</v>
      </c>
      <c r="C858" s="65" t="s">
        <v>61</v>
      </c>
      <c r="D858" s="66" t="s">
        <v>290</v>
      </c>
      <c r="E858" s="67"/>
      <c r="F858" s="65" t="s">
        <v>232</v>
      </c>
      <c r="G858" s="73" t="s">
        <v>108</v>
      </c>
      <c r="H858" s="74" t="s">
        <v>148</v>
      </c>
      <c r="I858" s="77">
        <f t="shared" si="28"/>
        <v>38.139329805996475</v>
      </c>
      <c r="J858" s="77" t="s">
        <v>149</v>
      </c>
      <c r="K858" s="77">
        <f t="shared" si="29"/>
        <v>17.473000000000003</v>
      </c>
      <c r="L858" s="68" t="s">
        <v>289</v>
      </c>
    </row>
    <row r="859" spans="1:12" ht="13.5">
      <c r="A859" s="81" t="s">
        <v>69</v>
      </c>
      <c r="B859" s="65" t="s">
        <v>73</v>
      </c>
      <c r="C859" s="65" t="s">
        <v>61</v>
      </c>
      <c r="D859" s="66" t="s">
        <v>290</v>
      </c>
      <c r="E859" s="67"/>
      <c r="F859" s="65" t="s">
        <v>232</v>
      </c>
      <c r="G859" s="73" t="s">
        <v>111</v>
      </c>
      <c r="H859" s="74" t="s">
        <v>233</v>
      </c>
      <c r="I859" s="77">
        <f t="shared" si="28"/>
        <v>44.532627865961196</v>
      </c>
      <c r="J859" s="77" t="s">
        <v>234</v>
      </c>
      <c r="K859" s="77">
        <f t="shared" si="29"/>
        <v>20.402000000000001</v>
      </c>
      <c r="L859" s="68" t="s">
        <v>289</v>
      </c>
    </row>
    <row r="860" spans="1:12" ht="13.5">
      <c r="A860" s="81" t="s">
        <v>69</v>
      </c>
      <c r="B860" s="65" t="s">
        <v>73</v>
      </c>
      <c r="C860" s="65" t="s">
        <v>61</v>
      </c>
      <c r="D860" s="66" t="s">
        <v>290</v>
      </c>
      <c r="E860" s="67"/>
      <c r="F860" s="65" t="s">
        <v>232</v>
      </c>
      <c r="G860" s="73" t="s">
        <v>112</v>
      </c>
      <c r="H860" s="74" t="s">
        <v>235</v>
      </c>
      <c r="I860" s="77">
        <f t="shared" si="28"/>
        <v>31.084656084656082</v>
      </c>
      <c r="J860" s="77" t="s">
        <v>236</v>
      </c>
      <c r="K860" s="77">
        <f t="shared" si="29"/>
        <v>14.241</v>
      </c>
      <c r="L860" s="68" t="s">
        <v>289</v>
      </c>
    </row>
    <row r="861" spans="1:12" ht="13.5">
      <c r="A861" s="81" t="s">
        <v>69</v>
      </c>
      <c r="B861" s="65" t="s">
        <v>73</v>
      </c>
      <c r="C861" s="65" t="s">
        <v>61</v>
      </c>
      <c r="D861" s="66" t="s">
        <v>290</v>
      </c>
      <c r="E861" s="67"/>
      <c r="F861" s="65" t="s">
        <v>232</v>
      </c>
      <c r="G861" s="73" t="s">
        <v>113</v>
      </c>
      <c r="H861" s="74" t="s">
        <v>148</v>
      </c>
      <c r="I861" s="77">
        <f t="shared" si="28"/>
        <v>37.918871252204582</v>
      </c>
      <c r="J861" s="77" t="s">
        <v>163</v>
      </c>
      <c r="K861" s="77">
        <f t="shared" si="29"/>
        <v>17.372</v>
      </c>
      <c r="L861" s="68" t="s">
        <v>289</v>
      </c>
    </row>
    <row r="862" spans="1:12" ht="13.5">
      <c r="A862" s="81" t="s">
        <v>69</v>
      </c>
      <c r="B862" s="65" t="s">
        <v>73</v>
      </c>
      <c r="C862" s="65" t="s">
        <v>61</v>
      </c>
      <c r="D862" s="66" t="s">
        <v>290</v>
      </c>
      <c r="E862" s="67"/>
      <c r="F862" s="65" t="s">
        <v>232</v>
      </c>
      <c r="G862" s="73" t="s">
        <v>116</v>
      </c>
      <c r="H862" s="74" t="s">
        <v>103</v>
      </c>
      <c r="I862" s="77">
        <f t="shared" si="28"/>
        <v>37.47795414462081</v>
      </c>
      <c r="J862" s="77" t="s">
        <v>101</v>
      </c>
      <c r="K862" s="77">
        <f t="shared" si="29"/>
        <v>17.170000000000002</v>
      </c>
      <c r="L862" s="68" t="s">
        <v>289</v>
      </c>
    </row>
    <row r="863" spans="1:12" ht="13.5">
      <c r="A863" s="81" t="s">
        <v>69</v>
      </c>
      <c r="B863" s="65" t="s">
        <v>73</v>
      </c>
      <c r="C863" s="65" t="s">
        <v>61</v>
      </c>
      <c r="D863" s="66" t="s">
        <v>290</v>
      </c>
      <c r="E863" s="67"/>
      <c r="F863" s="65" t="s">
        <v>232</v>
      </c>
      <c r="G863" s="73" t="s">
        <v>118</v>
      </c>
      <c r="H863" s="74" t="s">
        <v>148</v>
      </c>
      <c r="I863" s="77">
        <f t="shared" si="28"/>
        <v>37.918871252204582</v>
      </c>
      <c r="J863" s="77" t="s">
        <v>163</v>
      </c>
      <c r="K863" s="77">
        <f t="shared" si="29"/>
        <v>17.372</v>
      </c>
      <c r="L863" s="68" t="s">
        <v>289</v>
      </c>
    </row>
    <row r="864" spans="1:12" ht="13.5">
      <c r="A864" s="81" t="s">
        <v>69</v>
      </c>
      <c r="B864" s="65" t="s">
        <v>73</v>
      </c>
      <c r="C864" s="65" t="s">
        <v>61</v>
      </c>
      <c r="D864" s="66" t="s">
        <v>290</v>
      </c>
      <c r="E864" s="67"/>
      <c r="F864" s="65" t="s">
        <v>232</v>
      </c>
      <c r="G864" s="73" t="s">
        <v>121</v>
      </c>
      <c r="H864" s="74" t="s">
        <v>148</v>
      </c>
      <c r="I864" s="77">
        <f t="shared" si="28"/>
        <v>37.918871252204582</v>
      </c>
      <c r="J864" s="77" t="s">
        <v>163</v>
      </c>
      <c r="K864" s="77">
        <f t="shared" si="29"/>
        <v>17.372</v>
      </c>
      <c r="L864" s="68" t="s">
        <v>289</v>
      </c>
    </row>
    <row r="865" spans="1:12" ht="13.5">
      <c r="A865" s="81" t="s">
        <v>69</v>
      </c>
      <c r="B865" s="65" t="s">
        <v>73</v>
      </c>
      <c r="C865" s="65" t="s">
        <v>61</v>
      </c>
      <c r="D865" s="66" t="s">
        <v>290</v>
      </c>
      <c r="E865" s="67"/>
      <c r="F865" s="65" t="s">
        <v>232</v>
      </c>
      <c r="G865" s="73" t="s">
        <v>122</v>
      </c>
      <c r="H865" s="74" t="s">
        <v>148</v>
      </c>
      <c r="I865" s="77">
        <f t="shared" si="28"/>
        <v>38.139329805996475</v>
      </c>
      <c r="J865" s="77" t="s">
        <v>149</v>
      </c>
      <c r="K865" s="77">
        <f t="shared" si="29"/>
        <v>17.473000000000003</v>
      </c>
      <c r="L865" s="68" t="s">
        <v>289</v>
      </c>
    </row>
    <row r="866" spans="1:12" ht="13.5">
      <c r="A866" s="81" t="s">
        <v>69</v>
      </c>
      <c r="B866" s="65" t="s">
        <v>73</v>
      </c>
      <c r="C866" s="65" t="s">
        <v>61</v>
      </c>
      <c r="D866" s="66" t="s">
        <v>290</v>
      </c>
      <c r="E866" s="67"/>
      <c r="F866" s="65" t="s">
        <v>232</v>
      </c>
      <c r="G866" s="73" t="s">
        <v>123</v>
      </c>
      <c r="H866" s="74" t="s">
        <v>114</v>
      </c>
      <c r="I866" s="77">
        <f t="shared" si="28"/>
        <v>38.80070546737214</v>
      </c>
      <c r="J866" s="77" t="s">
        <v>160</v>
      </c>
      <c r="K866" s="77">
        <f t="shared" si="29"/>
        <v>17.776000000000003</v>
      </c>
      <c r="L866" s="68" t="s">
        <v>289</v>
      </c>
    </row>
    <row r="867" spans="1:12" ht="13.5">
      <c r="A867" s="81" t="s">
        <v>69</v>
      </c>
      <c r="B867" s="65" t="s">
        <v>73</v>
      </c>
      <c r="C867" s="65" t="s">
        <v>61</v>
      </c>
      <c r="D867" s="66" t="s">
        <v>290</v>
      </c>
      <c r="E867" s="67"/>
      <c r="F867" s="65" t="s">
        <v>232</v>
      </c>
      <c r="G867" s="73" t="s">
        <v>124</v>
      </c>
      <c r="H867" s="74" t="s">
        <v>114</v>
      </c>
      <c r="I867" s="77">
        <f t="shared" si="28"/>
        <v>38.80070546737214</v>
      </c>
      <c r="J867" s="77" t="s">
        <v>160</v>
      </c>
      <c r="K867" s="77">
        <f t="shared" si="29"/>
        <v>17.776000000000003</v>
      </c>
      <c r="L867" s="68" t="s">
        <v>289</v>
      </c>
    </row>
    <row r="868" spans="1:12" ht="13.5">
      <c r="A868" s="81" t="s">
        <v>69</v>
      </c>
      <c r="B868" s="65" t="s">
        <v>73</v>
      </c>
      <c r="C868" s="65" t="s">
        <v>61</v>
      </c>
      <c r="D868" s="66" t="s">
        <v>290</v>
      </c>
      <c r="E868" s="67"/>
      <c r="F868" s="65" t="s">
        <v>232</v>
      </c>
      <c r="G868" s="73" t="s">
        <v>161</v>
      </c>
      <c r="H868" s="74" t="s">
        <v>165</v>
      </c>
      <c r="I868" s="77">
        <f t="shared" si="28"/>
        <v>39.021164021164019</v>
      </c>
      <c r="J868" s="77" t="s">
        <v>194</v>
      </c>
      <c r="K868" s="77">
        <f t="shared" si="29"/>
        <v>17.876999999999999</v>
      </c>
      <c r="L868" s="68" t="s">
        <v>289</v>
      </c>
    </row>
    <row r="869" spans="1:12" ht="13.5">
      <c r="A869" s="81" t="s">
        <v>69</v>
      </c>
      <c r="B869" s="65" t="s">
        <v>73</v>
      </c>
      <c r="C869" s="65" t="s">
        <v>61</v>
      </c>
      <c r="D869" s="66" t="s">
        <v>290</v>
      </c>
      <c r="E869" s="67"/>
      <c r="F869" s="65" t="s">
        <v>232</v>
      </c>
      <c r="G869" s="73" t="s">
        <v>125</v>
      </c>
      <c r="H869" s="74" t="s">
        <v>148</v>
      </c>
      <c r="I869" s="77">
        <f t="shared" si="28"/>
        <v>38.139329805996475</v>
      </c>
      <c r="J869" s="77" t="s">
        <v>149</v>
      </c>
      <c r="K869" s="77">
        <f t="shared" si="29"/>
        <v>17.473000000000003</v>
      </c>
      <c r="L869" s="68" t="s">
        <v>289</v>
      </c>
    </row>
    <row r="870" spans="1:12" ht="13.5">
      <c r="A870" s="81" t="s">
        <v>69</v>
      </c>
      <c r="B870" s="65" t="s">
        <v>73</v>
      </c>
      <c r="C870" s="65" t="s">
        <v>61</v>
      </c>
      <c r="D870" s="66" t="s">
        <v>290</v>
      </c>
      <c r="E870" s="67"/>
      <c r="F870" s="65" t="s">
        <v>232</v>
      </c>
      <c r="G870" s="73" t="s">
        <v>128</v>
      </c>
      <c r="H870" s="74" t="s">
        <v>148</v>
      </c>
      <c r="I870" s="77">
        <f t="shared" si="28"/>
        <v>37.918871252204582</v>
      </c>
      <c r="J870" s="77" t="s">
        <v>163</v>
      </c>
      <c r="K870" s="77">
        <f t="shared" si="29"/>
        <v>17.372</v>
      </c>
      <c r="L870" s="68" t="s">
        <v>289</v>
      </c>
    </row>
    <row r="871" spans="1:12" ht="13.5">
      <c r="A871" s="81" t="s">
        <v>69</v>
      </c>
      <c r="B871" s="65" t="s">
        <v>73</v>
      </c>
      <c r="C871" s="65" t="s">
        <v>61</v>
      </c>
      <c r="D871" s="66" t="s">
        <v>290</v>
      </c>
      <c r="E871" s="67"/>
      <c r="F871" s="65" t="s">
        <v>232</v>
      </c>
      <c r="G871" s="73" t="s">
        <v>129</v>
      </c>
      <c r="H871" s="74" t="s">
        <v>148</v>
      </c>
      <c r="I871" s="77">
        <f t="shared" si="28"/>
        <v>37.918871252204582</v>
      </c>
      <c r="J871" s="77" t="s">
        <v>163</v>
      </c>
      <c r="K871" s="77">
        <f t="shared" si="29"/>
        <v>17.372</v>
      </c>
      <c r="L871" s="68" t="s">
        <v>289</v>
      </c>
    </row>
    <row r="872" spans="1:12" ht="13.5">
      <c r="A872" s="81" t="s">
        <v>69</v>
      </c>
      <c r="B872" s="65" t="s">
        <v>73</v>
      </c>
      <c r="C872" s="65" t="s">
        <v>61</v>
      </c>
      <c r="D872" s="66" t="s">
        <v>290</v>
      </c>
      <c r="E872" s="67"/>
      <c r="F872" s="65" t="s">
        <v>232</v>
      </c>
      <c r="G872" s="73" t="s">
        <v>130</v>
      </c>
      <c r="H872" s="74" t="s">
        <v>175</v>
      </c>
      <c r="I872" s="77">
        <f t="shared" si="28"/>
        <v>39.90299823633157</v>
      </c>
      <c r="J872" s="77" t="s">
        <v>176</v>
      </c>
      <c r="K872" s="77">
        <f t="shared" si="29"/>
        <v>18.281000000000002</v>
      </c>
      <c r="L872" s="68" t="s">
        <v>289</v>
      </c>
    </row>
    <row r="873" spans="1:12" ht="13.5">
      <c r="A873" s="81" t="s">
        <v>69</v>
      </c>
      <c r="B873" s="65" t="s">
        <v>73</v>
      </c>
      <c r="C873" s="65" t="s">
        <v>61</v>
      </c>
      <c r="D873" s="66" t="s">
        <v>290</v>
      </c>
      <c r="E873" s="67"/>
      <c r="F873" s="65" t="s">
        <v>232</v>
      </c>
      <c r="G873" s="73" t="s">
        <v>131</v>
      </c>
      <c r="H873" s="74" t="s">
        <v>148</v>
      </c>
      <c r="I873" s="77">
        <f t="shared" si="28"/>
        <v>37.918871252204582</v>
      </c>
      <c r="J873" s="77" t="s">
        <v>163</v>
      </c>
      <c r="K873" s="77">
        <f t="shared" si="29"/>
        <v>17.372</v>
      </c>
      <c r="L873" s="68" t="s">
        <v>289</v>
      </c>
    </row>
    <row r="874" spans="1:12" ht="13.5">
      <c r="A874" s="81" t="s">
        <v>69</v>
      </c>
      <c r="B874" s="65" t="s">
        <v>73</v>
      </c>
      <c r="C874" s="65" t="s">
        <v>61</v>
      </c>
      <c r="D874" s="66" t="s">
        <v>290</v>
      </c>
      <c r="E874" s="67"/>
      <c r="F874" s="65" t="s">
        <v>232</v>
      </c>
      <c r="G874" s="73" t="s">
        <v>164</v>
      </c>
      <c r="H874" s="74" t="s">
        <v>148</v>
      </c>
      <c r="I874" s="77">
        <f t="shared" si="28"/>
        <v>37.918871252204582</v>
      </c>
      <c r="J874" s="77" t="s">
        <v>163</v>
      </c>
      <c r="K874" s="77">
        <f t="shared" si="29"/>
        <v>17.372</v>
      </c>
      <c r="L874" s="68" t="s">
        <v>289</v>
      </c>
    </row>
    <row r="875" spans="1:12" ht="13.5">
      <c r="A875" s="81" t="s">
        <v>69</v>
      </c>
      <c r="B875" s="65" t="s">
        <v>73</v>
      </c>
      <c r="C875" s="65" t="s">
        <v>61</v>
      </c>
      <c r="D875" s="66" t="s">
        <v>290</v>
      </c>
      <c r="E875" s="67"/>
      <c r="F875" s="65" t="s">
        <v>232</v>
      </c>
      <c r="G875" s="73" t="s">
        <v>132</v>
      </c>
      <c r="H875" s="74" t="s">
        <v>148</v>
      </c>
      <c r="I875" s="77">
        <f t="shared" si="28"/>
        <v>37.918871252204582</v>
      </c>
      <c r="J875" s="77" t="s">
        <v>163</v>
      </c>
      <c r="K875" s="77">
        <f t="shared" si="29"/>
        <v>17.372</v>
      </c>
      <c r="L875" s="68" t="s">
        <v>289</v>
      </c>
    </row>
    <row r="876" spans="1:12" ht="13.5">
      <c r="A876" s="81" t="s">
        <v>69</v>
      </c>
      <c r="B876" s="65" t="s">
        <v>73</v>
      </c>
      <c r="C876" s="65" t="s">
        <v>61</v>
      </c>
      <c r="D876" s="66" t="s">
        <v>290</v>
      </c>
      <c r="E876" s="67"/>
      <c r="F876" s="65" t="s">
        <v>232</v>
      </c>
      <c r="G876" s="73" t="s">
        <v>133</v>
      </c>
      <c r="H876" s="74" t="s">
        <v>103</v>
      </c>
      <c r="I876" s="77">
        <f t="shared" si="28"/>
        <v>37.698412698412703</v>
      </c>
      <c r="J876" s="77" t="s">
        <v>104</v>
      </c>
      <c r="K876" s="77">
        <f t="shared" si="29"/>
        <v>17.271000000000001</v>
      </c>
      <c r="L876" s="68" t="s">
        <v>289</v>
      </c>
    </row>
    <row r="877" spans="1:12" ht="13.5">
      <c r="A877" s="81" t="s">
        <v>69</v>
      </c>
      <c r="B877" s="65" t="s">
        <v>73</v>
      </c>
      <c r="C877" s="65" t="s">
        <v>61</v>
      </c>
      <c r="D877" s="66" t="s">
        <v>290</v>
      </c>
      <c r="E877" s="67"/>
      <c r="F877" s="65" t="s">
        <v>232</v>
      </c>
      <c r="G877" s="73" t="s">
        <v>134</v>
      </c>
      <c r="H877" s="74" t="s">
        <v>103</v>
      </c>
      <c r="I877" s="77">
        <f t="shared" si="28"/>
        <v>37.698412698412703</v>
      </c>
      <c r="J877" s="77" t="s">
        <v>104</v>
      </c>
      <c r="K877" s="77">
        <f t="shared" si="29"/>
        <v>17.271000000000001</v>
      </c>
      <c r="L877" s="68" t="s">
        <v>289</v>
      </c>
    </row>
    <row r="878" spans="1:12" ht="13.5">
      <c r="A878" s="81" t="s">
        <v>69</v>
      </c>
      <c r="B878" s="65" t="s">
        <v>73</v>
      </c>
      <c r="C878" s="65" t="s">
        <v>61</v>
      </c>
      <c r="D878" s="66" t="s">
        <v>290</v>
      </c>
      <c r="E878" s="67"/>
      <c r="F878" s="65" t="s">
        <v>232</v>
      </c>
      <c r="G878" s="73" t="s">
        <v>135</v>
      </c>
      <c r="H878" s="74" t="s">
        <v>148</v>
      </c>
      <c r="I878" s="77">
        <f t="shared" si="28"/>
        <v>38.359788359788354</v>
      </c>
      <c r="J878" s="77" t="s">
        <v>162</v>
      </c>
      <c r="K878" s="77">
        <f t="shared" si="29"/>
        <v>17.573999999999998</v>
      </c>
      <c r="L878" s="68" t="s">
        <v>289</v>
      </c>
    </row>
    <row r="879" spans="1:12" ht="13.5">
      <c r="A879" s="81" t="s">
        <v>69</v>
      </c>
      <c r="B879" s="65" t="s">
        <v>73</v>
      </c>
      <c r="C879" s="65" t="s">
        <v>61</v>
      </c>
      <c r="D879" s="66" t="s">
        <v>290</v>
      </c>
      <c r="E879" s="67"/>
      <c r="F879" s="65" t="s">
        <v>232</v>
      </c>
      <c r="G879" s="73" t="s">
        <v>136</v>
      </c>
      <c r="H879" s="74" t="s">
        <v>148</v>
      </c>
      <c r="I879" s="77">
        <f t="shared" si="28"/>
        <v>37.918871252204582</v>
      </c>
      <c r="J879" s="77" t="s">
        <v>163</v>
      </c>
      <c r="K879" s="77">
        <f t="shared" si="29"/>
        <v>17.372</v>
      </c>
      <c r="L879" s="68" t="s">
        <v>289</v>
      </c>
    </row>
    <row r="880" spans="1:12" ht="13.5">
      <c r="A880" s="81" t="s">
        <v>69</v>
      </c>
      <c r="B880" s="65" t="s">
        <v>73</v>
      </c>
      <c r="C880" s="65" t="s">
        <v>61</v>
      </c>
      <c r="D880" s="66" t="s">
        <v>290</v>
      </c>
      <c r="E880" s="67"/>
      <c r="F880" s="65" t="s">
        <v>232</v>
      </c>
      <c r="G880" s="73" t="s">
        <v>137</v>
      </c>
      <c r="H880" s="74" t="s">
        <v>148</v>
      </c>
      <c r="I880" s="77">
        <f t="shared" si="28"/>
        <v>37.918871252204582</v>
      </c>
      <c r="J880" s="77" t="s">
        <v>163</v>
      </c>
      <c r="K880" s="77">
        <f t="shared" si="29"/>
        <v>17.372</v>
      </c>
      <c r="L880" s="68" t="s">
        <v>289</v>
      </c>
    </row>
    <row r="881" spans="1:12" ht="13.5">
      <c r="A881" s="81" t="s">
        <v>69</v>
      </c>
      <c r="B881" s="65" t="s">
        <v>73</v>
      </c>
      <c r="C881" s="65" t="s">
        <v>61</v>
      </c>
      <c r="D881" s="66" t="s">
        <v>290</v>
      </c>
      <c r="E881" s="67"/>
      <c r="F881" s="65" t="s">
        <v>232</v>
      </c>
      <c r="G881" s="73" t="s">
        <v>138</v>
      </c>
      <c r="H881" s="74" t="s">
        <v>148</v>
      </c>
      <c r="I881" s="77">
        <f t="shared" si="28"/>
        <v>38.139329805996475</v>
      </c>
      <c r="J881" s="77" t="s">
        <v>149</v>
      </c>
      <c r="K881" s="77">
        <f t="shared" si="29"/>
        <v>17.473000000000003</v>
      </c>
      <c r="L881" s="68" t="s">
        <v>289</v>
      </c>
    </row>
    <row r="882" spans="1:12" ht="13.5">
      <c r="A882" s="81" t="s">
        <v>69</v>
      </c>
      <c r="B882" s="65" t="s">
        <v>73</v>
      </c>
      <c r="C882" s="65" t="s">
        <v>61</v>
      </c>
      <c r="D882" s="66" t="s">
        <v>290</v>
      </c>
      <c r="E882" s="67"/>
      <c r="F882" s="65" t="s">
        <v>232</v>
      </c>
      <c r="G882" s="73" t="s">
        <v>139</v>
      </c>
      <c r="H882" s="74" t="s">
        <v>148</v>
      </c>
      <c r="I882" s="77">
        <f t="shared" si="28"/>
        <v>38.139329805996475</v>
      </c>
      <c r="J882" s="77" t="s">
        <v>149</v>
      </c>
      <c r="K882" s="77">
        <f t="shared" si="29"/>
        <v>17.473000000000003</v>
      </c>
      <c r="L882" s="68" t="s">
        <v>289</v>
      </c>
    </row>
    <row r="883" spans="1:12" ht="13.5">
      <c r="A883" s="81" t="s">
        <v>69</v>
      </c>
      <c r="B883" s="65" t="s">
        <v>73</v>
      </c>
      <c r="C883" s="65" t="s">
        <v>61</v>
      </c>
      <c r="D883" s="66" t="s">
        <v>290</v>
      </c>
      <c r="E883" s="67"/>
      <c r="F883" s="65" t="s">
        <v>232</v>
      </c>
      <c r="G883" s="73" t="s">
        <v>140</v>
      </c>
      <c r="H883" s="74" t="s">
        <v>148</v>
      </c>
      <c r="I883" s="77">
        <f t="shared" si="28"/>
        <v>38.139329805996475</v>
      </c>
      <c r="J883" s="77" t="s">
        <v>149</v>
      </c>
      <c r="K883" s="77">
        <f t="shared" si="29"/>
        <v>17.473000000000003</v>
      </c>
      <c r="L883" s="68" t="s">
        <v>289</v>
      </c>
    </row>
    <row r="884" spans="1:12" ht="13.5">
      <c r="A884" s="81" t="s">
        <v>69</v>
      </c>
      <c r="B884" s="65" t="s">
        <v>73</v>
      </c>
      <c r="C884" s="65" t="s">
        <v>61</v>
      </c>
      <c r="D884" s="66" t="s">
        <v>290</v>
      </c>
      <c r="E884" s="67"/>
      <c r="F884" s="65" t="s">
        <v>232</v>
      </c>
      <c r="G884" s="73" t="s">
        <v>167</v>
      </c>
      <c r="H884" s="74" t="s">
        <v>148</v>
      </c>
      <c r="I884" s="77">
        <f t="shared" si="28"/>
        <v>37.918871252204582</v>
      </c>
      <c r="J884" s="77" t="s">
        <v>163</v>
      </c>
      <c r="K884" s="77">
        <f t="shared" si="29"/>
        <v>17.372</v>
      </c>
      <c r="L884" s="68" t="s">
        <v>289</v>
      </c>
    </row>
    <row r="885" spans="1:12" ht="13.5">
      <c r="A885" s="81" t="s">
        <v>69</v>
      </c>
      <c r="B885" s="65" t="s">
        <v>73</v>
      </c>
      <c r="C885" s="65" t="s">
        <v>61</v>
      </c>
      <c r="D885" s="66" t="s">
        <v>290</v>
      </c>
      <c r="E885" s="67"/>
      <c r="F885" s="65" t="s">
        <v>232</v>
      </c>
      <c r="G885" s="73" t="s">
        <v>141</v>
      </c>
      <c r="H885" s="74" t="s">
        <v>165</v>
      </c>
      <c r="I885" s="77">
        <f t="shared" si="28"/>
        <v>39.241622574955912</v>
      </c>
      <c r="J885" s="77" t="s">
        <v>166</v>
      </c>
      <c r="K885" s="77">
        <f t="shared" si="29"/>
        <v>17.978000000000002</v>
      </c>
      <c r="L885" s="68" t="s">
        <v>289</v>
      </c>
    </row>
    <row r="886" spans="1:12" ht="13.5">
      <c r="A886" s="81" t="s">
        <v>69</v>
      </c>
      <c r="B886" s="65" t="s">
        <v>73</v>
      </c>
      <c r="C886" s="65" t="s">
        <v>61</v>
      </c>
      <c r="D886" s="66" t="s">
        <v>290</v>
      </c>
      <c r="E886" s="67"/>
      <c r="F886" s="65" t="s">
        <v>232</v>
      </c>
      <c r="G886" s="73" t="s">
        <v>142</v>
      </c>
      <c r="H886" s="74" t="s">
        <v>148</v>
      </c>
      <c r="I886" s="77">
        <f t="shared" si="28"/>
        <v>38.359788359788354</v>
      </c>
      <c r="J886" s="77" t="s">
        <v>162</v>
      </c>
      <c r="K886" s="77">
        <f t="shared" si="29"/>
        <v>17.573999999999998</v>
      </c>
      <c r="L886" s="68" t="s">
        <v>289</v>
      </c>
    </row>
    <row r="887" spans="1:12" ht="13.5">
      <c r="A887" s="81" t="s">
        <v>69</v>
      </c>
      <c r="B887" s="65" t="s">
        <v>73</v>
      </c>
      <c r="C887" s="65" t="s">
        <v>61</v>
      </c>
      <c r="D887" s="66" t="s">
        <v>290</v>
      </c>
      <c r="E887" s="67"/>
      <c r="F887" s="65" t="s">
        <v>232</v>
      </c>
      <c r="G887" s="73" t="s">
        <v>143</v>
      </c>
      <c r="H887" s="74" t="s">
        <v>148</v>
      </c>
      <c r="I887" s="77">
        <f t="shared" si="28"/>
        <v>38.139329805996475</v>
      </c>
      <c r="J887" s="77" t="s">
        <v>149</v>
      </c>
      <c r="K887" s="77">
        <f t="shared" si="29"/>
        <v>17.473000000000003</v>
      </c>
      <c r="L887" s="68" t="s">
        <v>289</v>
      </c>
    </row>
    <row r="888" spans="1:12" ht="13.5">
      <c r="A888" s="81" t="s">
        <v>69</v>
      </c>
      <c r="B888" s="65" t="s">
        <v>73</v>
      </c>
      <c r="C888" s="65" t="s">
        <v>61</v>
      </c>
      <c r="D888" s="66" t="s">
        <v>290</v>
      </c>
      <c r="E888" s="67"/>
      <c r="F888" s="65" t="s">
        <v>232</v>
      </c>
      <c r="G888" s="73" t="s">
        <v>146</v>
      </c>
      <c r="H888" s="74" t="s">
        <v>148</v>
      </c>
      <c r="I888" s="77">
        <f t="shared" si="28"/>
        <v>38.359788359788354</v>
      </c>
      <c r="J888" s="77" t="s">
        <v>162</v>
      </c>
      <c r="K888" s="77">
        <f t="shared" si="29"/>
        <v>17.573999999999998</v>
      </c>
      <c r="L888" s="68" t="s">
        <v>289</v>
      </c>
    </row>
    <row r="889" spans="1:12" ht="13.5">
      <c r="A889" s="81" t="s">
        <v>69</v>
      </c>
      <c r="B889" s="65" t="s">
        <v>73</v>
      </c>
      <c r="C889" s="65" t="s">
        <v>61</v>
      </c>
      <c r="D889" s="66" t="s">
        <v>290</v>
      </c>
      <c r="E889" s="67"/>
      <c r="F889" s="65" t="s">
        <v>232</v>
      </c>
      <c r="G889" s="73" t="s">
        <v>147</v>
      </c>
      <c r="H889" s="74" t="s">
        <v>148</v>
      </c>
      <c r="I889" s="77">
        <f t="shared" si="28"/>
        <v>38.139329805996475</v>
      </c>
      <c r="J889" s="77" t="s">
        <v>149</v>
      </c>
      <c r="K889" s="77">
        <f t="shared" si="29"/>
        <v>17.473000000000003</v>
      </c>
      <c r="L889" s="68" t="s">
        <v>289</v>
      </c>
    </row>
    <row r="890" spans="1:12" ht="13.5">
      <c r="A890" s="81" t="s">
        <v>69</v>
      </c>
      <c r="B890" s="65" t="s">
        <v>73</v>
      </c>
      <c r="C890" s="65" t="s">
        <v>61</v>
      </c>
      <c r="D890" s="66" t="s">
        <v>290</v>
      </c>
      <c r="E890" s="67"/>
      <c r="F890" s="65" t="s">
        <v>232</v>
      </c>
      <c r="G890" s="73" t="s">
        <v>150</v>
      </c>
      <c r="H890" s="74" t="s">
        <v>165</v>
      </c>
      <c r="I890" s="77">
        <f t="shared" si="28"/>
        <v>39.241622574955912</v>
      </c>
      <c r="J890" s="77" t="s">
        <v>166</v>
      </c>
      <c r="K890" s="77">
        <f t="shared" si="29"/>
        <v>17.978000000000002</v>
      </c>
      <c r="L890" s="68" t="s">
        <v>289</v>
      </c>
    </row>
    <row r="891" spans="1:12" ht="13.5">
      <c r="A891" s="81" t="s">
        <v>69</v>
      </c>
      <c r="B891" s="65" t="s">
        <v>73</v>
      </c>
      <c r="C891" s="65" t="s">
        <v>61</v>
      </c>
      <c r="D891" s="66" t="s">
        <v>290</v>
      </c>
      <c r="E891" s="67"/>
      <c r="F891" s="65" t="s">
        <v>232</v>
      </c>
      <c r="G891" s="73" t="s">
        <v>151</v>
      </c>
      <c r="H891" s="74" t="s">
        <v>148</v>
      </c>
      <c r="I891" s="77">
        <f t="shared" si="28"/>
        <v>38.359788359788354</v>
      </c>
      <c r="J891" s="77" t="s">
        <v>162</v>
      </c>
      <c r="K891" s="77">
        <f t="shared" si="29"/>
        <v>17.573999999999998</v>
      </c>
      <c r="L891" s="68" t="s">
        <v>289</v>
      </c>
    </row>
    <row r="892" spans="1:12" ht="13.5">
      <c r="A892" s="81" t="s">
        <v>69</v>
      </c>
      <c r="B892" s="65" t="s">
        <v>73</v>
      </c>
      <c r="C892" s="65" t="s">
        <v>61</v>
      </c>
      <c r="D892" s="66" t="s">
        <v>290</v>
      </c>
      <c r="E892" s="67"/>
      <c r="F892" s="65" t="s">
        <v>232</v>
      </c>
      <c r="G892" s="73" t="s">
        <v>152</v>
      </c>
      <c r="H892" s="74" t="s">
        <v>148</v>
      </c>
      <c r="I892" s="77">
        <f t="shared" si="28"/>
        <v>37.918871252204582</v>
      </c>
      <c r="J892" s="77" t="s">
        <v>163</v>
      </c>
      <c r="K892" s="77">
        <f t="shared" si="29"/>
        <v>17.372</v>
      </c>
      <c r="L892" s="68" t="s">
        <v>289</v>
      </c>
    </row>
    <row r="893" spans="1:12" ht="13.5">
      <c r="A893" s="81"/>
      <c r="B893" s="65"/>
      <c r="C893" s="65"/>
      <c r="D893" s="66"/>
      <c r="E893" s="67"/>
      <c r="F893" s="65" t="s">
        <v>87</v>
      </c>
      <c r="G893" s="73">
        <v>39</v>
      </c>
      <c r="H893" s="74" t="s">
        <v>237</v>
      </c>
      <c r="I893" s="77">
        <f t="shared" si="28"/>
        <v>1488.3156966490301</v>
      </c>
      <c r="J893" s="77" t="s">
        <v>238</v>
      </c>
      <c r="K893" s="77">
        <f t="shared" si="29"/>
        <v>681.851</v>
      </c>
      <c r="L893" s="68" t="s">
        <v>289</v>
      </c>
    </row>
    <row r="894" spans="1:12" ht="13.5">
      <c r="A894" s="81" t="s">
        <v>69</v>
      </c>
      <c r="B894" s="65" t="s">
        <v>73</v>
      </c>
      <c r="C894" s="65" t="s">
        <v>61</v>
      </c>
      <c r="D894" s="66" t="s">
        <v>290</v>
      </c>
      <c r="E894" s="67"/>
      <c r="F894" s="65" t="s">
        <v>239</v>
      </c>
      <c r="G894" s="73" t="s">
        <v>99</v>
      </c>
      <c r="H894" s="74" t="s">
        <v>103</v>
      </c>
      <c r="I894" s="77">
        <f t="shared" si="28"/>
        <v>37.47795414462081</v>
      </c>
      <c r="J894" s="77" t="s">
        <v>101</v>
      </c>
      <c r="K894" s="77">
        <f t="shared" si="29"/>
        <v>17.170000000000002</v>
      </c>
      <c r="L894" s="68" t="s">
        <v>289</v>
      </c>
    </row>
    <row r="895" spans="1:12" ht="13.5">
      <c r="A895" s="81" t="s">
        <v>69</v>
      </c>
      <c r="B895" s="65" t="s">
        <v>73</v>
      </c>
      <c r="C895" s="65" t="s">
        <v>61</v>
      </c>
      <c r="D895" s="66" t="s">
        <v>290</v>
      </c>
      <c r="E895" s="67"/>
      <c r="F895" s="65" t="s">
        <v>239</v>
      </c>
      <c r="G895" s="73" t="s">
        <v>102</v>
      </c>
      <c r="H895" s="74" t="s">
        <v>114</v>
      </c>
      <c r="I895" s="77">
        <f t="shared" si="28"/>
        <v>38.80070546737214</v>
      </c>
      <c r="J895" s="77" t="s">
        <v>160</v>
      </c>
      <c r="K895" s="77">
        <f t="shared" si="29"/>
        <v>17.776000000000003</v>
      </c>
      <c r="L895" s="68" t="s">
        <v>289</v>
      </c>
    </row>
    <row r="896" spans="1:12" ht="13.5">
      <c r="A896" s="81" t="s">
        <v>69</v>
      </c>
      <c r="B896" s="65" t="s">
        <v>73</v>
      </c>
      <c r="C896" s="65" t="s">
        <v>61</v>
      </c>
      <c r="D896" s="66" t="s">
        <v>290</v>
      </c>
      <c r="E896" s="67"/>
      <c r="F896" s="65" t="s">
        <v>239</v>
      </c>
      <c r="G896" s="73" t="s">
        <v>105</v>
      </c>
      <c r="H896" s="74" t="s">
        <v>148</v>
      </c>
      <c r="I896" s="77">
        <f t="shared" ref="I896:I959" si="30">+J896/0.4536</f>
        <v>38.139329805996475</v>
      </c>
      <c r="J896" s="77" t="s">
        <v>149</v>
      </c>
      <c r="K896" s="77">
        <f t="shared" ref="K896:K959" si="31">+J896*1.01</f>
        <v>17.473000000000003</v>
      </c>
      <c r="L896" s="68" t="s">
        <v>289</v>
      </c>
    </row>
    <row r="897" spans="1:12" ht="13.5">
      <c r="A897" s="81" t="s">
        <v>69</v>
      </c>
      <c r="B897" s="65" t="s">
        <v>73</v>
      </c>
      <c r="C897" s="65" t="s">
        <v>61</v>
      </c>
      <c r="D897" s="66" t="s">
        <v>290</v>
      </c>
      <c r="E897" s="67"/>
      <c r="F897" s="65" t="s">
        <v>239</v>
      </c>
      <c r="G897" s="73" t="s">
        <v>106</v>
      </c>
      <c r="H897" s="74" t="s">
        <v>126</v>
      </c>
      <c r="I897" s="77">
        <f t="shared" si="30"/>
        <v>36.816578483245145</v>
      </c>
      <c r="J897" s="77" t="s">
        <v>127</v>
      </c>
      <c r="K897" s="77">
        <f t="shared" si="31"/>
        <v>16.867000000000001</v>
      </c>
      <c r="L897" s="68" t="s">
        <v>289</v>
      </c>
    </row>
    <row r="898" spans="1:12" ht="13.5">
      <c r="A898" s="81" t="s">
        <v>69</v>
      </c>
      <c r="B898" s="65" t="s">
        <v>73</v>
      </c>
      <c r="C898" s="65" t="s">
        <v>61</v>
      </c>
      <c r="D898" s="66" t="s">
        <v>290</v>
      </c>
      <c r="E898" s="67"/>
      <c r="F898" s="65" t="s">
        <v>239</v>
      </c>
      <c r="G898" s="73" t="s">
        <v>108</v>
      </c>
      <c r="H898" s="74" t="s">
        <v>148</v>
      </c>
      <c r="I898" s="77">
        <f t="shared" si="30"/>
        <v>38.139329805996475</v>
      </c>
      <c r="J898" s="77" t="s">
        <v>149</v>
      </c>
      <c r="K898" s="77">
        <f t="shared" si="31"/>
        <v>17.473000000000003</v>
      </c>
      <c r="L898" s="68" t="s">
        <v>289</v>
      </c>
    </row>
    <row r="899" spans="1:12" ht="13.5">
      <c r="A899" s="81" t="s">
        <v>69</v>
      </c>
      <c r="B899" s="65" t="s">
        <v>73</v>
      </c>
      <c r="C899" s="65" t="s">
        <v>61</v>
      </c>
      <c r="D899" s="66" t="s">
        <v>290</v>
      </c>
      <c r="E899" s="67"/>
      <c r="F899" s="65" t="s">
        <v>239</v>
      </c>
      <c r="G899" s="73" t="s">
        <v>111</v>
      </c>
      <c r="H899" s="74" t="s">
        <v>109</v>
      </c>
      <c r="I899" s="77">
        <f t="shared" si="30"/>
        <v>37.257495590828924</v>
      </c>
      <c r="J899" s="77" t="s">
        <v>110</v>
      </c>
      <c r="K899" s="77">
        <f t="shared" si="31"/>
        <v>17.068999999999999</v>
      </c>
      <c r="L899" s="68" t="s">
        <v>289</v>
      </c>
    </row>
    <row r="900" spans="1:12" ht="13.5">
      <c r="A900" s="81" t="s">
        <v>69</v>
      </c>
      <c r="B900" s="65" t="s">
        <v>73</v>
      </c>
      <c r="C900" s="65" t="s">
        <v>61</v>
      </c>
      <c r="D900" s="66" t="s">
        <v>290</v>
      </c>
      <c r="E900" s="67"/>
      <c r="F900" s="65" t="s">
        <v>239</v>
      </c>
      <c r="G900" s="73" t="s">
        <v>112</v>
      </c>
      <c r="H900" s="74" t="s">
        <v>109</v>
      </c>
      <c r="I900" s="77">
        <f t="shared" si="30"/>
        <v>37.257495590828924</v>
      </c>
      <c r="J900" s="77" t="s">
        <v>110</v>
      </c>
      <c r="K900" s="77">
        <f t="shared" si="31"/>
        <v>17.068999999999999</v>
      </c>
      <c r="L900" s="68" t="s">
        <v>289</v>
      </c>
    </row>
    <row r="901" spans="1:12" ht="13.5">
      <c r="A901" s="81" t="s">
        <v>69</v>
      </c>
      <c r="B901" s="65" t="s">
        <v>73</v>
      </c>
      <c r="C901" s="65" t="s">
        <v>61</v>
      </c>
      <c r="D901" s="66" t="s">
        <v>290</v>
      </c>
      <c r="E901" s="67"/>
      <c r="F901" s="65" t="s">
        <v>239</v>
      </c>
      <c r="G901" s="73" t="s">
        <v>113</v>
      </c>
      <c r="H901" s="74" t="s">
        <v>148</v>
      </c>
      <c r="I901" s="77">
        <f t="shared" si="30"/>
        <v>38.139329805996475</v>
      </c>
      <c r="J901" s="77" t="s">
        <v>149</v>
      </c>
      <c r="K901" s="77">
        <f t="shared" si="31"/>
        <v>17.473000000000003</v>
      </c>
      <c r="L901" s="68" t="s">
        <v>289</v>
      </c>
    </row>
    <row r="902" spans="1:12" ht="13.5">
      <c r="A902" s="81" t="s">
        <v>69</v>
      </c>
      <c r="B902" s="65" t="s">
        <v>73</v>
      </c>
      <c r="C902" s="65" t="s">
        <v>61</v>
      </c>
      <c r="D902" s="66" t="s">
        <v>290</v>
      </c>
      <c r="E902" s="67"/>
      <c r="F902" s="65" t="s">
        <v>239</v>
      </c>
      <c r="G902" s="73" t="s">
        <v>116</v>
      </c>
      <c r="H902" s="74" t="s">
        <v>109</v>
      </c>
      <c r="I902" s="77">
        <f t="shared" si="30"/>
        <v>37.257495590828924</v>
      </c>
      <c r="J902" s="77" t="s">
        <v>110</v>
      </c>
      <c r="K902" s="77">
        <f t="shared" si="31"/>
        <v>17.068999999999999</v>
      </c>
      <c r="L902" s="68" t="s">
        <v>289</v>
      </c>
    </row>
    <row r="903" spans="1:12" ht="13.5">
      <c r="A903" s="81" t="s">
        <v>69</v>
      </c>
      <c r="B903" s="65" t="s">
        <v>73</v>
      </c>
      <c r="C903" s="65" t="s">
        <v>61</v>
      </c>
      <c r="D903" s="66" t="s">
        <v>290</v>
      </c>
      <c r="E903" s="67"/>
      <c r="F903" s="65" t="s">
        <v>239</v>
      </c>
      <c r="G903" s="73" t="s">
        <v>118</v>
      </c>
      <c r="H903" s="74" t="s">
        <v>119</v>
      </c>
      <c r="I903" s="77">
        <f t="shared" si="30"/>
        <v>36.375661375661373</v>
      </c>
      <c r="J903" s="77" t="s">
        <v>154</v>
      </c>
      <c r="K903" s="77">
        <f t="shared" si="31"/>
        <v>16.664999999999999</v>
      </c>
      <c r="L903" s="68" t="s">
        <v>289</v>
      </c>
    </row>
    <row r="904" spans="1:12" ht="13.5">
      <c r="A904" s="81" t="s">
        <v>69</v>
      </c>
      <c r="B904" s="65" t="s">
        <v>73</v>
      </c>
      <c r="C904" s="65" t="s">
        <v>61</v>
      </c>
      <c r="D904" s="66" t="s">
        <v>290</v>
      </c>
      <c r="E904" s="67"/>
      <c r="F904" s="65" t="s">
        <v>239</v>
      </c>
      <c r="G904" s="73" t="s">
        <v>121</v>
      </c>
      <c r="H904" s="74" t="s">
        <v>119</v>
      </c>
      <c r="I904" s="77">
        <f t="shared" si="30"/>
        <v>36.375661375661373</v>
      </c>
      <c r="J904" s="77" t="s">
        <v>154</v>
      </c>
      <c r="K904" s="77">
        <f t="shared" si="31"/>
        <v>16.664999999999999</v>
      </c>
      <c r="L904" s="68" t="s">
        <v>289</v>
      </c>
    </row>
    <row r="905" spans="1:12" ht="13.5">
      <c r="A905" s="81" t="s">
        <v>69</v>
      </c>
      <c r="B905" s="65" t="s">
        <v>73</v>
      </c>
      <c r="C905" s="65" t="s">
        <v>61</v>
      </c>
      <c r="D905" s="66" t="s">
        <v>290</v>
      </c>
      <c r="E905" s="67"/>
      <c r="F905" s="65" t="s">
        <v>239</v>
      </c>
      <c r="G905" s="73" t="s">
        <v>122</v>
      </c>
      <c r="H905" s="74" t="s">
        <v>228</v>
      </c>
      <c r="I905" s="77">
        <f t="shared" si="30"/>
        <v>34.611992945326278</v>
      </c>
      <c r="J905" s="77" t="s">
        <v>240</v>
      </c>
      <c r="K905" s="77">
        <f t="shared" si="31"/>
        <v>15.856999999999999</v>
      </c>
      <c r="L905" s="68" t="s">
        <v>289</v>
      </c>
    </row>
    <row r="906" spans="1:12" ht="13.5">
      <c r="A906" s="81" t="s">
        <v>69</v>
      </c>
      <c r="B906" s="65" t="s">
        <v>73</v>
      </c>
      <c r="C906" s="65" t="s">
        <v>61</v>
      </c>
      <c r="D906" s="66" t="s">
        <v>290</v>
      </c>
      <c r="E906" s="67"/>
      <c r="F906" s="65" t="s">
        <v>239</v>
      </c>
      <c r="G906" s="73" t="s">
        <v>123</v>
      </c>
      <c r="H906" s="74" t="s">
        <v>119</v>
      </c>
      <c r="I906" s="77">
        <f t="shared" si="30"/>
        <v>36.375661375661373</v>
      </c>
      <c r="J906" s="77" t="s">
        <v>154</v>
      </c>
      <c r="K906" s="77">
        <f t="shared" si="31"/>
        <v>16.664999999999999</v>
      </c>
      <c r="L906" s="68" t="s">
        <v>289</v>
      </c>
    </row>
    <row r="907" spans="1:12" ht="13.5">
      <c r="A907" s="81" t="s">
        <v>69</v>
      </c>
      <c r="B907" s="65" t="s">
        <v>73</v>
      </c>
      <c r="C907" s="65" t="s">
        <v>61</v>
      </c>
      <c r="D907" s="66" t="s">
        <v>290</v>
      </c>
      <c r="E907" s="67"/>
      <c r="F907" s="65" t="s">
        <v>239</v>
      </c>
      <c r="G907" s="73" t="s">
        <v>124</v>
      </c>
      <c r="H907" s="74" t="s">
        <v>119</v>
      </c>
      <c r="I907" s="77">
        <f t="shared" si="30"/>
        <v>36.375661375661373</v>
      </c>
      <c r="J907" s="77" t="s">
        <v>154</v>
      </c>
      <c r="K907" s="77">
        <f t="shared" si="31"/>
        <v>16.664999999999999</v>
      </c>
      <c r="L907" s="68" t="s">
        <v>289</v>
      </c>
    </row>
    <row r="908" spans="1:12" ht="13.5">
      <c r="A908" s="81" t="s">
        <v>69</v>
      </c>
      <c r="B908" s="65" t="s">
        <v>73</v>
      </c>
      <c r="C908" s="65" t="s">
        <v>61</v>
      </c>
      <c r="D908" s="66" t="s">
        <v>290</v>
      </c>
      <c r="E908" s="67"/>
      <c r="F908" s="65" t="s">
        <v>239</v>
      </c>
      <c r="G908" s="73" t="s">
        <v>161</v>
      </c>
      <c r="H908" s="74" t="s">
        <v>119</v>
      </c>
      <c r="I908" s="77">
        <f t="shared" si="30"/>
        <v>36.375661375661373</v>
      </c>
      <c r="J908" s="77" t="s">
        <v>154</v>
      </c>
      <c r="K908" s="77">
        <f t="shared" si="31"/>
        <v>16.664999999999999</v>
      </c>
      <c r="L908" s="68" t="s">
        <v>289</v>
      </c>
    </row>
    <row r="909" spans="1:12" ht="13.5">
      <c r="A909" s="81" t="s">
        <v>69</v>
      </c>
      <c r="B909" s="65" t="s">
        <v>73</v>
      </c>
      <c r="C909" s="65" t="s">
        <v>61</v>
      </c>
      <c r="D909" s="66" t="s">
        <v>290</v>
      </c>
      <c r="E909" s="67"/>
      <c r="F909" s="65" t="s">
        <v>239</v>
      </c>
      <c r="G909" s="73" t="s">
        <v>125</v>
      </c>
      <c r="H909" s="74" t="s">
        <v>119</v>
      </c>
      <c r="I909" s="77">
        <f t="shared" si="30"/>
        <v>36.375661375661373</v>
      </c>
      <c r="J909" s="77" t="s">
        <v>154</v>
      </c>
      <c r="K909" s="77">
        <f t="shared" si="31"/>
        <v>16.664999999999999</v>
      </c>
      <c r="L909" s="68" t="s">
        <v>289</v>
      </c>
    </row>
    <row r="910" spans="1:12" ht="13.5">
      <c r="A910" s="81" t="s">
        <v>69</v>
      </c>
      <c r="B910" s="65" t="s">
        <v>73</v>
      </c>
      <c r="C910" s="65" t="s">
        <v>61</v>
      </c>
      <c r="D910" s="66" t="s">
        <v>290</v>
      </c>
      <c r="E910" s="67"/>
      <c r="F910" s="65" t="s">
        <v>239</v>
      </c>
      <c r="G910" s="73" t="s">
        <v>128</v>
      </c>
      <c r="H910" s="74" t="s">
        <v>109</v>
      </c>
      <c r="I910" s="77">
        <f t="shared" si="30"/>
        <v>37.257495590828924</v>
      </c>
      <c r="J910" s="77" t="s">
        <v>110</v>
      </c>
      <c r="K910" s="77">
        <f t="shared" si="31"/>
        <v>17.068999999999999</v>
      </c>
      <c r="L910" s="68" t="s">
        <v>289</v>
      </c>
    </row>
    <row r="911" spans="1:12" ht="13.5">
      <c r="A911" s="81" t="s">
        <v>69</v>
      </c>
      <c r="B911" s="65" t="s">
        <v>73</v>
      </c>
      <c r="C911" s="65" t="s">
        <v>61</v>
      </c>
      <c r="D911" s="66" t="s">
        <v>290</v>
      </c>
      <c r="E911" s="67"/>
      <c r="F911" s="65" t="s">
        <v>239</v>
      </c>
      <c r="G911" s="73" t="s">
        <v>129</v>
      </c>
      <c r="H911" s="74" t="s">
        <v>119</v>
      </c>
      <c r="I911" s="77">
        <f t="shared" si="30"/>
        <v>36.375661375661373</v>
      </c>
      <c r="J911" s="77" t="s">
        <v>154</v>
      </c>
      <c r="K911" s="77">
        <f t="shared" si="31"/>
        <v>16.664999999999999</v>
      </c>
      <c r="L911" s="68" t="s">
        <v>289</v>
      </c>
    </row>
    <row r="912" spans="1:12" ht="13.5">
      <c r="A912" s="81" t="s">
        <v>69</v>
      </c>
      <c r="B912" s="65" t="s">
        <v>73</v>
      </c>
      <c r="C912" s="65" t="s">
        <v>61</v>
      </c>
      <c r="D912" s="66" t="s">
        <v>290</v>
      </c>
      <c r="E912" s="67"/>
      <c r="F912" s="65" t="s">
        <v>239</v>
      </c>
      <c r="G912" s="73" t="s">
        <v>130</v>
      </c>
      <c r="H912" s="74" t="s">
        <v>119</v>
      </c>
      <c r="I912" s="77">
        <f t="shared" si="30"/>
        <v>36.375661375661373</v>
      </c>
      <c r="J912" s="77" t="s">
        <v>154</v>
      </c>
      <c r="K912" s="77">
        <f t="shared" si="31"/>
        <v>16.664999999999999</v>
      </c>
      <c r="L912" s="68" t="s">
        <v>289</v>
      </c>
    </row>
    <row r="913" spans="1:12" ht="13.5">
      <c r="A913" s="81" t="s">
        <v>69</v>
      </c>
      <c r="B913" s="65" t="s">
        <v>73</v>
      </c>
      <c r="C913" s="65" t="s">
        <v>61</v>
      </c>
      <c r="D913" s="66" t="s">
        <v>290</v>
      </c>
      <c r="E913" s="67"/>
      <c r="F913" s="65" t="s">
        <v>239</v>
      </c>
      <c r="G913" s="73" t="s">
        <v>131</v>
      </c>
      <c r="H913" s="74" t="s">
        <v>119</v>
      </c>
      <c r="I913" s="77">
        <f t="shared" si="30"/>
        <v>36.375661375661373</v>
      </c>
      <c r="J913" s="77" t="s">
        <v>154</v>
      </c>
      <c r="K913" s="77">
        <f t="shared" si="31"/>
        <v>16.664999999999999</v>
      </c>
      <c r="L913" s="68" t="s">
        <v>289</v>
      </c>
    </row>
    <row r="914" spans="1:12" ht="13.5">
      <c r="A914" s="81" t="s">
        <v>69</v>
      </c>
      <c r="B914" s="65" t="s">
        <v>73</v>
      </c>
      <c r="C914" s="65" t="s">
        <v>61</v>
      </c>
      <c r="D914" s="66" t="s">
        <v>290</v>
      </c>
      <c r="E914" s="67"/>
      <c r="F914" s="65" t="s">
        <v>239</v>
      </c>
      <c r="G914" s="73" t="s">
        <v>164</v>
      </c>
      <c r="H914" s="74" t="s">
        <v>119</v>
      </c>
      <c r="I914" s="77">
        <f t="shared" si="30"/>
        <v>36.375661375661373</v>
      </c>
      <c r="J914" s="77" t="s">
        <v>154</v>
      </c>
      <c r="K914" s="77">
        <f t="shared" si="31"/>
        <v>16.664999999999999</v>
      </c>
      <c r="L914" s="68" t="s">
        <v>289</v>
      </c>
    </row>
    <row r="915" spans="1:12" ht="13.5">
      <c r="A915" s="81" t="s">
        <v>69</v>
      </c>
      <c r="B915" s="65" t="s">
        <v>73</v>
      </c>
      <c r="C915" s="65" t="s">
        <v>61</v>
      </c>
      <c r="D915" s="66" t="s">
        <v>290</v>
      </c>
      <c r="E915" s="67"/>
      <c r="F915" s="65" t="s">
        <v>239</v>
      </c>
      <c r="G915" s="73" t="s">
        <v>132</v>
      </c>
      <c r="H915" s="74" t="s">
        <v>103</v>
      </c>
      <c r="I915" s="77">
        <f t="shared" si="30"/>
        <v>37.698412698412703</v>
      </c>
      <c r="J915" s="77" t="s">
        <v>104</v>
      </c>
      <c r="K915" s="77">
        <f t="shared" si="31"/>
        <v>17.271000000000001</v>
      </c>
      <c r="L915" s="68" t="s">
        <v>289</v>
      </c>
    </row>
    <row r="916" spans="1:12" ht="13.5">
      <c r="A916" s="81" t="s">
        <v>69</v>
      </c>
      <c r="B916" s="65" t="s">
        <v>73</v>
      </c>
      <c r="C916" s="65" t="s">
        <v>61</v>
      </c>
      <c r="D916" s="66" t="s">
        <v>290</v>
      </c>
      <c r="E916" s="67"/>
      <c r="F916" s="65" t="s">
        <v>239</v>
      </c>
      <c r="G916" s="73" t="s">
        <v>133</v>
      </c>
      <c r="H916" s="74" t="s">
        <v>103</v>
      </c>
      <c r="I916" s="77">
        <f t="shared" si="30"/>
        <v>37.698412698412703</v>
      </c>
      <c r="J916" s="77" t="s">
        <v>104</v>
      </c>
      <c r="K916" s="77">
        <f t="shared" si="31"/>
        <v>17.271000000000001</v>
      </c>
      <c r="L916" s="68" t="s">
        <v>289</v>
      </c>
    </row>
    <row r="917" spans="1:12" ht="13.5">
      <c r="A917" s="81" t="s">
        <v>69</v>
      </c>
      <c r="B917" s="65" t="s">
        <v>73</v>
      </c>
      <c r="C917" s="65" t="s">
        <v>61</v>
      </c>
      <c r="D917" s="66" t="s">
        <v>290</v>
      </c>
      <c r="E917" s="67"/>
      <c r="F917" s="65" t="s">
        <v>239</v>
      </c>
      <c r="G917" s="73" t="s">
        <v>134</v>
      </c>
      <c r="H917" s="74" t="s">
        <v>173</v>
      </c>
      <c r="I917" s="77">
        <f t="shared" si="30"/>
        <v>35.05291005291005</v>
      </c>
      <c r="J917" s="77" t="s">
        <v>174</v>
      </c>
      <c r="K917" s="77">
        <f t="shared" si="31"/>
        <v>16.059000000000001</v>
      </c>
      <c r="L917" s="68" t="s">
        <v>289</v>
      </c>
    </row>
    <row r="918" spans="1:12" ht="13.5">
      <c r="A918" s="81" t="s">
        <v>69</v>
      </c>
      <c r="B918" s="65" t="s">
        <v>73</v>
      </c>
      <c r="C918" s="65" t="s">
        <v>61</v>
      </c>
      <c r="D918" s="66" t="s">
        <v>290</v>
      </c>
      <c r="E918" s="67"/>
      <c r="F918" s="65" t="s">
        <v>239</v>
      </c>
      <c r="G918" s="73" t="s">
        <v>135</v>
      </c>
      <c r="H918" s="74" t="s">
        <v>114</v>
      </c>
      <c r="I918" s="77">
        <f t="shared" si="30"/>
        <v>38.80070546737214</v>
      </c>
      <c r="J918" s="77" t="s">
        <v>160</v>
      </c>
      <c r="K918" s="77">
        <f t="shared" si="31"/>
        <v>17.776000000000003</v>
      </c>
      <c r="L918" s="68" t="s">
        <v>289</v>
      </c>
    </row>
    <row r="919" spans="1:12" ht="13.5">
      <c r="A919" s="81" t="s">
        <v>69</v>
      </c>
      <c r="B919" s="65" t="s">
        <v>73</v>
      </c>
      <c r="C919" s="65" t="s">
        <v>61</v>
      </c>
      <c r="D919" s="66" t="s">
        <v>290</v>
      </c>
      <c r="E919" s="67"/>
      <c r="F919" s="65" t="s">
        <v>239</v>
      </c>
      <c r="G919" s="73" t="s">
        <v>136</v>
      </c>
      <c r="H919" s="74" t="s">
        <v>109</v>
      </c>
      <c r="I919" s="77">
        <f t="shared" si="30"/>
        <v>37.257495590828924</v>
      </c>
      <c r="J919" s="77" t="s">
        <v>110</v>
      </c>
      <c r="K919" s="77">
        <f t="shared" si="31"/>
        <v>17.068999999999999</v>
      </c>
      <c r="L919" s="68" t="s">
        <v>289</v>
      </c>
    </row>
    <row r="920" spans="1:12" ht="13.5">
      <c r="A920" s="81" t="s">
        <v>69</v>
      </c>
      <c r="B920" s="65" t="s">
        <v>73</v>
      </c>
      <c r="C920" s="65" t="s">
        <v>61</v>
      </c>
      <c r="D920" s="66" t="s">
        <v>290</v>
      </c>
      <c r="E920" s="67"/>
      <c r="F920" s="65" t="s">
        <v>239</v>
      </c>
      <c r="G920" s="73" t="s">
        <v>137</v>
      </c>
      <c r="H920" s="74" t="s">
        <v>148</v>
      </c>
      <c r="I920" s="77">
        <f t="shared" si="30"/>
        <v>38.139329805996475</v>
      </c>
      <c r="J920" s="77" t="s">
        <v>149</v>
      </c>
      <c r="K920" s="77">
        <f t="shared" si="31"/>
        <v>17.473000000000003</v>
      </c>
      <c r="L920" s="68" t="s">
        <v>289</v>
      </c>
    </row>
    <row r="921" spans="1:12" ht="13.5">
      <c r="A921" s="81" t="s">
        <v>69</v>
      </c>
      <c r="B921" s="65" t="s">
        <v>73</v>
      </c>
      <c r="C921" s="65" t="s">
        <v>61</v>
      </c>
      <c r="D921" s="66" t="s">
        <v>290</v>
      </c>
      <c r="E921" s="67"/>
      <c r="F921" s="65" t="s">
        <v>239</v>
      </c>
      <c r="G921" s="73" t="s">
        <v>138</v>
      </c>
      <c r="H921" s="74" t="s">
        <v>165</v>
      </c>
      <c r="I921" s="77">
        <f t="shared" si="30"/>
        <v>39.021164021164019</v>
      </c>
      <c r="J921" s="77" t="s">
        <v>194</v>
      </c>
      <c r="K921" s="77">
        <f t="shared" si="31"/>
        <v>17.876999999999999</v>
      </c>
      <c r="L921" s="68" t="s">
        <v>289</v>
      </c>
    </row>
    <row r="922" spans="1:12" ht="13.5">
      <c r="A922" s="81" t="s">
        <v>69</v>
      </c>
      <c r="B922" s="65" t="s">
        <v>73</v>
      </c>
      <c r="C922" s="65" t="s">
        <v>61</v>
      </c>
      <c r="D922" s="66" t="s">
        <v>290</v>
      </c>
      <c r="E922" s="67"/>
      <c r="F922" s="65" t="s">
        <v>239</v>
      </c>
      <c r="G922" s="73" t="s">
        <v>139</v>
      </c>
      <c r="H922" s="74" t="s">
        <v>109</v>
      </c>
      <c r="I922" s="77">
        <f t="shared" si="30"/>
        <v>37.257495590828924</v>
      </c>
      <c r="J922" s="77" t="s">
        <v>110</v>
      </c>
      <c r="K922" s="77">
        <f t="shared" si="31"/>
        <v>17.068999999999999</v>
      </c>
      <c r="L922" s="68" t="s">
        <v>289</v>
      </c>
    </row>
    <row r="923" spans="1:12" ht="13.5">
      <c r="A923" s="81" t="s">
        <v>69</v>
      </c>
      <c r="B923" s="65" t="s">
        <v>73</v>
      </c>
      <c r="C923" s="65" t="s">
        <v>61</v>
      </c>
      <c r="D923" s="66" t="s">
        <v>290</v>
      </c>
      <c r="E923" s="67"/>
      <c r="F923" s="65" t="s">
        <v>239</v>
      </c>
      <c r="G923" s="73" t="s">
        <v>140</v>
      </c>
      <c r="H923" s="74" t="s">
        <v>119</v>
      </c>
      <c r="I923" s="77">
        <f t="shared" si="30"/>
        <v>36.375661375661373</v>
      </c>
      <c r="J923" s="77" t="s">
        <v>154</v>
      </c>
      <c r="K923" s="77">
        <f t="shared" si="31"/>
        <v>16.664999999999999</v>
      </c>
      <c r="L923" s="68" t="s">
        <v>289</v>
      </c>
    </row>
    <row r="924" spans="1:12" ht="13.5">
      <c r="A924" s="81" t="s">
        <v>69</v>
      </c>
      <c r="B924" s="65" t="s">
        <v>73</v>
      </c>
      <c r="C924" s="65" t="s">
        <v>61</v>
      </c>
      <c r="D924" s="66" t="s">
        <v>290</v>
      </c>
      <c r="E924" s="67"/>
      <c r="F924" s="65" t="s">
        <v>239</v>
      </c>
      <c r="G924" s="73" t="s">
        <v>167</v>
      </c>
      <c r="H924" s="74" t="s">
        <v>103</v>
      </c>
      <c r="I924" s="77">
        <f t="shared" si="30"/>
        <v>37.698412698412703</v>
      </c>
      <c r="J924" s="77" t="s">
        <v>104</v>
      </c>
      <c r="K924" s="77">
        <f t="shared" si="31"/>
        <v>17.271000000000001</v>
      </c>
      <c r="L924" s="68" t="s">
        <v>289</v>
      </c>
    </row>
    <row r="925" spans="1:12" ht="13.5">
      <c r="A925" s="81" t="s">
        <v>69</v>
      </c>
      <c r="B925" s="65" t="s">
        <v>73</v>
      </c>
      <c r="C925" s="65" t="s">
        <v>61</v>
      </c>
      <c r="D925" s="66" t="s">
        <v>290</v>
      </c>
      <c r="E925" s="67"/>
      <c r="F925" s="65" t="s">
        <v>239</v>
      </c>
      <c r="G925" s="73" t="s">
        <v>141</v>
      </c>
      <c r="H925" s="74" t="s">
        <v>148</v>
      </c>
      <c r="I925" s="77">
        <f t="shared" si="30"/>
        <v>38.359788359788354</v>
      </c>
      <c r="J925" s="77" t="s">
        <v>162</v>
      </c>
      <c r="K925" s="77">
        <f t="shared" si="31"/>
        <v>17.573999999999998</v>
      </c>
      <c r="L925" s="68" t="s">
        <v>289</v>
      </c>
    </row>
    <row r="926" spans="1:12" ht="13.5">
      <c r="A926" s="81" t="s">
        <v>69</v>
      </c>
      <c r="B926" s="65" t="s">
        <v>73</v>
      </c>
      <c r="C926" s="65" t="s">
        <v>61</v>
      </c>
      <c r="D926" s="66" t="s">
        <v>290</v>
      </c>
      <c r="E926" s="67"/>
      <c r="F926" s="65" t="s">
        <v>239</v>
      </c>
      <c r="G926" s="73" t="s">
        <v>142</v>
      </c>
      <c r="H926" s="74" t="s">
        <v>165</v>
      </c>
      <c r="I926" s="77">
        <f t="shared" si="30"/>
        <v>39.241622574955912</v>
      </c>
      <c r="J926" s="77" t="s">
        <v>166</v>
      </c>
      <c r="K926" s="77">
        <f t="shared" si="31"/>
        <v>17.978000000000002</v>
      </c>
      <c r="L926" s="68" t="s">
        <v>289</v>
      </c>
    </row>
    <row r="927" spans="1:12" ht="13.5">
      <c r="A927" s="81" t="s">
        <v>69</v>
      </c>
      <c r="B927" s="65" t="s">
        <v>73</v>
      </c>
      <c r="C927" s="65" t="s">
        <v>61</v>
      </c>
      <c r="D927" s="66" t="s">
        <v>290</v>
      </c>
      <c r="E927" s="67"/>
      <c r="F927" s="65" t="s">
        <v>239</v>
      </c>
      <c r="G927" s="73" t="s">
        <v>143</v>
      </c>
      <c r="H927" s="74" t="s">
        <v>119</v>
      </c>
      <c r="I927" s="77">
        <f t="shared" si="30"/>
        <v>36.155202821869487</v>
      </c>
      <c r="J927" s="77" t="s">
        <v>120</v>
      </c>
      <c r="K927" s="77">
        <f t="shared" si="31"/>
        <v>16.564</v>
      </c>
      <c r="L927" s="68" t="s">
        <v>289</v>
      </c>
    </row>
    <row r="928" spans="1:12" ht="13.5">
      <c r="A928" s="81" t="s">
        <v>69</v>
      </c>
      <c r="B928" s="65" t="s">
        <v>73</v>
      </c>
      <c r="C928" s="65" t="s">
        <v>61</v>
      </c>
      <c r="D928" s="66" t="s">
        <v>290</v>
      </c>
      <c r="E928" s="67"/>
      <c r="F928" s="65" t="s">
        <v>239</v>
      </c>
      <c r="G928" s="73" t="s">
        <v>241</v>
      </c>
      <c r="H928" s="74" t="s">
        <v>109</v>
      </c>
      <c r="I928" s="77">
        <f t="shared" si="30"/>
        <v>37.037037037037038</v>
      </c>
      <c r="J928" s="77" t="s">
        <v>158</v>
      </c>
      <c r="K928" s="77">
        <f t="shared" si="31"/>
        <v>16.968</v>
      </c>
      <c r="L928" s="68" t="s">
        <v>289</v>
      </c>
    </row>
    <row r="929" spans="1:12" ht="13.5">
      <c r="A929" s="81" t="s">
        <v>69</v>
      </c>
      <c r="B929" s="65" t="s">
        <v>73</v>
      </c>
      <c r="C929" s="65" t="s">
        <v>61</v>
      </c>
      <c r="D929" s="66" t="s">
        <v>290</v>
      </c>
      <c r="E929" s="67"/>
      <c r="F929" s="65" t="s">
        <v>239</v>
      </c>
      <c r="G929" s="73" t="s">
        <v>242</v>
      </c>
      <c r="H929" s="74" t="s">
        <v>103</v>
      </c>
      <c r="I929" s="77">
        <f t="shared" si="30"/>
        <v>37.698412698412703</v>
      </c>
      <c r="J929" s="77" t="s">
        <v>104</v>
      </c>
      <c r="K929" s="77">
        <f t="shared" si="31"/>
        <v>17.271000000000001</v>
      </c>
      <c r="L929" s="68" t="s">
        <v>289</v>
      </c>
    </row>
    <row r="930" spans="1:12" ht="13.5">
      <c r="A930" s="81" t="s">
        <v>69</v>
      </c>
      <c r="B930" s="65" t="s">
        <v>73</v>
      </c>
      <c r="C930" s="65" t="s">
        <v>61</v>
      </c>
      <c r="D930" s="66" t="s">
        <v>290</v>
      </c>
      <c r="E930" s="67"/>
      <c r="F930" s="65" t="s">
        <v>239</v>
      </c>
      <c r="G930" s="73" t="s">
        <v>243</v>
      </c>
      <c r="H930" s="74" t="s">
        <v>119</v>
      </c>
      <c r="I930" s="77">
        <f t="shared" si="30"/>
        <v>36.375661375661373</v>
      </c>
      <c r="J930" s="77" t="s">
        <v>154</v>
      </c>
      <c r="K930" s="77">
        <f t="shared" si="31"/>
        <v>16.664999999999999</v>
      </c>
      <c r="L930" s="68" t="s">
        <v>289</v>
      </c>
    </row>
    <row r="931" spans="1:12" ht="13.5">
      <c r="A931" s="81" t="s">
        <v>69</v>
      </c>
      <c r="B931" s="65" t="s">
        <v>73</v>
      </c>
      <c r="C931" s="65" t="s">
        <v>61</v>
      </c>
      <c r="D931" s="66" t="s">
        <v>290</v>
      </c>
      <c r="E931" s="67"/>
      <c r="F931" s="65" t="s">
        <v>239</v>
      </c>
      <c r="G931" s="73" t="s">
        <v>244</v>
      </c>
      <c r="H931" s="74" t="s">
        <v>119</v>
      </c>
      <c r="I931" s="77">
        <f t="shared" si="30"/>
        <v>36.155202821869487</v>
      </c>
      <c r="J931" s="77" t="s">
        <v>120</v>
      </c>
      <c r="K931" s="77">
        <f t="shared" si="31"/>
        <v>16.564</v>
      </c>
      <c r="L931" s="68" t="s">
        <v>289</v>
      </c>
    </row>
    <row r="932" spans="1:12" ht="13.5">
      <c r="A932" s="81" t="s">
        <v>69</v>
      </c>
      <c r="B932" s="65" t="s">
        <v>73</v>
      </c>
      <c r="C932" s="65" t="s">
        <v>61</v>
      </c>
      <c r="D932" s="66" t="s">
        <v>290</v>
      </c>
      <c r="E932" s="67"/>
      <c r="F932" s="65" t="s">
        <v>239</v>
      </c>
      <c r="G932" s="73" t="s">
        <v>245</v>
      </c>
      <c r="H932" s="74" t="s">
        <v>119</v>
      </c>
      <c r="I932" s="77">
        <f t="shared" si="30"/>
        <v>36.155202821869487</v>
      </c>
      <c r="J932" s="77" t="s">
        <v>120</v>
      </c>
      <c r="K932" s="77">
        <f t="shared" si="31"/>
        <v>16.564</v>
      </c>
      <c r="L932" s="68" t="s">
        <v>289</v>
      </c>
    </row>
    <row r="933" spans="1:12" ht="13.5">
      <c r="A933" s="81" t="s">
        <v>69</v>
      </c>
      <c r="B933" s="65" t="s">
        <v>73</v>
      </c>
      <c r="C933" s="65" t="s">
        <v>61</v>
      </c>
      <c r="D933" s="66" t="s">
        <v>290</v>
      </c>
      <c r="E933" s="67"/>
      <c r="F933" s="65" t="s">
        <v>239</v>
      </c>
      <c r="G933" s="73" t="s">
        <v>246</v>
      </c>
      <c r="H933" s="74" t="s">
        <v>148</v>
      </c>
      <c r="I933" s="77">
        <f t="shared" si="30"/>
        <v>37.918871252204582</v>
      </c>
      <c r="J933" s="77" t="s">
        <v>163</v>
      </c>
      <c r="K933" s="77">
        <f t="shared" si="31"/>
        <v>17.372</v>
      </c>
      <c r="L933" s="68" t="s">
        <v>289</v>
      </c>
    </row>
    <row r="934" spans="1:12" ht="13.5">
      <c r="A934" s="81" t="s">
        <v>69</v>
      </c>
      <c r="B934" s="65" t="s">
        <v>73</v>
      </c>
      <c r="C934" s="65" t="s">
        <v>61</v>
      </c>
      <c r="D934" s="66" t="s">
        <v>290</v>
      </c>
      <c r="E934" s="67"/>
      <c r="F934" s="65" t="s">
        <v>239</v>
      </c>
      <c r="G934" s="73" t="s">
        <v>247</v>
      </c>
      <c r="H934" s="74" t="s">
        <v>248</v>
      </c>
      <c r="I934" s="77">
        <f t="shared" si="30"/>
        <v>33.730158730158735</v>
      </c>
      <c r="J934" s="77" t="s">
        <v>249</v>
      </c>
      <c r="K934" s="77">
        <f t="shared" si="31"/>
        <v>15.453000000000001</v>
      </c>
      <c r="L934" s="68" t="s">
        <v>289</v>
      </c>
    </row>
    <row r="935" spans="1:12" ht="13.5">
      <c r="A935" s="81" t="s">
        <v>69</v>
      </c>
      <c r="B935" s="65" t="s">
        <v>73</v>
      </c>
      <c r="C935" s="65" t="s">
        <v>61</v>
      </c>
      <c r="D935" s="66" t="s">
        <v>290</v>
      </c>
      <c r="E935" s="67"/>
      <c r="F935" s="65" t="s">
        <v>239</v>
      </c>
      <c r="G935" s="73" t="s">
        <v>250</v>
      </c>
      <c r="H935" s="74" t="s">
        <v>109</v>
      </c>
      <c r="I935" s="77">
        <f t="shared" si="30"/>
        <v>37.257495590828924</v>
      </c>
      <c r="J935" s="77" t="s">
        <v>110</v>
      </c>
      <c r="K935" s="77">
        <f t="shared" si="31"/>
        <v>17.068999999999999</v>
      </c>
      <c r="L935" s="68" t="s">
        <v>289</v>
      </c>
    </row>
    <row r="936" spans="1:12" ht="13.5">
      <c r="A936" s="81" t="s">
        <v>69</v>
      </c>
      <c r="B936" s="65" t="s">
        <v>73</v>
      </c>
      <c r="C936" s="65" t="s">
        <v>61</v>
      </c>
      <c r="D936" s="66" t="s">
        <v>290</v>
      </c>
      <c r="E936" s="67"/>
      <c r="F936" s="65" t="s">
        <v>239</v>
      </c>
      <c r="G936" s="73" t="s">
        <v>251</v>
      </c>
      <c r="H936" s="74" t="s">
        <v>173</v>
      </c>
      <c r="I936" s="77">
        <f t="shared" si="30"/>
        <v>35.05291005291005</v>
      </c>
      <c r="J936" s="77" t="s">
        <v>174</v>
      </c>
      <c r="K936" s="77">
        <f t="shared" si="31"/>
        <v>16.059000000000001</v>
      </c>
      <c r="L936" s="68" t="s">
        <v>289</v>
      </c>
    </row>
    <row r="937" spans="1:12" ht="13.5">
      <c r="A937" s="81" t="s">
        <v>69</v>
      </c>
      <c r="B937" s="65" t="s">
        <v>73</v>
      </c>
      <c r="C937" s="65" t="s">
        <v>61</v>
      </c>
      <c r="D937" s="66" t="s">
        <v>290</v>
      </c>
      <c r="E937" s="67"/>
      <c r="F937" s="65" t="s">
        <v>239</v>
      </c>
      <c r="G937" s="73" t="s">
        <v>252</v>
      </c>
      <c r="H937" s="74" t="s">
        <v>126</v>
      </c>
      <c r="I937" s="77">
        <f t="shared" si="30"/>
        <v>36.596119929453266</v>
      </c>
      <c r="J937" s="77" t="s">
        <v>159</v>
      </c>
      <c r="K937" s="77">
        <f t="shared" si="31"/>
        <v>16.766000000000002</v>
      </c>
      <c r="L937" s="68" t="s">
        <v>289</v>
      </c>
    </row>
    <row r="938" spans="1:12" ht="13.5">
      <c r="A938" s="81" t="s">
        <v>69</v>
      </c>
      <c r="B938" s="65" t="s">
        <v>73</v>
      </c>
      <c r="C938" s="65" t="s">
        <v>61</v>
      </c>
      <c r="D938" s="66" t="s">
        <v>290</v>
      </c>
      <c r="E938" s="67"/>
      <c r="F938" s="65" t="s">
        <v>239</v>
      </c>
      <c r="G938" s="73" t="s">
        <v>253</v>
      </c>
      <c r="H938" s="74" t="s">
        <v>119</v>
      </c>
      <c r="I938" s="77">
        <f t="shared" si="30"/>
        <v>36.375661375661373</v>
      </c>
      <c r="J938" s="77" t="s">
        <v>154</v>
      </c>
      <c r="K938" s="77">
        <f t="shared" si="31"/>
        <v>16.664999999999999</v>
      </c>
      <c r="L938" s="68" t="s">
        <v>289</v>
      </c>
    </row>
    <row r="939" spans="1:12" ht="13.5">
      <c r="A939" s="81" t="s">
        <v>69</v>
      </c>
      <c r="B939" s="65" t="s">
        <v>73</v>
      </c>
      <c r="C939" s="65" t="s">
        <v>61</v>
      </c>
      <c r="D939" s="66" t="s">
        <v>290</v>
      </c>
      <c r="E939" s="67"/>
      <c r="F939" s="65" t="s">
        <v>239</v>
      </c>
      <c r="G939" s="73" t="s">
        <v>254</v>
      </c>
      <c r="H939" s="74" t="s">
        <v>119</v>
      </c>
      <c r="I939" s="77">
        <f t="shared" si="30"/>
        <v>36.155202821869487</v>
      </c>
      <c r="J939" s="77" t="s">
        <v>120</v>
      </c>
      <c r="K939" s="77">
        <f t="shared" si="31"/>
        <v>16.564</v>
      </c>
      <c r="L939" s="68" t="s">
        <v>289</v>
      </c>
    </row>
    <row r="940" spans="1:12" ht="13.5">
      <c r="A940" s="81" t="s">
        <v>69</v>
      </c>
      <c r="B940" s="65" t="s">
        <v>73</v>
      </c>
      <c r="C940" s="65" t="s">
        <v>61</v>
      </c>
      <c r="D940" s="66" t="s">
        <v>290</v>
      </c>
      <c r="E940" s="67"/>
      <c r="F940" s="65" t="s">
        <v>239</v>
      </c>
      <c r="G940" s="73" t="s">
        <v>255</v>
      </c>
      <c r="H940" s="74" t="s">
        <v>119</v>
      </c>
      <c r="I940" s="77">
        <f t="shared" si="30"/>
        <v>36.155202821869487</v>
      </c>
      <c r="J940" s="77" t="s">
        <v>120</v>
      </c>
      <c r="K940" s="77">
        <f t="shared" si="31"/>
        <v>16.564</v>
      </c>
      <c r="L940" s="68" t="s">
        <v>289</v>
      </c>
    </row>
    <row r="941" spans="1:12" ht="13.5">
      <c r="A941" s="81" t="s">
        <v>69</v>
      </c>
      <c r="B941" s="65" t="s">
        <v>73</v>
      </c>
      <c r="C941" s="65" t="s">
        <v>61</v>
      </c>
      <c r="D941" s="66" t="s">
        <v>290</v>
      </c>
      <c r="E941" s="67"/>
      <c r="F941" s="65" t="s">
        <v>239</v>
      </c>
      <c r="G941" s="73" t="s">
        <v>256</v>
      </c>
      <c r="H941" s="74" t="s">
        <v>173</v>
      </c>
      <c r="I941" s="77">
        <f t="shared" si="30"/>
        <v>35.273368606701936</v>
      </c>
      <c r="J941" s="77" t="s">
        <v>182</v>
      </c>
      <c r="K941" s="77">
        <f t="shared" si="31"/>
        <v>16.16</v>
      </c>
      <c r="L941" s="68" t="s">
        <v>289</v>
      </c>
    </row>
    <row r="942" spans="1:12" ht="13.5">
      <c r="A942" s="81" t="s">
        <v>69</v>
      </c>
      <c r="B942" s="65" t="s">
        <v>73</v>
      </c>
      <c r="C942" s="65" t="s">
        <v>61</v>
      </c>
      <c r="D942" s="66" t="s">
        <v>290</v>
      </c>
      <c r="E942" s="67"/>
      <c r="F942" s="65" t="s">
        <v>239</v>
      </c>
      <c r="G942" s="73" t="s">
        <v>257</v>
      </c>
      <c r="H942" s="74" t="s">
        <v>165</v>
      </c>
      <c r="I942" s="77">
        <f t="shared" si="30"/>
        <v>39.021164021164019</v>
      </c>
      <c r="J942" s="77" t="s">
        <v>194</v>
      </c>
      <c r="K942" s="77">
        <f t="shared" si="31"/>
        <v>17.876999999999999</v>
      </c>
      <c r="L942" s="68" t="s">
        <v>289</v>
      </c>
    </row>
    <row r="943" spans="1:12" ht="13.5">
      <c r="A943" s="81" t="s">
        <v>69</v>
      </c>
      <c r="B943" s="65" t="s">
        <v>73</v>
      </c>
      <c r="C943" s="65" t="s">
        <v>61</v>
      </c>
      <c r="D943" s="66" t="s">
        <v>290</v>
      </c>
      <c r="E943" s="67"/>
      <c r="F943" s="65" t="s">
        <v>239</v>
      </c>
      <c r="G943" s="73" t="s">
        <v>258</v>
      </c>
      <c r="H943" s="74" t="s">
        <v>103</v>
      </c>
      <c r="I943" s="77">
        <f t="shared" si="30"/>
        <v>37.698412698412703</v>
      </c>
      <c r="J943" s="77" t="s">
        <v>104</v>
      </c>
      <c r="K943" s="77">
        <f t="shared" si="31"/>
        <v>17.271000000000001</v>
      </c>
      <c r="L943" s="68" t="s">
        <v>289</v>
      </c>
    </row>
    <row r="944" spans="1:12" ht="13.5">
      <c r="A944" s="81" t="s">
        <v>69</v>
      </c>
      <c r="B944" s="65" t="s">
        <v>73</v>
      </c>
      <c r="C944" s="65" t="s">
        <v>61</v>
      </c>
      <c r="D944" s="66" t="s">
        <v>290</v>
      </c>
      <c r="E944" s="67"/>
      <c r="F944" s="65" t="s">
        <v>239</v>
      </c>
      <c r="G944" s="73" t="s">
        <v>259</v>
      </c>
      <c r="H944" s="74" t="s">
        <v>148</v>
      </c>
      <c r="I944" s="77">
        <f t="shared" si="30"/>
        <v>38.359788359788354</v>
      </c>
      <c r="J944" s="77" t="s">
        <v>162</v>
      </c>
      <c r="K944" s="77">
        <f t="shared" si="31"/>
        <v>17.573999999999998</v>
      </c>
      <c r="L944" s="68" t="s">
        <v>289</v>
      </c>
    </row>
    <row r="945" spans="1:12" ht="13.5">
      <c r="A945" s="81" t="s">
        <v>69</v>
      </c>
      <c r="B945" s="65" t="s">
        <v>73</v>
      </c>
      <c r="C945" s="65" t="s">
        <v>61</v>
      </c>
      <c r="D945" s="66" t="s">
        <v>290</v>
      </c>
      <c r="E945" s="67"/>
      <c r="F945" s="65" t="s">
        <v>239</v>
      </c>
      <c r="G945" s="73" t="s">
        <v>180</v>
      </c>
      <c r="H945" s="74" t="s">
        <v>103</v>
      </c>
      <c r="I945" s="77">
        <f t="shared" si="30"/>
        <v>37.698412698412703</v>
      </c>
      <c r="J945" s="77" t="s">
        <v>104</v>
      </c>
      <c r="K945" s="77">
        <f t="shared" si="31"/>
        <v>17.271000000000001</v>
      </c>
      <c r="L945" s="68" t="s">
        <v>289</v>
      </c>
    </row>
    <row r="946" spans="1:12" ht="13.5">
      <c r="A946" s="81" t="s">
        <v>69</v>
      </c>
      <c r="B946" s="65" t="s">
        <v>73</v>
      </c>
      <c r="C946" s="65" t="s">
        <v>61</v>
      </c>
      <c r="D946" s="66" t="s">
        <v>290</v>
      </c>
      <c r="E946" s="67"/>
      <c r="F946" s="65" t="s">
        <v>239</v>
      </c>
      <c r="G946" s="73" t="s">
        <v>260</v>
      </c>
      <c r="H946" s="74" t="s">
        <v>165</v>
      </c>
      <c r="I946" s="77">
        <f t="shared" si="30"/>
        <v>39.021164021164019</v>
      </c>
      <c r="J946" s="77" t="s">
        <v>194</v>
      </c>
      <c r="K946" s="77">
        <f t="shared" si="31"/>
        <v>17.876999999999999</v>
      </c>
      <c r="L946" s="68" t="s">
        <v>289</v>
      </c>
    </row>
    <row r="947" spans="1:12" ht="13.5">
      <c r="A947" s="81" t="s">
        <v>69</v>
      </c>
      <c r="B947" s="65" t="s">
        <v>73</v>
      </c>
      <c r="C947" s="65" t="s">
        <v>61</v>
      </c>
      <c r="D947" s="66" t="s">
        <v>290</v>
      </c>
      <c r="E947" s="67"/>
      <c r="F947" s="65" t="s">
        <v>239</v>
      </c>
      <c r="G947" s="73" t="s">
        <v>261</v>
      </c>
      <c r="H947" s="74" t="s">
        <v>114</v>
      </c>
      <c r="I947" s="77">
        <f t="shared" si="30"/>
        <v>38.580246913580247</v>
      </c>
      <c r="J947" s="77" t="s">
        <v>115</v>
      </c>
      <c r="K947" s="77">
        <f t="shared" si="31"/>
        <v>17.675000000000001</v>
      </c>
      <c r="L947" s="68" t="s">
        <v>289</v>
      </c>
    </row>
    <row r="948" spans="1:12" ht="13.5">
      <c r="A948" s="81" t="s">
        <v>69</v>
      </c>
      <c r="B948" s="65" t="s">
        <v>73</v>
      </c>
      <c r="C948" s="65" t="s">
        <v>61</v>
      </c>
      <c r="D948" s="66" t="s">
        <v>290</v>
      </c>
      <c r="E948" s="67"/>
      <c r="F948" s="65" t="s">
        <v>239</v>
      </c>
      <c r="G948" s="73" t="s">
        <v>262</v>
      </c>
      <c r="H948" s="74" t="s">
        <v>148</v>
      </c>
      <c r="I948" s="77">
        <f t="shared" si="30"/>
        <v>38.139329805996475</v>
      </c>
      <c r="J948" s="77" t="s">
        <v>149</v>
      </c>
      <c r="K948" s="77">
        <f t="shared" si="31"/>
        <v>17.473000000000003</v>
      </c>
      <c r="L948" s="68" t="s">
        <v>289</v>
      </c>
    </row>
    <row r="949" spans="1:12" ht="13.5">
      <c r="A949" s="81" t="s">
        <v>69</v>
      </c>
      <c r="B949" s="65" t="s">
        <v>73</v>
      </c>
      <c r="C949" s="65" t="s">
        <v>61</v>
      </c>
      <c r="D949" s="66" t="s">
        <v>290</v>
      </c>
      <c r="E949" s="67"/>
      <c r="F949" s="65" t="s">
        <v>239</v>
      </c>
      <c r="G949" s="73" t="s">
        <v>235</v>
      </c>
      <c r="H949" s="74" t="s">
        <v>148</v>
      </c>
      <c r="I949" s="77">
        <f t="shared" si="30"/>
        <v>38.139329805996475</v>
      </c>
      <c r="J949" s="77" t="s">
        <v>149</v>
      </c>
      <c r="K949" s="77">
        <f t="shared" si="31"/>
        <v>17.473000000000003</v>
      </c>
      <c r="L949" s="68" t="s">
        <v>289</v>
      </c>
    </row>
    <row r="950" spans="1:12" ht="13.5">
      <c r="A950" s="81" t="s">
        <v>69</v>
      </c>
      <c r="B950" s="65" t="s">
        <v>73</v>
      </c>
      <c r="C950" s="65" t="s">
        <v>61</v>
      </c>
      <c r="D950" s="66" t="s">
        <v>290</v>
      </c>
      <c r="E950" s="67"/>
      <c r="F950" s="65" t="s">
        <v>239</v>
      </c>
      <c r="G950" s="73" t="s">
        <v>263</v>
      </c>
      <c r="H950" s="74" t="s">
        <v>126</v>
      </c>
      <c r="I950" s="77">
        <f t="shared" si="30"/>
        <v>36.596119929453266</v>
      </c>
      <c r="J950" s="77" t="s">
        <v>159</v>
      </c>
      <c r="K950" s="77">
        <f t="shared" si="31"/>
        <v>16.766000000000002</v>
      </c>
      <c r="L950" s="68" t="s">
        <v>289</v>
      </c>
    </row>
    <row r="951" spans="1:12" ht="13.5">
      <c r="A951" s="81" t="s">
        <v>69</v>
      </c>
      <c r="B951" s="65" t="s">
        <v>73</v>
      </c>
      <c r="C951" s="65" t="s">
        <v>61</v>
      </c>
      <c r="D951" s="66" t="s">
        <v>290</v>
      </c>
      <c r="E951" s="67"/>
      <c r="F951" s="65" t="s">
        <v>239</v>
      </c>
      <c r="G951" s="73" t="s">
        <v>183</v>
      </c>
      <c r="H951" s="74" t="s">
        <v>148</v>
      </c>
      <c r="I951" s="77">
        <f t="shared" si="30"/>
        <v>37.918871252204582</v>
      </c>
      <c r="J951" s="77" t="s">
        <v>163</v>
      </c>
      <c r="K951" s="77">
        <f t="shared" si="31"/>
        <v>17.372</v>
      </c>
      <c r="L951" s="68" t="s">
        <v>289</v>
      </c>
    </row>
    <row r="952" spans="1:12" ht="13.5">
      <c r="A952" s="81" t="s">
        <v>69</v>
      </c>
      <c r="B952" s="65" t="s">
        <v>73</v>
      </c>
      <c r="C952" s="65" t="s">
        <v>61</v>
      </c>
      <c r="D952" s="66" t="s">
        <v>290</v>
      </c>
      <c r="E952" s="67"/>
      <c r="F952" s="65" t="s">
        <v>239</v>
      </c>
      <c r="G952" s="73" t="s">
        <v>264</v>
      </c>
      <c r="H952" s="74" t="s">
        <v>103</v>
      </c>
      <c r="I952" s="77">
        <f t="shared" si="30"/>
        <v>37.47795414462081</v>
      </c>
      <c r="J952" s="77" t="s">
        <v>101</v>
      </c>
      <c r="K952" s="77">
        <f t="shared" si="31"/>
        <v>17.170000000000002</v>
      </c>
      <c r="L952" s="68" t="s">
        <v>289</v>
      </c>
    </row>
    <row r="953" spans="1:12" ht="13.5">
      <c r="A953" s="81"/>
      <c r="B953" s="65"/>
      <c r="C953" s="65"/>
      <c r="D953" s="66"/>
      <c r="E953" s="67"/>
      <c r="F953" s="65" t="s">
        <v>87</v>
      </c>
      <c r="G953" s="73">
        <v>59</v>
      </c>
      <c r="H953" s="74" t="s">
        <v>265</v>
      </c>
      <c r="I953" s="77">
        <f t="shared" si="30"/>
        <v>2190.2557319223984</v>
      </c>
      <c r="J953" s="77" t="s">
        <v>266</v>
      </c>
      <c r="K953" s="77">
        <f t="shared" si="31"/>
        <v>1003.4350000000001</v>
      </c>
      <c r="L953" s="68" t="s">
        <v>289</v>
      </c>
    </row>
    <row r="954" spans="1:12" ht="13.5">
      <c r="A954" s="81"/>
      <c r="B954" s="65"/>
      <c r="C954" s="65"/>
      <c r="D954" s="66" t="s">
        <v>76</v>
      </c>
      <c r="E954" s="67"/>
      <c r="F954" s="65"/>
      <c r="G954" s="73" t="s">
        <v>267</v>
      </c>
      <c r="H954" s="74" t="s">
        <v>268</v>
      </c>
      <c r="I954" s="77">
        <f t="shared" si="30"/>
        <v>6712.7425044091715</v>
      </c>
      <c r="J954" s="77" t="s">
        <v>269</v>
      </c>
      <c r="K954" s="77">
        <f t="shared" si="31"/>
        <v>3075.3490000000002</v>
      </c>
      <c r="L954" s="68" t="s">
        <v>289</v>
      </c>
    </row>
    <row r="955" spans="1:12" ht="13.5">
      <c r="A955" s="81" t="s">
        <v>65</v>
      </c>
      <c r="B955" s="65" t="s">
        <v>74</v>
      </c>
      <c r="C955" s="65" t="s">
        <v>61</v>
      </c>
      <c r="D955" s="66" t="s">
        <v>66</v>
      </c>
      <c r="E955" s="67"/>
      <c r="F955" s="65" t="s">
        <v>270</v>
      </c>
      <c r="G955" s="73" t="s">
        <v>99</v>
      </c>
      <c r="H955" s="74" t="s">
        <v>165</v>
      </c>
      <c r="I955" s="77">
        <f t="shared" si="30"/>
        <v>39.021164021164019</v>
      </c>
      <c r="J955" s="77" t="s">
        <v>194</v>
      </c>
      <c r="K955" s="77">
        <f t="shared" si="31"/>
        <v>17.876999999999999</v>
      </c>
      <c r="L955" s="68" t="s">
        <v>289</v>
      </c>
    </row>
    <row r="956" spans="1:12" ht="13.5">
      <c r="A956" s="81" t="s">
        <v>65</v>
      </c>
      <c r="B956" s="65" t="s">
        <v>74</v>
      </c>
      <c r="C956" s="65" t="s">
        <v>61</v>
      </c>
      <c r="D956" s="66" t="s">
        <v>66</v>
      </c>
      <c r="E956" s="67"/>
      <c r="F956" s="65" t="s">
        <v>270</v>
      </c>
      <c r="G956" s="73" t="s">
        <v>102</v>
      </c>
      <c r="H956" s="74" t="s">
        <v>148</v>
      </c>
      <c r="I956" s="77">
        <f t="shared" si="30"/>
        <v>38.359788359788354</v>
      </c>
      <c r="J956" s="77" t="s">
        <v>162</v>
      </c>
      <c r="K956" s="77">
        <f t="shared" si="31"/>
        <v>17.573999999999998</v>
      </c>
      <c r="L956" s="68" t="s">
        <v>289</v>
      </c>
    </row>
    <row r="957" spans="1:12" ht="13.5">
      <c r="A957" s="81" t="s">
        <v>65</v>
      </c>
      <c r="B957" s="65" t="s">
        <v>74</v>
      </c>
      <c r="C957" s="65" t="s">
        <v>61</v>
      </c>
      <c r="D957" s="66" t="s">
        <v>66</v>
      </c>
      <c r="E957" s="67"/>
      <c r="F957" s="65" t="s">
        <v>270</v>
      </c>
      <c r="G957" s="73" t="s">
        <v>105</v>
      </c>
      <c r="H957" s="74" t="s">
        <v>148</v>
      </c>
      <c r="I957" s="77">
        <f t="shared" si="30"/>
        <v>37.918871252204582</v>
      </c>
      <c r="J957" s="77" t="s">
        <v>163</v>
      </c>
      <c r="K957" s="77">
        <f t="shared" si="31"/>
        <v>17.372</v>
      </c>
      <c r="L957" s="68" t="s">
        <v>289</v>
      </c>
    </row>
    <row r="958" spans="1:12" ht="13.5">
      <c r="A958" s="81" t="s">
        <v>65</v>
      </c>
      <c r="B958" s="65" t="s">
        <v>74</v>
      </c>
      <c r="C958" s="65" t="s">
        <v>61</v>
      </c>
      <c r="D958" s="66" t="s">
        <v>66</v>
      </c>
      <c r="E958" s="67"/>
      <c r="F958" s="65" t="s">
        <v>270</v>
      </c>
      <c r="G958" s="73" t="s">
        <v>106</v>
      </c>
      <c r="H958" s="74" t="s">
        <v>103</v>
      </c>
      <c r="I958" s="77">
        <f t="shared" si="30"/>
        <v>37.698412698412703</v>
      </c>
      <c r="J958" s="77" t="s">
        <v>104</v>
      </c>
      <c r="K958" s="77">
        <f t="shared" si="31"/>
        <v>17.271000000000001</v>
      </c>
      <c r="L958" s="68" t="s">
        <v>289</v>
      </c>
    </row>
    <row r="959" spans="1:12" ht="13.5">
      <c r="A959" s="81" t="s">
        <v>65</v>
      </c>
      <c r="B959" s="65" t="s">
        <v>74</v>
      </c>
      <c r="C959" s="65" t="s">
        <v>61</v>
      </c>
      <c r="D959" s="66" t="s">
        <v>66</v>
      </c>
      <c r="E959" s="67"/>
      <c r="F959" s="65" t="s">
        <v>270</v>
      </c>
      <c r="G959" s="73" t="s">
        <v>108</v>
      </c>
      <c r="H959" s="74" t="s">
        <v>148</v>
      </c>
      <c r="I959" s="77">
        <f t="shared" si="30"/>
        <v>38.139329805996475</v>
      </c>
      <c r="J959" s="77" t="s">
        <v>149</v>
      </c>
      <c r="K959" s="77">
        <f t="shared" si="31"/>
        <v>17.473000000000003</v>
      </c>
      <c r="L959" s="68" t="s">
        <v>289</v>
      </c>
    </row>
    <row r="960" spans="1:12" ht="13.5">
      <c r="A960" s="81" t="s">
        <v>65</v>
      </c>
      <c r="B960" s="65" t="s">
        <v>74</v>
      </c>
      <c r="C960" s="65" t="s">
        <v>61</v>
      </c>
      <c r="D960" s="66" t="s">
        <v>66</v>
      </c>
      <c r="E960" s="67"/>
      <c r="F960" s="65" t="s">
        <v>270</v>
      </c>
      <c r="G960" s="73" t="s">
        <v>111</v>
      </c>
      <c r="H960" s="74" t="s">
        <v>114</v>
      </c>
      <c r="I960" s="77">
        <f t="shared" ref="I960:I1023" si="32">+J960/0.4536</f>
        <v>38.580246913580247</v>
      </c>
      <c r="J960" s="77" t="s">
        <v>115</v>
      </c>
      <c r="K960" s="77">
        <f t="shared" ref="K960:K1023" si="33">+J960*1.01</f>
        <v>17.675000000000001</v>
      </c>
      <c r="L960" s="68" t="s">
        <v>289</v>
      </c>
    </row>
    <row r="961" spans="1:12" ht="13.5">
      <c r="A961" s="81" t="s">
        <v>65</v>
      </c>
      <c r="B961" s="65" t="s">
        <v>74</v>
      </c>
      <c r="C961" s="65" t="s">
        <v>61</v>
      </c>
      <c r="D961" s="66" t="s">
        <v>66</v>
      </c>
      <c r="E961" s="67"/>
      <c r="F961" s="65" t="s">
        <v>270</v>
      </c>
      <c r="G961" s="73" t="s">
        <v>112</v>
      </c>
      <c r="H961" s="74" t="s">
        <v>103</v>
      </c>
      <c r="I961" s="77">
        <f t="shared" si="32"/>
        <v>37.698412698412703</v>
      </c>
      <c r="J961" s="77" t="s">
        <v>104</v>
      </c>
      <c r="K961" s="77">
        <f t="shared" si="33"/>
        <v>17.271000000000001</v>
      </c>
      <c r="L961" s="68" t="s">
        <v>289</v>
      </c>
    </row>
    <row r="962" spans="1:12" ht="13.5">
      <c r="A962" s="81" t="s">
        <v>65</v>
      </c>
      <c r="B962" s="65" t="s">
        <v>74</v>
      </c>
      <c r="C962" s="65" t="s">
        <v>61</v>
      </c>
      <c r="D962" s="66" t="s">
        <v>66</v>
      </c>
      <c r="E962" s="67"/>
      <c r="F962" s="65" t="s">
        <v>270</v>
      </c>
      <c r="G962" s="73" t="s">
        <v>113</v>
      </c>
      <c r="H962" s="74" t="s">
        <v>126</v>
      </c>
      <c r="I962" s="77">
        <f t="shared" si="32"/>
        <v>36.596119929453266</v>
      </c>
      <c r="J962" s="77" t="s">
        <v>159</v>
      </c>
      <c r="K962" s="77">
        <f t="shared" si="33"/>
        <v>16.766000000000002</v>
      </c>
      <c r="L962" s="68" t="s">
        <v>289</v>
      </c>
    </row>
    <row r="963" spans="1:12" ht="13.5">
      <c r="A963" s="81" t="s">
        <v>65</v>
      </c>
      <c r="B963" s="65" t="s">
        <v>74</v>
      </c>
      <c r="C963" s="65" t="s">
        <v>61</v>
      </c>
      <c r="D963" s="66" t="s">
        <v>66</v>
      </c>
      <c r="E963" s="67"/>
      <c r="F963" s="65" t="s">
        <v>270</v>
      </c>
      <c r="G963" s="73" t="s">
        <v>116</v>
      </c>
      <c r="H963" s="74" t="s">
        <v>148</v>
      </c>
      <c r="I963" s="77">
        <f t="shared" si="32"/>
        <v>38.139329805996475</v>
      </c>
      <c r="J963" s="77" t="s">
        <v>149</v>
      </c>
      <c r="K963" s="77">
        <f t="shared" si="33"/>
        <v>17.473000000000003</v>
      </c>
      <c r="L963" s="68" t="s">
        <v>289</v>
      </c>
    </row>
    <row r="964" spans="1:12" ht="13.5">
      <c r="A964" s="81" t="s">
        <v>65</v>
      </c>
      <c r="B964" s="65" t="s">
        <v>74</v>
      </c>
      <c r="C964" s="65" t="s">
        <v>61</v>
      </c>
      <c r="D964" s="66" t="s">
        <v>66</v>
      </c>
      <c r="E964" s="67"/>
      <c r="F964" s="65" t="s">
        <v>270</v>
      </c>
      <c r="G964" s="73" t="s">
        <v>118</v>
      </c>
      <c r="H964" s="74" t="s">
        <v>114</v>
      </c>
      <c r="I964" s="77">
        <f t="shared" si="32"/>
        <v>38.80070546737214</v>
      </c>
      <c r="J964" s="77" t="s">
        <v>160</v>
      </c>
      <c r="K964" s="77">
        <f t="shared" si="33"/>
        <v>17.776000000000003</v>
      </c>
      <c r="L964" s="68" t="s">
        <v>289</v>
      </c>
    </row>
    <row r="965" spans="1:12" ht="13.5">
      <c r="A965" s="81" t="s">
        <v>65</v>
      </c>
      <c r="B965" s="65" t="s">
        <v>74</v>
      </c>
      <c r="C965" s="65" t="s">
        <v>61</v>
      </c>
      <c r="D965" s="66" t="s">
        <v>66</v>
      </c>
      <c r="E965" s="67"/>
      <c r="F965" s="65" t="s">
        <v>270</v>
      </c>
      <c r="G965" s="73" t="s">
        <v>121</v>
      </c>
      <c r="H965" s="74" t="s">
        <v>148</v>
      </c>
      <c r="I965" s="77">
        <f t="shared" si="32"/>
        <v>38.139329805996475</v>
      </c>
      <c r="J965" s="77" t="s">
        <v>149</v>
      </c>
      <c r="K965" s="77">
        <f t="shared" si="33"/>
        <v>17.473000000000003</v>
      </c>
      <c r="L965" s="68" t="s">
        <v>289</v>
      </c>
    </row>
    <row r="966" spans="1:12" ht="13.5">
      <c r="A966" s="81" t="s">
        <v>65</v>
      </c>
      <c r="B966" s="65" t="s">
        <v>74</v>
      </c>
      <c r="C966" s="65" t="s">
        <v>61</v>
      </c>
      <c r="D966" s="66" t="s">
        <v>66</v>
      </c>
      <c r="E966" s="67"/>
      <c r="F966" s="65" t="s">
        <v>270</v>
      </c>
      <c r="G966" s="73" t="s">
        <v>122</v>
      </c>
      <c r="H966" s="74" t="s">
        <v>103</v>
      </c>
      <c r="I966" s="77">
        <f t="shared" si="32"/>
        <v>37.698412698412703</v>
      </c>
      <c r="J966" s="77" t="s">
        <v>104</v>
      </c>
      <c r="K966" s="77">
        <f t="shared" si="33"/>
        <v>17.271000000000001</v>
      </c>
      <c r="L966" s="68" t="s">
        <v>289</v>
      </c>
    </row>
    <row r="967" spans="1:12" ht="13.5">
      <c r="A967" s="81" t="s">
        <v>65</v>
      </c>
      <c r="B967" s="65" t="s">
        <v>74</v>
      </c>
      <c r="C967" s="65" t="s">
        <v>61</v>
      </c>
      <c r="D967" s="66" t="s">
        <v>66</v>
      </c>
      <c r="E967" s="67"/>
      <c r="F967" s="65" t="s">
        <v>270</v>
      </c>
      <c r="G967" s="73" t="s">
        <v>123</v>
      </c>
      <c r="H967" s="74" t="s">
        <v>103</v>
      </c>
      <c r="I967" s="77">
        <f t="shared" si="32"/>
        <v>37.698412698412703</v>
      </c>
      <c r="J967" s="77" t="s">
        <v>104</v>
      </c>
      <c r="K967" s="77">
        <f t="shared" si="33"/>
        <v>17.271000000000001</v>
      </c>
      <c r="L967" s="68" t="s">
        <v>289</v>
      </c>
    </row>
    <row r="968" spans="1:12" ht="13.5">
      <c r="A968" s="81" t="s">
        <v>65</v>
      </c>
      <c r="B968" s="65" t="s">
        <v>74</v>
      </c>
      <c r="C968" s="65" t="s">
        <v>61</v>
      </c>
      <c r="D968" s="66" t="s">
        <v>66</v>
      </c>
      <c r="E968" s="67"/>
      <c r="F968" s="65" t="s">
        <v>270</v>
      </c>
      <c r="G968" s="73" t="s">
        <v>124</v>
      </c>
      <c r="H968" s="74" t="s">
        <v>148</v>
      </c>
      <c r="I968" s="77">
        <f t="shared" si="32"/>
        <v>37.918871252204582</v>
      </c>
      <c r="J968" s="77" t="s">
        <v>163</v>
      </c>
      <c r="K968" s="77">
        <f t="shared" si="33"/>
        <v>17.372</v>
      </c>
      <c r="L968" s="68" t="s">
        <v>289</v>
      </c>
    </row>
    <row r="969" spans="1:12" ht="13.5">
      <c r="A969" s="81" t="s">
        <v>65</v>
      </c>
      <c r="B969" s="65" t="s">
        <v>74</v>
      </c>
      <c r="C969" s="65" t="s">
        <v>61</v>
      </c>
      <c r="D969" s="66" t="s">
        <v>66</v>
      </c>
      <c r="E969" s="67"/>
      <c r="F969" s="65" t="s">
        <v>270</v>
      </c>
      <c r="G969" s="73" t="s">
        <v>161</v>
      </c>
      <c r="H969" s="74" t="s">
        <v>148</v>
      </c>
      <c r="I969" s="77">
        <f t="shared" si="32"/>
        <v>38.139329805996475</v>
      </c>
      <c r="J969" s="77" t="s">
        <v>149</v>
      </c>
      <c r="K969" s="77">
        <f t="shared" si="33"/>
        <v>17.473000000000003</v>
      </c>
      <c r="L969" s="68" t="s">
        <v>289</v>
      </c>
    </row>
    <row r="970" spans="1:12" ht="13.5">
      <c r="A970" s="81" t="s">
        <v>65</v>
      </c>
      <c r="B970" s="65" t="s">
        <v>74</v>
      </c>
      <c r="C970" s="65" t="s">
        <v>61</v>
      </c>
      <c r="D970" s="66" t="s">
        <v>66</v>
      </c>
      <c r="E970" s="67"/>
      <c r="F970" s="65" t="s">
        <v>270</v>
      </c>
      <c r="G970" s="73" t="s">
        <v>125</v>
      </c>
      <c r="H970" s="74" t="s">
        <v>148</v>
      </c>
      <c r="I970" s="77">
        <f t="shared" si="32"/>
        <v>38.359788359788354</v>
      </c>
      <c r="J970" s="77" t="s">
        <v>162</v>
      </c>
      <c r="K970" s="77">
        <f t="shared" si="33"/>
        <v>17.573999999999998</v>
      </c>
      <c r="L970" s="68" t="s">
        <v>289</v>
      </c>
    </row>
    <row r="971" spans="1:12" ht="13.5">
      <c r="A971" s="81" t="s">
        <v>65</v>
      </c>
      <c r="B971" s="65" t="s">
        <v>74</v>
      </c>
      <c r="C971" s="65" t="s">
        <v>61</v>
      </c>
      <c r="D971" s="66" t="s">
        <v>66</v>
      </c>
      <c r="E971" s="67"/>
      <c r="F971" s="65" t="s">
        <v>270</v>
      </c>
      <c r="G971" s="73" t="s">
        <v>128</v>
      </c>
      <c r="H971" s="74" t="s">
        <v>165</v>
      </c>
      <c r="I971" s="77">
        <f t="shared" si="32"/>
        <v>39.241622574955912</v>
      </c>
      <c r="J971" s="77" t="s">
        <v>166</v>
      </c>
      <c r="K971" s="77">
        <f t="shared" si="33"/>
        <v>17.978000000000002</v>
      </c>
      <c r="L971" s="68" t="s">
        <v>289</v>
      </c>
    </row>
    <row r="972" spans="1:12" ht="13.5">
      <c r="A972" s="81" t="s">
        <v>65</v>
      </c>
      <c r="B972" s="65" t="s">
        <v>74</v>
      </c>
      <c r="C972" s="65" t="s">
        <v>61</v>
      </c>
      <c r="D972" s="66" t="s">
        <v>66</v>
      </c>
      <c r="E972" s="67"/>
      <c r="F972" s="65" t="s">
        <v>270</v>
      </c>
      <c r="G972" s="73" t="s">
        <v>129</v>
      </c>
      <c r="H972" s="74" t="s">
        <v>148</v>
      </c>
      <c r="I972" s="77">
        <f t="shared" si="32"/>
        <v>38.139329805996475</v>
      </c>
      <c r="J972" s="77" t="s">
        <v>149</v>
      </c>
      <c r="K972" s="77">
        <f t="shared" si="33"/>
        <v>17.473000000000003</v>
      </c>
      <c r="L972" s="68" t="s">
        <v>289</v>
      </c>
    </row>
    <row r="973" spans="1:12" ht="13.5">
      <c r="A973" s="81" t="s">
        <v>65</v>
      </c>
      <c r="B973" s="65" t="s">
        <v>74</v>
      </c>
      <c r="C973" s="65" t="s">
        <v>61</v>
      </c>
      <c r="D973" s="66" t="s">
        <v>66</v>
      </c>
      <c r="E973" s="67"/>
      <c r="F973" s="65" t="s">
        <v>270</v>
      </c>
      <c r="G973" s="73" t="s">
        <v>130</v>
      </c>
      <c r="H973" s="74" t="s">
        <v>148</v>
      </c>
      <c r="I973" s="77">
        <f t="shared" si="32"/>
        <v>38.359788359788354</v>
      </c>
      <c r="J973" s="77" t="s">
        <v>162</v>
      </c>
      <c r="K973" s="77">
        <f t="shared" si="33"/>
        <v>17.573999999999998</v>
      </c>
      <c r="L973" s="68" t="s">
        <v>289</v>
      </c>
    </row>
    <row r="974" spans="1:12" ht="13.5">
      <c r="A974" s="81" t="s">
        <v>65</v>
      </c>
      <c r="B974" s="65" t="s">
        <v>74</v>
      </c>
      <c r="C974" s="65" t="s">
        <v>61</v>
      </c>
      <c r="D974" s="66" t="s">
        <v>66</v>
      </c>
      <c r="E974" s="67"/>
      <c r="F974" s="65" t="s">
        <v>270</v>
      </c>
      <c r="G974" s="73" t="s">
        <v>131</v>
      </c>
      <c r="H974" s="74" t="s">
        <v>126</v>
      </c>
      <c r="I974" s="77">
        <f t="shared" si="32"/>
        <v>36.816578483245145</v>
      </c>
      <c r="J974" s="77" t="s">
        <v>127</v>
      </c>
      <c r="K974" s="77">
        <f t="shared" si="33"/>
        <v>16.867000000000001</v>
      </c>
      <c r="L974" s="68" t="s">
        <v>289</v>
      </c>
    </row>
    <row r="975" spans="1:12" ht="13.5">
      <c r="A975" s="81" t="s">
        <v>65</v>
      </c>
      <c r="B975" s="65" t="s">
        <v>74</v>
      </c>
      <c r="C975" s="65" t="s">
        <v>61</v>
      </c>
      <c r="D975" s="66" t="s">
        <v>66</v>
      </c>
      <c r="E975" s="67"/>
      <c r="F975" s="65" t="s">
        <v>270</v>
      </c>
      <c r="G975" s="73" t="s">
        <v>164</v>
      </c>
      <c r="H975" s="74" t="s">
        <v>148</v>
      </c>
      <c r="I975" s="77">
        <f t="shared" si="32"/>
        <v>38.139329805996475</v>
      </c>
      <c r="J975" s="77" t="s">
        <v>149</v>
      </c>
      <c r="K975" s="77">
        <f t="shared" si="33"/>
        <v>17.473000000000003</v>
      </c>
      <c r="L975" s="68" t="s">
        <v>289</v>
      </c>
    </row>
    <row r="976" spans="1:12" ht="13.5">
      <c r="A976" s="81" t="s">
        <v>65</v>
      </c>
      <c r="B976" s="65" t="s">
        <v>74</v>
      </c>
      <c r="C976" s="65" t="s">
        <v>61</v>
      </c>
      <c r="D976" s="66" t="s">
        <v>66</v>
      </c>
      <c r="E976" s="67"/>
      <c r="F976" s="65" t="s">
        <v>270</v>
      </c>
      <c r="G976" s="73" t="s">
        <v>132</v>
      </c>
      <c r="H976" s="74" t="s">
        <v>148</v>
      </c>
      <c r="I976" s="77">
        <f t="shared" si="32"/>
        <v>38.139329805996475</v>
      </c>
      <c r="J976" s="77" t="s">
        <v>149</v>
      </c>
      <c r="K976" s="77">
        <f t="shared" si="33"/>
        <v>17.473000000000003</v>
      </c>
      <c r="L976" s="68" t="s">
        <v>289</v>
      </c>
    </row>
    <row r="977" spans="1:12" ht="13.5">
      <c r="A977" s="81" t="s">
        <v>65</v>
      </c>
      <c r="B977" s="65" t="s">
        <v>74</v>
      </c>
      <c r="C977" s="65" t="s">
        <v>61</v>
      </c>
      <c r="D977" s="66" t="s">
        <v>66</v>
      </c>
      <c r="E977" s="67"/>
      <c r="F977" s="65" t="s">
        <v>270</v>
      </c>
      <c r="G977" s="73" t="s">
        <v>133</v>
      </c>
      <c r="H977" s="74" t="s">
        <v>148</v>
      </c>
      <c r="I977" s="77">
        <f t="shared" si="32"/>
        <v>37.918871252204582</v>
      </c>
      <c r="J977" s="77" t="s">
        <v>163</v>
      </c>
      <c r="K977" s="77">
        <f t="shared" si="33"/>
        <v>17.372</v>
      </c>
      <c r="L977" s="68" t="s">
        <v>289</v>
      </c>
    </row>
    <row r="978" spans="1:12" ht="13.5">
      <c r="A978" s="81" t="s">
        <v>65</v>
      </c>
      <c r="B978" s="65" t="s">
        <v>74</v>
      </c>
      <c r="C978" s="65" t="s">
        <v>61</v>
      </c>
      <c r="D978" s="66" t="s">
        <v>66</v>
      </c>
      <c r="E978" s="67"/>
      <c r="F978" s="65" t="s">
        <v>270</v>
      </c>
      <c r="G978" s="73" t="s">
        <v>134</v>
      </c>
      <c r="H978" s="74" t="s">
        <v>103</v>
      </c>
      <c r="I978" s="77">
        <f t="shared" si="32"/>
        <v>37.698412698412703</v>
      </c>
      <c r="J978" s="77" t="s">
        <v>104</v>
      </c>
      <c r="K978" s="77">
        <f t="shared" si="33"/>
        <v>17.271000000000001</v>
      </c>
      <c r="L978" s="68" t="s">
        <v>289</v>
      </c>
    </row>
    <row r="979" spans="1:12" ht="13.5">
      <c r="A979" s="81" t="s">
        <v>65</v>
      </c>
      <c r="B979" s="65" t="s">
        <v>74</v>
      </c>
      <c r="C979" s="65" t="s">
        <v>61</v>
      </c>
      <c r="D979" s="66" t="s">
        <v>66</v>
      </c>
      <c r="E979" s="67"/>
      <c r="F979" s="65" t="s">
        <v>270</v>
      </c>
      <c r="G979" s="73" t="s">
        <v>135</v>
      </c>
      <c r="H979" s="74" t="s">
        <v>148</v>
      </c>
      <c r="I979" s="77">
        <f t="shared" si="32"/>
        <v>38.139329805996475</v>
      </c>
      <c r="J979" s="77" t="s">
        <v>149</v>
      </c>
      <c r="K979" s="77">
        <f t="shared" si="33"/>
        <v>17.473000000000003</v>
      </c>
      <c r="L979" s="68" t="s">
        <v>289</v>
      </c>
    </row>
    <row r="980" spans="1:12" ht="13.5">
      <c r="A980" s="81" t="s">
        <v>65</v>
      </c>
      <c r="B980" s="65" t="s">
        <v>74</v>
      </c>
      <c r="C980" s="65" t="s">
        <v>61</v>
      </c>
      <c r="D980" s="66" t="s">
        <v>66</v>
      </c>
      <c r="E980" s="67"/>
      <c r="F980" s="65" t="s">
        <v>270</v>
      </c>
      <c r="G980" s="73" t="s">
        <v>136</v>
      </c>
      <c r="H980" s="74" t="s">
        <v>114</v>
      </c>
      <c r="I980" s="77">
        <f t="shared" si="32"/>
        <v>38.80070546737214</v>
      </c>
      <c r="J980" s="77" t="s">
        <v>160</v>
      </c>
      <c r="K980" s="77">
        <f t="shared" si="33"/>
        <v>17.776000000000003</v>
      </c>
      <c r="L980" s="68" t="s">
        <v>289</v>
      </c>
    </row>
    <row r="981" spans="1:12" ht="13.5">
      <c r="A981" s="81" t="s">
        <v>65</v>
      </c>
      <c r="B981" s="65" t="s">
        <v>74</v>
      </c>
      <c r="C981" s="65" t="s">
        <v>61</v>
      </c>
      <c r="D981" s="66" t="s">
        <v>66</v>
      </c>
      <c r="E981" s="67"/>
      <c r="F981" s="65" t="s">
        <v>270</v>
      </c>
      <c r="G981" s="73" t="s">
        <v>138</v>
      </c>
      <c r="H981" s="74" t="s">
        <v>148</v>
      </c>
      <c r="I981" s="77">
        <f t="shared" si="32"/>
        <v>37.918871252204582</v>
      </c>
      <c r="J981" s="77" t="s">
        <v>163</v>
      </c>
      <c r="K981" s="77">
        <f t="shared" si="33"/>
        <v>17.372</v>
      </c>
      <c r="L981" s="68" t="s">
        <v>289</v>
      </c>
    </row>
    <row r="982" spans="1:12" ht="13.5">
      <c r="A982" s="81" t="s">
        <v>65</v>
      </c>
      <c r="B982" s="65" t="s">
        <v>74</v>
      </c>
      <c r="C982" s="65" t="s">
        <v>61</v>
      </c>
      <c r="D982" s="66" t="s">
        <v>66</v>
      </c>
      <c r="E982" s="67"/>
      <c r="F982" s="65" t="s">
        <v>270</v>
      </c>
      <c r="G982" s="73" t="s">
        <v>139</v>
      </c>
      <c r="H982" s="74" t="s">
        <v>148</v>
      </c>
      <c r="I982" s="77">
        <f t="shared" si="32"/>
        <v>37.918871252204582</v>
      </c>
      <c r="J982" s="77" t="s">
        <v>163</v>
      </c>
      <c r="K982" s="77">
        <f t="shared" si="33"/>
        <v>17.372</v>
      </c>
      <c r="L982" s="68" t="s">
        <v>289</v>
      </c>
    </row>
    <row r="983" spans="1:12" ht="13.5">
      <c r="A983" s="81" t="s">
        <v>65</v>
      </c>
      <c r="B983" s="65" t="s">
        <v>74</v>
      </c>
      <c r="C983" s="65" t="s">
        <v>61</v>
      </c>
      <c r="D983" s="66" t="s">
        <v>66</v>
      </c>
      <c r="E983" s="67"/>
      <c r="F983" s="65" t="s">
        <v>270</v>
      </c>
      <c r="G983" s="73" t="s">
        <v>140</v>
      </c>
      <c r="H983" s="74" t="s">
        <v>148</v>
      </c>
      <c r="I983" s="77">
        <f t="shared" si="32"/>
        <v>37.918871252204582</v>
      </c>
      <c r="J983" s="77" t="s">
        <v>163</v>
      </c>
      <c r="K983" s="77">
        <f t="shared" si="33"/>
        <v>17.372</v>
      </c>
      <c r="L983" s="68" t="s">
        <v>289</v>
      </c>
    </row>
    <row r="984" spans="1:12" ht="13.5">
      <c r="A984" s="81" t="s">
        <v>65</v>
      </c>
      <c r="B984" s="65" t="s">
        <v>74</v>
      </c>
      <c r="C984" s="65" t="s">
        <v>61</v>
      </c>
      <c r="D984" s="66" t="s">
        <v>66</v>
      </c>
      <c r="E984" s="67"/>
      <c r="F984" s="65" t="s">
        <v>270</v>
      </c>
      <c r="G984" s="73" t="s">
        <v>167</v>
      </c>
      <c r="H984" s="74" t="s">
        <v>148</v>
      </c>
      <c r="I984" s="77">
        <f t="shared" si="32"/>
        <v>38.139329805996475</v>
      </c>
      <c r="J984" s="77" t="s">
        <v>149</v>
      </c>
      <c r="K984" s="77">
        <f t="shared" si="33"/>
        <v>17.473000000000003</v>
      </c>
      <c r="L984" s="68" t="s">
        <v>289</v>
      </c>
    </row>
    <row r="985" spans="1:12" ht="13.5">
      <c r="A985" s="81" t="s">
        <v>65</v>
      </c>
      <c r="B985" s="65" t="s">
        <v>74</v>
      </c>
      <c r="C985" s="65" t="s">
        <v>61</v>
      </c>
      <c r="D985" s="66" t="s">
        <v>66</v>
      </c>
      <c r="E985" s="67"/>
      <c r="F985" s="65" t="s">
        <v>270</v>
      </c>
      <c r="G985" s="73" t="s">
        <v>141</v>
      </c>
      <c r="H985" s="74" t="s">
        <v>148</v>
      </c>
      <c r="I985" s="77">
        <f t="shared" si="32"/>
        <v>38.139329805996475</v>
      </c>
      <c r="J985" s="77" t="s">
        <v>149</v>
      </c>
      <c r="K985" s="77">
        <f t="shared" si="33"/>
        <v>17.473000000000003</v>
      </c>
      <c r="L985" s="68" t="s">
        <v>289</v>
      </c>
    </row>
    <row r="986" spans="1:12" ht="13.5">
      <c r="A986" s="81" t="s">
        <v>65</v>
      </c>
      <c r="B986" s="65" t="s">
        <v>74</v>
      </c>
      <c r="C986" s="65" t="s">
        <v>61</v>
      </c>
      <c r="D986" s="66" t="s">
        <v>66</v>
      </c>
      <c r="E986" s="67"/>
      <c r="F986" s="65" t="s">
        <v>270</v>
      </c>
      <c r="G986" s="73" t="s">
        <v>142</v>
      </c>
      <c r="H986" s="74" t="s">
        <v>148</v>
      </c>
      <c r="I986" s="77">
        <f t="shared" si="32"/>
        <v>38.139329805996475</v>
      </c>
      <c r="J986" s="77" t="s">
        <v>149</v>
      </c>
      <c r="K986" s="77">
        <f t="shared" si="33"/>
        <v>17.473000000000003</v>
      </c>
      <c r="L986" s="68" t="s">
        <v>289</v>
      </c>
    </row>
    <row r="987" spans="1:12" ht="13.5">
      <c r="A987" s="81" t="s">
        <v>65</v>
      </c>
      <c r="B987" s="65" t="s">
        <v>74</v>
      </c>
      <c r="C987" s="65" t="s">
        <v>61</v>
      </c>
      <c r="D987" s="66" t="s">
        <v>66</v>
      </c>
      <c r="E987" s="67"/>
      <c r="F987" s="65" t="s">
        <v>270</v>
      </c>
      <c r="G987" s="73" t="s">
        <v>143</v>
      </c>
      <c r="H987" s="74" t="s">
        <v>258</v>
      </c>
      <c r="I987" s="77">
        <f t="shared" si="32"/>
        <v>27.998236331569665</v>
      </c>
      <c r="J987" s="77" t="s">
        <v>271</v>
      </c>
      <c r="K987" s="77">
        <f t="shared" si="33"/>
        <v>12.827</v>
      </c>
      <c r="L987" s="68" t="s">
        <v>289</v>
      </c>
    </row>
    <row r="988" spans="1:12" ht="13.5">
      <c r="A988" s="81" t="s">
        <v>65</v>
      </c>
      <c r="B988" s="65" t="s">
        <v>74</v>
      </c>
      <c r="C988" s="65" t="s">
        <v>61</v>
      </c>
      <c r="D988" s="66" t="s">
        <v>66</v>
      </c>
      <c r="E988" s="67"/>
      <c r="F988" s="65" t="s">
        <v>270</v>
      </c>
      <c r="G988" s="73" t="s">
        <v>146</v>
      </c>
      <c r="H988" s="74" t="s">
        <v>148</v>
      </c>
      <c r="I988" s="77">
        <f t="shared" si="32"/>
        <v>38.139329805996475</v>
      </c>
      <c r="J988" s="77" t="s">
        <v>149</v>
      </c>
      <c r="K988" s="77">
        <f t="shared" si="33"/>
        <v>17.473000000000003</v>
      </c>
      <c r="L988" s="68" t="s">
        <v>289</v>
      </c>
    </row>
    <row r="989" spans="1:12" ht="13.5">
      <c r="A989" s="81" t="s">
        <v>65</v>
      </c>
      <c r="B989" s="65" t="s">
        <v>74</v>
      </c>
      <c r="C989" s="65" t="s">
        <v>61</v>
      </c>
      <c r="D989" s="66" t="s">
        <v>66</v>
      </c>
      <c r="E989" s="67"/>
      <c r="F989" s="65" t="s">
        <v>270</v>
      </c>
      <c r="G989" s="73" t="s">
        <v>147</v>
      </c>
      <c r="H989" s="74" t="s">
        <v>148</v>
      </c>
      <c r="I989" s="77">
        <f t="shared" si="32"/>
        <v>38.139329805996475</v>
      </c>
      <c r="J989" s="77" t="s">
        <v>149</v>
      </c>
      <c r="K989" s="77">
        <f t="shared" si="33"/>
        <v>17.473000000000003</v>
      </c>
      <c r="L989" s="68" t="s">
        <v>289</v>
      </c>
    </row>
    <row r="990" spans="1:12" ht="13.5">
      <c r="A990" s="81" t="s">
        <v>65</v>
      </c>
      <c r="B990" s="65" t="s">
        <v>74</v>
      </c>
      <c r="C990" s="65" t="s">
        <v>61</v>
      </c>
      <c r="D990" s="66" t="s">
        <v>66</v>
      </c>
      <c r="E990" s="67"/>
      <c r="F990" s="65" t="s">
        <v>270</v>
      </c>
      <c r="G990" s="73" t="s">
        <v>150</v>
      </c>
      <c r="H990" s="74" t="s">
        <v>148</v>
      </c>
      <c r="I990" s="77">
        <f t="shared" si="32"/>
        <v>37.918871252204582</v>
      </c>
      <c r="J990" s="77" t="s">
        <v>163</v>
      </c>
      <c r="K990" s="77">
        <f t="shared" si="33"/>
        <v>17.372</v>
      </c>
      <c r="L990" s="68" t="s">
        <v>289</v>
      </c>
    </row>
    <row r="991" spans="1:12" ht="13.5">
      <c r="A991" s="81" t="s">
        <v>65</v>
      </c>
      <c r="B991" s="65" t="s">
        <v>74</v>
      </c>
      <c r="C991" s="65" t="s">
        <v>61</v>
      </c>
      <c r="D991" s="66" t="s">
        <v>66</v>
      </c>
      <c r="E991" s="67"/>
      <c r="F991" s="65" t="s">
        <v>270</v>
      </c>
      <c r="G991" s="73" t="s">
        <v>151</v>
      </c>
      <c r="H991" s="74" t="s">
        <v>148</v>
      </c>
      <c r="I991" s="77">
        <f t="shared" si="32"/>
        <v>38.139329805996475</v>
      </c>
      <c r="J991" s="77" t="s">
        <v>149</v>
      </c>
      <c r="K991" s="77">
        <f t="shared" si="33"/>
        <v>17.473000000000003</v>
      </c>
      <c r="L991" s="68" t="s">
        <v>289</v>
      </c>
    </row>
    <row r="992" spans="1:12" ht="13.5">
      <c r="A992" s="81" t="s">
        <v>65</v>
      </c>
      <c r="B992" s="65" t="s">
        <v>74</v>
      </c>
      <c r="C992" s="65" t="s">
        <v>61</v>
      </c>
      <c r="D992" s="66" t="s">
        <v>66</v>
      </c>
      <c r="E992" s="67"/>
      <c r="F992" s="65" t="s">
        <v>270</v>
      </c>
      <c r="G992" s="73" t="s">
        <v>152</v>
      </c>
      <c r="H992" s="74" t="s">
        <v>109</v>
      </c>
      <c r="I992" s="77">
        <f t="shared" si="32"/>
        <v>37.037037037037038</v>
      </c>
      <c r="J992" s="77" t="s">
        <v>158</v>
      </c>
      <c r="K992" s="77">
        <f t="shared" si="33"/>
        <v>16.968</v>
      </c>
      <c r="L992" s="68" t="s">
        <v>289</v>
      </c>
    </row>
    <row r="993" spans="1:12" ht="13.5">
      <c r="A993" s="81" t="s">
        <v>65</v>
      </c>
      <c r="B993" s="65" t="s">
        <v>74</v>
      </c>
      <c r="C993" s="65" t="s">
        <v>61</v>
      </c>
      <c r="D993" s="66" t="s">
        <v>66</v>
      </c>
      <c r="E993" s="67"/>
      <c r="F993" s="65" t="s">
        <v>270</v>
      </c>
      <c r="G993" s="73" t="s">
        <v>153</v>
      </c>
      <c r="H993" s="74" t="s">
        <v>119</v>
      </c>
      <c r="I993" s="77">
        <f t="shared" si="32"/>
        <v>36.375661375661373</v>
      </c>
      <c r="J993" s="77" t="s">
        <v>154</v>
      </c>
      <c r="K993" s="77">
        <f t="shared" si="33"/>
        <v>16.664999999999999</v>
      </c>
      <c r="L993" s="68" t="s">
        <v>289</v>
      </c>
    </row>
    <row r="994" spans="1:12" ht="13.5">
      <c r="A994" s="81"/>
      <c r="B994" s="65"/>
      <c r="C994" s="65"/>
      <c r="D994" s="66"/>
      <c r="E994" s="67"/>
      <c r="F994" s="65" t="s">
        <v>87</v>
      </c>
      <c r="G994" s="73">
        <v>39</v>
      </c>
      <c r="H994" s="74" t="s">
        <v>272</v>
      </c>
      <c r="I994" s="77">
        <f t="shared" si="32"/>
        <v>1472.2222222222222</v>
      </c>
      <c r="J994" s="77" t="s">
        <v>273</v>
      </c>
      <c r="K994" s="77">
        <f t="shared" si="33"/>
        <v>674.47799999999995</v>
      </c>
      <c r="L994" s="68" t="s">
        <v>289</v>
      </c>
    </row>
    <row r="995" spans="1:12" ht="13.5">
      <c r="A995" s="81" t="s">
        <v>65</v>
      </c>
      <c r="B995" s="65" t="s">
        <v>74</v>
      </c>
      <c r="C995" s="65" t="s">
        <v>61</v>
      </c>
      <c r="D995" s="66" t="s">
        <v>66</v>
      </c>
      <c r="E995" s="67"/>
      <c r="F995" s="65" t="s">
        <v>274</v>
      </c>
      <c r="G995" s="73" t="s">
        <v>99</v>
      </c>
      <c r="H995" s="74" t="s">
        <v>148</v>
      </c>
      <c r="I995" s="77">
        <f t="shared" si="32"/>
        <v>38.139329805996475</v>
      </c>
      <c r="J995" s="77" t="s">
        <v>149</v>
      </c>
      <c r="K995" s="77">
        <f t="shared" si="33"/>
        <v>17.473000000000003</v>
      </c>
      <c r="L995" s="68" t="s">
        <v>289</v>
      </c>
    </row>
    <row r="996" spans="1:12" ht="13.5">
      <c r="A996" s="81" t="s">
        <v>65</v>
      </c>
      <c r="B996" s="65" t="s">
        <v>74</v>
      </c>
      <c r="C996" s="65" t="s">
        <v>61</v>
      </c>
      <c r="D996" s="66" t="s">
        <v>66</v>
      </c>
      <c r="E996" s="67"/>
      <c r="F996" s="65" t="s">
        <v>274</v>
      </c>
      <c r="G996" s="73" t="s">
        <v>102</v>
      </c>
      <c r="H996" s="74" t="s">
        <v>198</v>
      </c>
      <c r="I996" s="77">
        <f t="shared" si="32"/>
        <v>32.848324514991184</v>
      </c>
      <c r="J996" s="77" t="s">
        <v>275</v>
      </c>
      <c r="K996" s="77">
        <f t="shared" si="33"/>
        <v>15.049000000000001</v>
      </c>
      <c r="L996" s="68" t="s">
        <v>289</v>
      </c>
    </row>
    <row r="997" spans="1:12" ht="13.5">
      <c r="A997" s="81" t="s">
        <v>65</v>
      </c>
      <c r="B997" s="65" t="s">
        <v>74</v>
      </c>
      <c r="C997" s="65" t="s">
        <v>61</v>
      </c>
      <c r="D997" s="66" t="s">
        <v>66</v>
      </c>
      <c r="E997" s="67"/>
      <c r="F997" s="65" t="s">
        <v>274</v>
      </c>
      <c r="G997" s="73" t="s">
        <v>105</v>
      </c>
      <c r="H997" s="74" t="s">
        <v>171</v>
      </c>
      <c r="I997" s="77">
        <f t="shared" si="32"/>
        <v>39.682539682539684</v>
      </c>
      <c r="J997" s="77" t="s">
        <v>222</v>
      </c>
      <c r="K997" s="77">
        <f t="shared" si="33"/>
        <v>18.18</v>
      </c>
      <c r="L997" s="68" t="s">
        <v>289</v>
      </c>
    </row>
    <row r="998" spans="1:12" ht="13.5">
      <c r="A998" s="81" t="s">
        <v>65</v>
      </c>
      <c r="B998" s="65" t="s">
        <v>74</v>
      </c>
      <c r="C998" s="65" t="s">
        <v>61</v>
      </c>
      <c r="D998" s="66" t="s">
        <v>66</v>
      </c>
      <c r="E998" s="67"/>
      <c r="F998" s="65" t="s">
        <v>274</v>
      </c>
      <c r="G998" s="73" t="s">
        <v>106</v>
      </c>
      <c r="H998" s="74" t="s">
        <v>126</v>
      </c>
      <c r="I998" s="77">
        <f t="shared" si="32"/>
        <v>36.816578483245145</v>
      </c>
      <c r="J998" s="77" t="s">
        <v>127</v>
      </c>
      <c r="K998" s="77">
        <f t="shared" si="33"/>
        <v>16.867000000000001</v>
      </c>
      <c r="L998" s="68" t="s">
        <v>289</v>
      </c>
    </row>
    <row r="999" spans="1:12" ht="13.5">
      <c r="A999" s="81" t="s">
        <v>65</v>
      </c>
      <c r="B999" s="65" t="s">
        <v>74</v>
      </c>
      <c r="C999" s="65" t="s">
        <v>61</v>
      </c>
      <c r="D999" s="66" t="s">
        <v>66</v>
      </c>
      <c r="E999" s="67"/>
      <c r="F999" s="65" t="s">
        <v>274</v>
      </c>
      <c r="G999" s="73" t="s">
        <v>108</v>
      </c>
      <c r="H999" s="74" t="s">
        <v>119</v>
      </c>
      <c r="I999" s="77">
        <f t="shared" si="32"/>
        <v>36.155202821869487</v>
      </c>
      <c r="J999" s="77" t="s">
        <v>120</v>
      </c>
      <c r="K999" s="77">
        <f t="shared" si="33"/>
        <v>16.564</v>
      </c>
      <c r="L999" s="68" t="s">
        <v>289</v>
      </c>
    </row>
    <row r="1000" spans="1:12" ht="13.5">
      <c r="A1000" s="81" t="s">
        <v>65</v>
      </c>
      <c r="B1000" s="65" t="s">
        <v>74</v>
      </c>
      <c r="C1000" s="65" t="s">
        <v>61</v>
      </c>
      <c r="D1000" s="66" t="s">
        <v>66</v>
      </c>
      <c r="E1000" s="67"/>
      <c r="F1000" s="65" t="s">
        <v>274</v>
      </c>
      <c r="G1000" s="73" t="s">
        <v>111</v>
      </c>
      <c r="H1000" s="74" t="s">
        <v>148</v>
      </c>
      <c r="I1000" s="77">
        <f t="shared" si="32"/>
        <v>37.918871252204582</v>
      </c>
      <c r="J1000" s="77" t="s">
        <v>163</v>
      </c>
      <c r="K1000" s="77">
        <f t="shared" si="33"/>
        <v>17.372</v>
      </c>
      <c r="L1000" s="68" t="s">
        <v>289</v>
      </c>
    </row>
    <row r="1001" spans="1:12" ht="13.5">
      <c r="A1001" s="81" t="s">
        <v>65</v>
      </c>
      <c r="B1001" s="65" t="s">
        <v>74</v>
      </c>
      <c r="C1001" s="65" t="s">
        <v>61</v>
      </c>
      <c r="D1001" s="66" t="s">
        <v>66</v>
      </c>
      <c r="E1001" s="67"/>
      <c r="F1001" s="65" t="s">
        <v>274</v>
      </c>
      <c r="G1001" s="73" t="s">
        <v>112</v>
      </c>
      <c r="H1001" s="74" t="s">
        <v>109</v>
      </c>
      <c r="I1001" s="77">
        <f t="shared" si="32"/>
        <v>37.037037037037038</v>
      </c>
      <c r="J1001" s="77" t="s">
        <v>158</v>
      </c>
      <c r="K1001" s="77">
        <f t="shared" si="33"/>
        <v>16.968</v>
      </c>
      <c r="L1001" s="68" t="s">
        <v>289</v>
      </c>
    </row>
    <row r="1002" spans="1:12" ht="13.5">
      <c r="A1002" s="81" t="s">
        <v>65</v>
      </c>
      <c r="B1002" s="65" t="s">
        <v>74</v>
      </c>
      <c r="C1002" s="65" t="s">
        <v>61</v>
      </c>
      <c r="D1002" s="66" t="s">
        <v>66</v>
      </c>
      <c r="E1002" s="67"/>
      <c r="F1002" s="65" t="s">
        <v>274</v>
      </c>
      <c r="G1002" s="73" t="s">
        <v>113</v>
      </c>
      <c r="H1002" s="74" t="s">
        <v>119</v>
      </c>
      <c r="I1002" s="77">
        <f t="shared" si="32"/>
        <v>36.375661375661373</v>
      </c>
      <c r="J1002" s="77" t="s">
        <v>154</v>
      </c>
      <c r="K1002" s="77">
        <f t="shared" si="33"/>
        <v>16.664999999999999</v>
      </c>
      <c r="L1002" s="68" t="s">
        <v>289</v>
      </c>
    </row>
    <row r="1003" spans="1:12" ht="13.5">
      <c r="A1003" s="81" t="s">
        <v>65</v>
      </c>
      <c r="B1003" s="65" t="s">
        <v>74</v>
      </c>
      <c r="C1003" s="65" t="s">
        <v>61</v>
      </c>
      <c r="D1003" s="66" t="s">
        <v>66</v>
      </c>
      <c r="E1003" s="67"/>
      <c r="F1003" s="65" t="s">
        <v>274</v>
      </c>
      <c r="G1003" s="73" t="s">
        <v>116</v>
      </c>
      <c r="H1003" s="74" t="s">
        <v>100</v>
      </c>
      <c r="I1003" s="77">
        <f t="shared" si="32"/>
        <v>35.934744268077601</v>
      </c>
      <c r="J1003" s="77" t="s">
        <v>107</v>
      </c>
      <c r="K1003" s="77">
        <f t="shared" si="33"/>
        <v>16.463000000000001</v>
      </c>
      <c r="L1003" s="68" t="s">
        <v>289</v>
      </c>
    </row>
    <row r="1004" spans="1:12" ht="13.5">
      <c r="A1004" s="81" t="s">
        <v>65</v>
      </c>
      <c r="B1004" s="65" t="s">
        <v>74</v>
      </c>
      <c r="C1004" s="65" t="s">
        <v>61</v>
      </c>
      <c r="D1004" s="66" t="s">
        <v>66</v>
      </c>
      <c r="E1004" s="67"/>
      <c r="F1004" s="65" t="s">
        <v>274</v>
      </c>
      <c r="G1004" s="73" t="s">
        <v>118</v>
      </c>
      <c r="H1004" s="74" t="s">
        <v>109</v>
      </c>
      <c r="I1004" s="77">
        <f t="shared" si="32"/>
        <v>37.257495590828924</v>
      </c>
      <c r="J1004" s="77" t="s">
        <v>110</v>
      </c>
      <c r="K1004" s="77">
        <f t="shared" si="33"/>
        <v>17.068999999999999</v>
      </c>
      <c r="L1004" s="68" t="s">
        <v>289</v>
      </c>
    </row>
    <row r="1005" spans="1:12" ht="13.5">
      <c r="A1005" s="81" t="s">
        <v>65</v>
      </c>
      <c r="B1005" s="65" t="s">
        <v>74</v>
      </c>
      <c r="C1005" s="65" t="s">
        <v>61</v>
      </c>
      <c r="D1005" s="66" t="s">
        <v>66</v>
      </c>
      <c r="E1005" s="67"/>
      <c r="F1005" s="65" t="s">
        <v>274</v>
      </c>
      <c r="G1005" s="73" t="s">
        <v>121</v>
      </c>
      <c r="H1005" s="74" t="s">
        <v>126</v>
      </c>
      <c r="I1005" s="77">
        <f t="shared" si="32"/>
        <v>36.816578483245145</v>
      </c>
      <c r="J1005" s="77" t="s">
        <v>127</v>
      </c>
      <c r="K1005" s="77">
        <f t="shared" si="33"/>
        <v>16.867000000000001</v>
      </c>
      <c r="L1005" s="68" t="s">
        <v>289</v>
      </c>
    </row>
    <row r="1006" spans="1:12" ht="13.5">
      <c r="A1006" s="81" t="s">
        <v>65</v>
      </c>
      <c r="B1006" s="65" t="s">
        <v>74</v>
      </c>
      <c r="C1006" s="65" t="s">
        <v>61</v>
      </c>
      <c r="D1006" s="66" t="s">
        <v>66</v>
      </c>
      <c r="E1006" s="67"/>
      <c r="F1006" s="65" t="s">
        <v>274</v>
      </c>
      <c r="G1006" s="73" t="s">
        <v>122</v>
      </c>
      <c r="H1006" s="74" t="s">
        <v>126</v>
      </c>
      <c r="I1006" s="77">
        <f t="shared" si="32"/>
        <v>36.816578483245145</v>
      </c>
      <c r="J1006" s="77" t="s">
        <v>127</v>
      </c>
      <c r="K1006" s="77">
        <f t="shared" si="33"/>
        <v>16.867000000000001</v>
      </c>
      <c r="L1006" s="68" t="s">
        <v>289</v>
      </c>
    </row>
    <row r="1007" spans="1:12" ht="13.5">
      <c r="A1007" s="81" t="s">
        <v>65</v>
      </c>
      <c r="B1007" s="65" t="s">
        <v>74</v>
      </c>
      <c r="C1007" s="65" t="s">
        <v>61</v>
      </c>
      <c r="D1007" s="66" t="s">
        <v>66</v>
      </c>
      <c r="E1007" s="67"/>
      <c r="F1007" s="65" t="s">
        <v>274</v>
      </c>
      <c r="G1007" s="73" t="s">
        <v>123</v>
      </c>
      <c r="H1007" s="74" t="s">
        <v>148</v>
      </c>
      <c r="I1007" s="77">
        <f t="shared" si="32"/>
        <v>38.359788359788354</v>
      </c>
      <c r="J1007" s="77" t="s">
        <v>162</v>
      </c>
      <c r="K1007" s="77">
        <f t="shared" si="33"/>
        <v>17.573999999999998</v>
      </c>
      <c r="L1007" s="68" t="s">
        <v>289</v>
      </c>
    </row>
    <row r="1008" spans="1:12" ht="13.5">
      <c r="A1008" s="81" t="s">
        <v>65</v>
      </c>
      <c r="B1008" s="65" t="s">
        <v>74</v>
      </c>
      <c r="C1008" s="65" t="s">
        <v>61</v>
      </c>
      <c r="D1008" s="66" t="s">
        <v>66</v>
      </c>
      <c r="E1008" s="67"/>
      <c r="F1008" s="65" t="s">
        <v>274</v>
      </c>
      <c r="G1008" s="73" t="s">
        <v>124</v>
      </c>
      <c r="H1008" s="74" t="s">
        <v>198</v>
      </c>
      <c r="I1008" s="77">
        <f t="shared" si="32"/>
        <v>32.848324514991184</v>
      </c>
      <c r="J1008" s="77" t="s">
        <v>275</v>
      </c>
      <c r="K1008" s="77">
        <f t="shared" si="33"/>
        <v>15.049000000000001</v>
      </c>
      <c r="L1008" s="68" t="s">
        <v>289</v>
      </c>
    </row>
    <row r="1009" spans="1:12" ht="13.5">
      <c r="A1009" s="81" t="s">
        <v>65</v>
      </c>
      <c r="B1009" s="65" t="s">
        <v>74</v>
      </c>
      <c r="C1009" s="65" t="s">
        <v>61</v>
      </c>
      <c r="D1009" s="66" t="s">
        <v>66</v>
      </c>
      <c r="E1009" s="67"/>
      <c r="F1009" s="65" t="s">
        <v>274</v>
      </c>
      <c r="G1009" s="73" t="s">
        <v>161</v>
      </c>
      <c r="H1009" s="74" t="s">
        <v>205</v>
      </c>
      <c r="I1009" s="77">
        <f t="shared" si="32"/>
        <v>40.784832451499121</v>
      </c>
      <c r="J1009" s="77" t="s">
        <v>276</v>
      </c>
      <c r="K1009" s="77">
        <f t="shared" si="33"/>
        <v>18.684999999999999</v>
      </c>
      <c r="L1009" s="68" t="s">
        <v>289</v>
      </c>
    </row>
    <row r="1010" spans="1:12" ht="13.5">
      <c r="A1010" s="81" t="s">
        <v>65</v>
      </c>
      <c r="B1010" s="65" t="s">
        <v>74</v>
      </c>
      <c r="C1010" s="65" t="s">
        <v>61</v>
      </c>
      <c r="D1010" s="66" t="s">
        <v>66</v>
      </c>
      <c r="E1010" s="67"/>
      <c r="F1010" s="65" t="s">
        <v>274</v>
      </c>
      <c r="G1010" s="73" t="s">
        <v>125</v>
      </c>
      <c r="H1010" s="74" t="s">
        <v>126</v>
      </c>
      <c r="I1010" s="77">
        <f t="shared" si="32"/>
        <v>36.816578483245145</v>
      </c>
      <c r="J1010" s="77" t="s">
        <v>127</v>
      </c>
      <c r="K1010" s="77">
        <f t="shared" si="33"/>
        <v>16.867000000000001</v>
      </c>
      <c r="L1010" s="68" t="s">
        <v>289</v>
      </c>
    </row>
    <row r="1011" spans="1:12" ht="13.5">
      <c r="A1011" s="81" t="s">
        <v>65</v>
      </c>
      <c r="B1011" s="65" t="s">
        <v>74</v>
      </c>
      <c r="C1011" s="65" t="s">
        <v>61</v>
      </c>
      <c r="D1011" s="66" t="s">
        <v>66</v>
      </c>
      <c r="E1011" s="67"/>
      <c r="F1011" s="65" t="s">
        <v>274</v>
      </c>
      <c r="G1011" s="73" t="s">
        <v>128</v>
      </c>
      <c r="H1011" s="74" t="s">
        <v>148</v>
      </c>
      <c r="I1011" s="77">
        <f t="shared" si="32"/>
        <v>38.139329805996475</v>
      </c>
      <c r="J1011" s="77" t="s">
        <v>149</v>
      </c>
      <c r="K1011" s="77">
        <f t="shared" si="33"/>
        <v>17.473000000000003</v>
      </c>
      <c r="L1011" s="68" t="s">
        <v>289</v>
      </c>
    </row>
    <row r="1012" spans="1:12" ht="13.5">
      <c r="A1012" s="81" t="s">
        <v>65</v>
      </c>
      <c r="B1012" s="65" t="s">
        <v>74</v>
      </c>
      <c r="C1012" s="65" t="s">
        <v>61</v>
      </c>
      <c r="D1012" s="66" t="s">
        <v>66</v>
      </c>
      <c r="E1012" s="67"/>
      <c r="F1012" s="65" t="s">
        <v>274</v>
      </c>
      <c r="G1012" s="73" t="s">
        <v>129</v>
      </c>
      <c r="H1012" s="74" t="s">
        <v>126</v>
      </c>
      <c r="I1012" s="77">
        <f t="shared" si="32"/>
        <v>36.816578483245145</v>
      </c>
      <c r="J1012" s="77" t="s">
        <v>127</v>
      </c>
      <c r="K1012" s="77">
        <f t="shared" si="33"/>
        <v>16.867000000000001</v>
      </c>
      <c r="L1012" s="68" t="s">
        <v>289</v>
      </c>
    </row>
    <row r="1013" spans="1:12" ht="13.5">
      <c r="A1013" s="81" t="s">
        <v>65</v>
      </c>
      <c r="B1013" s="65" t="s">
        <v>74</v>
      </c>
      <c r="C1013" s="65" t="s">
        <v>61</v>
      </c>
      <c r="D1013" s="66" t="s">
        <v>66</v>
      </c>
      <c r="E1013" s="67"/>
      <c r="F1013" s="65" t="s">
        <v>274</v>
      </c>
      <c r="G1013" s="73" t="s">
        <v>130</v>
      </c>
      <c r="H1013" s="74" t="s">
        <v>103</v>
      </c>
      <c r="I1013" s="77">
        <f t="shared" si="32"/>
        <v>37.698412698412703</v>
      </c>
      <c r="J1013" s="77" t="s">
        <v>104</v>
      </c>
      <c r="K1013" s="77">
        <f t="shared" si="33"/>
        <v>17.271000000000001</v>
      </c>
      <c r="L1013" s="68" t="s">
        <v>289</v>
      </c>
    </row>
    <row r="1014" spans="1:12" ht="13.5">
      <c r="A1014" s="81" t="s">
        <v>65</v>
      </c>
      <c r="B1014" s="65" t="s">
        <v>74</v>
      </c>
      <c r="C1014" s="65" t="s">
        <v>61</v>
      </c>
      <c r="D1014" s="66" t="s">
        <v>66</v>
      </c>
      <c r="E1014" s="67"/>
      <c r="F1014" s="65" t="s">
        <v>274</v>
      </c>
      <c r="G1014" s="73" t="s">
        <v>131</v>
      </c>
      <c r="H1014" s="74" t="s">
        <v>109</v>
      </c>
      <c r="I1014" s="77">
        <f t="shared" si="32"/>
        <v>37.257495590828924</v>
      </c>
      <c r="J1014" s="77" t="s">
        <v>110</v>
      </c>
      <c r="K1014" s="77">
        <f t="shared" si="33"/>
        <v>17.068999999999999</v>
      </c>
      <c r="L1014" s="68" t="s">
        <v>289</v>
      </c>
    </row>
    <row r="1015" spans="1:12" ht="13.5">
      <c r="A1015" s="81" t="s">
        <v>65</v>
      </c>
      <c r="B1015" s="65" t="s">
        <v>74</v>
      </c>
      <c r="C1015" s="65" t="s">
        <v>61</v>
      </c>
      <c r="D1015" s="66" t="s">
        <v>66</v>
      </c>
      <c r="E1015" s="67"/>
      <c r="F1015" s="65" t="s">
        <v>274</v>
      </c>
      <c r="G1015" s="73" t="s">
        <v>164</v>
      </c>
      <c r="H1015" s="74" t="s">
        <v>109</v>
      </c>
      <c r="I1015" s="77">
        <f t="shared" si="32"/>
        <v>37.037037037037038</v>
      </c>
      <c r="J1015" s="77" t="s">
        <v>158</v>
      </c>
      <c r="K1015" s="77">
        <f t="shared" si="33"/>
        <v>16.968</v>
      </c>
      <c r="L1015" s="68" t="s">
        <v>289</v>
      </c>
    </row>
    <row r="1016" spans="1:12" ht="13.5">
      <c r="A1016" s="81" t="s">
        <v>65</v>
      </c>
      <c r="B1016" s="65" t="s">
        <v>74</v>
      </c>
      <c r="C1016" s="65" t="s">
        <v>61</v>
      </c>
      <c r="D1016" s="66" t="s">
        <v>66</v>
      </c>
      <c r="E1016" s="67"/>
      <c r="F1016" s="65" t="s">
        <v>274</v>
      </c>
      <c r="G1016" s="73" t="s">
        <v>132</v>
      </c>
      <c r="H1016" s="74" t="s">
        <v>109</v>
      </c>
      <c r="I1016" s="77">
        <f t="shared" si="32"/>
        <v>37.257495590828924</v>
      </c>
      <c r="J1016" s="77" t="s">
        <v>110</v>
      </c>
      <c r="K1016" s="77">
        <f t="shared" si="33"/>
        <v>17.068999999999999</v>
      </c>
      <c r="L1016" s="68" t="s">
        <v>289</v>
      </c>
    </row>
    <row r="1017" spans="1:12" ht="13.5">
      <c r="A1017" s="81" t="s">
        <v>65</v>
      </c>
      <c r="B1017" s="65" t="s">
        <v>74</v>
      </c>
      <c r="C1017" s="65" t="s">
        <v>61</v>
      </c>
      <c r="D1017" s="66" t="s">
        <v>66</v>
      </c>
      <c r="E1017" s="67"/>
      <c r="F1017" s="65" t="s">
        <v>274</v>
      </c>
      <c r="G1017" s="73" t="s">
        <v>133</v>
      </c>
      <c r="H1017" s="74" t="s">
        <v>103</v>
      </c>
      <c r="I1017" s="77">
        <f t="shared" si="32"/>
        <v>37.698412698412703</v>
      </c>
      <c r="J1017" s="77" t="s">
        <v>104</v>
      </c>
      <c r="K1017" s="77">
        <f t="shared" si="33"/>
        <v>17.271000000000001</v>
      </c>
      <c r="L1017" s="68" t="s">
        <v>289</v>
      </c>
    </row>
    <row r="1018" spans="1:12" ht="13.5">
      <c r="A1018" s="81" t="s">
        <v>65</v>
      </c>
      <c r="B1018" s="65" t="s">
        <v>74</v>
      </c>
      <c r="C1018" s="65" t="s">
        <v>61</v>
      </c>
      <c r="D1018" s="66" t="s">
        <v>66</v>
      </c>
      <c r="E1018" s="67"/>
      <c r="F1018" s="65" t="s">
        <v>274</v>
      </c>
      <c r="G1018" s="73" t="s">
        <v>134</v>
      </c>
      <c r="H1018" s="74" t="s">
        <v>109</v>
      </c>
      <c r="I1018" s="77">
        <f t="shared" si="32"/>
        <v>37.037037037037038</v>
      </c>
      <c r="J1018" s="77" t="s">
        <v>158</v>
      </c>
      <c r="K1018" s="77">
        <f t="shared" si="33"/>
        <v>16.968</v>
      </c>
      <c r="L1018" s="68" t="s">
        <v>289</v>
      </c>
    </row>
    <row r="1019" spans="1:12" ht="13.5">
      <c r="A1019" s="81" t="s">
        <v>65</v>
      </c>
      <c r="B1019" s="65" t="s">
        <v>74</v>
      </c>
      <c r="C1019" s="65" t="s">
        <v>61</v>
      </c>
      <c r="D1019" s="66" t="s">
        <v>66</v>
      </c>
      <c r="E1019" s="67"/>
      <c r="F1019" s="65" t="s">
        <v>274</v>
      </c>
      <c r="G1019" s="73" t="s">
        <v>135</v>
      </c>
      <c r="H1019" s="74" t="s">
        <v>148</v>
      </c>
      <c r="I1019" s="77">
        <f t="shared" si="32"/>
        <v>38.139329805996475</v>
      </c>
      <c r="J1019" s="77" t="s">
        <v>149</v>
      </c>
      <c r="K1019" s="77">
        <f t="shared" si="33"/>
        <v>17.473000000000003</v>
      </c>
      <c r="L1019" s="68" t="s">
        <v>289</v>
      </c>
    </row>
    <row r="1020" spans="1:12" ht="13.5">
      <c r="A1020" s="81" t="s">
        <v>65</v>
      </c>
      <c r="B1020" s="65" t="s">
        <v>74</v>
      </c>
      <c r="C1020" s="65" t="s">
        <v>61</v>
      </c>
      <c r="D1020" s="66" t="s">
        <v>66</v>
      </c>
      <c r="E1020" s="67"/>
      <c r="F1020" s="65" t="s">
        <v>274</v>
      </c>
      <c r="G1020" s="73" t="s">
        <v>136</v>
      </c>
      <c r="H1020" s="74" t="s">
        <v>126</v>
      </c>
      <c r="I1020" s="77">
        <f t="shared" si="32"/>
        <v>36.816578483245145</v>
      </c>
      <c r="J1020" s="77" t="s">
        <v>127</v>
      </c>
      <c r="K1020" s="77">
        <f t="shared" si="33"/>
        <v>16.867000000000001</v>
      </c>
      <c r="L1020" s="68" t="s">
        <v>289</v>
      </c>
    </row>
    <row r="1021" spans="1:12" ht="13.5">
      <c r="A1021" s="81" t="s">
        <v>65</v>
      </c>
      <c r="B1021" s="65" t="s">
        <v>74</v>
      </c>
      <c r="C1021" s="65" t="s">
        <v>61</v>
      </c>
      <c r="D1021" s="66" t="s">
        <v>66</v>
      </c>
      <c r="E1021" s="67"/>
      <c r="F1021" s="65" t="s">
        <v>274</v>
      </c>
      <c r="G1021" s="73" t="s">
        <v>137</v>
      </c>
      <c r="H1021" s="74" t="s">
        <v>109</v>
      </c>
      <c r="I1021" s="77">
        <f t="shared" si="32"/>
        <v>37.037037037037038</v>
      </c>
      <c r="J1021" s="77" t="s">
        <v>158</v>
      </c>
      <c r="K1021" s="77">
        <f t="shared" si="33"/>
        <v>16.968</v>
      </c>
      <c r="L1021" s="68" t="s">
        <v>289</v>
      </c>
    </row>
    <row r="1022" spans="1:12" ht="13.5">
      <c r="A1022" s="81" t="s">
        <v>65</v>
      </c>
      <c r="B1022" s="65" t="s">
        <v>74</v>
      </c>
      <c r="C1022" s="65" t="s">
        <v>61</v>
      </c>
      <c r="D1022" s="66" t="s">
        <v>66</v>
      </c>
      <c r="E1022" s="67"/>
      <c r="F1022" s="65" t="s">
        <v>274</v>
      </c>
      <c r="G1022" s="73" t="s">
        <v>138</v>
      </c>
      <c r="H1022" s="74" t="s">
        <v>103</v>
      </c>
      <c r="I1022" s="77">
        <f t="shared" si="32"/>
        <v>37.698412698412703</v>
      </c>
      <c r="J1022" s="77" t="s">
        <v>104</v>
      </c>
      <c r="K1022" s="77">
        <f t="shared" si="33"/>
        <v>17.271000000000001</v>
      </c>
      <c r="L1022" s="68" t="s">
        <v>289</v>
      </c>
    </row>
    <row r="1023" spans="1:12" ht="13.5">
      <c r="A1023" s="81" t="s">
        <v>65</v>
      </c>
      <c r="B1023" s="65" t="s">
        <v>74</v>
      </c>
      <c r="C1023" s="65" t="s">
        <v>61</v>
      </c>
      <c r="D1023" s="66" t="s">
        <v>66</v>
      </c>
      <c r="E1023" s="67"/>
      <c r="F1023" s="65" t="s">
        <v>274</v>
      </c>
      <c r="G1023" s="73" t="s">
        <v>139</v>
      </c>
      <c r="H1023" s="74" t="s">
        <v>109</v>
      </c>
      <c r="I1023" s="77">
        <f t="shared" si="32"/>
        <v>37.037037037037038</v>
      </c>
      <c r="J1023" s="77" t="s">
        <v>158</v>
      </c>
      <c r="K1023" s="77">
        <f t="shared" si="33"/>
        <v>16.968</v>
      </c>
      <c r="L1023" s="68" t="s">
        <v>289</v>
      </c>
    </row>
    <row r="1024" spans="1:12" ht="13.5">
      <c r="A1024" s="81" t="s">
        <v>65</v>
      </c>
      <c r="B1024" s="65" t="s">
        <v>74</v>
      </c>
      <c r="C1024" s="65" t="s">
        <v>61</v>
      </c>
      <c r="D1024" s="66" t="s">
        <v>66</v>
      </c>
      <c r="E1024" s="67"/>
      <c r="F1024" s="65" t="s">
        <v>274</v>
      </c>
      <c r="G1024" s="73" t="s">
        <v>140</v>
      </c>
      <c r="H1024" s="74" t="s">
        <v>126</v>
      </c>
      <c r="I1024" s="77">
        <f t="shared" ref="I1024:I1036" si="34">+J1024/0.4536</f>
        <v>36.596119929453266</v>
      </c>
      <c r="J1024" s="77" t="s">
        <v>159</v>
      </c>
      <c r="K1024" s="77">
        <f t="shared" ref="K1024:K1036" si="35">+J1024*1.01</f>
        <v>16.766000000000002</v>
      </c>
      <c r="L1024" s="68" t="s">
        <v>289</v>
      </c>
    </row>
    <row r="1025" spans="1:12" ht="13.5">
      <c r="A1025" s="81" t="s">
        <v>65</v>
      </c>
      <c r="B1025" s="65" t="s">
        <v>74</v>
      </c>
      <c r="C1025" s="65" t="s">
        <v>61</v>
      </c>
      <c r="D1025" s="66" t="s">
        <v>66</v>
      </c>
      <c r="E1025" s="67"/>
      <c r="F1025" s="65" t="s">
        <v>274</v>
      </c>
      <c r="G1025" s="73" t="s">
        <v>167</v>
      </c>
      <c r="H1025" s="74" t="s">
        <v>109</v>
      </c>
      <c r="I1025" s="77">
        <f t="shared" si="34"/>
        <v>37.257495590828924</v>
      </c>
      <c r="J1025" s="77" t="s">
        <v>110</v>
      </c>
      <c r="K1025" s="77">
        <f t="shared" si="35"/>
        <v>17.068999999999999</v>
      </c>
      <c r="L1025" s="68" t="s">
        <v>289</v>
      </c>
    </row>
    <row r="1026" spans="1:12" ht="13.5">
      <c r="A1026" s="81" t="s">
        <v>65</v>
      </c>
      <c r="B1026" s="65" t="s">
        <v>74</v>
      </c>
      <c r="C1026" s="65" t="s">
        <v>61</v>
      </c>
      <c r="D1026" s="66" t="s">
        <v>66</v>
      </c>
      <c r="E1026" s="67"/>
      <c r="F1026" s="65" t="s">
        <v>274</v>
      </c>
      <c r="G1026" s="73" t="s">
        <v>141</v>
      </c>
      <c r="H1026" s="74" t="s">
        <v>103</v>
      </c>
      <c r="I1026" s="77">
        <f t="shared" si="34"/>
        <v>37.698412698412703</v>
      </c>
      <c r="J1026" s="77" t="s">
        <v>104</v>
      </c>
      <c r="K1026" s="77">
        <f t="shared" si="35"/>
        <v>17.271000000000001</v>
      </c>
      <c r="L1026" s="68" t="s">
        <v>289</v>
      </c>
    </row>
    <row r="1027" spans="1:12" ht="13.5">
      <c r="A1027" s="81" t="s">
        <v>65</v>
      </c>
      <c r="B1027" s="65" t="s">
        <v>74</v>
      </c>
      <c r="C1027" s="65" t="s">
        <v>61</v>
      </c>
      <c r="D1027" s="66" t="s">
        <v>66</v>
      </c>
      <c r="E1027" s="67"/>
      <c r="F1027" s="65" t="s">
        <v>274</v>
      </c>
      <c r="G1027" s="73" t="s">
        <v>142</v>
      </c>
      <c r="H1027" s="74" t="s">
        <v>100</v>
      </c>
      <c r="I1027" s="77">
        <f t="shared" si="34"/>
        <v>35.493827160493829</v>
      </c>
      <c r="J1027" s="77" t="s">
        <v>117</v>
      </c>
      <c r="K1027" s="77">
        <f t="shared" si="35"/>
        <v>16.261000000000003</v>
      </c>
      <c r="L1027" s="68" t="s">
        <v>289</v>
      </c>
    </row>
    <row r="1028" spans="1:12" ht="13.5">
      <c r="A1028" s="81" t="s">
        <v>65</v>
      </c>
      <c r="B1028" s="65" t="s">
        <v>74</v>
      </c>
      <c r="C1028" s="65" t="s">
        <v>61</v>
      </c>
      <c r="D1028" s="66" t="s">
        <v>66</v>
      </c>
      <c r="E1028" s="67"/>
      <c r="F1028" s="65" t="s">
        <v>274</v>
      </c>
      <c r="G1028" s="73" t="s">
        <v>143</v>
      </c>
      <c r="H1028" s="74" t="s">
        <v>109</v>
      </c>
      <c r="I1028" s="77">
        <f t="shared" si="34"/>
        <v>37.037037037037038</v>
      </c>
      <c r="J1028" s="77" t="s">
        <v>158</v>
      </c>
      <c r="K1028" s="77">
        <f t="shared" si="35"/>
        <v>16.968</v>
      </c>
      <c r="L1028" s="68" t="s">
        <v>289</v>
      </c>
    </row>
    <row r="1029" spans="1:12" ht="13.5">
      <c r="A1029" s="81" t="s">
        <v>65</v>
      </c>
      <c r="B1029" s="65" t="s">
        <v>74</v>
      </c>
      <c r="C1029" s="65" t="s">
        <v>61</v>
      </c>
      <c r="D1029" s="66" t="s">
        <v>66</v>
      </c>
      <c r="E1029" s="67"/>
      <c r="F1029" s="65" t="s">
        <v>274</v>
      </c>
      <c r="G1029" s="73" t="s">
        <v>146</v>
      </c>
      <c r="H1029" s="74" t="s">
        <v>126</v>
      </c>
      <c r="I1029" s="77">
        <f t="shared" si="34"/>
        <v>36.816578483245145</v>
      </c>
      <c r="J1029" s="77" t="s">
        <v>127</v>
      </c>
      <c r="K1029" s="77">
        <f t="shared" si="35"/>
        <v>16.867000000000001</v>
      </c>
      <c r="L1029" s="68" t="s">
        <v>289</v>
      </c>
    </row>
    <row r="1030" spans="1:12" ht="13.5">
      <c r="A1030" s="81" t="s">
        <v>65</v>
      </c>
      <c r="B1030" s="65" t="s">
        <v>74</v>
      </c>
      <c r="C1030" s="65" t="s">
        <v>61</v>
      </c>
      <c r="D1030" s="66" t="s">
        <v>66</v>
      </c>
      <c r="E1030" s="67"/>
      <c r="F1030" s="65" t="s">
        <v>274</v>
      </c>
      <c r="G1030" s="73" t="s">
        <v>147</v>
      </c>
      <c r="H1030" s="74" t="s">
        <v>109</v>
      </c>
      <c r="I1030" s="77">
        <f t="shared" si="34"/>
        <v>37.257495590828924</v>
      </c>
      <c r="J1030" s="77" t="s">
        <v>110</v>
      </c>
      <c r="K1030" s="77">
        <f t="shared" si="35"/>
        <v>17.068999999999999</v>
      </c>
      <c r="L1030" s="68" t="s">
        <v>289</v>
      </c>
    </row>
    <row r="1031" spans="1:12" ht="13.5">
      <c r="A1031" s="81" t="s">
        <v>65</v>
      </c>
      <c r="B1031" s="65" t="s">
        <v>74</v>
      </c>
      <c r="C1031" s="65" t="s">
        <v>61</v>
      </c>
      <c r="D1031" s="66" t="s">
        <v>66</v>
      </c>
      <c r="E1031" s="67"/>
      <c r="F1031" s="65" t="s">
        <v>274</v>
      </c>
      <c r="G1031" s="73" t="s">
        <v>150</v>
      </c>
      <c r="H1031" s="74" t="s">
        <v>228</v>
      </c>
      <c r="I1031" s="77">
        <f t="shared" si="34"/>
        <v>34.611992945326278</v>
      </c>
      <c r="J1031" s="77" t="s">
        <v>240</v>
      </c>
      <c r="K1031" s="77">
        <f t="shared" si="35"/>
        <v>15.856999999999999</v>
      </c>
      <c r="L1031" s="68" t="s">
        <v>289</v>
      </c>
    </row>
    <row r="1032" spans="1:12" ht="13.5">
      <c r="A1032" s="81" t="s">
        <v>65</v>
      </c>
      <c r="B1032" s="65" t="s">
        <v>74</v>
      </c>
      <c r="C1032" s="65" t="s">
        <v>61</v>
      </c>
      <c r="D1032" s="66" t="s">
        <v>66</v>
      </c>
      <c r="E1032" s="67"/>
      <c r="F1032" s="65" t="s">
        <v>274</v>
      </c>
      <c r="G1032" s="73" t="s">
        <v>151</v>
      </c>
      <c r="H1032" s="74" t="s">
        <v>148</v>
      </c>
      <c r="I1032" s="77">
        <f t="shared" si="34"/>
        <v>37.918871252204582</v>
      </c>
      <c r="J1032" s="77" t="s">
        <v>163</v>
      </c>
      <c r="K1032" s="77">
        <f t="shared" si="35"/>
        <v>17.372</v>
      </c>
      <c r="L1032" s="68" t="s">
        <v>289</v>
      </c>
    </row>
    <row r="1033" spans="1:12" ht="13.5">
      <c r="A1033" s="81" t="s">
        <v>65</v>
      </c>
      <c r="B1033" s="65" t="s">
        <v>74</v>
      </c>
      <c r="C1033" s="65" t="s">
        <v>61</v>
      </c>
      <c r="D1033" s="66" t="s">
        <v>66</v>
      </c>
      <c r="E1033" s="67"/>
      <c r="F1033" s="65" t="s">
        <v>274</v>
      </c>
      <c r="G1033" s="73" t="s">
        <v>152</v>
      </c>
      <c r="H1033" s="74" t="s">
        <v>144</v>
      </c>
      <c r="I1033" s="77">
        <f t="shared" si="34"/>
        <v>34.391534391534393</v>
      </c>
      <c r="J1033" s="77" t="s">
        <v>145</v>
      </c>
      <c r="K1033" s="77">
        <f t="shared" si="35"/>
        <v>15.756</v>
      </c>
      <c r="L1033" s="68" t="s">
        <v>289</v>
      </c>
    </row>
    <row r="1034" spans="1:12" ht="13.5">
      <c r="A1034" s="81"/>
      <c r="B1034" s="65"/>
      <c r="C1034" s="65"/>
      <c r="D1034" s="66"/>
      <c r="E1034" s="67"/>
      <c r="F1034" s="65" t="s">
        <v>87</v>
      </c>
      <c r="G1034" s="73">
        <v>39</v>
      </c>
      <c r="H1034" s="74" t="s">
        <v>277</v>
      </c>
      <c r="I1034" s="77">
        <f t="shared" si="34"/>
        <v>1441.358024691358</v>
      </c>
      <c r="J1034" s="77" t="s">
        <v>278</v>
      </c>
      <c r="K1034" s="77">
        <f t="shared" si="35"/>
        <v>660.33799999999997</v>
      </c>
      <c r="L1034" s="68" t="s">
        <v>289</v>
      </c>
    </row>
    <row r="1035" spans="1:12" ht="13.5">
      <c r="A1035" s="81"/>
      <c r="B1035" s="65"/>
      <c r="C1035" s="65"/>
      <c r="D1035" s="66" t="s">
        <v>76</v>
      </c>
      <c r="E1035" s="67"/>
      <c r="F1035" s="65"/>
      <c r="G1035" s="73" t="s">
        <v>103</v>
      </c>
      <c r="H1035" s="74" t="s">
        <v>279</v>
      </c>
      <c r="I1035" s="77">
        <f t="shared" si="34"/>
        <v>2913.5802469135801</v>
      </c>
      <c r="J1035" s="77" t="s">
        <v>280</v>
      </c>
      <c r="K1035" s="77">
        <f t="shared" si="35"/>
        <v>1334.816</v>
      </c>
      <c r="L1035" s="68" t="s">
        <v>289</v>
      </c>
    </row>
    <row r="1036" spans="1:12" ht="13.5">
      <c r="A1036" s="81"/>
      <c r="B1036" s="65"/>
      <c r="C1036" s="65"/>
      <c r="D1036" s="66" t="s">
        <v>79</v>
      </c>
      <c r="E1036" s="67"/>
      <c r="F1036" s="65"/>
      <c r="G1036" s="73">
        <v>569</v>
      </c>
      <c r="H1036" s="74" t="s">
        <v>281</v>
      </c>
      <c r="I1036" s="77">
        <f t="shared" si="34"/>
        <v>21473.765432098764</v>
      </c>
      <c r="J1036" s="77" t="s">
        <v>282</v>
      </c>
      <c r="K1036" s="77">
        <f t="shared" si="35"/>
        <v>9837.9050000000007</v>
      </c>
      <c r="L1036" s="68" t="s">
        <v>289</v>
      </c>
    </row>
    <row r="1037" spans="1:12" ht="13.5">
      <c r="A1037" s="81"/>
      <c r="B1037" s="65"/>
      <c r="C1037" s="65"/>
      <c r="D1037" s="66" t="s">
        <v>81</v>
      </c>
      <c r="E1037" s="67"/>
      <c r="F1037" s="65"/>
      <c r="G1037" s="73">
        <f>+G1036+G447</f>
        <v>973</v>
      </c>
      <c r="H1037" s="74">
        <f>+H1036+H447</f>
        <v>73090.399999999994</v>
      </c>
      <c r="I1037" s="77">
        <f>+I1036+I447</f>
        <v>36829.365083149503</v>
      </c>
      <c r="J1037" s="77">
        <f>+J1036+J447</f>
        <v>16705.800001716612</v>
      </c>
      <c r="K1037" s="77">
        <f>+K1036+K447</f>
        <v>16872.858001733781</v>
      </c>
      <c r="L1037" s="68"/>
    </row>
    <row r="1040" spans="1:12">
      <c r="D1040" s="727" t="s">
        <v>55</v>
      </c>
      <c r="E1040" s="728"/>
      <c r="F1040" s="729"/>
      <c r="G1040" s="49" t="s">
        <v>56</v>
      </c>
      <c r="H1040" s="50" t="s">
        <v>57</v>
      </c>
      <c r="I1040" s="50" t="s">
        <v>58</v>
      </c>
      <c r="J1040" s="50" t="s">
        <v>59</v>
      </c>
      <c r="K1040" s="50" t="s">
        <v>60</v>
      </c>
    </row>
    <row r="1041" spans="4:11">
      <c r="D1041" s="727" t="s">
        <v>291</v>
      </c>
      <c r="E1041" s="728"/>
      <c r="F1041" s="729"/>
      <c r="G1041" s="75">
        <v>404</v>
      </c>
      <c r="H1041" s="76">
        <v>28635.4</v>
      </c>
      <c r="I1041" s="76">
        <v>15355.599651050736</v>
      </c>
      <c r="J1041" s="76">
        <v>6965.3000017166141</v>
      </c>
      <c r="K1041" s="76">
        <v>7034.9530017337802</v>
      </c>
    </row>
    <row r="1042" spans="4:11">
      <c r="D1042" s="727" t="s">
        <v>292</v>
      </c>
      <c r="E1042" s="728"/>
      <c r="F1042" s="729"/>
      <c r="G1042" s="75">
        <v>569</v>
      </c>
      <c r="H1042" s="76" t="s">
        <v>281</v>
      </c>
      <c r="I1042" s="76">
        <v>21473.765432098764</v>
      </c>
      <c r="J1042" s="76" t="s">
        <v>282</v>
      </c>
      <c r="K1042" s="76">
        <v>9837.9050000000007</v>
      </c>
    </row>
    <row r="1043" spans="4:11" ht="12" customHeight="1">
      <c r="D1043" s="720" t="s">
        <v>82</v>
      </c>
      <c r="E1043" s="721"/>
      <c r="F1043" s="722"/>
      <c r="G1043" s="79">
        <v>973</v>
      </c>
      <c r="H1043" s="80">
        <v>73090.399999999994</v>
      </c>
      <c r="I1043" s="80">
        <v>36829.365083149503</v>
      </c>
      <c r="J1043" s="80">
        <v>16705.800001716612</v>
      </c>
      <c r="K1043" s="80">
        <v>16872.858001733781</v>
      </c>
    </row>
  </sheetData>
  <mergeCells count="6">
    <mergeCell ref="D1043:F1043"/>
    <mergeCell ref="F1:L3"/>
    <mergeCell ref="D26:E26"/>
    <mergeCell ref="D1040:F1040"/>
    <mergeCell ref="D1041:F1041"/>
    <mergeCell ref="D1042:F1042"/>
  </mergeCells>
  <phoneticPr fontId="2" type="noConversion"/>
  <hyperlinks>
    <hyperlink ref="A8" r:id="rId1" display="TEL:(82)2-5460066   FAX:(82)2-5404106" xr:uid="{00000000-0004-0000-0F00-000000000000}"/>
  </hyperlinks>
  <printOptions horizontalCentered="1"/>
  <pageMargins left="0.15748031496062992" right="0.15748031496062992" top="0.23622047244094491" bottom="0.3" header="0.23622047244094491" footer="0.15748031496062992"/>
  <pageSetup paperSize="9" scale="77" fitToHeight="27" orientation="portrait" r:id="rId2"/>
  <headerFooter>
    <oddFooter>&amp;C&amp;"-,굵게"&amp;9&amp;K00-034SEWANG TEXTILE&amp;R&amp;"돋움,굵게"&amp;9&amp;K00-034&amp;P OF &amp;N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30</vt:i4>
      </vt:variant>
    </vt:vector>
  </HeadingPairs>
  <TitlesOfParts>
    <vt:vector size="46" baseType="lpstr">
      <vt:lpstr>INV </vt:lpstr>
      <vt:lpstr>PLK </vt:lpstr>
      <vt:lpstr>AGREEMENT (ACC)</vt:lpstr>
      <vt:lpstr>INV(TTL)_A</vt:lpstr>
      <vt:lpstr>PCK(TTL)_A</vt:lpstr>
      <vt:lpstr>INV(TTL)_B</vt:lpstr>
      <vt:lpstr>PCK(TTL)_B</vt:lpstr>
      <vt:lpstr>INV(TTL)_C</vt:lpstr>
      <vt:lpstr>PCK(TTL)_C</vt:lpstr>
      <vt:lpstr>INV(payable)_A</vt:lpstr>
      <vt:lpstr>PCK (payable)_A</vt:lpstr>
      <vt:lpstr>INV(payable)_B</vt:lpstr>
      <vt:lpstr>PCK (payable)_B</vt:lpstr>
      <vt:lpstr>INV_A(NCV)</vt:lpstr>
      <vt:lpstr>PCK (NCV)</vt:lpstr>
      <vt:lpstr>WN</vt:lpstr>
      <vt:lpstr>'AGREEMENT (ACC)'!Print_Area</vt:lpstr>
      <vt:lpstr>'INV '!Print_Area</vt:lpstr>
      <vt:lpstr>'INV(payable)_A'!Print_Area</vt:lpstr>
      <vt:lpstr>'INV(payable)_B'!Print_Area</vt:lpstr>
      <vt:lpstr>'INV(TTL)_A'!Print_Area</vt:lpstr>
      <vt:lpstr>'INV(TTL)_B'!Print_Area</vt:lpstr>
      <vt:lpstr>'INV(TTL)_C'!Print_Area</vt:lpstr>
      <vt:lpstr>'INV_A(NCV)'!Print_Area</vt:lpstr>
      <vt:lpstr>'PCK (NCV)'!Print_Area</vt:lpstr>
      <vt:lpstr>'PCK (payable)_A'!Print_Area</vt:lpstr>
      <vt:lpstr>'PCK (payable)_B'!Print_Area</vt:lpstr>
      <vt:lpstr>'PCK(TTL)_A'!Print_Area</vt:lpstr>
      <vt:lpstr>'PCK(TTL)_B'!Print_Area</vt:lpstr>
      <vt:lpstr>'PCK(TTL)_C'!Print_Area</vt:lpstr>
      <vt:lpstr>'PLK '!Print_Area</vt:lpstr>
      <vt:lpstr>WN!Print_Area</vt:lpstr>
      <vt:lpstr>'INV '!Print_Titles</vt:lpstr>
      <vt:lpstr>'INV(payable)_A'!Print_Titles</vt:lpstr>
      <vt:lpstr>'INV(payable)_B'!Print_Titles</vt:lpstr>
      <vt:lpstr>'INV(TTL)_A'!Print_Titles</vt:lpstr>
      <vt:lpstr>'INV(TTL)_B'!Print_Titles</vt:lpstr>
      <vt:lpstr>'INV(TTL)_C'!Print_Titles</vt:lpstr>
      <vt:lpstr>'INV_A(NCV)'!Print_Titles</vt:lpstr>
      <vt:lpstr>'PCK (NCV)'!Print_Titles</vt:lpstr>
      <vt:lpstr>'PCK (payable)_A'!Print_Titles</vt:lpstr>
      <vt:lpstr>'PCK (payable)_B'!Print_Titles</vt:lpstr>
      <vt:lpstr>'PCK(TTL)_A'!Print_Titles</vt:lpstr>
      <vt:lpstr>'PCK(TTL)_B'!Print_Titles</vt:lpstr>
      <vt:lpstr>'PCK(TTL)_C'!Print_Titles</vt:lpstr>
      <vt:lpstr>'PLK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박진숙</dc:creator>
  <cp:lastModifiedBy>EXIM2</cp:lastModifiedBy>
  <cp:lastPrinted>2026-08-28T06:46:02Z</cp:lastPrinted>
  <dcterms:created xsi:type="dcterms:W3CDTF">2018-02-25T23:38:44Z</dcterms:created>
  <dcterms:modified xsi:type="dcterms:W3CDTF">2026-09-09T08:32:53Z</dcterms:modified>
</cp:coreProperties>
</file>