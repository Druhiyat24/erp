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1.05.2026\"/>
    </mc:Choice>
  </mc:AlternateContent>
  <xr:revisionPtr revIDLastSave="0" documentId="13_ncr:1_{377DA85C-D5AC-4E1B-A821-8E9DF6EFA8B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337" sheetId="129" r:id="rId3"/>
    <sheet name="338" sheetId="133" r:id="rId4"/>
    <sheet name="339" sheetId="134" r:id="rId5"/>
    <sheet name="340" sheetId="135" r:id="rId6"/>
    <sheet name="341" sheetId="137" r:id="rId7"/>
    <sheet name="342" sheetId="138" r:id="rId8"/>
    <sheet name="343" sheetId="141" r:id="rId9"/>
    <sheet name="344" sheetId="142" r:id="rId10"/>
    <sheet name="345" sheetId="143" r:id="rId11"/>
    <sheet name="346" sheetId="163" r:id="rId12"/>
    <sheet name="347" sheetId="164" r:id="rId13"/>
    <sheet name="348" sheetId="165" r:id="rId14"/>
    <sheet name="349" sheetId="166" r:id="rId15"/>
    <sheet name="350" sheetId="167" r:id="rId16"/>
    <sheet name="351" sheetId="168" r:id="rId17"/>
    <sheet name="352" sheetId="169" r:id="rId18"/>
  </sheets>
  <externalReferences>
    <externalReference r:id="rId19"/>
    <externalReference r:id="rId20"/>
    <externalReference r:id="rId21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 localSheetId="17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 localSheetId="17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 localSheetId="17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 localSheetId="17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 localSheetId="17">[2]xdata!#REF!</definedName>
    <definedName name="E_L">[2]xdata!#REF!</definedName>
    <definedName name="INVOICE">[2]xdata!$B$2</definedName>
    <definedName name="_xlnm.Print_Area" localSheetId="2">'337'!$B$1:$I$57</definedName>
    <definedName name="_xlnm.Print_Area" localSheetId="3">'338'!$B$1:$I$57</definedName>
    <definedName name="_xlnm.Print_Area" localSheetId="4">'339'!$B$1:$I$58</definedName>
    <definedName name="_xlnm.Print_Area" localSheetId="5">'340'!$B$1:$I$57</definedName>
    <definedName name="_xlnm.Print_Area" localSheetId="6">'341'!$B$1:$I$58</definedName>
    <definedName name="_xlnm.Print_Area" localSheetId="7">'342'!$B$1:$I$56</definedName>
    <definedName name="_xlnm.Print_Area" localSheetId="8">'343'!$B$1:$I$57</definedName>
    <definedName name="_xlnm.Print_Area" localSheetId="9">'344'!$B$1:$I$58</definedName>
    <definedName name="_xlnm.Print_Area" localSheetId="10">'345'!$B$1:$I$57</definedName>
    <definedName name="_xlnm.Print_Area" localSheetId="11">'346'!$B$1:$I$58</definedName>
    <definedName name="_xlnm.Print_Area" localSheetId="12">'347'!$B$1:$I$57</definedName>
    <definedName name="_xlnm.Print_Area" localSheetId="13">'348'!$B$1:$I$57</definedName>
    <definedName name="_xlnm.Print_Area" localSheetId="14">'349'!$B$1:$I$57</definedName>
    <definedName name="_xlnm.Print_Area" localSheetId="15">'350'!$B$1:$I$57</definedName>
    <definedName name="_xlnm.Print_Area" localSheetId="16">'351'!$B$1:$I$57</definedName>
    <definedName name="_xlnm.Print_Area" localSheetId="17">'352'!$B$1:$I$57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 localSheetId="17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69" l="1"/>
  <c r="F32" i="168"/>
  <c r="F32" i="165"/>
  <c r="I33" i="163"/>
  <c r="I33" i="142"/>
  <c r="F34" i="169"/>
  <c r="F32" i="141"/>
  <c r="F32" i="138"/>
  <c r="I32" i="138" s="1"/>
  <c r="I33" i="137"/>
  <c r="F32" i="129"/>
  <c r="F33" i="138"/>
  <c r="I33" i="134"/>
  <c r="I33" i="138" l="1"/>
  <c r="F32" i="133" l="1"/>
  <c r="F34" i="133" s="1"/>
  <c r="F32" i="167"/>
  <c r="F34" i="129" l="1"/>
  <c r="F32" i="143"/>
  <c r="F35" i="142"/>
  <c r="I32" i="134"/>
  <c r="H52" i="169"/>
  <c r="I32" i="169"/>
  <c r="B27" i="169"/>
  <c r="I23" i="169"/>
  <c r="H23" i="169"/>
  <c r="G23" i="169"/>
  <c r="F23" i="169"/>
  <c r="E23" i="169"/>
  <c r="E21" i="169"/>
  <c r="D21" i="169"/>
  <c r="C21" i="169"/>
  <c r="B21" i="169"/>
  <c r="B15" i="169"/>
  <c r="B16" i="169" s="1"/>
  <c r="B17" i="169" s="1"/>
  <c r="B18" i="169" s="1"/>
  <c r="G14" i="169"/>
  <c r="G15" i="169" s="1"/>
  <c r="G16" i="169" s="1"/>
  <c r="G17" i="169" s="1"/>
  <c r="H21" i="169" s="1"/>
  <c r="H3" i="169"/>
  <c r="H52" i="168"/>
  <c r="F34" i="168"/>
  <c r="B27" i="168"/>
  <c r="I23" i="168"/>
  <c r="H23" i="168"/>
  <c r="G23" i="168"/>
  <c r="F23" i="168"/>
  <c r="E23" i="168"/>
  <c r="E21" i="168"/>
  <c r="D21" i="168"/>
  <c r="C21" i="168"/>
  <c r="B21" i="168"/>
  <c r="B15" i="168"/>
  <c r="B16" i="168" s="1"/>
  <c r="B17" i="168" s="1"/>
  <c r="B18" i="168" s="1"/>
  <c r="G14" i="168"/>
  <c r="G15" i="168" s="1"/>
  <c r="G16" i="168" s="1"/>
  <c r="G17" i="168" s="1"/>
  <c r="H21" i="168" s="1"/>
  <c r="H3" i="168"/>
  <c r="H52" i="167"/>
  <c r="I3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3" i="167"/>
  <c r="H52" i="166"/>
  <c r="F32" i="166"/>
  <c r="I32" i="166" s="1"/>
  <c r="I34" i="166" s="1"/>
  <c r="I36" i="166" s="1"/>
  <c r="I38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3" i="166"/>
  <c r="H52" i="165"/>
  <c r="I32" i="165"/>
  <c r="I34" i="165" s="1"/>
  <c r="I36" i="165" s="1"/>
  <c r="I38" i="165" s="1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C3" i="133"/>
  <c r="F34" i="141"/>
  <c r="H3" i="164"/>
  <c r="H3" i="163"/>
  <c r="H3" i="143"/>
  <c r="H3" i="142"/>
  <c r="H3" i="141"/>
  <c r="H3" i="138"/>
  <c r="H3" i="137"/>
  <c r="H3" i="135"/>
  <c r="H3" i="134"/>
  <c r="H3" i="133"/>
  <c r="F32" i="164"/>
  <c r="F32" i="135"/>
  <c r="I34" i="169" l="1"/>
  <c r="I36" i="169" s="1"/>
  <c r="I38" i="169" s="1"/>
  <c r="F34" i="166"/>
  <c r="F34" i="167"/>
  <c r="I34" i="167"/>
  <c r="I36" i="167" s="1"/>
  <c r="I38" i="167" s="1"/>
  <c r="F34" i="165"/>
  <c r="I32" i="168"/>
  <c r="I34" i="168" s="1"/>
  <c r="I36" i="168" s="1"/>
  <c r="I38" i="168" s="1"/>
  <c r="I32" i="141"/>
  <c r="I34" i="141" s="1"/>
  <c r="F35" i="137"/>
  <c r="F34" i="135"/>
  <c r="I32" i="129" l="1"/>
  <c r="I32" i="137"/>
  <c r="F35" i="134"/>
  <c r="I32" i="133"/>
  <c r="H52" i="164" l="1"/>
  <c r="F34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3" i="163"/>
  <c r="F35" i="163"/>
  <c r="I3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B27" i="135"/>
  <c r="B27" i="134"/>
  <c r="I35" i="163" l="1"/>
  <c r="I37" i="163" s="1"/>
  <c r="I39" i="163" s="1"/>
  <c r="I32" i="164"/>
  <c r="I34" i="164" s="1"/>
  <c r="I36" i="164" s="1"/>
  <c r="I38" i="164" s="1"/>
  <c r="E21" i="129" l="1"/>
  <c r="H53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3" i="134"/>
  <c r="H52" i="135"/>
  <c r="H53" i="137"/>
  <c r="H51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5" i="142" s="1"/>
  <c r="I37" i="142" s="1"/>
  <c r="I39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5" i="137"/>
  <c r="I37" i="137" s="1"/>
  <c r="I39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8" l="1"/>
  <c r="I37" i="138" s="1"/>
  <c r="I35" i="134"/>
  <c r="I37" i="134" s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  <c r="C3" i="163" s="1"/>
  <c r="C3" i="164" l="1"/>
  <c r="C3" i="165" s="1"/>
  <c r="C3" i="166" s="1"/>
  <c r="C3" i="167" s="1"/>
  <c r="C3" i="168" s="1"/>
  <c r="C3" i="169" s="1"/>
</calcChain>
</file>

<file path=xl/sharedStrings.xml><?xml version="1.0" encoding="utf-8"?>
<sst xmlns="http://schemas.openxmlformats.org/spreadsheetml/2006/main" count="1446" uniqueCount="214">
  <si>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</si>
  <si>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</si>
  <si>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</si>
  <si>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</si>
  <si>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</si>
  <si>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</si>
  <si>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</si>
  <si>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</si>
  <si>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</si>
  <si>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</si>
  <si>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</si>
  <si>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</si>
  <si>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</si>
  <si>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</si>
  <si>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</si>
  <si>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</si>
  <si>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</si>
  <si>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</si>
  <si>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</si>
  <si>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</si>
  <si>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</si>
  <si>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</si>
  <si>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</si>
  <si>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</si>
  <si>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</si>
  <si>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</si>
  <si>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</si>
  <si>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</si>
  <si>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</si>
  <si>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</si>
  <si>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</si>
  <si>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</si>
  <si>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</si>
  <si>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</si>
  <si>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</si>
  <si>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</si>
  <si>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</si>
  <si>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</si>
  <si>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</si>
  <si>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</si>
  <si>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</si>
  <si>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</si>
  <si>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</si>
  <si>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</si>
  <si>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</si>
  <si>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</si>
  <si>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</si>
  <si>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</si>
  <si>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</si>
  <si>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</si>
  <si>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</si>
  <si>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</si>
  <si>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</si>
  <si>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</si>
  <si>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</si>
  <si>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</si>
  <si>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</si>
  <si>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</si>
  <si>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</si>
  <si>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</si>
  <si>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</si>
  <si>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</si>
  <si>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</si>
  <si>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</si>
  <si>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</si>
  <si>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</si>
  <si>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</si>
  <si>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</si>
  <si>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</si>
  <si>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</si>
  <si>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</si>
  <si>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</si>
  <si>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</si>
  <si>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</si>
  <si>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</si>
  <si>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</si>
  <si>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</si>
  <si>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</si>
  <si>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</si>
  <si>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</si>
  <si>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</si>
  <si>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</si>
  <si>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</si>
  <si>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</si>
  <si>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</si>
  <si>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</si>
  <si>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</si>
  <si>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</si>
  <si>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</si>
  <si>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</si>
  <si>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</si>
  <si>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</si>
  <si>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</si>
  <si>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</si>
  <si>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</si>
  <si>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</si>
  <si>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</si>
  <si>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</si>
  <si>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</si>
  <si>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</si>
  <si>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</si>
  <si>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</si>
  <si>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</si>
  <si>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</si>
  <si>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</si>
  <si>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</si>
  <si>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</si>
  <si>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</si>
  <si>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</si>
  <si>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</si>
  <si>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</si>
  <si>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</si>
  <si>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</si>
  <si>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</si>
  <si>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</si>
  <si>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</si>
  <si>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</si>
  <si>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</si>
  <si>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</si>
  <si>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</si>
  <si>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</si>
  <si>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</si>
  <si>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</si>
  <si>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</si>
  <si>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</si>
  <si>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</si>
  <si>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</si>
  <si>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</si>
  <si>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</si>
  <si>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</si>
  <si>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</si>
  <si>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</si>
  <si>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</si>
  <si>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</si>
  <si>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</si>
  <si>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</si>
  <si>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</si>
  <si>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</si>
  <si>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</si>
  <si>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</si>
  <si>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</si>
  <si>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</si>
  <si>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</si>
  <si>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</si>
  <si>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</si>
  <si>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</si>
  <si>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</si>
  <si>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</si>
  <si>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</si>
  <si>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</si>
  <si>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</si>
  <si>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</si>
  <si>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</si>
  <si>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</si>
  <si>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</si>
  <si>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</si>
  <si>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</si>
  <si>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</si>
  <si>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</si>
  <si>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</si>
  <si>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</si>
  <si>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</si>
  <si>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</si>
  <si>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</si>
  <si>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</si>
  <si>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</si>
  <si>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</si>
  <si>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</si>
  <si>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</si>
  <si>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</si>
  <si>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</si>
  <si>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</si>
  <si>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</si>
  <si>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</si>
  <si>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</si>
  <si>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</si>
  <si>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</si>
  <si>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</si>
  <si>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CALLA LILY 451</t>
  </si>
  <si>
    <t>ONLINE</t>
  </si>
  <si>
    <t>RETAIL</t>
  </si>
  <si>
    <t>01</t>
  </si>
  <si>
    <t>265K0059</t>
  </si>
  <si>
    <t>265K0051</t>
  </si>
  <si>
    <t>265K0052</t>
  </si>
  <si>
    <t>265K0057</t>
  </si>
  <si>
    <t>265K0058</t>
  </si>
  <si>
    <t>265K0056</t>
  </si>
  <si>
    <t>BRIGHT WHITE</t>
  </si>
  <si>
    <t>04</t>
  </si>
  <si>
    <t>RED TAPE</t>
  </si>
  <si>
    <t>BLUE TANGO</t>
  </si>
  <si>
    <t>07</t>
  </si>
  <si>
    <t>BLACK JACK, CALLA LILY 451, DARK GREEN, INK BLUE, MONET BLUE, RED TAPE, RON BURGUNDY</t>
  </si>
  <si>
    <t>04, 00, 06, 02, 03, 01, 05</t>
  </si>
  <si>
    <t>MONET BLUE</t>
  </si>
  <si>
    <t>05</t>
  </si>
  <si>
    <t>BOYS COTTON FIBERS, KNIT SHIRT, WITH NECK CLOSURE, STITCH COUNT EQUAL OR IS GREATER THAN 10/1CM, HEM BOTTOM [60% COTTON 40% POLYESTER]</t>
  </si>
  <si>
    <t>BLUE TANGO, RED TAPE</t>
  </si>
  <si>
    <t>07, 01</t>
  </si>
  <si>
    <t>BLACKJACK JAS, BLUSH HUE</t>
  </si>
  <si>
    <t>01, 02</t>
  </si>
  <si>
    <t>DARK FOREST GREEN, RON BURGUNDY</t>
  </si>
  <si>
    <t>10, 09</t>
  </si>
  <si>
    <t>MONET BLUE, INK BLUE</t>
  </si>
  <si>
    <t>02, 05</t>
  </si>
  <si>
    <t>FRANCHISE</t>
  </si>
  <si>
    <t>GIRLS COTTON FIBERS, KNIT PULLOVER, WITH NO NECK CLOSURE, STITCH COUNT IS GREATER THAN 9/2CM, REACHES WAIST [60% COTTON 40% RECYCLED POLYESTER]</t>
  </si>
  <si>
    <t>BLACK LEOPARD, PINK LEOPARD HEART</t>
  </si>
  <si>
    <t>00, 01</t>
  </si>
  <si>
    <t>GIRLS COTTON FIBERS, KNIT PULLOVER, WITH NO NECK CLOSURE, STITCH COUNT IS GREATER THAN 9/2CM, REACHES WAIST [100% COTTON]</t>
  </si>
  <si>
    <t>01, 00</t>
  </si>
  <si>
    <t>DUSKY LAVENDER, PRESSED FLOWER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</si>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</sst>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0C5909B-F016-4DE8-AE85-7AC459771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6688F-BC2D-48D6-9D9D-9DD719765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A08B9F40-FE0A-4508-B974-441FAA12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7BBF2-9A2F-4908-B3E2-29907A84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509D1C96-1BD2-4706-95F0-6B7F272E9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A44F2-D137-4AB0-A499-7E672390F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CD22CA3B-F326-45C5-AAFB-101E7979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68F4-CAEB-469F-8131-1393C74D0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318D38F5-E63E-440B-B72E-2DB8446B7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222A7-5509-40BE-B908-50CEC928B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7" sqref="I17"/>
    </sheetView>
  </sheetViews>
  <sheetFormatPr defaultRowHeight="12.75" x14ac:dyDescent="0.2"/>
  <sheetData>
    <row r="2" spans="2:9" ht="15" x14ac:dyDescent="0.25">
      <c r="B2" s="57">
        <v>1</v>
      </c>
      <c r="C2" t="s">
        <v>183</v>
      </c>
      <c r="E2" s="57">
        <v>1</v>
      </c>
      <c r="F2">
        <v>416363</v>
      </c>
      <c r="H2" s="57">
        <v>1</v>
      </c>
      <c r="I2" s="58" t="s">
        <v>179</v>
      </c>
    </row>
    <row r="3" spans="2:9" ht="15" x14ac:dyDescent="0.25">
      <c r="B3" s="57">
        <v>2</v>
      </c>
      <c r="C3" t="s">
        <v>183</v>
      </c>
      <c r="E3" s="57">
        <v>2</v>
      </c>
      <c r="F3">
        <v>416363</v>
      </c>
      <c r="H3" s="57">
        <v>2</v>
      </c>
      <c r="I3" s="58" t="s">
        <v>180</v>
      </c>
    </row>
    <row r="4" spans="2:9" ht="15" x14ac:dyDescent="0.25">
      <c r="B4" s="57">
        <v>3</v>
      </c>
      <c r="C4" t="s">
        <v>183</v>
      </c>
      <c r="E4" s="57">
        <v>3</v>
      </c>
      <c r="F4">
        <v>416363</v>
      </c>
      <c r="H4" s="57">
        <v>3</v>
      </c>
      <c r="I4" s="58" t="s">
        <v>180</v>
      </c>
    </row>
    <row r="5" spans="2:9" ht="15" x14ac:dyDescent="0.25">
      <c r="B5" s="57">
        <v>4</v>
      </c>
      <c r="C5" t="s">
        <v>183</v>
      </c>
      <c r="E5" s="57">
        <v>4</v>
      </c>
      <c r="F5">
        <v>416363</v>
      </c>
      <c r="H5" s="57">
        <v>4</v>
      </c>
      <c r="I5" s="58" t="s">
        <v>179</v>
      </c>
    </row>
    <row r="6" spans="2:9" ht="15" x14ac:dyDescent="0.25">
      <c r="B6" s="57">
        <v>5</v>
      </c>
      <c r="C6" t="s">
        <v>183</v>
      </c>
      <c r="E6" s="57">
        <v>5</v>
      </c>
      <c r="F6">
        <v>416363</v>
      </c>
      <c r="H6" s="57">
        <v>5</v>
      </c>
      <c r="I6" s="58" t="s">
        <v>179</v>
      </c>
    </row>
    <row r="7" spans="2:9" ht="15" x14ac:dyDescent="0.25">
      <c r="B7" s="57">
        <v>6</v>
      </c>
      <c r="C7" t="s">
        <v>184</v>
      </c>
      <c r="E7" s="57">
        <v>6</v>
      </c>
      <c r="F7">
        <v>767468</v>
      </c>
      <c r="H7" s="57">
        <v>6</v>
      </c>
      <c r="I7" s="58" t="s">
        <v>179</v>
      </c>
    </row>
    <row r="8" spans="2:9" ht="15" x14ac:dyDescent="0.25">
      <c r="B8" s="57">
        <v>7</v>
      </c>
      <c r="C8" t="s">
        <v>184</v>
      </c>
      <c r="E8" s="57">
        <v>7</v>
      </c>
      <c r="F8">
        <v>767468</v>
      </c>
      <c r="H8" s="57">
        <v>7</v>
      </c>
      <c r="I8" s="58" t="s">
        <v>179</v>
      </c>
    </row>
    <row r="9" spans="2:9" ht="15" x14ac:dyDescent="0.25">
      <c r="B9" s="57">
        <v>8</v>
      </c>
      <c r="C9" t="s">
        <v>185</v>
      </c>
      <c r="E9" s="57">
        <v>8</v>
      </c>
      <c r="F9">
        <v>867788</v>
      </c>
      <c r="H9" s="57">
        <v>8</v>
      </c>
      <c r="I9" s="58" t="s">
        <v>206</v>
      </c>
    </row>
    <row r="10" spans="2:9" ht="15" x14ac:dyDescent="0.25">
      <c r="B10" s="57">
        <v>9</v>
      </c>
      <c r="C10" t="s">
        <v>182</v>
      </c>
      <c r="E10" s="57">
        <v>9</v>
      </c>
      <c r="F10">
        <v>906033</v>
      </c>
      <c r="H10" s="57">
        <v>9</v>
      </c>
      <c r="I10" s="58" t="s">
        <v>180</v>
      </c>
    </row>
    <row r="11" spans="2:9" ht="15" x14ac:dyDescent="0.25">
      <c r="B11" s="57">
        <v>10</v>
      </c>
      <c r="C11" t="s">
        <v>185</v>
      </c>
      <c r="E11" s="57">
        <v>10</v>
      </c>
      <c r="F11">
        <v>867788</v>
      </c>
      <c r="H11" s="57">
        <v>10</v>
      </c>
      <c r="I11" s="58" t="s">
        <v>179</v>
      </c>
    </row>
    <row r="12" spans="2:9" ht="15" x14ac:dyDescent="0.25">
      <c r="B12" s="57">
        <v>11</v>
      </c>
      <c r="C12" t="s">
        <v>186</v>
      </c>
      <c r="E12" s="57">
        <v>11</v>
      </c>
      <c r="F12">
        <v>905994</v>
      </c>
      <c r="H12" s="57">
        <v>11</v>
      </c>
      <c r="I12" s="58" t="s">
        <v>179</v>
      </c>
    </row>
    <row r="13" spans="2:9" ht="15" x14ac:dyDescent="0.25">
      <c r="B13" s="57">
        <v>12</v>
      </c>
      <c r="C13" t="s">
        <v>182</v>
      </c>
      <c r="E13" s="57">
        <v>12</v>
      </c>
      <c r="F13">
        <v>906033</v>
      </c>
      <c r="H13" s="57">
        <v>12</v>
      </c>
      <c r="I13" s="58" t="s">
        <v>179</v>
      </c>
    </row>
    <row r="14" spans="2:9" ht="15" x14ac:dyDescent="0.25">
      <c r="B14" s="57">
        <v>13</v>
      </c>
      <c r="C14" t="s">
        <v>187</v>
      </c>
      <c r="E14" s="57">
        <v>13</v>
      </c>
      <c r="F14">
        <v>903770</v>
      </c>
      <c r="H14" s="57">
        <v>13</v>
      </c>
      <c r="I14" s="58" t="s">
        <v>180</v>
      </c>
    </row>
    <row r="15" spans="2:9" ht="15" x14ac:dyDescent="0.25">
      <c r="B15" s="57">
        <v>14</v>
      </c>
      <c r="C15" t="s">
        <v>182</v>
      </c>
      <c r="E15" s="57">
        <v>14</v>
      </c>
      <c r="F15">
        <v>906033</v>
      </c>
      <c r="H15" s="57">
        <v>14</v>
      </c>
      <c r="I15" s="58" t="s">
        <v>180</v>
      </c>
    </row>
    <row r="16" spans="2:9" ht="15" x14ac:dyDescent="0.25">
      <c r="B16" s="57">
        <v>15</v>
      </c>
      <c r="C16" t="s">
        <v>186</v>
      </c>
      <c r="E16" s="57">
        <v>15</v>
      </c>
      <c r="F16">
        <v>905994</v>
      </c>
      <c r="H16" s="57">
        <v>15</v>
      </c>
      <c r="I16" s="58" t="s">
        <v>179</v>
      </c>
    </row>
    <row r="17" spans="2:11" ht="15" x14ac:dyDescent="0.25">
      <c r="B17" s="57">
        <v>16</v>
      </c>
      <c r="C17" t="s">
        <v>182</v>
      </c>
      <c r="E17" s="57">
        <v>16</v>
      </c>
      <c r="F17">
        <v>906033</v>
      </c>
      <c r="H17" s="57">
        <v>16</v>
      </c>
      <c r="I17" s="58" t="s">
        <v>179</v>
      </c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topLeftCell="A25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61558827</v>
      </c>
      <c r="K2" s="67">
        <v>5972</v>
      </c>
      <c r="L2" s="68">
        <v>70</v>
      </c>
      <c r="M2" s="68">
        <v>753.529</v>
      </c>
      <c r="N2" s="68">
        <v>770.82500000000005</v>
      </c>
      <c r="O2" s="68">
        <v>836.82500000000005</v>
      </c>
      <c r="P2" s="68" t="s">
        <v>54</v>
      </c>
      <c r="Q2" s="68">
        <v>4.048</v>
      </c>
      <c r="R2" s="68" t="s">
        <v>62</v>
      </c>
    </row>
    <row r="3" spans="2:22" x14ac:dyDescent="0.2">
      <c r="B3" s="6" t="s">
        <v>53</v>
      </c>
      <c r="C3" s="65">
        <v>337</v>
      </c>
      <c r="D3" s="5"/>
      <c r="E3" s="5"/>
      <c r="F3" s="5"/>
      <c r="G3" s="5" t="s">
        <v>52</v>
      </c>
      <c r="H3" s="31"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61558827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836.82500000000005</v>
      </c>
      <c r="G23" s="23">
        <f>+N2</f>
        <v>770.82500000000005</v>
      </c>
      <c r="H23" s="23">
        <f>+M2</f>
        <v>753.529</v>
      </c>
      <c r="I23" s="48">
        <f>+L2</f>
        <v>70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30.75" customHeight="1" x14ac:dyDescent="0.2">
      <c r="B32" s="41" t="s">
        <v>203</v>
      </c>
      <c r="C32" s="19" t="s">
        <v>202</v>
      </c>
      <c r="D32" s="69"/>
      <c r="E32" s="70"/>
      <c r="F32" s="69">
        <f>+K2</f>
        <v>5972</v>
      </c>
      <c r="G32" s="70"/>
      <c r="H32" s="17">
        <v>0.9</v>
      </c>
      <c r="I32" s="18">
        <f>+H32*F32</f>
        <v>5374.8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 x14ac:dyDescent="0.2">
      <c r="B34" s="15" t="s">
        <v>14</v>
      </c>
      <c r="C34" s="15"/>
      <c r="D34" s="85"/>
      <c r="E34" s="86"/>
      <c r="F34" s="69">
        <f>SUM(F31:G33)</f>
        <v>5972</v>
      </c>
      <c r="G34" s="70"/>
      <c r="H34" s="15"/>
      <c r="I34" s="14">
        <f>SUM(I32:I33)</f>
        <v>5374.8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5374.8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5374.8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61473113</v>
      </c>
      <c r="K2" s="67">
        <v>4189</v>
      </c>
      <c r="L2" s="68">
        <v>41</v>
      </c>
      <c r="M2" s="68">
        <v>456.81200000000001</v>
      </c>
      <c r="N2" s="68">
        <v>465.19</v>
      </c>
      <c r="O2" s="68">
        <v>504.44</v>
      </c>
      <c r="P2" s="68" t="s">
        <v>54</v>
      </c>
      <c r="Q2" s="68">
        <v>2.4990000000000001</v>
      </c>
      <c r="R2" s="68" t="s">
        <v>62</v>
      </c>
    </row>
    <row r="3" spans="2:22" x14ac:dyDescent="0.2">
      <c r="B3" s="6" t="s">
        <v>53</v>
      </c>
      <c r="C3" s="65">
        <f>+'337'!C3+1</f>
        <v>338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61473113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504.44</v>
      </c>
      <c r="G23" s="23">
        <f>+N2</f>
        <v>465.19</v>
      </c>
      <c r="H23" s="23">
        <f>+M2</f>
        <v>456.81200000000001</v>
      </c>
      <c r="I23" s="48">
        <f>+L2</f>
        <v>41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27.75" customHeight="1" x14ac:dyDescent="0.2">
      <c r="B32" s="41" t="s">
        <v>181</v>
      </c>
      <c r="C32" s="19" t="s">
        <v>190</v>
      </c>
      <c r="D32" s="69"/>
      <c r="E32" s="70"/>
      <c r="F32" s="69">
        <f>+K2</f>
        <v>4189</v>
      </c>
      <c r="G32" s="70"/>
      <c r="H32" s="17">
        <v>0.9</v>
      </c>
      <c r="I32" s="18">
        <f>+H32*F32</f>
        <v>3770.1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 x14ac:dyDescent="0.2">
      <c r="B34" s="15" t="s">
        <v>14</v>
      </c>
      <c r="C34" s="15"/>
      <c r="D34" s="85"/>
      <c r="E34" s="86"/>
      <c r="F34" s="69">
        <f>SUM(F31:G33)</f>
        <v>4189</v>
      </c>
      <c r="G34" s="70"/>
      <c r="H34" s="15"/>
      <c r="I34" s="14">
        <f>SUM(I32:I33)</f>
        <v>3770.1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3770.1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3770.1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61473111</v>
      </c>
      <c r="K2" s="67">
        <v>8110</v>
      </c>
      <c r="L2" s="68">
        <v>92</v>
      </c>
      <c r="M2" s="68">
        <v>871.49</v>
      </c>
      <c r="N2" s="68">
        <v>887.71</v>
      </c>
      <c r="O2" s="68">
        <v>968.31</v>
      </c>
      <c r="P2" s="68" t="s">
        <v>54</v>
      </c>
      <c r="Q2" s="68">
        <v>4.7640000000000002</v>
      </c>
      <c r="R2" s="68" t="s">
        <v>62</v>
      </c>
    </row>
    <row r="3" spans="2:22" x14ac:dyDescent="0.2">
      <c r="B3" s="6" t="s">
        <v>53</v>
      </c>
      <c r="C3" s="65">
        <f>+'338'!C3+1</f>
        <v>339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61473111</v>
      </c>
      <c r="C21" s="53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968.31</v>
      </c>
      <c r="G23" s="23">
        <f>+N2</f>
        <v>887.71</v>
      </c>
      <c r="H23" s="23">
        <f>+M2</f>
        <v>871.49</v>
      </c>
      <c r="I23" s="54">
        <f>+L2</f>
        <v>92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0" t="s">
        <v>19</v>
      </c>
      <c r="E31" s="80"/>
      <c r="F31" s="80" t="s">
        <v>18</v>
      </c>
      <c r="G31" s="80"/>
      <c r="H31" s="54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69"/>
      <c r="E32" s="70"/>
      <c r="F32" s="69">
        <v>4373</v>
      </c>
      <c r="G32" s="70"/>
      <c r="H32" s="17">
        <v>0.9</v>
      </c>
      <c r="I32" s="18">
        <f>+H32*F32</f>
        <v>3935.7000000000003</v>
      </c>
      <c r="K32" s="46"/>
      <c r="M32" s="39"/>
    </row>
    <row r="33" spans="2:13" ht="27.75" customHeight="1" x14ac:dyDescent="0.2">
      <c r="B33" s="41" t="s">
        <v>205</v>
      </c>
      <c r="C33" s="19" t="s">
        <v>204</v>
      </c>
      <c r="D33" s="69"/>
      <c r="E33" s="70"/>
      <c r="F33" s="69">
        <v>3737</v>
      </c>
      <c r="G33" s="70"/>
      <c r="H33" s="17">
        <v>0.9</v>
      </c>
      <c r="I33" s="18">
        <f>+H33*F33</f>
        <v>3363.3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54"/>
    </row>
    <row r="35" spans="2:13" ht="21.75" customHeight="1" x14ac:dyDescent="0.2">
      <c r="B35" s="15" t="s">
        <v>14</v>
      </c>
      <c r="C35" s="15"/>
      <c r="D35" s="85"/>
      <c r="E35" s="86"/>
      <c r="F35" s="69">
        <f>SUM(F32:G34)</f>
        <v>8110</v>
      </c>
      <c r="G35" s="70"/>
      <c r="H35" s="15"/>
      <c r="I35" s="14">
        <f>SUM(I32:I34)</f>
        <v>7299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54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7299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7299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61475255</v>
      </c>
      <c r="K2" s="67">
        <v>1912</v>
      </c>
      <c r="L2" s="68">
        <v>26</v>
      </c>
      <c r="M2" s="68">
        <v>250.941</v>
      </c>
      <c r="N2" s="68">
        <v>254.76499999999999</v>
      </c>
      <c r="O2" s="68">
        <v>278.565</v>
      </c>
      <c r="P2" s="68" t="s">
        <v>54</v>
      </c>
      <c r="Q2" s="68">
        <v>1.387</v>
      </c>
      <c r="R2" s="68" t="s">
        <v>62</v>
      </c>
    </row>
    <row r="3" spans="2:22" x14ac:dyDescent="0.2">
      <c r="B3" s="6" t="s">
        <v>53</v>
      </c>
      <c r="C3" s="65">
        <f>+'339'!C3+1</f>
        <v>340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61475255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278.565</v>
      </c>
      <c r="G23" s="23">
        <f>+N2</f>
        <v>254.76499999999999</v>
      </c>
      <c r="H23" s="23">
        <f>+M2</f>
        <v>250.941</v>
      </c>
      <c r="I23" s="55">
        <f>+L2</f>
        <v>26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5.5" x14ac:dyDescent="0.2">
      <c r="B32" s="41" t="s">
        <v>199</v>
      </c>
      <c r="C32" s="19" t="s">
        <v>198</v>
      </c>
      <c r="D32" s="69"/>
      <c r="E32" s="70"/>
      <c r="F32" s="69">
        <f>+K2</f>
        <v>1912</v>
      </c>
      <c r="G32" s="70"/>
      <c r="H32" s="17">
        <v>0.9</v>
      </c>
      <c r="I32" s="18">
        <f>+H32*F32</f>
        <v>1720.8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1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1912</v>
      </c>
      <c r="G34" s="70"/>
      <c r="H34" s="15"/>
      <c r="I34" s="14">
        <f>SUM(I32:I32)</f>
        <v>1720.8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1720.8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1720.8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9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61464362</v>
      </c>
      <c r="K2" s="67">
        <v>5540</v>
      </c>
      <c r="L2" s="68">
        <v>64</v>
      </c>
      <c r="M2" s="68">
        <v>734.37</v>
      </c>
      <c r="N2" s="68">
        <v>745.45</v>
      </c>
      <c r="O2" s="68">
        <v>806.95</v>
      </c>
      <c r="P2" s="68" t="s">
        <v>54</v>
      </c>
      <c r="Q2" s="68">
        <v>3.8919999999999999</v>
      </c>
      <c r="R2" s="68" t="s">
        <v>62</v>
      </c>
    </row>
    <row r="3" spans="2:22" x14ac:dyDescent="0.2">
      <c r="B3" s="6" t="s">
        <v>53</v>
      </c>
      <c r="C3" s="65">
        <f>+'340'!C3+1</f>
        <v>341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61464362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806.95</v>
      </c>
      <c r="G23" s="23">
        <f>+N2</f>
        <v>745.45</v>
      </c>
      <c r="H23" s="23">
        <f>+M2</f>
        <v>734.37</v>
      </c>
      <c r="I23" s="55">
        <f>+L2</f>
        <v>64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189</v>
      </c>
      <c r="C32" s="19" t="s">
        <v>188</v>
      </c>
      <c r="D32" s="69"/>
      <c r="E32" s="70"/>
      <c r="F32" s="69">
        <v>3479</v>
      </c>
      <c r="G32" s="70"/>
      <c r="H32" s="17">
        <v>0.9</v>
      </c>
      <c r="I32" s="18">
        <f>+H32*F32</f>
        <v>3131.1</v>
      </c>
      <c r="K32" s="46"/>
      <c r="M32" s="39"/>
    </row>
    <row r="33" spans="2:13" ht="27.75" customHeight="1" x14ac:dyDescent="0.2">
      <c r="B33" s="41" t="s">
        <v>196</v>
      </c>
      <c r="C33" s="19" t="s">
        <v>195</v>
      </c>
      <c r="D33" s="69"/>
      <c r="E33" s="70"/>
      <c r="F33" s="69">
        <v>2061</v>
      </c>
      <c r="G33" s="70"/>
      <c r="H33" s="17">
        <v>0.9</v>
      </c>
      <c r="I33" s="18">
        <f>+H33*F33</f>
        <v>1854.9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55"/>
    </row>
    <row r="35" spans="2:13" ht="21.75" customHeight="1" x14ac:dyDescent="0.2">
      <c r="B35" s="15" t="s">
        <v>14</v>
      </c>
      <c r="C35" s="15"/>
      <c r="D35" s="85"/>
      <c r="E35" s="86"/>
      <c r="F35" s="69">
        <f>SUM(F32:G34)</f>
        <v>5540</v>
      </c>
      <c r="G35" s="70"/>
      <c r="H35" s="15"/>
      <c r="I35" s="14">
        <f>SUM(I32:I34)</f>
        <v>4986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4986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4986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5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  <c r="K57">
        <v>5</v>
      </c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4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61472469</v>
      </c>
      <c r="K2" s="67">
        <v>5565</v>
      </c>
      <c r="L2" s="68">
        <v>124</v>
      </c>
      <c r="M2" s="68">
        <v>769.2</v>
      </c>
      <c r="N2" s="68">
        <v>880.5</v>
      </c>
      <c r="O2" s="68">
        <v>983.3</v>
      </c>
      <c r="P2" s="68" t="s">
        <v>54</v>
      </c>
      <c r="Q2" s="68">
        <v>5.0209999999999999</v>
      </c>
      <c r="R2" s="68" t="s">
        <v>62</v>
      </c>
    </row>
    <row r="3" spans="2:22" x14ac:dyDescent="0.2">
      <c r="B3" s="6" t="s">
        <v>53</v>
      </c>
      <c r="C3" s="65">
        <f>+'341'!C3+1</f>
        <v>342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61472469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983.3</v>
      </c>
      <c r="G23" s="23">
        <f>+N2</f>
        <v>880.5</v>
      </c>
      <c r="H23" s="23">
        <f>+M2</f>
        <v>769.2</v>
      </c>
      <c r="I23" s="55">
        <f>+L2</f>
        <v>124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76.5" x14ac:dyDescent="0.2">
      <c r="B32" s="41" t="s">
        <v>194</v>
      </c>
      <c r="C32" s="19" t="s">
        <v>193</v>
      </c>
      <c r="D32" s="69"/>
      <c r="E32" s="70"/>
      <c r="F32" s="69">
        <f>+K2</f>
        <v>5565</v>
      </c>
      <c r="G32" s="70"/>
      <c r="H32" s="17">
        <v>1.05</v>
      </c>
      <c r="I32" s="18">
        <f>+H32*F32</f>
        <v>5843.25</v>
      </c>
      <c r="K32" s="46"/>
      <c r="M32" s="39"/>
    </row>
    <row r="33" spans="2:11" ht="21.75" customHeight="1" x14ac:dyDescent="0.2">
      <c r="B33" s="15" t="s">
        <v>14</v>
      </c>
      <c r="C33" s="15"/>
      <c r="D33" s="85"/>
      <c r="E33" s="86"/>
      <c r="F33" s="69">
        <f>SUM(F32:G32)</f>
        <v>5565</v>
      </c>
      <c r="G33" s="70"/>
      <c r="H33" s="15"/>
      <c r="I33" s="14">
        <f>SUM(I32:I32)</f>
        <v>5843.25</v>
      </c>
      <c r="J33" s="40"/>
      <c r="K33" s="40"/>
    </row>
    <row r="34" spans="2:11" ht="21.75" customHeight="1" x14ac:dyDescent="0.2">
      <c r="B34" s="16" t="s">
        <v>13</v>
      </c>
      <c r="C34" s="15"/>
      <c r="D34" s="74"/>
      <c r="E34" s="76"/>
      <c r="F34" s="74"/>
      <c r="G34" s="76"/>
      <c r="H34" s="15"/>
      <c r="I34" s="55"/>
      <c r="J34" s="40"/>
    </row>
    <row r="35" spans="2:11" ht="21.75" customHeight="1" x14ac:dyDescent="0.2">
      <c r="B35" s="16" t="s">
        <v>12</v>
      </c>
      <c r="C35" s="15"/>
      <c r="D35" s="74"/>
      <c r="E35" s="76"/>
      <c r="F35" s="74"/>
      <c r="G35" s="76"/>
      <c r="H35" s="15"/>
      <c r="I35" s="14">
        <f>+I33</f>
        <v>5843.25</v>
      </c>
    </row>
    <row r="36" spans="2:11" ht="20.25" customHeight="1" x14ac:dyDescent="0.2">
      <c r="B36" s="15" t="s">
        <v>80</v>
      </c>
      <c r="C36" s="74" t="s">
        <v>11</v>
      </c>
      <c r="D36" s="75"/>
      <c r="E36" s="75"/>
      <c r="F36" s="75"/>
      <c r="G36" s="75"/>
      <c r="H36" s="76"/>
      <c r="I36" s="45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5843.25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82" t="s">
        <v>7</v>
      </c>
      <c r="C45" s="82"/>
      <c r="D45" s="82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265K0052</v>
      </c>
      <c r="I51" s="8"/>
      <c r="K51">
        <v>6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83" t="s">
        <v>1</v>
      </c>
      <c r="D54" s="83"/>
      <c r="E54" s="5"/>
      <c r="F54" s="5"/>
      <c r="G54" s="5"/>
      <c r="H54" s="5"/>
      <c r="I54" s="4"/>
    </row>
    <row r="55" spans="2:11" x14ac:dyDescent="0.2">
      <c r="B55" s="6"/>
      <c r="C55" s="84" t="s">
        <v>0</v>
      </c>
      <c r="D55" s="84"/>
      <c r="E55" s="5"/>
      <c r="F55" s="5"/>
      <c r="G55" s="5"/>
      <c r="H55" s="5"/>
      <c r="I55" s="4"/>
      <c r="K55">
        <v>6</v>
      </c>
    </row>
    <row r="56" spans="2:11" x14ac:dyDescent="0.2">
      <c r="B56" s="2"/>
      <c r="C56" s="81"/>
      <c r="D56" s="81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3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61476480</v>
      </c>
      <c r="K2" s="68">
        <v>549</v>
      </c>
      <c r="L2" s="68">
        <v>12</v>
      </c>
      <c r="M2" s="68">
        <v>74.22</v>
      </c>
      <c r="N2" s="68">
        <v>85.2</v>
      </c>
      <c r="O2" s="68">
        <v>95.1</v>
      </c>
      <c r="P2" s="68" t="s">
        <v>54</v>
      </c>
      <c r="Q2" s="68">
        <v>0.48099999999999998</v>
      </c>
      <c r="R2" s="68" t="s">
        <v>62</v>
      </c>
    </row>
    <row r="3" spans="2:22" x14ac:dyDescent="0.2">
      <c r="B3" s="6" t="s">
        <v>53</v>
      </c>
      <c r="C3" s="65">
        <f>+'342'!C3+1</f>
        <v>343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61476480</v>
      </c>
      <c r="C21" s="56">
        <f>VLOOKUP($K55,reff!E2:F29,2,0)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95.1</v>
      </c>
      <c r="G23" s="23">
        <f>+N2</f>
        <v>85.2</v>
      </c>
      <c r="H23" s="23">
        <f>+M2</f>
        <v>74.22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192</v>
      </c>
      <c r="C32" s="19" t="s">
        <v>191</v>
      </c>
      <c r="D32" s="69"/>
      <c r="E32" s="70"/>
      <c r="F32" s="69">
        <f>+K2</f>
        <v>549</v>
      </c>
      <c r="G32" s="70"/>
      <c r="H32" s="17">
        <v>1.05</v>
      </c>
      <c r="I32" s="18">
        <f>+H32*F32</f>
        <v>576.45000000000005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2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549</v>
      </c>
      <c r="G34" s="70"/>
      <c r="H34" s="15"/>
      <c r="I34" s="14">
        <f>SUM(I32:I33)</f>
        <v>576.45000000000005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576.45000000000005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576.45000000000005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9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61642075</v>
      </c>
      <c r="K2" s="67">
        <v>1272</v>
      </c>
      <c r="L2" s="68">
        <v>33</v>
      </c>
      <c r="M2" s="68">
        <v>89.771000000000001</v>
      </c>
      <c r="N2" s="68">
        <v>92.433999999999997</v>
      </c>
      <c r="O2" s="68">
        <v>110.434</v>
      </c>
      <c r="P2" s="68" t="s">
        <v>54</v>
      </c>
      <c r="Q2" s="68">
        <v>0.70499999999999996</v>
      </c>
      <c r="R2" s="68" t="s">
        <v>62</v>
      </c>
    </row>
    <row r="3" spans="2:22" x14ac:dyDescent="0.2">
      <c r="B3" s="6" t="s">
        <v>53</v>
      </c>
      <c r="C3" s="65">
        <f>+'343'!C3+1</f>
        <v>344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113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8510 BOB BULLOCK LOOP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LAREDO,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78045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61642075</v>
      </c>
      <c r="C21" s="56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110.434</v>
      </c>
      <c r="G23" s="23">
        <f>+N2</f>
        <v>92.433999999999997</v>
      </c>
      <c r="H23" s="23">
        <f>+M2</f>
        <v>89.771000000000001</v>
      </c>
      <c r="I23" s="55">
        <f>+L2</f>
        <v>33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[60% COTTON 40% RECYCLED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27.75" customHeight="1" x14ac:dyDescent="0.2">
      <c r="B32" s="41" t="s">
        <v>201</v>
      </c>
      <c r="C32" s="19" t="s">
        <v>200</v>
      </c>
      <c r="D32" s="69"/>
      <c r="E32" s="70"/>
      <c r="F32" s="69">
        <v>836</v>
      </c>
      <c r="G32" s="70"/>
      <c r="H32" s="17">
        <v>0.71</v>
      </c>
      <c r="I32" s="18">
        <f>+H32*F32</f>
        <v>593.55999999999995</v>
      </c>
      <c r="K32" s="46"/>
      <c r="M32" s="39"/>
    </row>
    <row r="33" spans="2:13" ht="27.75" customHeight="1" x14ac:dyDescent="0.2">
      <c r="B33" s="41" t="s">
        <v>177</v>
      </c>
      <c r="C33" s="19" t="s">
        <v>178</v>
      </c>
      <c r="D33" s="69"/>
      <c r="E33" s="70"/>
      <c r="F33" s="69">
        <v>436</v>
      </c>
      <c r="G33" s="70"/>
      <c r="H33" s="17">
        <v>0.71</v>
      </c>
      <c r="I33" s="18">
        <f>+H33*F33</f>
        <v>309.56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55"/>
    </row>
    <row r="35" spans="2:13" ht="21.75" customHeight="1" x14ac:dyDescent="0.2">
      <c r="B35" s="15" t="s">
        <v>14</v>
      </c>
      <c r="C35" s="15"/>
      <c r="D35" s="85"/>
      <c r="E35" s="86"/>
      <c r="F35" s="69">
        <f>SUM(F32:G34)</f>
        <v>1272</v>
      </c>
      <c r="G35" s="70"/>
      <c r="H35" s="15"/>
      <c r="I35" s="14">
        <f>SUM(I32:I34)</f>
        <v>903.11999999999989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903.11999999999989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903.11999999999989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8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  <c r="K56">
        <v>8</v>
      </c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61613706</v>
      </c>
      <c r="K2" s="67">
        <v>10737</v>
      </c>
      <c r="L2" s="68">
        <v>99</v>
      </c>
      <c r="M2" s="68">
        <v>867.99599999999998</v>
      </c>
      <c r="N2" s="68">
        <v>889.47</v>
      </c>
      <c r="O2" s="68">
        <v>982.62</v>
      </c>
      <c r="P2" s="68" t="s">
        <v>54</v>
      </c>
      <c r="Q2" s="68">
        <v>5.7869999999999999</v>
      </c>
      <c r="R2" s="68" t="s">
        <v>62</v>
      </c>
    </row>
    <row r="3" spans="2:22" x14ac:dyDescent="0.2">
      <c r="B3" s="6" t="s">
        <v>53</v>
      </c>
      <c r="C3" s="65">
        <f>+'344'!C3+1</f>
        <v>345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61613706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982.62</v>
      </c>
      <c r="G23" s="23">
        <f>+N2</f>
        <v>889.47</v>
      </c>
      <c r="H23" s="23">
        <f>+M2</f>
        <v>867.99599999999998</v>
      </c>
      <c r="I23" s="55">
        <f>+L2</f>
        <v>99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38.25" x14ac:dyDescent="0.2">
      <c r="B32" s="41" t="s">
        <v>209</v>
      </c>
      <c r="C32" s="19" t="s">
        <v>208</v>
      </c>
      <c r="D32" s="69"/>
      <c r="E32" s="70"/>
      <c r="F32" s="69">
        <f>+K2</f>
        <v>10737</v>
      </c>
      <c r="G32" s="70"/>
      <c r="H32" s="17">
        <v>0.84</v>
      </c>
      <c r="I32" s="18">
        <f>+H32*F32</f>
        <v>9019.08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10737</v>
      </c>
      <c r="G34" s="70"/>
      <c r="H34" s="15"/>
      <c r="I34" s="14">
        <f>SUM(I32:I33)</f>
        <v>9019.08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9019.08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9019.08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V59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61657290</v>
      </c>
      <c r="K2" s="67">
        <v>11751</v>
      </c>
      <c r="L2" s="68">
        <v>89</v>
      </c>
      <c r="M2" s="68">
        <v>834.298</v>
      </c>
      <c r="N2" s="68">
        <v>857.8</v>
      </c>
      <c r="O2" s="68">
        <v>939.5</v>
      </c>
      <c r="P2" s="68" t="s">
        <v>54</v>
      </c>
      <c r="Q2" s="68">
        <v>4.8310000000000004</v>
      </c>
      <c r="R2" s="68" t="s">
        <v>62</v>
      </c>
    </row>
    <row r="3" spans="2:22" x14ac:dyDescent="0.2">
      <c r="B3" s="6" t="s">
        <v>53</v>
      </c>
      <c r="C3" s="65">
        <f>'345'!C3+1</f>
        <v>346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207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61657290</v>
      </c>
      <c r="C21" s="59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939.5</v>
      </c>
      <c r="G23" s="23">
        <f>+N2</f>
        <v>857.8</v>
      </c>
      <c r="H23" s="23">
        <f>+M2</f>
        <v>834.298</v>
      </c>
      <c r="I23" s="60">
        <f>+L2</f>
        <v>89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[60% COTTON 40% RECYCLED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0" t="s">
        <v>19</v>
      </c>
      <c r="E31" s="80"/>
      <c r="F31" s="80" t="s">
        <v>18</v>
      </c>
      <c r="G31" s="80"/>
      <c r="H31" s="60" t="s">
        <v>17</v>
      </c>
      <c r="I31" s="19" t="s">
        <v>16</v>
      </c>
      <c r="M31"/>
    </row>
    <row r="32" spans="2:13" ht="39" customHeight="1" x14ac:dyDescent="0.2">
      <c r="B32" s="41" t="s">
        <v>201</v>
      </c>
      <c r="C32" s="19" t="s">
        <v>200</v>
      </c>
      <c r="D32" s="69"/>
      <c r="E32" s="70"/>
      <c r="F32" s="69">
        <v>9097</v>
      </c>
      <c r="G32" s="70"/>
      <c r="H32" s="17">
        <v>0.71</v>
      </c>
      <c r="I32" s="18">
        <f>+H32*F32</f>
        <v>6458.87</v>
      </c>
      <c r="K32" s="46"/>
      <c r="M32" s="39"/>
    </row>
    <row r="33" spans="2:13" ht="39" customHeight="1" x14ac:dyDescent="0.2">
      <c r="B33" s="41" t="s">
        <v>177</v>
      </c>
      <c r="C33" s="19" t="s">
        <v>178</v>
      </c>
      <c r="D33" s="69"/>
      <c r="E33" s="70"/>
      <c r="F33" s="69">
        <v>2654</v>
      </c>
      <c r="G33" s="70"/>
      <c r="H33" s="17">
        <v>0.71</v>
      </c>
      <c r="I33" s="18">
        <f>+H33*F33</f>
        <v>1884.34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60"/>
    </row>
    <row r="35" spans="2:13" ht="21.75" customHeight="1" x14ac:dyDescent="0.2">
      <c r="B35" s="15" t="s">
        <v>14</v>
      </c>
      <c r="C35" s="15"/>
      <c r="D35" s="85"/>
      <c r="E35" s="86"/>
      <c r="F35" s="69">
        <f>SUM(F32:G34)</f>
        <v>11751</v>
      </c>
      <c r="G35" s="70"/>
      <c r="H35" s="15"/>
      <c r="I35" s="14">
        <f>SUM(I32:I34)</f>
        <v>8343.2099999999991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60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8343.2099999999991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8343.2099999999991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10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  <c r="K57">
        <v>10</v>
      </c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B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B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view="pageBreakPreview" topLeftCell="A25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61647085</v>
      </c>
      <c r="K2" s="67">
        <v>1989</v>
      </c>
      <c r="L2" s="68">
        <v>20</v>
      </c>
      <c r="M2" s="68">
        <v>146.18700000000001</v>
      </c>
      <c r="N2" s="68">
        <v>150.16499999999999</v>
      </c>
      <c r="O2" s="68">
        <v>166.76499999999999</v>
      </c>
      <c r="P2" s="68" t="s">
        <v>54</v>
      </c>
      <c r="Q2" s="68">
        <v>0.81599999999999995</v>
      </c>
      <c r="R2" s="68" t="s">
        <v>62</v>
      </c>
    </row>
    <row r="3" spans="2:22" x14ac:dyDescent="0.2">
      <c r="B3" s="6" t="s">
        <v>53</v>
      </c>
      <c r="C3" s="65">
        <f>'346'!C3+1</f>
        <v>347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61647085</v>
      </c>
      <c r="C21" s="5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7" t="str">
        <f>IF(LEFT(G17,2)="CA","CA",IF(LEFT(G17,2)="UN","US",IF(LEFT(G17,2)="PA","PA",IF(LEFT(G17,2)="JA","JP"))))</f>
        <v>US</v>
      </c>
      <c r="I21" s="60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166.76499999999999</v>
      </c>
      <c r="G23" s="23">
        <f>+N2</f>
        <v>150.16499999999999</v>
      </c>
      <c r="H23" s="23">
        <f>+M2</f>
        <v>146.18700000000001</v>
      </c>
      <c r="I23" s="60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0" t="s">
        <v>19</v>
      </c>
      <c r="E31" s="80"/>
      <c r="F31" s="80" t="s">
        <v>18</v>
      </c>
      <c r="G31" s="80"/>
      <c r="H31" s="60" t="s">
        <v>17</v>
      </c>
      <c r="I31" s="19" t="s">
        <v>16</v>
      </c>
      <c r="M31"/>
    </row>
    <row r="32" spans="2:13" ht="39" customHeight="1" x14ac:dyDescent="0.2">
      <c r="B32" s="41" t="s">
        <v>211</v>
      </c>
      <c r="C32" s="19" t="s">
        <v>208</v>
      </c>
      <c r="D32" s="69"/>
      <c r="E32" s="70"/>
      <c r="F32" s="69">
        <f>+K2</f>
        <v>1989</v>
      </c>
      <c r="G32" s="70"/>
      <c r="H32" s="17">
        <v>0.81</v>
      </c>
      <c r="I32" s="18">
        <f>+H32*F32</f>
        <v>1611.0900000000001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0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1989</v>
      </c>
      <c r="G34" s="70"/>
      <c r="H34" s="15"/>
      <c r="I34" s="14">
        <f>SUM(I32:I33)</f>
        <v>1611.0900000000001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0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1611.0900000000001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1611.0900000000001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622-0C14-4DE1-B095-6F38E9934A5C}">
  <sheetPr>
    <pageSetUpPr fitToPage="1"/>
  </sheetPr>
  <dimension ref="B1:V58"/>
  <sheetViews>
    <sheetView view="pageBreakPreview" topLeftCell="A26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61647072</v>
      </c>
      <c r="K2" s="67">
        <v>2884</v>
      </c>
      <c r="L2" s="68">
        <v>31</v>
      </c>
      <c r="M2" s="68">
        <v>241.482</v>
      </c>
      <c r="N2" s="68">
        <v>247.25</v>
      </c>
      <c r="O2" s="68">
        <v>274.85000000000002</v>
      </c>
      <c r="P2" s="68" t="s">
        <v>54</v>
      </c>
      <c r="Q2" s="68">
        <v>1.532</v>
      </c>
      <c r="R2" s="68" t="s">
        <v>62</v>
      </c>
    </row>
    <row r="3" spans="2:22" x14ac:dyDescent="0.2">
      <c r="B3" s="6" t="s">
        <v>53</v>
      </c>
      <c r="C3" s="65">
        <f>+'347'!C3+1</f>
        <v>348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61647072</v>
      </c>
      <c r="C21" s="6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274.85000000000002</v>
      </c>
      <c r="G23" s="23">
        <f>+N2</f>
        <v>247.25</v>
      </c>
      <c r="H23" s="23">
        <f>+M2</f>
        <v>241.482</v>
      </c>
      <c r="I23" s="64">
        <f>+L2</f>
        <v>31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0" t="s">
        <v>19</v>
      </c>
      <c r="E31" s="80"/>
      <c r="F31" s="80" t="s">
        <v>18</v>
      </c>
      <c r="G31" s="80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69"/>
      <c r="E32" s="70"/>
      <c r="F32" s="69">
        <f>+K2</f>
        <v>2884</v>
      </c>
      <c r="G32" s="70"/>
      <c r="H32" s="17">
        <v>0.84</v>
      </c>
      <c r="I32" s="18">
        <f>+H32*F32</f>
        <v>2422.56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2884</v>
      </c>
      <c r="G34" s="70"/>
      <c r="H34" s="15"/>
      <c r="I34" s="14">
        <f>SUM(I32:I33)</f>
        <v>2422.56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2422.56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2422.56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AFC6512-9B06-421B-AFF0-7835EC1108E8}">
          <x14:formula1>
            <xm:f>Sheet1!$K$5:$K$12</xm:f>
          </x14:formula1>
          <xm:sqref>B14</xm:sqref>
        </x14:dataValidation>
        <x14:dataValidation type="list" allowBlank="1" showInputMessage="1" showErrorMessage="1" xr:uid="{845F5CD3-75AC-4BC8-B90C-B97FA977A87C}">
          <x14:formula1>
            <xm:f>Sheet1!$B$17:$B$18</xm:f>
          </x14:formula1>
          <xm:sqref>G5</xm:sqref>
        </x14:dataValidation>
        <x14:dataValidation type="list" allowBlank="1" showInputMessage="1" showErrorMessage="1" xr:uid="{63B3F182-BA30-4E9F-9DFC-60A60C700FEF}">
          <x14:formula1>
            <xm:f>Sheet1!$L$5:$L$25</xm:f>
          </x14:formula1>
          <xm:sqref>G13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0DA6-9D0E-4919-8EA7-82A26E7A99A8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61420130</v>
      </c>
      <c r="K2" s="67">
        <v>4587</v>
      </c>
      <c r="L2" s="68">
        <v>40</v>
      </c>
      <c r="M2" s="68">
        <v>325.39100000000002</v>
      </c>
      <c r="N2" s="68">
        <v>334.565</v>
      </c>
      <c r="O2" s="68">
        <v>367.815</v>
      </c>
      <c r="P2" s="68" t="s">
        <v>54</v>
      </c>
      <c r="Q2" s="68">
        <v>1.929</v>
      </c>
      <c r="R2" s="68" t="s">
        <v>62</v>
      </c>
    </row>
    <row r="3" spans="2:22" x14ac:dyDescent="0.2">
      <c r="B3" s="6" t="s">
        <v>53</v>
      </c>
      <c r="C3" s="65">
        <f>+'348'!C3+1</f>
        <v>349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61420130</v>
      </c>
      <c r="C21" s="63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367.815</v>
      </c>
      <c r="G23" s="23">
        <f>+N2</f>
        <v>334.565</v>
      </c>
      <c r="H23" s="23">
        <f>+M2</f>
        <v>325.39100000000002</v>
      </c>
      <c r="I23" s="64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0" t="s">
        <v>19</v>
      </c>
      <c r="E31" s="80"/>
      <c r="F31" s="80" t="s">
        <v>18</v>
      </c>
      <c r="G31" s="80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212</v>
      </c>
      <c r="D32" s="69"/>
      <c r="E32" s="70"/>
      <c r="F32" s="69">
        <f>+K2</f>
        <v>4587</v>
      </c>
      <c r="G32" s="70"/>
      <c r="H32" s="17">
        <v>0.81</v>
      </c>
      <c r="I32" s="18">
        <f>+H32*F32</f>
        <v>3715.4700000000003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4587</v>
      </c>
      <c r="G34" s="70"/>
      <c r="H34" s="15"/>
      <c r="I34" s="14">
        <f>SUM(I32:I33)</f>
        <v>3715.4700000000003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3715.4700000000003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3715.4700000000003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B3B75E7-ACBA-46AA-8C70-8C98EBADC7EA}">
          <x14:formula1>
            <xm:f>Sheet1!$L$5:$L$25</xm:f>
          </x14:formula1>
          <xm:sqref>G13</xm:sqref>
        </x14:dataValidation>
        <x14:dataValidation type="list" allowBlank="1" showInputMessage="1" showErrorMessage="1" xr:uid="{AC79E212-3EA6-4BDB-8C91-8ADAB50900C8}">
          <x14:formula1>
            <xm:f>Sheet1!$B$17:$B$18</xm:f>
          </x14:formula1>
          <xm:sqref>G5</xm:sqref>
        </x14:dataValidation>
        <x14:dataValidation type="list" allowBlank="1" showInputMessage="1" showErrorMessage="1" xr:uid="{5A53E507-43A5-41F1-8FD3-C00E11684353}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EDF-D78C-4BD5-A59A-4CB6E8E43A86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61613708</v>
      </c>
      <c r="K2" s="67">
        <v>10742</v>
      </c>
      <c r="L2" s="68">
        <v>98</v>
      </c>
      <c r="M2" s="68">
        <v>869.54600000000005</v>
      </c>
      <c r="N2" s="68">
        <v>891.03</v>
      </c>
      <c r="O2" s="68">
        <v>982.73</v>
      </c>
      <c r="P2" s="68" t="s">
        <v>54</v>
      </c>
      <c r="Q2" s="68">
        <v>5.77</v>
      </c>
      <c r="R2" s="68" t="s">
        <v>62</v>
      </c>
    </row>
    <row r="3" spans="2:22" x14ac:dyDescent="0.2">
      <c r="B3" s="6" t="s">
        <v>53</v>
      </c>
      <c r="C3" s="65">
        <f>+'349'!C3+1</f>
        <v>350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61613708</v>
      </c>
      <c r="C21" s="6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982.73</v>
      </c>
      <c r="G23" s="23">
        <f>+N2</f>
        <v>891.03</v>
      </c>
      <c r="H23" s="23">
        <f>+M2</f>
        <v>869.54600000000005</v>
      </c>
      <c r="I23" s="64">
        <f>+L2</f>
        <v>98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0" t="s">
        <v>19</v>
      </c>
      <c r="E31" s="80"/>
      <c r="F31" s="80" t="s">
        <v>18</v>
      </c>
      <c r="G31" s="80"/>
      <c r="H31" s="64" t="s">
        <v>17</v>
      </c>
      <c r="I31" s="19" t="s">
        <v>16</v>
      </c>
      <c r="M31"/>
    </row>
    <row r="32" spans="2:13" ht="39" customHeight="1" x14ac:dyDescent="0.2">
      <c r="B32" s="41" t="s">
        <v>209</v>
      </c>
      <c r="C32" s="19" t="s">
        <v>208</v>
      </c>
      <c r="D32" s="69"/>
      <c r="E32" s="70"/>
      <c r="F32" s="69">
        <f>+K2</f>
        <v>10742</v>
      </c>
      <c r="G32" s="70"/>
      <c r="H32" s="17">
        <v>0.84</v>
      </c>
      <c r="I32" s="18">
        <f>+H32*F32</f>
        <v>9023.2799999999988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10742</v>
      </c>
      <c r="G34" s="70"/>
      <c r="H34" s="15"/>
      <c r="I34" s="14">
        <f>SUM(I32:I33)</f>
        <v>9023.2799999999988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9023.2799999999988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9023.2799999999988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7385FA0-00A2-4BF3-B1F4-76598AD3B19E}">
          <x14:formula1>
            <xm:f>Sheet1!$K$5:$K$12</xm:f>
          </x14:formula1>
          <xm:sqref>B14</xm:sqref>
        </x14:dataValidation>
        <x14:dataValidation type="list" allowBlank="1" showInputMessage="1" showErrorMessage="1" xr:uid="{B9DEF07A-1FF0-49EB-8209-A913FE833878}">
          <x14:formula1>
            <xm:f>Sheet1!$B$17:$B$18</xm:f>
          </x14:formula1>
          <xm:sqref>G5</xm:sqref>
        </x14:dataValidation>
        <x14:dataValidation type="list" allowBlank="1" showInputMessage="1" showErrorMessage="1" xr:uid="{DBE23F1E-C6D8-4134-8DE8-B0E944B506E4}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D0C0-839C-43AA-A48C-27453BFD2E53}">
  <sheetPr>
    <pageSetUpPr fitToPage="1"/>
  </sheetPr>
  <dimension ref="B1:V58"/>
  <sheetViews>
    <sheetView view="pageBreakPreview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61647082</v>
      </c>
      <c r="K2" s="67">
        <v>2502</v>
      </c>
      <c r="L2" s="68">
        <v>24</v>
      </c>
      <c r="M2" s="68">
        <v>183.86600000000001</v>
      </c>
      <c r="N2" s="68">
        <v>188.87</v>
      </c>
      <c r="O2" s="68">
        <v>209.17</v>
      </c>
      <c r="P2" s="68" t="s">
        <v>54</v>
      </c>
      <c r="Q2" s="68">
        <v>1.04</v>
      </c>
      <c r="R2" s="68" t="s">
        <v>62</v>
      </c>
    </row>
    <row r="3" spans="2:22" x14ac:dyDescent="0.2">
      <c r="B3" s="6" t="s">
        <v>53</v>
      </c>
      <c r="C3" s="65">
        <f>'350'!C3+1</f>
        <v>351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61647082</v>
      </c>
      <c r="C21" s="63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209.17</v>
      </c>
      <c r="G23" s="23">
        <f>+N2</f>
        <v>188.87</v>
      </c>
      <c r="H23" s="23">
        <f>+M2</f>
        <v>183.86600000000001</v>
      </c>
      <c r="I23" s="64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0" t="s">
        <v>19</v>
      </c>
      <c r="E31" s="80"/>
      <c r="F31" s="80" t="s">
        <v>18</v>
      </c>
      <c r="G31" s="80"/>
      <c r="H31" s="64" t="s">
        <v>17</v>
      </c>
      <c r="I31" s="19" t="s">
        <v>16</v>
      </c>
      <c r="M31"/>
    </row>
    <row r="32" spans="2:13" ht="39" customHeight="1" x14ac:dyDescent="0.2">
      <c r="B32" s="41" t="s">
        <v>211</v>
      </c>
      <c r="C32" s="19" t="s">
        <v>208</v>
      </c>
      <c r="D32" s="69"/>
      <c r="E32" s="70"/>
      <c r="F32" s="69">
        <f>+K2</f>
        <v>2502</v>
      </c>
      <c r="G32" s="70"/>
      <c r="H32" s="17">
        <v>0.81</v>
      </c>
      <c r="I32" s="18">
        <f>+H32*F32</f>
        <v>2026.6200000000001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2502</v>
      </c>
      <c r="G34" s="70"/>
      <c r="H34" s="15"/>
      <c r="I34" s="14">
        <f>SUM(I32:I33)</f>
        <v>2026.6200000000001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2026.6200000000001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2026.6200000000001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C14458-43FE-4821-871D-20F1CA0ADC79}">
          <x14:formula1>
            <xm:f>Sheet1!$L$5:$L$25</xm:f>
          </x14:formula1>
          <xm:sqref>G13</xm:sqref>
        </x14:dataValidation>
        <x14:dataValidation type="list" allowBlank="1" showInputMessage="1" showErrorMessage="1" xr:uid="{1C0341E8-5D8F-4E00-B1A2-D65DA0616BAB}">
          <x14:formula1>
            <xm:f>Sheet1!$B$17:$B$18</xm:f>
          </x14:formula1>
          <xm:sqref>G5</xm:sqref>
        </x14:dataValidation>
        <x14:dataValidation type="list" allowBlank="1" showInputMessage="1" showErrorMessage="1" xr:uid="{C14BC80E-9E41-47E5-AB23-76C4DA9ABC11}">
          <x14:formula1>
            <xm:f>Sheet1!$K$5:$K$12</xm:f>
          </x14:formula1>
          <xm:sqref>B14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6B2E-8706-42C0-8489-AEEFB43EAF9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213</v>
      </c>
      <c r="C2" s="72"/>
      <c r="D2" s="72"/>
      <c r="E2" s="72"/>
      <c r="F2" s="72"/>
      <c r="G2" s="72"/>
      <c r="H2" s="72"/>
      <c r="I2" s="73"/>
      <c r="J2" s="66">
        <v>61647069</v>
      </c>
      <c r="K2" s="67">
        <v>3637</v>
      </c>
      <c r="L2" s="68">
        <v>37</v>
      </c>
      <c r="M2" s="68">
        <v>304.57100000000003</v>
      </c>
      <c r="N2" s="68">
        <v>311.84500000000003</v>
      </c>
      <c r="O2" s="68">
        <v>345.54500000000002</v>
      </c>
      <c r="P2" s="68" t="s">
        <v>54</v>
      </c>
      <c r="Q2" s="68">
        <v>1.946</v>
      </c>
      <c r="R2" s="68" t="s">
        <v>62</v>
      </c>
    </row>
    <row r="3" spans="2:22" x14ac:dyDescent="0.2">
      <c r="B3" s="6" t="s">
        <v>53</v>
      </c>
      <c r="C3" s="65">
        <f>'351'!C3+1</f>
        <v>352</v>
      </c>
      <c r="D3" s="5"/>
      <c r="E3" s="5"/>
      <c r="F3" s="5"/>
      <c r="G3" s="5" t="s">
        <v>52</v>
      </c>
      <c r="H3" s="31">
        <f>+'337'!H3+0</f>
        <v>46163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210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4">
        <f>J2</f>
        <v>61647069</v>
      </c>
      <c r="C21" s="63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4" t="s">
        <v>35</v>
      </c>
      <c r="G21" s="64"/>
      <c r="H21" s="47" t="str">
        <f>IF(LEFT(G17,2)="CA","CA",IF(LEFT(G17,2)="UN","US",IF(LEFT(G17,2)="PA","PA",IF(LEFT(G17,2)="JA","JP"))))</f>
        <v>US</v>
      </c>
      <c r="I21" s="64" t="s">
        <v>34</v>
      </c>
      <c r="K21" s="20">
        <v>16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4" t="s">
        <v>25</v>
      </c>
      <c r="C23" s="64"/>
      <c r="D23" s="64" t="s">
        <v>24</v>
      </c>
      <c r="E23" s="64" t="str">
        <f>+D23</f>
        <v>JAKARTA,ID</v>
      </c>
      <c r="F23" s="23">
        <f>+O2</f>
        <v>345.54500000000002</v>
      </c>
      <c r="G23" s="23">
        <f>+N2</f>
        <v>311.84500000000003</v>
      </c>
      <c r="H23" s="23">
        <f>+M2</f>
        <v>304.57100000000003</v>
      </c>
      <c r="I23" s="64">
        <f>+L2</f>
        <v>37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4" t="s">
        <v>21</v>
      </c>
      <c r="C31" s="64" t="s">
        <v>20</v>
      </c>
      <c r="D31" s="80" t="s">
        <v>19</v>
      </c>
      <c r="E31" s="80"/>
      <c r="F31" s="80" t="s">
        <v>18</v>
      </c>
      <c r="G31" s="80"/>
      <c r="H31" s="64" t="s">
        <v>17</v>
      </c>
      <c r="I31" s="19" t="s">
        <v>16</v>
      </c>
      <c r="M31"/>
    </row>
    <row r="32" spans="2:13" ht="39" customHeight="1" x14ac:dyDescent="0.2">
      <c r="B32" s="41" t="s">
        <v>211</v>
      </c>
      <c r="C32" s="19" t="s">
        <v>208</v>
      </c>
      <c r="D32" s="69"/>
      <c r="E32" s="70"/>
      <c r="F32" s="69">
        <f>+K2</f>
        <v>3637</v>
      </c>
      <c r="G32" s="70"/>
      <c r="H32" s="17">
        <v>0.84</v>
      </c>
      <c r="I32" s="18">
        <f>+H32*F32</f>
        <v>3055.08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4"/>
    </row>
    <row r="34" spans="2:11" ht="21.75" customHeight="1" x14ac:dyDescent="0.2">
      <c r="B34" s="15" t="s">
        <v>14</v>
      </c>
      <c r="C34" s="15"/>
      <c r="D34" s="85"/>
      <c r="E34" s="86"/>
      <c r="F34" s="69">
        <f>SUM(F32:G33)</f>
        <v>3637</v>
      </c>
      <c r="G34" s="70"/>
      <c r="H34" s="15"/>
      <c r="I34" s="14">
        <f>SUM(I32:I33)</f>
        <v>3055.08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3055.08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3055.08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16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16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BFF53B-25F1-4A47-B074-04D7C1F6B135}">
          <x14:formula1>
            <xm:f>Sheet1!$K$5:$K$12</xm:f>
          </x14:formula1>
          <xm:sqref>B14</xm:sqref>
        </x14:dataValidation>
        <x14:dataValidation type="list" allowBlank="1" showInputMessage="1" showErrorMessage="1" xr:uid="{C0457828-C7EA-43AF-A56E-15EDA2A7A2E8}">
          <x14:formula1>
            <xm:f>Sheet1!$B$17:$B$18</xm:f>
          </x14:formula1>
          <xm:sqref>G5</xm:sqref>
        </x14:dataValidation>
        <x14:dataValidation type="list" allowBlank="1" showInputMessage="1" showErrorMessage="1" xr:uid="{60F58A6D-9B01-4421-A21B-3CE2D342C83A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Sheet1</vt:lpstr>
      <vt:lpstr>reff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'337'!Print_Area</vt:lpstr>
      <vt:lpstr>'338'!Print_Area</vt:lpstr>
      <vt:lpstr>'339'!Print_Area</vt:lpstr>
      <vt:lpstr>'340'!Print_Area</vt:lpstr>
      <vt:lpstr>'341'!Print_Area</vt:lpstr>
      <vt:lpstr>'342'!Print_Area</vt:lpstr>
      <vt:lpstr>'343'!Print_Area</vt:lpstr>
      <vt:lpstr>'344'!Print_Area</vt:lpstr>
      <vt:lpstr>'345'!Print_Area</vt:lpstr>
      <vt:lpstr>'346'!Print_Area</vt:lpstr>
      <vt:lpstr>'347'!Print_Area</vt:lpstr>
      <vt:lpstr>'348'!Print_Area</vt:lpstr>
      <vt:lpstr>'349'!Print_Area</vt:lpstr>
      <vt:lpstr>'350'!Print_Area</vt:lpstr>
      <vt:lpstr>'351'!Print_Area</vt:lpstr>
      <vt:lpstr>'352'!Print_Area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2026-05-21T01:12:06Z</cp:lastPrinted>
  <dcterms:created xsi:type="dcterms:W3CDTF">2024-04-17T09:56:05Z</dcterms:created>
  <dcterms:modified xsi:type="dcterms:W3CDTF">2026-05-21T01:12:09Z</dcterms:modified>
</cp:coreProperties>
</file>