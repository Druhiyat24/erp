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7.06.2026\"/>
    </mc:Choice>
  </mc:AlternateContent>
  <xr:revisionPtr revIDLastSave="0" documentId="13_ncr:1_{2A494624-0AAA-440B-B0A2-7323DA7A482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232" sheetId="129" r:id="rId3"/>
    <sheet name="233" sheetId="133" r:id="rId4"/>
    <sheet name="234" sheetId="134" r:id="rId5"/>
    <sheet name="235" sheetId="135" r:id="rId6"/>
    <sheet name="236" sheetId="137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'232'!$B$1:$I$57</definedName>
    <definedName name="_xlnm.Print_Area" localSheetId="3">'233'!$B$1:$I$57</definedName>
    <definedName name="_xlnm.Print_Area" localSheetId="4">'234'!$B$1:$I$57</definedName>
    <definedName name="_xlnm.Print_Area" localSheetId="5">'235'!$B$1:$I$57</definedName>
    <definedName name="_xlnm.Print_Area" localSheetId="6">'236'!$B$1:$I$57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5" l="1"/>
  <c r="F34" i="135" s="1"/>
  <c r="F32" i="133"/>
  <c r="F32" i="129"/>
  <c r="F32" i="134" l="1"/>
  <c r="F34" i="133" l="1"/>
  <c r="F34" i="129" l="1"/>
  <c r="I32" i="134"/>
  <c r="C3" i="133"/>
  <c r="F32" i="137"/>
  <c r="H3" i="137"/>
  <c r="H3" i="135"/>
  <c r="H3" i="134"/>
  <c r="H3" i="133"/>
  <c r="F34" i="137" l="1"/>
  <c r="I32" i="129" l="1"/>
  <c r="I34" i="129" s="1"/>
  <c r="I32" i="137"/>
  <c r="F34" i="134"/>
  <c r="I32" i="133"/>
  <c r="B27" i="135" l="1"/>
  <c r="B27" i="134"/>
  <c r="E21" i="129" l="1"/>
  <c r="E21" i="133" l="1"/>
  <c r="E21" i="135"/>
  <c r="E21" i="137"/>
  <c r="E21" i="134"/>
  <c r="C21" i="129"/>
  <c r="C21" i="134"/>
  <c r="C21" i="135"/>
  <c r="C21" i="137"/>
  <c r="C21" i="133"/>
  <c r="H52" i="129"/>
  <c r="H52" i="134"/>
  <c r="H52" i="135"/>
  <c r="H52" i="137"/>
  <c r="H52" i="133"/>
  <c r="I34" i="137" l="1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<sst xmlns="http://schemas.openxmlformats.org/spreadsheetml/2006/main" count="559" uniqueCount="190">
  <si>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</si>
  <si>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</si>
  <si>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</si>
  <si>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</si>
  <si>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</si>
  <si>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</si>
  <si>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</si>
  <si>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</si>
  <si>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</si>
  <si>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</si>
  <si>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</si>
  <si>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</si>
  <si>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</si>
  <si>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</si>
  <si>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</si>
  <si>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</si>
  <si>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</si>
  <si>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</si>
  <si>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</si>
  <si>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</si>
  <si>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</si>
  <si>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</si>
  <si>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</si>
  <si>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</si>
  <si>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</si>
  <si>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</si>
  <si>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</si>
  <si>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</si>
  <si>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</si>
  <si>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</si>
  <si>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</si>
  <si>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</si>
  <si>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</si>
  <si>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</si>
  <si>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</si>
  <si>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</si>
  <si>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</si>
  <si>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</si>
  <si>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</si>
  <si>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</si>
  <si>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</si>
  <si>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</si>
  <si>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</si>
  <si>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</si>
  <si>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</si>
  <si>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</si>
  <si>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</si>
  <si>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</si>
  <si>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</si>
  <si>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</si>
  <si>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</si>
  <si>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</si>
  <si>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</si>
  <si>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</si>
  <si>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</si>
  <si>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</si>
  <si>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</si>
  <si>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</si>
  <si>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</si>
  <si>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</si>
  <si>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</si>
  <si>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</si>
  <si>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</si>
  <si>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</si>
  <si>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</si>
  <si>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</si>
  <si>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</si>
  <si>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</si>
  <si>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</si>
  <si>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</si>
  <si>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</si>
  <si>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</si>
  <si>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</si>
  <si>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</si>
  <si>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</si>
  <si>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</si>
  <si>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</si>
  <si>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</si>
  <si>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</si>
  <si>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</si>
  <si>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</si>
  <si>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</si>
  <si>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</si>
  <si>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</si>
  <si>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</si>
  <si>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</si>
  <si>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</si>
  <si>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</si>
  <si>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</si>
  <si>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</si>
  <si>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</si>
  <si>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</si>
  <si>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</si>
  <si>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</si>
  <si>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</si>
  <si>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</si>
  <si>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</si>
  <si>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</si>
  <si>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</si>
  <si>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</si>
  <si>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</si>
  <si>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</si>
  <si>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</si>
  <si>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</si>
  <si>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</si>
  <si>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</si>
  <si>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</si>
  <si>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</si>
  <si>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</si>
  <si>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</si>
  <si>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</si>
  <si>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</si>
  <si>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</si>
  <si>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</si>
  <si>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</si>
  <si>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</si>
  <si>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</si>
  <si>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</si>
  <si>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</si>
  <si>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</si>
  <si>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</si>
  <si>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</si>
  <si>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</si>
  <si>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</si>
  <si>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</si>
  <si>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</si>
  <si>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</si>
  <si>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</si>
  <si>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</si>
  <si>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</si>
  <si>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</si>
  <si>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</si>
  <si>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</si>
  <si>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</si>
  <si>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</si>
  <si>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</si>
  <si>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</si>
  <si>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</si>
  <si>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</si>
  <si>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</si>
  <si>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</si>
  <si>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</si>
  <si>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</si>
  <si>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</si>
  <si>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</si>
  <si>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</si>
  <si>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</si>
  <si>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</si>
  <si>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</si>
  <si>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</si>
  <si>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</si>
  <si>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</si>
  <si>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</si>
  <si>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</si>
  <si>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</si>
  <si>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</si>
  <si>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</si>
  <si>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</si>
  <si>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</si>
  <si>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</si>
  <si>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</si>
  <si>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</si>
  <si>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</si>
  <si>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</si>
  <si>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</si>
  <si>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</si>
  <si>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</si>
  <si>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</si>
  <si>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</si>
  <si>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</si>
  <si>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</si>
  <si>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</si>
  <si>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</si>
  <si>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</si>
  <si>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</si>
  <si>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</si>
  <si>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</si>
  <si>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</si>
  <si>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</si>
  <si>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 xml:space="preserve"> 265K0075 </t>
  </si>
  <si>
    <t>SHOOTING STAR</t>
  </si>
  <si>
    <t>21</t>
  </si>
  <si>
    <t>IN THE NAVY</t>
  </si>
  <si>
    <t>WOMENS COTTON FIBERS, KNIT PULLOVER, WITH NO NECK CLOSURE, STITCH COUNT IS GREATER THAN 9/2CM, REACHES WAIST, SLEEVELESS [95% COTTON 5% SPANDEX]</t>
  </si>
  <si>
    <t>BLUSH ON YOU</t>
  </si>
  <si>
    <t>22</t>
  </si>
  <si>
    <t>16</t>
  </si>
  <si>
    <t>BLACK COFFEE, BLACK JACK 3</t>
  </si>
  <si>
    <t>13, 15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</si>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</sst>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quotePrefix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18" sqref="G18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692926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179</v>
      </c>
      <c r="E3" s="57">
        <v>2</v>
      </c>
      <c r="F3">
        <v>692926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179</v>
      </c>
      <c r="E4" s="57">
        <v>3</v>
      </c>
      <c r="F4">
        <v>692926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179</v>
      </c>
      <c r="E5" s="57">
        <v>4</v>
      </c>
      <c r="F5">
        <v>692926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179</v>
      </c>
      <c r="E6" s="57">
        <v>5</v>
      </c>
      <c r="F6">
        <v>692926</v>
      </c>
      <c r="H6" s="57">
        <v>5</v>
      </c>
      <c r="I6" s="58" t="s">
        <v>177</v>
      </c>
    </row>
    <row r="7" spans="2:9" ht="15" x14ac:dyDescent="0.25">
      <c r="B7" s="57">
        <v>6</v>
      </c>
      <c r="E7" s="57">
        <v>6</v>
      </c>
      <c r="H7" s="57">
        <v>6</v>
      </c>
      <c r="I7" s="58"/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189</v>
      </c>
      <c r="C2" s="68"/>
      <c r="D2" s="68"/>
      <c r="E2" s="68"/>
      <c r="F2" s="68"/>
      <c r="G2" s="68"/>
      <c r="H2" s="68"/>
      <c r="I2" s="69"/>
      <c r="J2" s="60">
        <v>61746134</v>
      </c>
      <c r="K2" s="61">
        <v>2634</v>
      </c>
      <c r="L2" s="62">
        <v>55</v>
      </c>
      <c r="M2" s="62">
        <v>277.24</v>
      </c>
      <c r="N2" s="62">
        <v>369.43</v>
      </c>
      <c r="O2" s="62">
        <v>422.23</v>
      </c>
      <c r="P2" s="62" t="s">
        <v>54</v>
      </c>
      <c r="Q2" s="62">
        <v>3.3210000000000002</v>
      </c>
      <c r="R2" s="62" t="s">
        <v>62</v>
      </c>
    </row>
    <row r="3" spans="2:22" x14ac:dyDescent="0.2">
      <c r="B3" s="6" t="s">
        <v>53</v>
      </c>
      <c r="C3" s="63">
        <v>232</v>
      </c>
      <c r="D3" s="5"/>
      <c r="E3" s="5"/>
      <c r="F3" s="5"/>
      <c r="G3" s="5" t="s">
        <v>52</v>
      </c>
      <c r="H3" s="31">
        <v>46190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422.23</v>
      </c>
      <c r="G23" s="23">
        <f>+N2</f>
        <v>369.43</v>
      </c>
      <c r="H23" s="23">
        <f>+M2</f>
        <v>277.24</v>
      </c>
      <c r="I23" s="48">
        <f>+L2</f>
        <v>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30.75" customHeight="1" x14ac:dyDescent="0.2">
      <c r="B32" s="41" t="s">
        <v>186</v>
      </c>
      <c r="C32" s="19" t="s">
        <v>182</v>
      </c>
      <c r="D32" s="65"/>
      <c r="E32" s="66"/>
      <c r="F32" s="65">
        <f>+K2</f>
        <v>2634</v>
      </c>
      <c r="G32" s="66"/>
      <c r="H32" s="17">
        <v>0.76</v>
      </c>
      <c r="I32" s="18">
        <f>+H32*F32</f>
        <v>2001.84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48"/>
    </row>
    <row r="34" spans="2:11" ht="21.75" customHeight="1" x14ac:dyDescent="0.2">
      <c r="B34" s="15" t="s">
        <v>14</v>
      </c>
      <c r="C34" s="15"/>
      <c r="D34" s="81"/>
      <c r="E34" s="82"/>
      <c r="F34" s="65">
        <f>SUM(F31:G33)</f>
        <v>2634</v>
      </c>
      <c r="G34" s="66"/>
      <c r="H34" s="15"/>
      <c r="I34" s="14">
        <f>SUM(I32:I33)</f>
        <v>2001.84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2001.84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2001.84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189</v>
      </c>
      <c r="C2" s="68"/>
      <c r="D2" s="68"/>
      <c r="E2" s="68"/>
      <c r="F2" s="68"/>
      <c r="G2" s="68"/>
      <c r="H2" s="68"/>
      <c r="I2" s="69"/>
      <c r="J2" s="60">
        <v>61746133</v>
      </c>
      <c r="K2" s="61">
        <v>3313</v>
      </c>
      <c r="L2" s="62">
        <v>62</v>
      </c>
      <c r="M2" s="62">
        <v>346.25</v>
      </c>
      <c r="N2" s="62">
        <v>462.20499999999998</v>
      </c>
      <c r="O2" s="62">
        <v>523.60500000000002</v>
      </c>
      <c r="P2" s="62" t="s">
        <v>54</v>
      </c>
      <c r="Q2" s="62">
        <v>4.0590000000000002</v>
      </c>
      <c r="R2" s="62" t="s">
        <v>62</v>
      </c>
    </row>
    <row r="3" spans="2:22" x14ac:dyDescent="0.2">
      <c r="B3" s="6" t="s">
        <v>53</v>
      </c>
      <c r="C3" s="63">
        <f>+'232'!C3+1</f>
        <v>233</v>
      </c>
      <c r="D3" s="5"/>
      <c r="E3" s="5"/>
      <c r="F3" s="5"/>
      <c r="G3" s="5" t="s">
        <v>52</v>
      </c>
      <c r="H3" s="31">
        <f>+'232'!H3+0</f>
        <v>46190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61746133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523.60500000000002</v>
      </c>
      <c r="G23" s="23">
        <f>+N2</f>
        <v>462.20499999999998</v>
      </c>
      <c r="H23" s="23">
        <f>+M2</f>
        <v>346.25</v>
      </c>
      <c r="I23" s="48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184</v>
      </c>
      <c r="D32" s="65"/>
      <c r="E32" s="66"/>
      <c r="F32" s="65">
        <f>+K2</f>
        <v>3313</v>
      </c>
      <c r="G32" s="66"/>
      <c r="H32" s="17">
        <v>0.76</v>
      </c>
      <c r="I32" s="18">
        <f>+H32*F32</f>
        <v>2517.88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48"/>
    </row>
    <row r="34" spans="2:11" ht="21.75" customHeight="1" x14ac:dyDescent="0.2">
      <c r="B34" s="15" t="s">
        <v>14</v>
      </c>
      <c r="C34" s="15"/>
      <c r="D34" s="81"/>
      <c r="E34" s="82"/>
      <c r="F34" s="65">
        <f>SUM(F31:G33)</f>
        <v>3313</v>
      </c>
      <c r="G34" s="66"/>
      <c r="H34" s="15"/>
      <c r="I34" s="14">
        <f>SUM(I32:I33)</f>
        <v>2517.88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2517.88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2517.88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189</v>
      </c>
      <c r="C2" s="68"/>
      <c r="D2" s="68"/>
      <c r="E2" s="68"/>
      <c r="F2" s="68"/>
      <c r="G2" s="68"/>
      <c r="H2" s="68"/>
      <c r="I2" s="69"/>
      <c r="J2" s="60">
        <v>61779307</v>
      </c>
      <c r="K2" s="61">
        <v>2104</v>
      </c>
      <c r="L2" s="62">
        <v>37</v>
      </c>
      <c r="M2" s="62">
        <v>225.75</v>
      </c>
      <c r="N2" s="62">
        <v>246.79</v>
      </c>
      <c r="O2" s="62">
        <v>276.79000000000002</v>
      </c>
      <c r="P2" s="62" t="s">
        <v>54</v>
      </c>
      <c r="Q2" s="62">
        <v>1.409</v>
      </c>
      <c r="R2" s="62" t="s">
        <v>62</v>
      </c>
    </row>
    <row r="3" spans="2:22" x14ac:dyDescent="0.2">
      <c r="B3" s="6" t="s">
        <v>53</v>
      </c>
      <c r="C3" s="63">
        <f>+'233'!C3+1</f>
        <v>234</v>
      </c>
      <c r="D3" s="5"/>
      <c r="E3" s="5"/>
      <c r="F3" s="5"/>
      <c r="G3" s="5" t="s">
        <v>52</v>
      </c>
      <c r="H3" s="31">
        <f>+'232'!H3+0</f>
        <v>46190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61779307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276.79000000000002</v>
      </c>
      <c r="G23" s="23">
        <f>+N2</f>
        <v>246.79</v>
      </c>
      <c r="H23" s="23">
        <f>+M2</f>
        <v>225.75</v>
      </c>
      <c r="I23" s="54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6" t="s">
        <v>19</v>
      </c>
      <c r="E31" s="76"/>
      <c r="F31" s="76" t="s">
        <v>18</v>
      </c>
      <c r="G31" s="76"/>
      <c r="H31" s="54" t="s">
        <v>17</v>
      </c>
      <c r="I31" s="19" t="s">
        <v>16</v>
      </c>
      <c r="M31"/>
    </row>
    <row r="32" spans="2:13" ht="27.75" customHeight="1" x14ac:dyDescent="0.2">
      <c r="B32" s="41" t="s">
        <v>188</v>
      </c>
      <c r="C32" s="19" t="s">
        <v>187</v>
      </c>
      <c r="D32" s="65"/>
      <c r="E32" s="66"/>
      <c r="F32" s="65">
        <f>+K2</f>
        <v>2104</v>
      </c>
      <c r="G32" s="66"/>
      <c r="H32" s="17">
        <v>0.76</v>
      </c>
      <c r="I32" s="18">
        <f>+H32*F32</f>
        <v>1599.04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4"/>
    </row>
    <row r="34" spans="2:11" ht="21.75" customHeight="1" x14ac:dyDescent="0.2">
      <c r="B34" s="15" t="s">
        <v>14</v>
      </c>
      <c r="C34" s="15"/>
      <c r="D34" s="81"/>
      <c r="E34" s="82"/>
      <c r="F34" s="65">
        <f>SUM(F32:G33)</f>
        <v>2104</v>
      </c>
      <c r="G34" s="66"/>
      <c r="H34" s="15"/>
      <c r="I34" s="14">
        <f>SUM(I32:I33)</f>
        <v>1599.04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1599.04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1599.04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189</v>
      </c>
      <c r="C2" s="68"/>
      <c r="D2" s="68"/>
      <c r="E2" s="68"/>
      <c r="F2" s="68"/>
      <c r="G2" s="68"/>
      <c r="H2" s="68"/>
      <c r="I2" s="69"/>
      <c r="J2" s="60">
        <v>62023523</v>
      </c>
      <c r="K2" s="62">
        <v>719</v>
      </c>
      <c r="L2" s="62">
        <v>14</v>
      </c>
      <c r="M2" s="62">
        <v>77.260000000000005</v>
      </c>
      <c r="N2" s="62">
        <v>84.45</v>
      </c>
      <c r="O2" s="62">
        <v>95.45</v>
      </c>
      <c r="P2" s="62" t="s">
        <v>54</v>
      </c>
      <c r="Q2" s="62">
        <v>0.48099999999999998</v>
      </c>
      <c r="R2" s="62" t="s">
        <v>62</v>
      </c>
    </row>
    <row r="3" spans="2:22" x14ac:dyDescent="0.2">
      <c r="B3" s="6" t="s">
        <v>53</v>
      </c>
      <c r="C3" s="63">
        <f>+'234'!C3+1</f>
        <v>235</v>
      </c>
      <c r="D3" s="5"/>
      <c r="E3" s="5"/>
      <c r="F3" s="5"/>
      <c r="G3" s="5" t="s">
        <v>52</v>
      </c>
      <c r="H3" s="31">
        <f>+'232'!H3+0</f>
        <v>46190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62023523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95.45</v>
      </c>
      <c r="G23" s="23">
        <f>+N2</f>
        <v>84.45</v>
      </c>
      <c r="H23" s="23">
        <f>+M2</f>
        <v>77.260000000000005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6" t="s">
        <v>19</v>
      </c>
      <c r="E31" s="76"/>
      <c r="F31" s="76" t="s">
        <v>18</v>
      </c>
      <c r="G31" s="76"/>
      <c r="H31" s="55" t="s">
        <v>17</v>
      </c>
      <c r="I31" s="19" t="s">
        <v>16</v>
      </c>
      <c r="M31"/>
    </row>
    <row r="32" spans="2:13" ht="33" customHeight="1" x14ac:dyDescent="0.2">
      <c r="B32" s="41" t="s">
        <v>185</v>
      </c>
      <c r="C32" s="19" t="s">
        <v>184</v>
      </c>
      <c r="D32" s="65"/>
      <c r="E32" s="66"/>
      <c r="F32" s="65">
        <f>+K2</f>
        <v>719</v>
      </c>
      <c r="G32" s="66"/>
      <c r="H32" s="17">
        <v>0.76</v>
      </c>
      <c r="I32" s="18">
        <f>+H32*F32</f>
        <v>546.44000000000005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9"/>
    </row>
    <row r="34" spans="2:11" ht="21.75" customHeight="1" x14ac:dyDescent="0.2">
      <c r="B34" s="15" t="s">
        <v>14</v>
      </c>
      <c r="C34" s="15"/>
      <c r="D34" s="81"/>
      <c r="E34" s="82"/>
      <c r="F34" s="65">
        <f>SUM(F32:G33)</f>
        <v>719</v>
      </c>
      <c r="G34" s="66"/>
      <c r="H34" s="15"/>
      <c r="I34" s="14">
        <f>SUM(I32:I32)</f>
        <v>546.44000000000005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546.44000000000005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546.44000000000005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zoomScaleNormal="100" zoomScaleSheetLayoutView="100" workbookViewId="0">
      <selection activeCell="E6" sqref="E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189</v>
      </c>
      <c r="C2" s="68"/>
      <c r="D2" s="68"/>
      <c r="E2" s="68"/>
      <c r="F2" s="68"/>
      <c r="G2" s="68"/>
      <c r="H2" s="68"/>
      <c r="I2" s="69"/>
      <c r="J2" s="60">
        <v>62023527</v>
      </c>
      <c r="K2" s="62">
        <v>720</v>
      </c>
      <c r="L2" s="62">
        <v>15</v>
      </c>
      <c r="M2" s="62">
        <v>77.44</v>
      </c>
      <c r="N2" s="62">
        <v>84.64</v>
      </c>
      <c r="O2" s="62">
        <v>96.34</v>
      </c>
      <c r="P2" s="62" t="s">
        <v>54</v>
      </c>
      <c r="Q2" s="62">
        <v>0.503</v>
      </c>
      <c r="R2" s="62" t="s">
        <v>62</v>
      </c>
    </row>
    <row r="3" spans="2:22" x14ac:dyDescent="0.2">
      <c r="B3" s="6" t="s">
        <v>53</v>
      </c>
      <c r="C3" s="63">
        <f>+'235'!C3+1</f>
        <v>236</v>
      </c>
      <c r="D3" s="5"/>
      <c r="E3" s="5"/>
      <c r="F3" s="5"/>
      <c r="G3" s="5" t="s">
        <v>52</v>
      </c>
      <c r="H3" s="31">
        <f>+'232'!H3+0</f>
        <v>46190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62023527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96.34</v>
      </c>
      <c r="G23" s="23">
        <f>+N2</f>
        <v>84.64</v>
      </c>
      <c r="H23" s="23">
        <f>+M2</f>
        <v>77.44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6" t="s">
        <v>19</v>
      </c>
      <c r="E31" s="76"/>
      <c r="F31" s="76" t="s">
        <v>18</v>
      </c>
      <c r="G31" s="76"/>
      <c r="H31" s="55" t="s">
        <v>17</v>
      </c>
      <c r="I31" s="19" t="s">
        <v>16</v>
      </c>
      <c r="M31"/>
    </row>
    <row r="32" spans="2:13" ht="39" customHeight="1" x14ac:dyDescent="0.2">
      <c r="B32" s="64" t="s">
        <v>181</v>
      </c>
      <c r="C32" s="19" t="s">
        <v>180</v>
      </c>
      <c r="D32" s="65"/>
      <c r="E32" s="66"/>
      <c r="F32" s="65">
        <f>+K2</f>
        <v>720</v>
      </c>
      <c r="G32" s="66"/>
      <c r="H32" s="17">
        <v>0.76</v>
      </c>
      <c r="I32" s="18">
        <f>+H32*F32</f>
        <v>547.20000000000005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5"/>
    </row>
    <row r="34" spans="2:11" ht="21.75" customHeight="1" x14ac:dyDescent="0.2">
      <c r="B34" s="15" t="s">
        <v>14</v>
      </c>
      <c r="C34" s="15"/>
      <c r="D34" s="81"/>
      <c r="E34" s="82"/>
      <c r="F34" s="65">
        <f>SUM(F32:G33)</f>
        <v>720</v>
      </c>
      <c r="G34" s="66"/>
      <c r="H34" s="15"/>
      <c r="I34" s="14">
        <f>SUM(I32:I33)</f>
        <v>547.20000000000005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547.20000000000005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547.20000000000005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232</vt:lpstr>
      <vt:lpstr>233</vt:lpstr>
      <vt:lpstr>234</vt:lpstr>
      <vt:lpstr>235</vt:lpstr>
      <vt:lpstr>236</vt:lpstr>
      <vt:lpstr>'232'!Print_Area</vt:lpstr>
      <vt:lpstr>'233'!Print_Area</vt:lpstr>
      <vt:lpstr>'234'!Print_Area</vt:lpstr>
      <vt:lpstr>'235'!Print_Area</vt:lpstr>
      <vt:lpstr>'236'!Print_Area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2026-06-17T01:58:11Z</cp:lastPrinted>
  <dcterms:created xsi:type="dcterms:W3CDTF">2024-04-17T09:56:05Z</dcterms:created>
  <dcterms:modified xsi:type="dcterms:W3CDTF">2026-06-17T01:58:13Z</dcterms:modified>
</cp:coreProperties>
</file>