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28.04.2026\MOBIL 1\"/>
    </mc:Choice>
  </mc:AlternateContent>
  <xr:revisionPtr revIDLastSave="0" documentId="13_ncr:1_{F1F84F85-B463-458F-BC1B-D80584A0E645}" xr6:coauthVersionLast="47" xr6:coauthVersionMax="47" xr10:uidLastSave="{00000000-0000-0000-0000-000000000000}"/>
  <bookViews>
    <workbookView xWindow="-120" yWindow="-120" windowWidth="20730" windowHeight="11160" firstSheet="2" activeTab="9" xr2:uid="{00000000-000D-0000-FFFF-FFFF00000000}"/>
  </bookViews>
  <sheets>
    <sheet name="Sheet1" sheetId="128" r:id="rId1"/>
    <sheet name="reff" sheetId="162" r:id="rId2"/>
    <sheet name="571" sheetId="135" r:id="rId3"/>
    <sheet name="572" sheetId="137" r:id="rId4"/>
    <sheet name="573" sheetId="138" r:id="rId5"/>
    <sheet name="574" sheetId="141" r:id="rId6"/>
    <sheet name="575" sheetId="142" r:id="rId7"/>
    <sheet name="576" sheetId="143" r:id="rId8"/>
    <sheet name="577" sheetId="163" r:id="rId9"/>
    <sheet name="578" sheetId="164" r:id="rId10"/>
    <sheet name="579" sheetId="165" r:id="rId11"/>
    <sheet name="580" sheetId="166" r:id="rId12"/>
    <sheet name="581" sheetId="167" r:id="rId13"/>
    <sheet name="582" sheetId="168" r:id="rId14"/>
    <sheet name="583" sheetId="169" r:id="rId15"/>
    <sheet name="584" sheetId="172" r:id="rId16"/>
  </sheets>
  <externalReferences>
    <externalReference r:id="rId17"/>
    <externalReference r:id="rId18"/>
    <externalReference r:id="rId19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>[2]xdata!#REF!</definedName>
    <definedName name="INVOICE">[2]xdata!$B$2</definedName>
    <definedName name="_xlnm.Print_Area" localSheetId="2">'571'!$B$1:$I$58</definedName>
    <definedName name="_xlnm.Print_Area" localSheetId="3">'572'!$B$1:$I$57</definedName>
    <definedName name="_xlnm.Print_Area" localSheetId="4">'573'!$B$1:$I$57</definedName>
    <definedName name="_xlnm.Print_Area" localSheetId="5">'574'!$B$1:$I$57</definedName>
    <definedName name="_xlnm.Print_Area" localSheetId="6">'575'!$B$1:$I$57</definedName>
    <definedName name="_xlnm.Print_Area" localSheetId="7">'576'!$B$1:$I$57</definedName>
    <definedName name="_xlnm.Print_Area" localSheetId="8">'577'!$B$1:$I$57</definedName>
    <definedName name="_xlnm.Print_Area" localSheetId="9">'578'!$B$1:$I$58</definedName>
    <definedName name="_xlnm.Print_Area" localSheetId="10">'579'!$B$1:$I$57</definedName>
    <definedName name="_xlnm.Print_Area" localSheetId="11">'580'!$B$1:$I$57</definedName>
    <definedName name="_xlnm.Print_Area" localSheetId="12">'581'!$B$1:$I$57</definedName>
    <definedName name="_xlnm.Print_Area" localSheetId="13">'582'!$B$1:$I$57</definedName>
    <definedName name="_xlnm.Print_Area" localSheetId="14">'583'!$B$1:$I$57</definedName>
    <definedName name="_xlnm.Print_Area" localSheetId="15">'584'!$B$1:$I$58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72" l="1"/>
  <c r="F32" i="169"/>
  <c r="F34" i="168"/>
  <c r="F34" i="166"/>
  <c r="I33" i="164" l="1"/>
  <c r="F34" i="138"/>
  <c r="I33" i="138"/>
  <c r="I32" i="169"/>
  <c r="F32" i="166"/>
  <c r="I33" i="135" l="1"/>
  <c r="H53" i="172"/>
  <c r="I32" i="172"/>
  <c r="I35" i="172" s="1"/>
  <c r="I37" i="172" s="1"/>
  <c r="I39" i="172" s="1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H3" i="137"/>
  <c r="H3" i="138" s="1"/>
  <c r="H3" i="141" s="1"/>
  <c r="H3" i="142" s="1"/>
  <c r="H3" i="143" s="1"/>
  <c r="H3" i="163" s="1"/>
  <c r="H3" i="164" s="1"/>
  <c r="H3" i="165" s="1"/>
  <c r="H3" i="166" s="1"/>
  <c r="H3" i="167" s="1"/>
  <c r="H3" i="168" s="1"/>
  <c r="H3" i="169" s="1"/>
  <c r="F35" i="172" l="1"/>
  <c r="H3" i="172"/>
  <c r="F32" i="167"/>
  <c r="F32" i="143" l="1"/>
  <c r="F32" i="142"/>
  <c r="F34" i="142" s="1"/>
  <c r="H52" i="169"/>
  <c r="I34" i="169"/>
  <c r="I36" i="169" s="1"/>
  <c r="I38" i="169" s="1"/>
  <c r="B27" i="169"/>
  <c r="I23" i="169"/>
  <c r="H23" i="169"/>
  <c r="G23" i="169"/>
  <c r="F23" i="169"/>
  <c r="E23" i="169"/>
  <c r="E21" i="169"/>
  <c r="D21" i="169"/>
  <c r="C21" i="169"/>
  <c r="B21" i="169"/>
  <c r="B15" i="169"/>
  <c r="B16" i="169" s="1"/>
  <c r="B17" i="169" s="1"/>
  <c r="B18" i="169" s="1"/>
  <c r="G14" i="169"/>
  <c r="G15" i="169" s="1"/>
  <c r="G16" i="169" s="1"/>
  <c r="G17" i="169" s="1"/>
  <c r="H21" i="169" s="1"/>
  <c r="H52" i="168"/>
  <c r="F32" i="168"/>
  <c r="B27" i="168"/>
  <c r="I23" i="168"/>
  <c r="H23" i="168"/>
  <c r="G23" i="168"/>
  <c r="F23" i="168"/>
  <c r="E23" i="168"/>
  <c r="E21" i="168"/>
  <c r="D21" i="168"/>
  <c r="C21" i="168"/>
  <c r="B21" i="168"/>
  <c r="B16" i="168"/>
  <c r="B17" i="168" s="1"/>
  <c r="B18" i="168" s="1"/>
  <c r="B15" i="168"/>
  <c r="G14" i="168"/>
  <c r="G15" i="168" s="1"/>
  <c r="G16" i="168" s="1"/>
  <c r="G17" i="168" s="1"/>
  <c r="H21" i="168" s="1"/>
  <c r="H52" i="167"/>
  <c r="I32" i="167"/>
  <c r="B27" i="167"/>
  <c r="I23" i="167"/>
  <c r="H23" i="167"/>
  <c r="G23" i="167"/>
  <c r="F23" i="167"/>
  <c r="E23" i="167"/>
  <c r="E21" i="167"/>
  <c r="D21" i="167"/>
  <c r="C21" i="167"/>
  <c r="B21" i="167"/>
  <c r="B15" i="167"/>
  <c r="B16" i="167" s="1"/>
  <c r="B17" i="167" s="1"/>
  <c r="B18" i="167" s="1"/>
  <c r="G14" i="167"/>
  <c r="G15" i="167" s="1"/>
  <c r="G16" i="167" s="1"/>
  <c r="G17" i="167" s="1"/>
  <c r="H21" i="167" s="1"/>
  <c r="H52" i="166"/>
  <c r="I32" i="166"/>
  <c r="I34" i="166" s="1"/>
  <c r="I36" i="166" s="1"/>
  <c r="I38" i="166" s="1"/>
  <c r="B27" i="166"/>
  <c r="I23" i="166"/>
  <c r="H23" i="166"/>
  <c r="G23" i="166"/>
  <c r="F23" i="166"/>
  <c r="E23" i="166"/>
  <c r="E21" i="166"/>
  <c r="D21" i="166"/>
  <c r="C21" i="166"/>
  <c r="B21" i="166"/>
  <c r="B15" i="166"/>
  <c r="B16" i="166" s="1"/>
  <c r="B17" i="166" s="1"/>
  <c r="B18" i="166" s="1"/>
  <c r="G14" i="166"/>
  <c r="G15" i="166" s="1"/>
  <c r="G16" i="166" s="1"/>
  <c r="G17" i="166" s="1"/>
  <c r="H21" i="166" s="1"/>
  <c r="H52" i="165"/>
  <c r="F32" i="165"/>
  <c r="I32" i="165" s="1"/>
  <c r="I34" i="165" s="1"/>
  <c r="I36" i="165" s="1"/>
  <c r="I38" i="165" s="1"/>
  <c r="B27" i="165"/>
  <c r="I23" i="165"/>
  <c r="H23" i="165"/>
  <c r="G23" i="165"/>
  <c r="F23" i="165"/>
  <c r="E23" i="165"/>
  <c r="E21" i="165"/>
  <c r="D21" i="165"/>
  <c r="C21" i="165"/>
  <c r="B21" i="165"/>
  <c r="B15" i="165"/>
  <c r="B16" i="165" s="1"/>
  <c r="B17" i="165" s="1"/>
  <c r="B18" i="165" s="1"/>
  <c r="G14" i="165"/>
  <c r="G15" i="165" s="1"/>
  <c r="G16" i="165" s="1"/>
  <c r="G17" i="165" s="1"/>
  <c r="H21" i="165" s="1"/>
  <c r="F32" i="141"/>
  <c r="F34" i="141" s="1"/>
  <c r="F32" i="137"/>
  <c r="F32" i="163"/>
  <c r="F34" i="167" l="1"/>
  <c r="I34" i="167"/>
  <c r="I36" i="167" s="1"/>
  <c r="I38" i="167" s="1"/>
  <c r="F34" i="169"/>
  <c r="F34" i="165"/>
  <c r="I32" i="168"/>
  <c r="I34" i="168" s="1"/>
  <c r="I36" i="168" s="1"/>
  <c r="I38" i="168" s="1"/>
  <c r="I32" i="138"/>
  <c r="I34" i="138" s="1"/>
  <c r="I32" i="141"/>
  <c r="I34" i="141" s="1"/>
  <c r="F34" i="137"/>
  <c r="F35" i="135"/>
  <c r="I32" i="137" l="1"/>
  <c r="H53" i="164" l="1"/>
  <c r="F35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52" i="163"/>
  <c r="F34" i="163"/>
  <c r="I32" i="163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B27" i="135"/>
  <c r="I34" i="163" l="1"/>
  <c r="I36" i="163" s="1"/>
  <c r="I38" i="163" s="1"/>
  <c r="I32" i="164"/>
  <c r="I35" i="164" l="1"/>
  <c r="I37" i="164" s="1"/>
  <c r="I39" i="164" s="1"/>
  <c r="H52" i="142"/>
  <c r="E21" i="135"/>
  <c r="E21" i="137"/>
  <c r="E21" i="138"/>
  <c r="E21" i="141"/>
  <c r="E21" i="142"/>
  <c r="E21" i="143"/>
  <c r="H52" i="141"/>
  <c r="C21" i="135"/>
  <c r="C21" i="137"/>
  <c r="C21" i="138"/>
  <c r="C21" i="141"/>
  <c r="C21" i="142"/>
  <c r="C21" i="143"/>
  <c r="H53" i="135"/>
  <c r="H52" i="137"/>
  <c r="H52" i="138"/>
  <c r="H52" i="143"/>
  <c r="F34" i="143" l="1"/>
  <c r="I32" i="143"/>
  <c r="I34" i="143" s="1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35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7" i="135" l="1"/>
  <c r="I39" i="135" s="1"/>
  <c r="I36" i="138"/>
  <c r="I38" i="138" s="1"/>
  <c r="C3" i="137" l="1"/>
  <c r="C3" i="138" s="1"/>
  <c r="C3" i="141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s="1"/>
  <c r="C3" i="163" s="1"/>
  <c r="C3" i="164" l="1"/>
  <c r="C3" i="165" s="1"/>
  <c r="C3" i="166" s="1"/>
  <c r="C3" i="167" s="1"/>
  <c r="C3" i="168" s="1"/>
  <c r="C3" i="169" l="1"/>
  <c r="C3" i="172" s="1"/>
</calcChain>
</file>

<file path=xl/sharedStrings.xml><?xml version="1.0" encoding="utf-8"?>
<sst xmlns="http://schemas.openxmlformats.org/spreadsheetml/2006/main" count="1287" uniqueCount="215">
  <si>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</si>
  <si>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</si>
  <si>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</si>
  <si>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</si>
  <si>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</si>
  <si>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</si>
  <si>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</si>
  <si>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</si>
  <si>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</si>
  <si>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</si>
  <si>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</si>
  <si>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</si>
  <si>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</si>
  <si>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</si>
  <si>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</si>
  <si>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</si>
  <si>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</si>
  <si>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</si>
  <si>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</si>
  <si>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</si>
  <si>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</si>
  <si>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</si>
  <si>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</si>
  <si>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</si>
  <si>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</si>
  <si>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</si>
  <si>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</si>
  <si>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</si>
  <si>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</si>
  <si>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</si>
  <si>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</si>
  <si>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</si>
  <si>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</si>
  <si>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</si>
  <si>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</si>
  <si>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</si>
  <si>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</si>
  <si>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</si>
  <si>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</si>
  <si>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</si>
  <si>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</si>
  <si>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</si>
  <si>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</si>
  <si>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</si>
  <si>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</si>
  <si>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</si>
  <si>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</si>
  <si>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</si>
  <si>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</si>
  <si>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</si>
  <si>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</si>
  <si>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</si>
  <si>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</si>
  <si>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</si>
  <si>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</si>
  <si>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</si>
  <si>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</si>
  <si>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</si>
  <si>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</si>
  <si>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</si>
  <si>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</si>
  <si>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</si>
  <si>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</si>
  <si>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</si>
  <si>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</si>
  <si>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</si>
  <si>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</si>
  <si>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</si>
  <si>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</si>
  <si>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</si>
  <si>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</si>
  <si>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</si>
  <si>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</si>
  <si>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</si>
  <si>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</si>
  <si>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</si>
  <si>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</si>
  <si>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</si>
  <si>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</si>
  <si>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</si>
  <si>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</si>
  <si>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</si>
  <si>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</si>
  <si>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</si>
  <si>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</si>
  <si>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</si>
  <si>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</si>
  <si>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</si>
  <si>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</si>
  <si>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</si>
  <si>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</si>
  <si>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</si>
  <si>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</si>
  <si>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</si>
  <si>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</si>
  <si>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</si>
  <si>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</si>
  <si>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</si>
  <si>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</si>
  <si>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</si>
  <si>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</si>
  <si>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</si>
  <si>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</si>
  <si>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</si>
  <si>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</si>
  <si>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</si>
  <si>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</si>
  <si>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</si>
  <si>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</si>
  <si>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</si>
  <si>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</si>
  <si>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</si>
  <si>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</si>
  <si>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</si>
  <si>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</si>
  <si>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</si>
  <si>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</si>
  <si>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</si>
  <si>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</si>
  <si>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</si>
  <si>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</si>
  <si>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</si>
  <si>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</si>
  <si>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</si>
  <si>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</si>
  <si>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</si>
  <si>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</si>
  <si>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</si>
  <si>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</si>
  <si>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</si>
  <si>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</si>
  <si>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</si>
  <si>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</si>
  <si>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</si>
  <si>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</si>
  <si>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</si>
  <si>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</si>
  <si>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</si>
  <si>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</si>
  <si>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</si>
  <si>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</si>
  <si>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</si>
  <si>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</si>
  <si>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</si>
  <si>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</si>
  <si>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</si>
  <si>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</si>
  <si>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</si>
  <si>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</si>
  <si>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</si>
  <si>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</si>
  <si>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</si>
  <si>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</si>
  <si>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</si>
  <si>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</si>
  <si>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</si>
  <si>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</si>
  <si>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</si>
  <si>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</si>
  <si>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</si>
  <si>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</si>
  <si>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</si>
  <si>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</si>
  <si>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</si>
  <si>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</si>
  <si>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</si>
  <si>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</si>
  <si>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</si>
  <si>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</si>
  <si>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</si>
  <si>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</si>
  <si>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</si>
  <si>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</si>
  <si>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</si>
  <si>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</si>
  <si>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</si>
  <si>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</si>
  <si>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</si>
  <si>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GIRLS COTTON FIBERS, KNIT PULLOVER, WITH NO NECK CLOSURE, STITCH COUNT IS GREATER THAN 9/2CM, REACHES WAIST [60% COTTON 40% POLYESTER]</t>
  </si>
  <si>
    <t>02</t>
  </si>
  <si>
    <t>CALLA LILY 451</t>
  </si>
  <si>
    <t>ONLINE</t>
  </si>
  <si>
    <t>RETAIL</t>
  </si>
  <si>
    <t>00, 01</t>
  </si>
  <si>
    <t>265K0028</t>
  </si>
  <si>
    <t>265K0031</t>
  </si>
  <si>
    <t>POLKA DOT</t>
  </si>
  <si>
    <t>01</t>
  </si>
  <si>
    <t>ICED WATER</t>
  </si>
  <si>
    <t>265K0035</t>
  </si>
  <si>
    <t>DUSKY LAVENDER, PRESSED FLOWER</t>
  </si>
  <si>
    <t>265K0041</t>
  </si>
  <si>
    <t xml:space="preserve">  </t>
  </si>
  <si>
    <t>265K0040</t>
  </si>
  <si>
    <t>265K0026</t>
  </si>
  <si>
    <t>BRIGHT WHITE</t>
  </si>
  <si>
    <t>04</t>
  </si>
  <si>
    <t>CALLA LILY 451, INK BLUE</t>
  </si>
  <si>
    <t>00, 02</t>
  </si>
  <si>
    <t>BLACKJACK JAS</t>
  </si>
  <si>
    <t>GIRLS COTTON FIBERS, KNIT PULLOVER, WITH NO NECK CLOSURE, STITCH COUNT IS GREATER THAN 9/2CM, REACHES WAIST [60% COTTON 40% RECYCLED POLYESTER]</t>
  </si>
  <si>
    <t>265K0032</t>
  </si>
  <si>
    <t>265K0030</t>
  </si>
  <si>
    <t>265K0060</t>
  </si>
  <si>
    <t>FAUX HEATHER GREY, RED TAPE, INK BLUE</t>
  </si>
  <si>
    <t>00, 01, 02</t>
  </si>
  <si>
    <t>BOYS COTTON FIBERS, KNIT SHIRT, WITH NECK CLOSURE, STITCH COUNT EQUAL OR IS GREATER THAN 10/1CM, HEM BOTTOM [60% COTTON 40% POLYESTER]</t>
  </si>
  <si>
    <t xml:space="preserve">INK BLUE, </t>
  </si>
  <si>
    <t>HEART FLAG</t>
  </si>
  <si>
    <t>GIRLS COTTON FIBERS, KNIT PULLOVER, WITH NO NECK CLOSURE, STITCH COUNT IS GREATER THAN 9/2CM, REACHES WAIST [100% COTTON]</t>
  </si>
  <si>
    <t>BLACK LEOPARD, PINK LEOPARD HEART</t>
  </si>
  <si>
    <t>01, 00</t>
  </si>
  <si>
    <t>LEOPARD</t>
  </si>
  <si>
    <t>Girls Cotton Fibers, Knit Pullover, With No Neck Closure, Stitch Count Is Greater Than 9/2cm, Reaches Waist [100% Cotton]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</si>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</sst>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4" xfId="0" applyNumberFormat="1" applyBorder="1" applyAlignment="1">
      <alignment horizontal="center"/>
    </xf>
    <xf numFmtId="4" fontId="5" fillId="3" borderId="0" xfId="0" applyNumberFormat="1" applyFont="1" applyFill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0C5909B-F016-4DE8-AE85-7AC459771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6688F-BC2D-48D6-9D9D-9DD719765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A08B9F40-FE0A-4508-B974-441FAA12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C7BBF2-9A2F-4908-B3E2-29907A84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509D1C96-1BD2-4706-95F0-6B7F272E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3A44F2-D137-4AB0-A499-7E672390F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CD22CA3B-F326-45C5-AAFB-101E7979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8568F4-CAEB-469F-8131-1393C74D0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318D38F5-E63E-440B-B72E-2DB8446B7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0222A7-5509-40BE-B908-50CEC928B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98451012-9C98-4FD2-893A-C834BD908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396A1-1858-469E-BD0C-A505A1072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1" customWidth="1"/>
    <col min="4" max="4" width="31.5703125" customWidth="1"/>
    <col min="5" max="5" width="2.140625" style="51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2" t="s">
        <v>83</v>
      </c>
      <c r="D6" s="52" t="s">
        <v>65</v>
      </c>
      <c r="F6" s="52" t="s">
        <v>68</v>
      </c>
      <c r="G6" s="52" t="s">
        <v>68</v>
      </c>
      <c r="H6" s="52" t="s">
        <v>77</v>
      </c>
      <c r="I6" s="52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2" t="s">
        <v>84</v>
      </c>
      <c r="D7" s="52" t="s">
        <v>66</v>
      </c>
      <c r="F7" s="52" t="s">
        <v>69</v>
      </c>
      <c r="G7" s="52" t="s">
        <v>69</v>
      </c>
      <c r="H7" s="52" t="s">
        <v>78</v>
      </c>
      <c r="I7" s="52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3" t="s">
        <v>97</v>
      </c>
      <c r="D8" s="53" t="s">
        <v>75</v>
      </c>
      <c r="F8" s="53" t="s">
        <v>76</v>
      </c>
      <c r="G8" s="53" t="s">
        <v>76</v>
      </c>
      <c r="H8" s="53" t="s">
        <v>79</v>
      </c>
      <c r="I8" s="53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2" t="s">
        <v>138</v>
      </c>
      <c r="D12" s="52" t="s">
        <v>118</v>
      </c>
      <c r="F12" s="52" t="s">
        <v>104</v>
      </c>
      <c r="G12" s="52" t="s">
        <v>106</v>
      </c>
      <c r="H12" s="52" t="s">
        <v>110</v>
      </c>
      <c r="I12" s="52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2" t="s">
        <v>139</v>
      </c>
      <c r="D13" s="52" t="s">
        <v>119</v>
      </c>
      <c r="F13" s="52" t="s">
        <v>101</v>
      </c>
      <c r="G13" s="52" t="s">
        <v>107</v>
      </c>
      <c r="H13" s="52" t="s">
        <v>111</v>
      </c>
      <c r="I13" s="52" t="s">
        <v>115</v>
      </c>
      <c r="L13" t="str">
        <f>F17</f>
        <v>BDC-0015</v>
      </c>
    </row>
    <row r="14" spans="2:12" x14ac:dyDescent="0.2">
      <c r="B14" s="52" t="s">
        <v>141</v>
      </c>
      <c r="D14" s="53" t="s">
        <v>120</v>
      </c>
      <c r="F14" s="53" t="s">
        <v>102</v>
      </c>
      <c r="G14" s="53" t="s">
        <v>108</v>
      </c>
      <c r="H14" s="53" t="s">
        <v>112</v>
      </c>
      <c r="I14" s="53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2" t="s">
        <v>71</v>
      </c>
      <c r="F18" s="52" t="s">
        <v>71</v>
      </c>
      <c r="G18" s="52" t="s">
        <v>71</v>
      </c>
      <c r="H18" s="52" t="s">
        <v>91</v>
      </c>
      <c r="I18" s="52" t="s">
        <v>122</v>
      </c>
      <c r="L18" t="str">
        <f>G23</f>
        <v>EDC(EU FRANCHISE HUB)</v>
      </c>
    </row>
    <row r="19" spans="2:12" x14ac:dyDescent="0.2">
      <c r="D19" s="52" t="s">
        <v>72</v>
      </c>
      <c r="F19" s="52" t="s">
        <v>72</v>
      </c>
      <c r="G19" s="52" t="s">
        <v>72</v>
      </c>
      <c r="H19" s="52" t="s">
        <v>92</v>
      </c>
      <c r="I19" s="52" t="s">
        <v>123</v>
      </c>
      <c r="L19" t="str">
        <f>H23</f>
        <v>EXPEDITORS INT'L GPS STRATEGIC ALLIANCES, LLC</v>
      </c>
    </row>
    <row r="20" spans="2:12" x14ac:dyDescent="0.2">
      <c r="D20" s="52" t="s">
        <v>73</v>
      </c>
      <c r="F20" s="52" t="s">
        <v>73</v>
      </c>
      <c r="G20" s="52" t="s">
        <v>73</v>
      </c>
      <c r="H20" s="53" t="s">
        <v>93</v>
      </c>
      <c r="I20" s="52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2" t="s">
        <v>128</v>
      </c>
      <c r="F24" s="52" t="s">
        <v>135</v>
      </c>
      <c r="G24" s="52" t="s">
        <v>146</v>
      </c>
      <c r="H24" s="52" t="s">
        <v>151</v>
      </c>
      <c r="I24" s="52" t="s">
        <v>157</v>
      </c>
      <c r="L24" t="str">
        <f>I29</f>
        <v>PDC-0014</v>
      </c>
    </row>
    <row r="25" spans="2:12" x14ac:dyDescent="0.2">
      <c r="D25" s="52" t="s">
        <v>129</v>
      </c>
      <c r="F25" s="52" t="s">
        <v>136</v>
      </c>
      <c r="G25" s="52" t="s">
        <v>147</v>
      </c>
      <c r="H25" s="52" t="s">
        <v>152</v>
      </c>
      <c r="I25" s="52" t="s">
        <v>158</v>
      </c>
      <c r="L25" t="str">
        <f>F35</f>
        <v>JPD-0030</v>
      </c>
    </row>
    <row r="26" spans="2:12" x14ac:dyDescent="0.2">
      <c r="D26" s="52" t="s">
        <v>130</v>
      </c>
      <c r="F26" s="52" t="s">
        <v>133</v>
      </c>
      <c r="G26" s="52" t="s">
        <v>148</v>
      </c>
      <c r="H26" s="52" t="s">
        <v>153</v>
      </c>
      <c r="I26" s="53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2" t="s">
        <v>143</v>
      </c>
      <c r="F30" s="52" t="s">
        <v>161</v>
      </c>
      <c r="G30" s="52" t="s">
        <v>163</v>
      </c>
      <c r="H30" s="52" t="s">
        <v>163</v>
      </c>
      <c r="I30" s="52" t="s">
        <v>166</v>
      </c>
    </row>
    <row r="31" spans="2:12" x14ac:dyDescent="0.2">
      <c r="D31" s="52" t="s">
        <v>144</v>
      </c>
      <c r="F31" s="52" t="s">
        <v>111</v>
      </c>
      <c r="G31" s="52" t="s">
        <v>69</v>
      </c>
      <c r="H31" s="52" t="s">
        <v>69</v>
      </c>
      <c r="I31" s="52" t="s">
        <v>101</v>
      </c>
    </row>
    <row r="32" spans="2:12" x14ac:dyDescent="0.2">
      <c r="D32" s="52" t="s">
        <v>130</v>
      </c>
      <c r="F32" s="53" t="s">
        <v>112</v>
      </c>
      <c r="G32" s="53" t="s">
        <v>76</v>
      </c>
      <c r="H32" s="53" t="s">
        <v>76</v>
      </c>
      <c r="I32" s="53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2" t="s">
        <v>118</v>
      </c>
      <c r="F36" s="52" t="s">
        <v>173</v>
      </c>
    </row>
    <row r="37" spans="4:9" x14ac:dyDescent="0.2">
      <c r="D37" s="52" t="s">
        <v>119</v>
      </c>
      <c r="F37" s="52" t="s">
        <v>174</v>
      </c>
    </row>
    <row r="38" spans="4:9" x14ac:dyDescent="0.2">
      <c r="D38" s="53" t="s">
        <v>120</v>
      </c>
      <c r="F38" s="52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2" t="s">
        <v>65</v>
      </c>
    </row>
    <row r="43" spans="4:9" x14ac:dyDescent="0.2">
      <c r="D43" s="52" t="s">
        <v>66</v>
      </c>
    </row>
    <row r="44" spans="4:9" x14ac:dyDescent="0.2">
      <c r="D44" s="53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2" t="s">
        <v>168</v>
      </c>
    </row>
    <row r="49" spans="4:4" x14ac:dyDescent="0.2">
      <c r="D49" s="52" t="s">
        <v>169</v>
      </c>
    </row>
    <row r="50" spans="4:4" x14ac:dyDescent="0.2">
      <c r="D50" s="53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K15" sqref="K15"/>
    </sheetView>
  </sheetViews>
  <sheetFormatPr defaultRowHeight="12.75" x14ac:dyDescent="0.2"/>
  <sheetData>
    <row r="2" spans="2:9" ht="15" x14ac:dyDescent="0.25">
      <c r="B2" s="56">
        <v>1</v>
      </c>
      <c r="C2" t="s">
        <v>193</v>
      </c>
      <c r="E2" s="56">
        <v>1</v>
      </c>
      <c r="F2">
        <v>416363</v>
      </c>
      <c r="H2" s="56">
        <v>1</v>
      </c>
      <c r="I2" s="57" t="s">
        <v>181</v>
      </c>
    </row>
    <row r="3" spans="2:9" ht="15" x14ac:dyDescent="0.25">
      <c r="B3" s="56">
        <v>2</v>
      </c>
      <c r="C3" t="s">
        <v>191</v>
      </c>
      <c r="E3" s="56">
        <v>2</v>
      </c>
      <c r="F3">
        <v>767468</v>
      </c>
      <c r="H3" s="56">
        <v>2</v>
      </c>
      <c r="I3" s="57" t="s">
        <v>181</v>
      </c>
    </row>
    <row r="4" spans="2:9" ht="15" x14ac:dyDescent="0.25">
      <c r="B4" s="56">
        <v>3</v>
      </c>
      <c r="C4" t="s">
        <v>193</v>
      </c>
      <c r="E4" s="56">
        <v>3</v>
      </c>
      <c r="F4">
        <v>416363</v>
      </c>
      <c r="H4" s="56">
        <v>3</v>
      </c>
      <c r="I4" s="57" t="s">
        <v>182</v>
      </c>
    </row>
    <row r="5" spans="2:9" ht="15" x14ac:dyDescent="0.25">
      <c r="B5" s="56">
        <v>4</v>
      </c>
      <c r="C5" t="s">
        <v>201</v>
      </c>
      <c r="E5" s="56">
        <v>4</v>
      </c>
      <c r="F5">
        <v>893947</v>
      </c>
      <c r="H5" s="56">
        <v>4</v>
      </c>
      <c r="I5" s="57" t="s">
        <v>182</v>
      </c>
    </row>
    <row r="6" spans="2:9" ht="15" x14ac:dyDescent="0.25">
      <c r="B6" s="56">
        <v>5</v>
      </c>
      <c r="C6" t="s">
        <v>202</v>
      </c>
      <c r="E6" s="56">
        <v>5</v>
      </c>
      <c r="F6">
        <v>893957</v>
      </c>
      <c r="H6" s="56">
        <v>5</v>
      </c>
      <c r="I6" s="57" t="s">
        <v>182</v>
      </c>
    </row>
    <row r="7" spans="2:9" ht="15" x14ac:dyDescent="0.25">
      <c r="B7" s="56">
        <v>6</v>
      </c>
      <c r="C7" t="s">
        <v>184</v>
      </c>
      <c r="E7" s="56">
        <v>6</v>
      </c>
      <c r="F7">
        <v>896206</v>
      </c>
      <c r="H7" s="56">
        <v>6</v>
      </c>
      <c r="I7" s="57" t="s">
        <v>182</v>
      </c>
    </row>
    <row r="8" spans="2:9" ht="15" x14ac:dyDescent="0.25">
      <c r="B8" s="56">
        <v>7</v>
      </c>
      <c r="C8" t="s">
        <v>189</v>
      </c>
      <c r="E8" s="56">
        <v>7</v>
      </c>
      <c r="F8">
        <v>903770</v>
      </c>
      <c r="H8" s="56">
        <v>7</v>
      </c>
      <c r="I8" s="57" t="s">
        <v>182</v>
      </c>
    </row>
    <row r="9" spans="2:9" ht="15" x14ac:dyDescent="0.25">
      <c r="B9" s="56">
        <v>8</v>
      </c>
      <c r="C9" t="s">
        <v>203</v>
      </c>
      <c r="E9" s="56">
        <v>8</v>
      </c>
      <c r="F9">
        <v>905994</v>
      </c>
      <c r="H9" s="56">
        <v>8</v>
      </c>
      <c r="I9" s="57" t="s">
        <v>182</v>
      </c>
    </row>
    <row r="10" spans="2:9" ht="15" x14ac:dyDescent="0.25">
      <c r="B10" s="56">
        <v>9</v>
      </c>
      <c r="C10" t="s">
        <v>189</v>
      </c>
      <c r="E10" s="56">
        <v>9</v>
      </c>
      <c r="F10">
        <v>903770</v>
      </c>
      <c r="H10" s="56">
        <v>9</v>
      </c>
      <c r="I10" s="57" t="s">
        <v>181</v>
      </c>
    </row>
    <row r="11" spans="2:9" ht="15" x14ac:dyDescent="0.25">
      <c r="B11" s="56">
        <v>10</v>
      </c>
      <c r="C11" t="s">
        <v>184</v>
      </c>
      <c r="E11" s="56">
        <v>10</v>
      </c>
      <c r="F11">
        <v>896206</v>
      </c>
      <c r="H11" s="56">
        <v>10</v>
      </c>
      <c r="I11" s="57" t="s">
        <v>181</v>
      </c>
    </row>
    <row r="12" spans="2:9" ht="15" x14ac:dyDescent="0.25">
      <c r="B12" s="56">
        <v>11</v>
      </c>
      <c r="C12" t="s">
        <v>185</v>
      </c>
      <c r="E12" s="56">
        <v>11</v>
      </c>
      <c r="F12">
        <v>893958</v>
      </c>
      <c r="H12" s="56">
        <v>11</v>
      </c>
      <c r="I12" s="57" t="s">
        <v>181</v>
      </c>
    </row>
    <row r="13" spans="2:9" ht="15" x14ac:dyDescent="0.25">
      <c r="B13" s="56">
        <v>12</v>
      </c>
      <c r="C13" t="s">
        <v>201</v>
      </c>
      <c r="E13" s="56">
        <v>12</v>
      </c>
      <c r="F13">
        <v>893947</v>
      </c>
      <c r="H13" s="56">
        <v>12</v>
      </c>
      <c r="I13" s="57" t="s">
        <v>181</v>
      </c>
    </row>
    <row r="14" spans="2:9" ht="15" x14ac:dyDescent="0.25">
      <c r="B14" s="56">
        <v>13</v>
      </c>
      <c r="C14" t="s">
        <v>202</v>
      </c>
      <c r="E14" s="56">
        <v>13</v>
      </c>
      <c r="F14">
        <v>893957</v>
      </c>
      <c r="H14" s="56">
        <v>13</v>
      </c>
      <c r="I14" s="57" t="s">
        <v>181</v>
      </c>
    </row>
    <row r="15" spans="2:9" ht="15" x14ac:dyDescent="0.25">
      <c r="B15" s="56">
        <v>14</v>
      </c>
      <c r="C15" t="s">
        <v>194</v>
      </c>
      <c r="E15" s="56">
        <v>14</v>
      </c>
      <c r="F15">
        <v>867788</v>
      </c>
      <c r="H15" s="56">
        <v>14</v>
      </c>
      <c r="I15" s="57" t="s">
        <v>181</v>
      </c>
    </row>
    <row r="16" spans="2:9" ht="15" x14ac:dyDescent="0.25">
      <c r="B16" s="56">
        <v>15</v>
      </c>
      <c r="E16" s="56">
        <v>15</v>
      </c>
      <c r="H16" s="56">
        <v>15</v>
      </c>
      <c r="I16" s="57"/>
    </row>
    <row r="17" spans="2:11" ht="15" x14ac:dyDescent="0.25">
      <c r="B17" s="56">
        <v>16</v>
      </c>
      <c r="E17" s="56">
        <v>16</v>
      </c>
      <c r="H17" s="56">
        <v>16</v>
      </c>
      <c r="I17" s="57"/>
    </row>
    <row r="18" spans="2:11" ht="15" x14ac:dyDescent="0.25">
      <c r="B18" s="56">
        <v>17</v>
      </c>
      <c r="E18" s="56">
        <v>17</v>
      </c>
      <c r="H18" s="56">
        <v>17</v>
      </c>
      <c r="I18" s="57"/>
    </row>
    <row r="19" spans="2:11" ht="15" x14ac:dyDescent="0.25">
      <c r="B19" s="56">
        <v>18</v>
      </c>
      <c r="E19" s="56">
        <v>18</v>
      </c>
      <c r="H19" s="56">
        <v>18</v>
      </c>
      <c r="I19" s="57"/>
    </row>
    <row r="20" spans="2:11" ht="15" x14ac:dyDescent="0.25">
      <c r="B20" s="56">
        <v>19</v>
      </c>
      <c r="E20" s="56">
        <v>19</v>
      </c>
      <c r="H20" s="56">
        <v>19</v>
      </c>
      <c r="I20" s="57"/>
    </row>
    <row r="21" spans="2:11" ht="15" x14ac:dyDescent="0.25">
      <c r="B21" s="56">
        <v>20</v>
      </c>
      <c r="E21" s="56">
        <v>20</v>
      </c>
      <c r="H21" s="56">
        <v>20</v>
      </c>
      <c r="I21" s="57"/>
    </row>
    <row r="22" spans="2:11" ht="15" x14ac:dyDescent="0.25">
      <c r="B22" s="56">
        <v>21</v>
      </c>
      <c r="E22" s="56">
        <v>21</v>
      </c>
      <c r="H22" s="56">
        <v>21</v>
      </c>
      <c r="I22" s="57"/>
      <c r="K22" t="s">
        <v>63</v>
      </c>
    </row>
    <row r="23" spans="2:11" ht="15" x14ac:dyDescent="0.25">
      <c r="B23" s="56">
        <v>22</v>
      </c>
      <c r="E23" s="56">
        <v>22</v>
      </c>
      <c r="H23" s="56">
        <v>22</v>
      </c>
      <c r="I23" s="57"/>
    </row>
    <row r="24" spans="2:11" ht="15" x14ac:dyDescent="0.25">
      <c r="B24" s="56">
        <v>23</v>
      </c>
      <c r="E24" s="56">
        <v>23</v>
      </c>
      <c r="H24" s="56">
        <v>23</v>
      </c>
      <c r="I24" s="57"/>
    </row>
    <row r="25" spans="2:11" ht="15" x14ac:dyDescent="0.25">
      <c r="B25" s="56">
        <v>24</v>
      </c>
      <c r="E25" s="56">
        <v>24</v>
      </c>
      <c r="H25" s="56">
        <v>24</v>
      </c>
      <c r="I25" s="57"/>
    </row>
    <row r="26" spans="2:11" ht="15" x14ac:dyDescent="0.25">
      <c r="B26" s="56">
        <v>25</v>
      </c>
      <c r="E26" s="56">
        <v>25</v>
      </c>
      <c r="H26" s="56">
        <v>25</v>
      </c>
      <c r="I26" s="57"/>
    </row>
    <row r="27" spans="2:11" ht="15" x14ac:dyDescent="0.25">
      <c r="B27" s="56">
        <v>26</v>
      </c>
      <c r="E27" s="56">
        <v>26</v>
      </c>
      <c r="H27" s="56">
        <v>26</v>
      </c>
      <c r="I27" s="57"/>
    </row>
    <row r="28" spans="2:11" x14ac:dyDescent="0.2">
      <c r="B28" s="56">
        <v>27</v>
      </c>
      <c r="E28" s="56">
        <v>27</v>
      </c>
      <c r="H28" s="56">
        <v>27</v>
      </c>
    </row>
    <row r="29" spans="2:11" x14ac:dyDescent="0.2">
      <c r="B29" s="56">
        <v>28</v>
      </c>
      <c r="E29" s="56">
        <v>28</v>
      </c>
      <c r="H29" s="56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9"/>
  <sheetViews>
    <sheetView view="pageBreakPreview" topLeftCell="A25" zoomScaleNormal="100" zoomScaleSheetLayoutView="100" workbookViewId="0">
      <selection activeCell="H34" sqref="H34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214</v>
      </c>
      <c r="C2" s="80"/>
      <c r="D2" s="80"/>
      <c r="E2" s="80"/>
      <c r="F2" s="80"/>
      <c r="G2" s="80"/>
      <c r="H2" s="80"/>
      <c r="I2" s="81"/>
      <c r="J2" s="43">
        <v>61378134</v>
      </c>
      <c r="K2" s="50">
        <v>14685</v>
      </c>
      <c r="L2" s="44">
        <v>169</v>
      </c>
      <c r="M2" s="69">
        <v>1779.81</v>
      </c>
      <c r="N2" s="69">
        <v>1809.18</v>
      </c>
      <c r="O2" s="69">
        <v>1966.28</v>
      </c>
      <c r="P2" s="44" t="s">
        <v>54</v>
      </c>
      <c r="Q2" s="44">
        <v>9.4719999999999995</v>
      </c>
      <c r="R2" s="44" t="s">
        <v>62</v>
      </c>
    </row>
    <row r="3" spans="2:22" x14ac:dyDescent="0.2">
      <c r="B3" s="6" t="s">
        <v>53</v>
      </c>
      <c r="C3" s="64">
        <v>571</v>
      </c>
      <c r="D3" s="5"/>
      <c r="E3" s="5"/>
      <c r="F3" s="5"/>
      <c r="G3" s="5" t="s">
        <v>52</v>
      </c>
      <c r="H3" s="31"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206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 t="s">
        <v>192</v>
      </c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61378134</v>
      </c>
      <c r="C21" s="55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1966.28</v>
      </c>
      <c r="G23" s="23">
        <f>+N2</f>
        <v>1809.18</v>
      </c>
      <c r="H23" s="23">
        <f>+M2</f>
        <v>1779.81</v>
      </c>
      <c r="I23" s="54">
        <f>+L2</f>
        <v>169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3"/>
      <c r="D26" s="73"/>
      <c r="E26" s="73"/>
      <c r="F26" s="73"/>
      <c r="G26" s="73"/>
      <c r="H26" s="73"/>
      <c r="I26" s="72"/>
    </row>
    <row r="27" spans="2:13" ht="24.75" customHeight="1" x14ac:dyDescent="0.2">
      <c r="B27" s="82" t="str">
        <f>+K4</f>
        <v>BOYS COTTON FIBERS, KNIT SHIRT, WITH NECK CLOSURE, STITCH COUNT EQUAL OR IS GREATER THAN 10/1CM, HEM BOTTOM [60% COTTON 40% POLYESTER]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5" t="s">
        <v>19</v>
      </c>
      <c r="E31" s="85"/>
      <c r="F31" s="85" t="s">
        <v>18</v>
      </c>
      <c r="G31" s="85"/>
      <c r="H31" s="54" t="s">
        <v>17</v>
      </c>
      <c r="I31" s="19" t="s">
        <v>16</v>
      </c>
      <c r="M31"/>
    </row>
    <row r="32" spans="2:13" ht="24" customHeight="1" x14ac:dyDescent="0.2">
      <c r="B32" s="41" t="s">
        <v>196</v>
      </c>
      <c r="C32" s="19" t="s">
        <v>195</v>
      </c>
      <c r="D32" s="77"/>
      <c r="E32" s="78"/>
      <c r="F32" s="77">
        <v>3399</v>
      </c>
      <c r="G32" s="78"/>
      <c r="H32" s="17">
        <v>0.9</v>
      </c>
      <c r="I32" s="18">
        <f>+H32*F32</f>
        <v>3059.1</v>
      </c>
      <c r="K32" s="48"/>
      <c r="M32" s="39"/>
    </row>
    <row r="33" spans="2:13" ht="24" customHeight="1" x14ac:dyDescent="0.2">
      <c r="B33" s="41" t="s">
        <v>205</v>
      </c>
      <c r="C33" s="19" t="s">
        <v>204</v>
      </c>
      <c r="D33" s="77"/>
      <c r="E33" s="78"/>
      <c r="F33" s="77">
        <v>11286</v>
      </c>
      <c r="G33" s="78"/>
      <c r="H33" s="17">
        <v>0.9</v>
      </c>
      <c r="I33" s="18">
        <f>+H33*F33</f>
        <v>10157.4</v>
      </c>
      <c r="K33" s="48"/>
      <c r="M33" s="39"/>
    </row>
    <row r="34" spans="2:13" ht="21" customHeight="1" x14ac:dyDescent="0.2">
      <c r="B34" s="15" t="s">
        <v>15</v>
      </c>
      <c r="C34" s="15"/>
      <c r="D34" s="71"/>
      <c r="E34" s="72"/>
      <c r="F34" s="71"/>
      <c r="G34" s="72"/>
      <c r="H34" s="17"/>
      <c r="I34" s="60"/>
    </row>
    <row r="35" spans="2:13" ht="21.75" customHeight="1" x14ac:dyDescent="0.2">
      <c r="B35" s="15" t="s">
        <v>14</v>
      </c>
      <c r="C35" s="15"/>
      <c r="D35" s="86"/>
      <c r="E35" s="87"/>
      <c r="F35" s="77">
        <f>SUM(F32:G34)</f>
        <v>14685</v>
      </c>
      <c r="G35" s="78"/>
      <c r="H35" s="15"/>
      <c r="I35" s="14">
        <f>SUM(I32:I33)</f>
        <v>13216.5</v>
      </c>
      <c r="J35" s="40"/>
      <c r="K35" s="40"/>
    </row>
    <row r="36" spans="2:13" ht="21.75" customHeight="1" x14ac:dyDescent="0.2">
      <c r="B36" s="16" t="s">
        <v>13</v>
      </c>
      <c r="C36" s="15"/>
      <c r="D36" s="71"/>
      <c r="E36" s="72"/>
      <c r="F36" s="71"/>
      <c r="G36" s="72"/>
      <c r="H36" s="15"/>
      <c r="I36" s="54"/>
      <c r="J36" s="40"/>
    </row>
    <row r="37" spans="2:13" ht="21.75" customHeight="1" x14ac:dyDescent="0.2">
      <c r="B37" s="16" t="s">
        <v>12</v>
      </c>
      <c r="C37" s="15"/>
      <c r="D37" s="71"/>
      <c r="E37" s="72"/>
      <c r="F37" s="71"/>
      <c r="G37" s="72"/>
      <c r="H37" s="15"/>
      <c r="I37" s="14">
        <f>+I35</f>
        <v>13216.5</v>
      </c>
    </row>
    <row r="38" spans="2:13" ht="20.25" customHeight="1" x14ac:dyDescent="0.2">
      <c r="B38" s="15" t="s">
        <v>80</v>
      </c>
      <c r="C38" s="71" t="s">
        <v>11</v>
      </c>
      <c r="D38" s="73"/>
      <c r="E38" s="73"/>
      <c r="F38" s="73"/>
      <c r="G38" s="73"/>
      <c r="H38" s="72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13216.5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4" t="s">
        <v>7</v>
      </c>
      <c r="C47" s="74"/>
      <c r="D47" s="74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265K0040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5" t="s">
        <v>1</v>
      </c>
      <c r="D56" s="75"/>
      <c r="E56" s="5"/>
      <c r="F56" s="5"/>
      <c r="G56" s="5"/>
      <c r="H56" s="5"/>
      <c r="I56" s="4"/>
    </row>
    <row r="57" spans="2:11" x14ac:dyDescent="0.2">
      <c r="B57" s="6"/>
      <c r="C57" s="76" t="s">
        <v>0</v>
      </c>
      <c r="D57" s="76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0"/>
      <c r="D58" s="70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F36:G36"/>
    <mergeCell ref="D32:E32"/>
    <mergeCell ref="F32:G32"/>
    <mergeCell ref="B2:I2"/>
    <mergeCell ref="B26:I26"/>
    <mergeCell ref="B27:I27"/>
    <mergeCell ref="D31:E31"/>
    <mergeCell ref="F31:G31"/>
    <mergeCell ref="D35:E35"/>
    <mergeCell ref="F35:G35"/>
    <mergeCell ref="D36:E36"/>
    <mergeCell ref="D34:E34"/>
    <mergeCell ref="F34:G34"/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214</v>
      </c>
      <c r="C2" s="80"/>
      <c r="D2" s="80"/>
      <c r="E2" s="80"/>
      <c r="F2" s="80"/>
      <c r="G2" s="80"/>
      <c r="H2" s="80"/>
      <c r="I2" s="81"/>
      <c r="J2" s="43">
        <v>61378124</v>
      </c>
      <c r="K2" s="50">
        <v>1169</v>
      </c>
      <c r="L2" s="44">
        <v>22</v>
      </c>
      <c r="M2" s="44">
        <v>170.905</v>
      </c>
      <c r="N2" s="44">
        <v>183.42500000000001</v>
      </c>
      <c r="O2" s="44">
        <v>202.32499999999999</v>
      </c>
      <c r="P2" s="44" t="s">
        <v>54</v>
      </c>
      <c r="Q2" s="44">
        <v>0.995</v>
      </c>
      <c r="R2" s="44" t="s">
        <v>62</v>
      </c>
    </row>
    <row r="3" spans="2:22" x14ac:dyDescent="0.2">
      <c r="B3" s="6" t="s">
        <v>53</v>
      </c>
      <c r="C3" s="64">
        <f>+'571'!C3+1</f>
        <v>572</v>
      </c>
      <c r="D3" s="5"/>
      <c r="E3" s="5"/>
      <c r="F3" s="5"/>
      <c r="G3" s="5" t="s">
        <v>52</v>
      </c>
      <c r="H3" s="31">
        <f>+'571'!H3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206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61378124</v>
      </c>
      <c r="C21" s="55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202.32499999999999</v>
      </c>
      <c r="G23" s="23">
        <f>+N2</f>
        <v>183.42500000000001</v>
      </c>
      <c r="H23" s="23">
        <f>+M2</f>
        <v>170.905</v>
      </c>
      <c r="I23" s="54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3"/>
      <c r="D26" s="73"/>
      <c r="E26" s="73"/>
      <c r="F26" s="73"/>
      <c r="G26" s="73"/>
      <c r="H26" s="73"/>
      <c r="I26" s="72"/>
    </row>
    <row r="27" spans="2:13" ht="24.75" customHeight="1" x14ac:dyDescent="0.2">
      <c r="B27" s="82" t="str">
        <f>+K4</f>
        <v>BOYS COTTON FIBERS, KNIT SHIRT, WITH NECK CLOSURE, STITCH COUNT EQUAL OR IS GREATER THAN 10/1CM, HEM BOTTOM [60% COTTON 40% POLYESTER]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5" t="s">
        <v>19</v>
      </c>
      <c r="E31" s="85"/>
      <c r="F31" s="85" t="s">
        <v>18</v>
      </c>
      <c r="G31" s="85"/>
      <c r="H31" s="54" t="s">
        <v>17</v>
      </c>
      <c r="I31" s="19" t="s">
        <v>16</v>
      </c>
      <c r="M31"/>
    </row>
    <row r="32" spans="2:13" ht="27.75" customHeight="1" x14ac:dyDescent="0.2">
      <c r="B32" s="41" t="s">
        <v>198</v>
      </c>
      <c r="C32" s="19" t="s">
        <v>197</v>
      </c>
      <c r="D32" s="77"/>
      <c r="E32" s="78"/>
      <c r="F32" s="77">
        <f>+K2</f>
        <v>1169</v>
      </c>
      <c r="G32" s="78"/>
      <c r="H32" s="17">
        <v>1.05</v>
      </c>
      <c r="I32" s="18">
        <f>+H32*F32</f>
        <v>1227.45</v>
      </c>
      <c r="K32" s="48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54"/>
    </row>
    <row r="34" spans="2:11" ht="21.75" customHeight="1" x14ac:dyDescent="0.2">
      <c r="B34" s="15" t="s">
        <v>14</v>
      </c>
      <c r="C34" s="15"/>
      <c r="D34" s="86"/>
      <c r="E34" s="87"/>
      <c r="F34" s="77">
        <f>SUM(F32:G33)</f>
        <v>1169</v>
      </c>
      <c r="G34" s="78"/>
      <c r="H34" s="15"/>
      <c r="I34" s="14">
        <f>SUM(I32:I33)</f>
        <v>1227.45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1227.45</v>
      </c>
    </row>
    <row r="37" spans="2:11" ht="20.25" customHeight="1" x14ac:dyDescent="0.2">
      <c r="B37" s="15" t="s">
        <v>80</v>
      </c>
      <c r="C37" s="71" t="s">
        <v>11</v>
      </c>
      <c r="D37" s="73"/>
      <c r="E37" s="73"/>
      <c r="F37" s="73"/>
      <c r="G37" s="73"/>
      <c r="H37" s="7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1227.45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265K0041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8"/>
  <sheetViews>
    <sheetView view="pageBreakPreview" topLeftCell="A27" zoomScaleNormal="100" zoomScaleSheetLayoutView="100" workbookViewId="0">
      <selection activeCell="H34" sqref="H3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214</v>
      </c>
      <c r="C2" s="80"/>
      <c r="D2" s="80"/>
      <c r="E2" s="80"/>
      <c r="F2" s="80"/>
      <c r="G2" s="80"/>
      <c r="H2" s="80"/>
      <c r="I2" s="81"/>
      <c r="J2" s="43">
        <v>61403276</v>
      </c>
      <c r="K2" s="50">
        <v>27190</v>
      </c>
      <c r="L2" s="44">
        <v>258</v>
      </c>
      <c r="M2" s="69">
        <v>3116.0450000000001</v>
      </c>
      <c r="N2" s="69">
        <v>3170.4250000000002</v>
      </c>
      <c r="O2" s="69">
        <v>3422.375</v>
      </c>
      <c r="P2" s="44" t="s">
        <v>54</v>
      </c>
      <c r="Q2" s="44">
        <v>16.59</v>
      </c>
      <c r="R2" s="44" t="s">
        <v>62</v>
      </c>
    </row>
    <row r="3" spans="2:22" x14ac:dyDescent="0.2">
      <c r="B3" s="6" t="s">
        <v>53</v>
      </c>
      <c r="C3" s="64">
        <f>+'572'!C3+1</f>
        <v>573</v>
      </c>
      <c r="D3" s="5"/>
      <c r="E3" s="5"/>
      <c r="F3" s="5"/>
      <c r="G3" s="5" t="s">
        <v>52</v>
      </c>
      <c r="H3" s="31">
        <f>+'572'!H3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206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61403276</v>
      </c>
      <c r="C21" s="55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3422.375</v>
      </c>
      <c r="G23" s="23">
        <f>+N2</f>
        <v>3170.4250000000002</v>
      </c>
      <c r="H23" s="23">
        <f>+M2</f>
        <v>3116.0450000000001</v>
      </c>
      <c r="I23" s="54">
        <f>+L2</f>
        <v>258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3"/>
      <c r="D26" s="73"/>
      <c r="E26" s="73"/>
      <c r="F26" s="73"/>
      <c r="G26" s="73"/>
      <c r="H26" s="73"/>
      <c r="I26" s="72"/>
    </row>
    <row r="27" spans="2:13" ht="24.75" customHeight="1" x14ac:dyDescent="0.2">
      <c r="B27" s="82" t="str">
        <f>+K4</f>
        <v>BOYS COTTON FIBERS, KNIT SHIRT, WITH NECK CLOSURE, STITCH COUNT EQUAL OR IS GREATER THAN 10/1CM, HEM BOTTOM [60% COTTON 40% POLYESTER]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5" t="s">
        <v>19</v>
      </c>
      <c r="E31" s="85"/>
      <c r="F31" s="85" t="s">
        <v>18</v>
      </c>
      <c r="G31" s="85"/>
      <c r="H31" s="54" t="s">
        <v>17</v>
      </c>
      <c r="I31" s="19" t="s">
        <v>16</v>
      </c>
      <c r="M31"/>
    </row>
    <row r="32" spans="2:13" ht="27.75" customHeight="1" x14ac:dyDescent="0.2">
      <c r="B32" s="41" t="s">
        <v>196</v>
      </c>
      <c r="C32" s="19" t="s">
        <v>195</v>
      </c>
      <c r="D32" s="77"/>
      <c r="E32" s="78"/>
      <c r="F32" s="77">
        <v>12689</v>
      </c>
      <c r="G32" s="78"/>
      <c r="H32" s="17">
        <v>0.9</v>
      </c>
      <c r="I32" s="18">
        <f>+H32*F32</f>
        <v>11420.1</v>
      </c>
      <c r="K32" s="48"/>
      <c r="M32" s="39"/>
    </row>
    <row r="33" spans="2:13" ht="27.75" customHeight="1" x14ac:dyDescent="0.2">
      <c r="B33" s="41" t="s">
        <v>198</v>
      </c>
      <c r="C33" s="19" t="s">
        <v>207</v>
      </c>
      <c r="D33" s="77"/>
      <c r="E33" s="78"/>
      <c r="F33" s="77">
        <v>14501</v>
      </c>
      <c r="G33" s="78"/>
      <c r="H33" s="17">
        <v>0.9</v>
      </c>
      <c r="I33" s="18">
        <f>+H33*F33</f>
        <v>13050.9</v>
      </c>
      <c r="K33" s="48"/>
      <c r="M33" s="39"/>
    </row>
    <row r="34" spans="2:13" ht="21.75" customHeight="1" x14ac:dyDescent="0.2">
      <c r="B34" s="15" t="s">
        <v>14</v>
      </c>
      <c r="C34" s="15"/>
      <c r="D34" s="86"/>
      <c r="E34" s="87"/>
      <c r="F34" s="77">
        <f>SUM(F32:G33)</f>
        <v>27190</v>
      </c>
      <c r="G34" s="78"/>
      <c r="H34" s="15"/>
      <c r="I34" s="14">
        <f>SUM(I32:I33)</f>
        <v>24471</v>
      </c>
      <c r="J34" s="40"/>
      <c r="K34" s="40"/>
    </row>
    <row r="35" spans="2:13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54"/>
      <c r="J35" s="40"/>
    </row>
    <row r="36" spans="2:13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24471</v>
      </c>
    </row>
    <row r="37" spans="2:13" ht="20.25" customHeight="1" x14ac:dyDescent="0.2">
      <c r="B37" s="15" t="s">
        <v>80</v>
      </c>
      <c r="C37" s="71" t="s">
        <v>11</v>
      </c>
      <c r="D37" s="73"/>
      <c r="E37" s="73"/>
      <c r="F37" s="73"/>
      <c r="G37" s="73"/>
      <c r="H37" s="72"/>
      <c r="I37" s="47"/>
    </row>
    <row r="38" spans="2:13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24471</v>
      </c>
    </row>
    <row r="39" spans="2:13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3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3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3" x14ac:dyDescent="0.2">
      <c r="B43" s="6"/>
      <c r="C43" s="5"/>
      <c r="D43" s="5"/>
      <c r="E43" s="5"/>
      <c r="F43" s="5"/>
      <c r="G43" s="5"/>
      <c r="H43" s="5"/>
      <c r="I43" s="4"/>
    </row>
    <row r="44" spans="2:13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3" x14ac:dyDescent="0.2">
      <c r="B45" s="6"/>
      <c r="C45" s="5"/>
      <c r="D45" s="5"/>
      <c r="E45" s="5"/>
      <c r="F45" s="5"/>
      <c r="G45" s="5"/>
      <c r="H45" s="5"/>
      <c r="I45" s="4"/>
    </row>
    <row r="46" spans="2:13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3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3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265K0040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214</v>
      </c>
      <c r="C2" s="80"/>
      <c r="D2" s="80"/>
      <c r="E2" s="80"/>
      <c r="F2" s="80"/>
      <c r="G2" s="80"/>
      <c r="H2" s="80"/>
      <c r="I2" s="81"/>
      <c r="J2" s="43">
        <v>61296245</v>
      </c>
      <c r="K2" s="50">
        <v>6333</v>
      </c>
      <c r="L2" s="44">
        <v>43</v>
      </c>
      <c r="M2" s="44">
        <v>508.73899999999998</v>
      </c>
      <c r="N2" s="44">
        <v>521.40499999999997</v>
      </c>
      <c r="O2" s="44">
        <v>561.60500000000002</v>
      </c>
      <c r="P2" s="44" t="s">
        <v>54</v>
      </c>
      <c r="Q2" s="44">
        <v>2.5830000000000002</v>
      </c>
      <c r="R2" s="44" t="s">
        <v>62</v>
      </c>
    </row>
    <row r="3" spans="2:22" x14ac:dyDescent="0.2">
      <c r="B3" s="6" t="s">
        <v>53</v>
      </c>
      <c r="C3" s="64">
        <f>+'573'!C3+1</f>
        <v>574</v>
      </c>
      <c r="D3" s="5"/>
      <c r="E3" s="5"/>
      <c r="F3" s="5"/>
      <c r="G3" s="5" t="s">
        <v>52</v>
      </c>
      <c r="H3" s="31">
        <f>+'573'!H3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61296245</v>
      </c>
      <c r="C21" s="55">
        <f>VLOOKUP($K55,reff!E2:F29,2,0)</f>
        <v>893947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561.60500000000002</v>
      </c>
      <c r="G23" s="23">
        <f>+N2</f>
        <v>521.40499999999997</v>
      </c>
      <c r="H23" s="23">
        <f>+M2</f>
        <v>508.73899999999998</v>
      </c>
      <c r="I23" s="54">
        <f>+L2</f>
        <v>43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3"/>
      <c r="D26" s="73"/>
      <c r="E26" s="73"/>
      <c r="F26" s="73"/>
      <c r="G26" s="73"/>
      <c r="H26" s="73"/>
      <c r="I26" s="72"/>
    </row>
    <row r="27" spans="2:13" ht="24.75" customHeight="1" x14ac:dyDescent="0.2">
      <c r="B27" s="82" t="str">
        <f>+K4</f>
        <v>GIRLS COTTON FIBERS, KNIT PULLOVER, WITH NO NECK CLOSURE, STITCH COUNT IS GREATER THAN 9/2CM, REACHES WAIST [60% COTTON 40% POLYESTER]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5" t="s">
        <v>19</v>
      </c>
      <c r="E31" s="85"/>
      <c r="F31" s="85" t="s">
        <v>18</v>
      </c>
      <c r="G31" s="85"/>
      <c r="H31" s="54" t="s">
        <v>17</v>
      </c>
      <c r="I31" s="19" t="s">
        <v>16</v>
      </c>
      <c r="M31"/>
    </row>
    <row r="32" spans="2:13" ht="27.75" customHeight="1" x14ac:dyDescent="0.2">
      <c r="B32" s="41" t="s">
        <v>177</v>
      </c>
      <c r="C32" s="19" t="s">
        <v>208</v>
      </c>
      <c r="D32" s="77"/>
      <c r="E32" s="78"/>
      <c r="F32" s="77">
        <f>+K2</f>
        <v>6333</v>
      </c>
      <c r="G32" s="78"/>
      <c r="H32" s="17">
        <v>1.1000000000000001</v>
      </c>
      <c r="I32" s="18">
        <f>+H32*F32</f>
        <v>6966.3</v>
      </c>
      <c r="K32" s="48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61"/>
    </row>
    <row r="34" spans="2:11" ht="21.75" customHeight="1" x14ac:dyDescent="0.2">
      <c r="B34" s="15" t="s">
        <v>14</v>
      </c>
      <c r="C34" s="15"/>
      <c r="D34" s="86"/>
      <c r="E34" s="87"/>
      <c r="F34" s="77">
        <f>SUM(F32:G33)</f>
        <v>6333</v>
      </c>
      <c r="G34" s="78"/>
      <c r="H34" s="15"/>
      <c r="I34" s="14">
        <f>SUM(I32:I33)</f>
        <v>6966.3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6966.3</v>
      </c>
    </row>
    <row r="37" spans="2:11" ht="20.25" customHeight="1" x14ac:dyDescent="0.2">
      <c r="B37" s="15" t="s">
        <v>80</v>
      </c>
      <c r="C37" s="71" t="s">
        <v>11</v>
      </c>
      <c r="D37" s="73"/>
      <c r="E37" s="73"/>
      <c r="F37" s="73"/>
      <c r="G37" s="73"/>
      <c r="H37" s="7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6966.3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265K0032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  <c r="K55">
        <v>4</v>
      </c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8"/>
  <sheetViews>
    <sheetView view="pageBreakPreview" topLeftCell="A23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214</v>
      </c>
      <c r="C2" s="80"/>
      <c r="D2" s="80"/>
      <c r="E2" s="80"/>
      <c r="F2" s="80"/>
      <c r="G2" s="80"/>
      <c r="H2" s="80"/>
      <c r="I2" s="81"/>
      <c r="J2" s="43">
        <v>61296249</v>
      </c>
      <c r="K2" s="50">
        <v>5291</v>
      </c>
      <c r="L2" s="44">
        <v>42</v>
      </c>
      <c r="M2" s="44">
        <v>425.35300000000001</v>
      </c>
      <c r="N2" s="44">
        <v>435.935</v>
      </c>
      <c r="O2" s="44">
        <v>473.33499999999998</v>
      </c>
      <c r="P2" s="44" t="s">
        <v>54</v>
      </c>
      <c r="Q2" s="44">
        <v>2.214</v>
      </c>
      <c r="R2" s="44" t="s">
        <v>62</v>
      </c>
    </row>
    <row r="3" spans="2:22" x14ac:dyDescent="0.2">
      <c r="B3" s="6" t="s">
        <v>53</v>
      </c>
      <c r="C3" s="64">
        <f>+'574'!C3+1</f>
        <v>575</v>
      </c>
      <c r="D3" s="5"/>
      <c r="E3" s="5"/>
      <c r="F3" s="5"/>
      <c r="G3" s="5" t="s">
        <v>52</v>
      </c>
      <c r="H3" s="31">
        <f>+'574'!H3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209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61296249</v>
      </c>
      <c r="C21" s="55">
        <f>VLOOKUP($K55,reff!E2:F29,2,0)</f>
        <v>893957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473.33499999999998</v>
      </c>
      <c r="G23" s="23">
        <f>+N2</f>
        <v>435.935</v>
      </c>
      <c r="H23" s="23">
        <f>+M2</f>
        <v>425.35300000000001</v>
      </c>
      <c r="I23" s="54">
        <f>+L2</f>
        <v>42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3"/>
      <c r="D26" s="73"/>
      <c r="E26" s="73"/>
      <c r="F26" s="73"/>
      <c r="G26" s="73"/>
      <c r="H26" s="73"/>
      <c r="I26" s="72"/>
    </row>
    <row r="27" spans="2:13" ht="24.75" customHeight="1" x14ac:dyDescent="0.2">
      <c r="B27" s="82" t="str">
        <f>+K4</f>
        <v>GIRLS COTTON FIBERS, KNIT PULLOVER, WITH NO NECK CLOSURE, STITCH COUNT IS GREATER THAN 9/2CM, REACHES WAIST [100% COTTON]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5" t="s">
        <v>19</v>
      </c>
      <c r="E31" s="85"/>
      <c r="F31" s="85" t="s">
        <v>18</v>
      </c>
      <c r="G31" s="85"/>
      <c r="H31" s="54" t="s">
        <v>17</v>
      </c>
      <c r="I31" s="19" t="s">
        <v>16</v>
      </c>
      <c r="M31"/>
    </row>
    <row r="32" spans="2:13" ht="27.75" customHeight="1" x14ac:dyDescent="0.2">
      <c r="B32" s="41" t="s">
        <v>177</v>
      </c>
      <c r="C32" s="19" t="s">
        <v>180</v>
      </c>
      <c r="D32" s="77"/>
      <c r="E32" s="78"/>
      <c r="F32" s="77">
        <f>+K2</f>
        <v>5291</v>
      </c>
      <c r="G32" s="78"/>
      <c r="H32" s="17">
        <v>0.78</v>
      </c>
      <c r="I32" s="18">
        <f>+H32*F32</f>
        <v>4126.9800000000005</v>
      </c>
      <c r="K32" s="48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54"/>
    </row>
    <row r="34" spans="2:11" ht="21.75" customHeight="1" x14ac:dyDescent="0.2">
      <c r="B34" s="15" t="s">
        <v>14</v>
      </c>
      <c r="C34" s="15"/>
      <c r="D34" s="86"/>
      <c r="E34" s="87"/>
      <c r="F34" s="77">
        <f>SUM(F32:G33)</f>
        <v>5291</v>
      </c>
      <c r="G34" s="78"/>
      <c r="H34" s="15"/>
      <c r="I34" s="14">
        <f>SUM(I32:I33)</f>
        <v>4126.9800000000005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4126.9800000000005</v>
      </c>
    </row>
    <row r="37" spans="2:11" ht="20.25" customHeight="1" x14ac:dyDescent="0.2">
      <c r="B37" s="15" t="s">
        <v>80</v>
      </c>
      <c r="C37" s="71" t="s">
        <v>11</v>
      </c>
      <c r="D37" s="73"/>
      <c r="E37" s="73"/>
      <c r="F37" s="73"/>
      <c r="G37" s="73"/>
      <c r="H37" s="7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4126.9800000000005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265K0030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  <c r="K55">
        <v>5</v>
      </c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8"/>
  <sheetViews>
    <sheetView view="pageBreakPreview" topLeftCell="A20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214</v>
      </c>
      <c r="C2" s="80"/>
      <c r="D2" s="80"/>
      <c r="E2" s="80"/>
      <c r="F2" s="80"/>
      <c r="G2" s="80"/>
      <c r="H2" s="80"/>
      <c r="I2" s="81"/>
      <c r="J2" s="43">
        <v>61364823</v>
      </c>
      <c r="K2" s="50">
        <v>5564</v>
      </c>
      <c r="L2" s="44">
        <v>40</v>
      </c>
      <c r="M2" s="44">
        <v>449.59199999999998</v>
      </c>
      <c r="N2" s="44">
        <v>460.72</v>
      </c>
      <c r="O2" s="44">
        <v>497.17</v>
      </c>
      <c r="P2" s="44" t="s">
        <v>54</v>
      </c>
      <c r="Q2" s="44">
        <v>2.298</v>
      </c>
      <c r="R2" s="44" t="s">
        <v>62</v>
      </c>
    </row>
    <row r="3" spans="2:22" x14ac:dyDescent="0.2">
      <c r="B3" s="6" t="s">
        <v>53</v>
      </c>
      <c r="C3" s="64">
        <f>+'575'!C3+1</f>
        <v>576</v>
      </c>
      <c r="D3" s="5"/>
      <c r="E3" s="5"/>
      <c r="F3" s="5"/>
      <c r="G3" s="5" t="s">
        <v>52</v>
      </c>
      <c r="H3" s="31">
        <f>+'575'!H3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61364823</v>
      </c>
      <c r="C21" s="55">
        <f>VLOOKUP($K56,reff!E2:F29,2,0)</f>
        <v>896206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497.17</v>
      </c>
      <c r="G23" s="23">
        <f>+N2</f>
        <v>460.72</v>
      </c>
      <c r="H23" s="23">
        <f>+M2</f>
        <v>449.59199999999998</v>
      </c>
      <c r="I23" s="54">
        <f>+L2</f>
        <v>40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3"/>
      <c r="D26" s="73"/>
      <c r="E26" s="73"/>
      <c r="F26" s="73"/>
      <c r="G26" s="73"/>
      <c r="H26" s="73"/>
      <c r="I26" s="72"/>
    </row>
    <row r="27" spans="2:13" ht="24.75" customHeight="1" x14ac:dyDescent="0.2">
      <c r="B27" s="82" t="str">
        <f>+K4</f>
        <v>GIRLS COTTON FIBERS, KNIT PULLOVER, WITH NO NECK CLOSURE, STITCH COUNT IS GREATER THAN 9/2CM, REACHES WAIST [60% COTTON 40% POLYESTER]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5" t="s">
        <v>19</v>
      </c>
      <c r="E31" s="85"/>
      <c r="F31" s="85" t="s">
        <v>18</v>
      </c>
      <c r="G31" s="85"/>
      <c r="H31" s="54" t="s">
        <v>17</v>
      </c>
      <c r="I31" s="19" t="s">
        <v>16</v>
      </c>
      <c r="M31"/>
    </row>
    <row r="32" spans="2:13" ht="27.75" customHeight="1" x14ac:dyDescent="0.2">
      <c r="B32" s="41" t="s">
        <v>187</v>
      </c>
      <c r="C32" s="19" t="s">
        <v>186</v>
      </c>
      <c r="D32" s="77"/>
      <c r="E32" s="78"/>
      <c r="F32" s="77">
        <f>+K2</f>
        <v>5564</v>
      </c>
      <c r="G32" s="78"/>
      <c r="H32" s="17">
        <v>0.81</v>
      </c>
      <c r="I32" s="18">
        <f>+H32*F32</f>
        <v>4506.84</v>
      </c>
      <c r="K32" s="48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54"/>
    </row>
    <row r="34" spans="2:11" ht="21.75" customHeight="1" x14ac:dyDescent="0.2">
      <c r="B34" s="15" t="s">
        <v>14</v>
      </c>
      <c r="C34" s="15"/>
      <c r="D34" s="86"/>
      <c r="E34" s="87"/>
      <c r="F34" s="77">
        <f>SUM(F32:G33)</f>
        <v>5564</v>
      </c>
      <c r="G34" s="78"/>
      <c r="H34" s="15"/>
      <c r="I34" s="14">
        <f>SUM(I32:I33)</f>
        <v>4506.84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4506.84</v>
      </c>
    </row>
    <row r="37" spans="2:11" ht="20.25" customHeight="1" x14ac:dyDescent="0.2">
      <c r="B37" s="15" t="s">
        <v>80</v>
      </c>
      <c r="C37" s="71" t="s">
        <v>11</v>
      </c>
      <c r="D37" s="73"/>
      <c r="E37" s="73"/>
      <c r="F37" s="73"/>
      <c r="G37" s="73"/>
      <c r="H37" s="7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4506.84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265K0028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214</v>
      </c>
      <c r="C2" s="80"/>
      <c r="D2" s="80"/>
      <c r="E2" s="80"/>
      <c r="F2" s="80"/>
      <c r="G2" s="80"/>
      <c r="H2" s="80"/>
      <c r="I2" s="81"/>
      <c r="J2" s="43">
        <v>61420125</v>
      </c>
      <c r="K2" s="50">
        <v>10664</v>
      </c>
      <c r="L2" s="44">
        <v>77</v>
      </c>
      <c r="M2" s="44">
        <v>664.38</v>
      </c>
      <c r="N2" s="44">
        <v>877.66</v>
      </c>
      <c r="O2" s="44">
        <v>948.56</v>
      </c>
      <c r="P2" s="44" t="s">
        <v>54</v>
      </c>
      <c r="Q2" s="44">
        <v>4.3949999999999996</v>
      </c>
      <c r="R2" s="44" t="s">
        <v>62</v>
      </c>
    </row>
    <row r="3" spans="2:22" x14ac:dyDescent="0.2">
      <c r="B3" s="6" t="s">
        <v>53</v>
      </c>
      <c r="C3" s="64">
        <f>'576'!C3+1</f>
        <v>577</v>
      </c>
      <c r="D3" s="5"/>
      <c r="E3" s="5"/>
      <c r="F3" s="5"/>
      <c r="G3" s="5" t="s">
        <v>52</v>
      </c>
      <c r="H3" s="31">
        <f>+'576'!H3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209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9">
        <f>J2</f>
        <v>61420125</v>
      </c>
      <c r="C21" s="58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9" t="s">
        <v>35</v>
      </c>
      <c r="G21" s="59"/>
      <c r="H21" s="49" t="str">
        <f>IF(LEFT(G17,2)="CA","CA",IF(LEFT(G17,2)="UN","US",IF(LEFT(G17,2)="PA","PA",IF(LEFT(G17,2)="JA","JP"))))</f>
        <v>US</v>
      </c>
      <c r="I21" s="59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9" t="s">
        <v>25</v>
      </c>
      <c r="C23" s="59"/>
      <c r="D23" s="59" t="s">
        <v>24</v>
      </c>
      <c r="E23" s="59" t="str">
        <f>+D23</f>
        <v>JAKARTA,ID</v>
      </c>
      <c r="F23" s="23">
        <f>+O2</f>
        <v>948.56</v>
      </c>
      <c r="G23" s="23">
        <f>+N2</f>
        <v>877.66</v>
      </c>
      <c r="H23" s="23">
        <f>+M2</f>
        <v>664.38</v>
      </c>
      <c r="I23" s="59">
        <f>+L2</f>
        <v>77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3"/>
      <c r="D26" s="73"/>
      <c r="E26" s="73"/>
      <c r="F26" s="73"/>
      <c r="G26" s="73"/>
      <c r="H26" s="73"/>
      <c r="I26" s="72"/>
    </row>
    <row r="27" spans="2:13" ht="24.75" customHeight="1" x14ac:dyDescent="0.2">
      <c r="B27" s="82" t="str">
        <f>+K4</f>
        <v>GIRLS COTTON FIBERS, KNIT PULLOVER, WITH NO NECK CLOSURE, STITCH COUNT IS GREATER THAN 9/2CM, REACHES WAIST [100% COTTON]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9" t="s">
        <v>21</v>
      </c>
      <c r="C31" s="59" t="s">
        <v>20</v>
      </c>
      <c r="D31" s="85" t="s">
        <v>19</v>
      </c>
      <c r="E31" s="85"/>
      <c r="F31" s="85" t="s">
        <v>18</v>
      </c>
      <c r="G31" s="85"/>
      <c r="H31" s="59" t="s">
        <v>17</v>
      </c>
      <c r="I31" s="19" t="s">
        <v>16</v>
      </c>
      <c r="M31"/>
    </row>
    <row r="32" spans="2:13" ht="39" customHeight="1" x14ac:dyDescent="0.2">
      <c r="B32" s="41" t="s">
        <v>183</v>
      </c>
      <c r="C32" s="19" t="s">
        <v>190</v>
      </c>
      <c r="D32" s="77"/>
      <c r="E32" s="78"/>
      <c r="F32" s="77">
        <f>+K2</f>
        <v>10664</v>
      </c>
      <c r="G32" s="78"/>
      <c r="H32" s="17">
        <v>0.81</v>
      </c>
      <c r="I32" s="18">
        <f>+H32*F32</f>
        <v>8637.84</v>
      </c>
      <c r="K32" s="48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59"/>
    </row>
    <row r="34" spans="2:11" ht="21.75" customHeight="1" x14ac:dyDescent="0.2">
      <c r="B34" s="15" t="s">
        <v>14</v>
      </c>
      <c r="C34" s="15"/>
      <c r="D34" s="86"/>
      <c r="E34" s="87"/>
      <c r="F34" s="77">
        <f>SUM(F32:G33)</f>
        <v>10664</v>
      </c>
      <c r="G34" s="78"/>
      <c r="H34" s="15"/>
      <c r="I34" s="14">
        <f>SUM(I32:I33)</f>
        <v>8637.84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59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8637.84</v>
      </c>
    </row>
    <row r="37" spans="2:11" ht="20.25" customHeight="1" x14ac:dyDescent="0.2">
      <c r="B37" s="15" t="s">
        <v>80</v>
      </c>
      <c r="C37" s="71" t="s">
        <v>11</v>
      </c>
      <c r="D37" s="73"/>
      <c r="E37" s="73"/>
      <c r="F37" s="73"/>
      <c r="G37" s="73"/>
      <c r="H37" s="7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8637.84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265K0035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7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B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B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V59"/>
  <sheetViews>
    <sheetView tabSelected="1" view="pageBreakPreview" topLeftCell="G1" zoomScaleNormal="100" zoomScaleSheetLayoutView="100" workbookViewId="0">
      <selection activeCell="N2" sqref="N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214</v>
      </c>
      <c r="C2" s="80"/>
      <c r="D2" s="80"/>
      <c r="E2" s="80"/>
      <c r="F2" s="80"/>
      <c r="G2" s="80"/>
      <c r="H2" s="80"/>
      <c r="I2" s="81"/>
      <c r="J2" s="43">
        <v>61635632</v>
      </c>
      <c r="K2" s="50">
        <v>8484</v>
      </c>
      <c r="L2" s="44">
        <v>65</v>
      </c>
      <c r="M2" s="44">
        <v>570.41200000000003</v>
      </c>
      <c r="N2" s="44">
        <v>598.38</v>
      </c>
      <c r="O2" s="44">
        <v>645.22</v>
      </c>
      <c r="P2" s="44" t="s">
        <v>54</v>
      </c>
      <c r="Q2" s="44">
        <v>3.5059999999999998</v>
      </c>
      <c r="R2" s="44" t="s">
        <v>62</v>
      </c>
    </row>
    <row r="3" spans="2:22" x14ac:dyDescent="0.2">
      <c r="B3" s="6" t="s">
        <v>53</v>
      </c>
      <c r="C3" s="64">
        <f>'577'!C3+1</f>
        <v>578</v>
      </c>
      <c r="D3" s="5"/>
      <c r="E3" s="5"/>
      <c r="F3" s="5"/>
      <c r="G3" s="5" t="s">
        <v>52</v>
      </c>
      <c r="H3" s="31">
        <f>+'577'!H3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213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9">
        <f>J2</f>
        <v>61635632</v>
      </c>
      <c r="C21" s="58">
        <f>VLOOKUP($K57,reff!E2:F29,2,0)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9" t="s">
        <v>35</v>
      </c>
      <c r="G21" s="59"/>
      <c r="H21" s="49" t="str">
        <f>IF(LEFT(G17,2)="CA","CA",IF(LEFT(G17,2)="UN","US",IF(LEFT(G17,2)="PA","PA",IF(LEFT(G17,2)="JA","JP"))))</f>
        <v>US</v>
      </c>
      <c r="I21" s="59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9" t="s">
        <v>25</v>
      </c>
      <c r="C23" s="59"/>
      <c r="D23" s="59" t="s">
        <v>24</v>
      </c>
      <c r="E23" s="59" t="str">
        <f>+D23</f>
        <v>JAKARTA,ID</v>
      </c>
      <c r="F23" s="23">
        <f>+O2</f>
        <v>645.22</v>
      </c>
      <c r="G23" s="23">
        <f>+N2</f>
        <v>598.38</v>
      </c>
      <c r="H23" s="23">
        <f>+M2</f>
        <v>570.41200000000003</v>
      </c>
      <c r="I23" s="59">
        <f>+L2</f>
        <v>65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3"/>
      <c r="D26" s="73"/>
      <c r="E26" s="73"/>
      <c r="F26" s="73"/>
      <c r="G26" s="73"/>
      <c r="H26" s="73"/>
      <c r="I26" s="72"/>
    </row>
    <row r="27" spans="2:13" ht="24.75" customHeight="1" x14ac:dyDescent="0.2">
      <c r="B27" s="82" t="str">
        <f>+K4</f>
        <v>Girls Cotton Fibers, Knit Pullover, With No Neck Closure, Stitch Count Is Greater Than 9/2cm, Reaches Waist [100% Cotton]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9" t="s">
        <v>21</v>
      </c>
      <c r="C31" s="59" t="s">
        <v>20</v>
      </c>
      <c r="D31" s="85" t="s">
        <v>19</v>
      </c>
      <c r="E31" s="85"/>
      <c r="F31" s="85" t="s">
        <v>18</v>
      </c>
      <c r="G31" s="85"/>
      <c r="H31" s="59" t="s">
        <v>17</v>
      </c>
      <c r="I31" s="19" t="s">
        <v>16</v>
      </c>
      <c r="M31"/>
    </row>
    <row r="32" spans="2:13" ht="39" customHeight="1" x14ac:dyDescent="0.2">
      <c r="B32" s="41" t="s">
        <v>211</v>
      </c>
      <c r="C32" s="19" t="s">
        <v>210</v>
      </c>
      <c r="D32" s="77"/>
      <c r="E32" s="78"/>
      <c r="F32" s="77">
        <v>4456</v>
      </c>
      <c r="G32" s="78"/>
      <c r="H32" s="17">
        <v>0.81</v>
      </c>
      <c r="I32" s="18">
        <f>+H32*F32</f>
        <v>3609.36</v>
      </c>
      <c r="K32" s="48"/>
      <c r="M32" s="39"/>
    </row>
    <row r="33" spans="2:13" ht="39" customHeight="1" x14ac:dyDescent="0.2">
      <c r="B33" s="41" t="s">
        <v>179</v>
      </c>
      <c r="C33" s="19" t="s">
        <v>212</v>
      </c>
      <c r="D33" s="77"/>
      <c r="E33" s="78"/>
      <c r="F33" s="77">
        <v>4028</v>
      </c>
      <c r="G33" s="78"/>
      <c r="H33" s="17">
        <v>0.81</v>
      </c>
      <c r="I33" s="18">
        <f>+H33*F33</f>
        <v>3262.6800000000003</v>
      </c>
      <c r="K33" s="48"/>
      <c r="M33" s="39"/>
    </row>
    <row r="34" spans="2:13" ht="21" customHeight="1" x14ac:dyDescent="0.2">
      <c r="B34" s="15" t="s">
        <v>15</v>
      </c>
      <c r="C34" s="15"/>
      <c r="D34" s="71"/>
      <c r="E34" s="72"/>
      <c r="F34" s="71"/>
      <c r="G34" s="72"/>
      <c r="H34" s="17"/>
      <c r="I34" s="59"/>
    </row>
    <row r="35" spans="2:13" ht="21.75" customHeight="1" x14ac:dyDescent="0.2">
      <c r="B35" s="15" t="s">
        <v>14</v>
      </c>
      <c r="C35" s="15"/>
      <c r="D35" s="86"/>
      <c r="E35" s="87"/>
      <c r="F35" s="77">
        <f>SUM(F32:G34)</f>
        <v>8484</v>
      </c>
      <c r="G35" s="78"/>
      <c r="H35" s="15"/>
      <c r="I35" s="14">
        <f>SUM(I32:I34)</f>
        <v>6872.0400000000009</v>
      </c>
      <c r="J35" s="40"/>
      <c r="K35" s="40"/>
    </row>
    <row r="36" spans="2:13" ht="21.75" customHeight="1" x14ac:dyDescent="0.2">
      <c r="B36" s="16" t="s">
        <v>13</v>
      </c>
      <c r="C36" s="15"/>
      <c r="D36" s="71"/>
      <c r="E36" s="72"/>
      <c r="F36" s="71"/>
      <c r="G36" s="72"/>
      <c r="H36" s="15"/>
      <c r="I36" s="59"/>
      <c r="J36" s="40"/>
    </row>
    <row r="37" spans="2:13" ht="21.75" customHeight="1" x14ac:dyDescent="0.2">
      <c r="B37" s="16" t="s">
        <v>12</v>
      </c>
      <c r="C37" s="15"/>
      <c r="D37" s="71"/>
      <c r="E37" s="72"/>
      <c r="F37" s="71"/>
      <c r="G37" s="72"/>
      <c r="H37" s="15"/>
      <c r="I37" s="14">
        <f>+I35</f>
        <v>6872.0400000000009</v>
      </c>
    </row>
    <row r="38" spans="2:13" ht="20.25" customHeight="1" x14ac:dyDescent="0.2">
      <c r="B38" s="15" t="s">
        <v>80</v>
      </c>
      <c r="C38" s="71" t="s">
        <v>11</v>
      </c>
      <c r="D38" s="73"/>
      <c r="E38" s="73"/>
      <c r="F38" s="73"/>
      <c r="G38" s="73"/>
      <c r="H38" s="72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6872.0400000000009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4" t="s">
        <v>7</v>
      </c>
      <c r="C47" s="74"/>
      <c r="D47" s="74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265K0060</v>
      </c>
      <c r="I53" s="8"/>
      <c r="K53">
        <v>8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5" t="s">
        <v>1</v>
      </c>
      <c r="D56" s="75"/>
      <c r="E56" s="5"/>
      <c r="F56" s="5"/>
      <c r="G56" s="5"/>
      <c r="H56" s="5"/>
      <c r="I56" s="4"/>
    </row>
    <row r="57" spans="2:11" x14ac:dyDescent="0.2">
      <c r="B57" s="6"/>
      <c r="C57" s="76" t="s">
        <v>0</v>
      </c>
      <c r="D57" s="76"/>
      <c r="E57" s="5"/>
      <c r="F57" s="5"/>
      <c r="G57" s="5"/>
      <c r="H57" s="5"/>
      <c r="I57" s="4"/>
      <c r="K57">
        <v>8</v>
      </c>
    </row>
    <row r="58" spans="2:11" x14ac:dyDescent="0.2">
      <c r="B58" s="2"/>
      <c r="C58" s="70"/>
      <c r="D58" s="70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C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C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622-0C14-4DE1-B095-6F38E9934A5C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214</v>
      </c>
      <c r="C2" s="80"/>
      <c r="D2" s="80"/>
      <c r="E2" s="80"/>
      <c r="F2" s="80"/>
      <c r="G2" s="80"/>
      <c r="H2" s="80"/>
      <c r="I2" s="81"/>
      <c r="J2" s="43">
        <v>61414241</v>
      </c>
      <c r="K2" s="50">
        <v>2425</v>
      </c>
      <c r="L2" s="44">
        <v>21</v>
      </c>
      <c r="M2" s="44">
        <v>156.65</v>
      </c>
      <c r="N2" s="44">
        <v>205.15</v>
      </c>
      <c r="O2" s="44">
        <v>223.55</v>
      </c>
      <c r="P2" s="44" t="s">
        <v>54</v>
      </c>
      <c r="Q2" s="44">
        <v>1.006</v>
      </c>
      <c r="R2" s="44" t="s">
        <v>62</v>
      </c>
    </row>
    <row r="3" spans="2:22" x14ac:dyDescent="0.2">
      <c r="B3" s="6" t="s">
        <v>53</v>
      </c>
      <c r="C3" s="64">
        <f>+'578'!C3+1</f>
        <v>579</v>
      </c>
      <c r="D3" s="5"/>
      <c r="E3" s="5"/>
      <c r="F3" s="5"/>
      <c r="G3" s="5" t="s">
        <v>52</v>
      </c>
      <c r="H3" s="31">
        <f>+'578'!H3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209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61414241</v>
      </c>
      <c r="C21" s="62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223.55</v>
      </c>
      <c r="G23" s="23">
        <f>+N2</f>
        <v>205.15</v>
      </c>
      <c r="H23" s="23">
        <f>+M2</f>
        <v>156.65</v>
      </c>
      <c r="I23" s="63">
        <f>+L2</f>
        <v>21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3"/>
      <c r="D26" s="73"/>
      <c r="E26" s="73"/>
      <c r="F26" s="73"/>
      <c r="G26" s="73"/>
      <c r="H26" s="73"/>
      <c r="I26" s="72"/>
    </row>
    <row r="27" spans="2:13" ht="24.75" customHeight="1" x14ac:dyDescent="0.2">
      <c r="B27" s="82" t="str">
        <f>+K4</f>
        <v>GIRLS COTTON FIBERS, KNIT PULLOVER, WITH NO NECK CLOSURE, STITCH COUNT IS GREATER THAN 9/2CM, REACHES WAIST [100% COTTON]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85" t="s">
        <v>19</v>
      </c>
      <c r="E31" s="85"/>
      <c r="F31" s="85" t="s">
        <v>18</v>
      </c>
      <c r="G31" s="85"/>
      <c r="H31" s="63" t="s">
        <v>17</v>
      </c>
      <c r="I31" s="19" t="s">
        <v>16</v>
      </c>
      <c r="M31"/>
    </row>
    <row r="32" spans="2:13" ht="39" customHeight="1" x14ac:dyDescent="0.2">
      <c r="B32" s="41" t="s">
        <v>183</v>
      </c>
      <c r="C32" s="19" t="s">
        <v>190</v>
      </c>
      <c r="D32" s="77"/>
      <c r="E32" s="78"/>
      <c r="F32" s="77">
        <f>+K2</f>
        <v>2425</v>
      </c>
      <c r="G32" s="78"/>
      <c r="H32" s="17">
        <v>0.81</v>
      </c>
      <c r="I32" s="18">
        <f>+H32*F32</f>
        <v>1964.2500000000002</v>
      </c>
      <c r="K32" s="48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63"/>
    </row>
    <row r="34" spans="2:11" ht="21.75" customHeight="1" x14ac:dyDescent="0.2">
      <c r="B34" s="15" t="s">
        <v>14</v>
      </c>
      <c r="C34" s="15"/>
      <c r="D34" s="86"/>
      <c r="E34" s="87"/>
      <c r="F34" s="77">
        <f>SUM(F32:G33)</f>
        <v>2425</v>
      </c>
      <c r="G34" s="78"/>
      <c r="H34" s="15"/>
      <c r="I34" s="14">
        <f>SUM(I32:I33)</f>
        <v>1964.2500000000002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63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1964.2500000000002</v>
      </c>
    </row>
    <row r="37" spans="2:11" ht="20.25" customHeight="1" x14ac:dyDescent="0.2">
      <c r="B37" s="15" t="s">
        <v>80</v>
      </c>
      <c r="C37" s="71" t="s">
        <v>11</v>
      </c>
      <c r="D37" s="73"/>
      <c r="E37" s="73"/>
      <c r="F37" s="73"/>
      <c r="G37" s="73"/>
      <c r="H37" s="7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1964.2500000000002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265K0035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AFC6512-9B06-421B-AFF0-7835EC1108E8}">
          <x14:formula1>
            <xm:f>Sheet1!$K$5:$K$12</xm:f>
          </x14:formula1>
          <xm:sqref>B14</xm:sqref>
        </x14:dataValidation>
        <x14:dataValidation type="list" allowBlank="1" showInputMessage="1" showErrorMessage="1" xr:uid="{845F5CD3-75AC-4BC8-B90C-B97FA977A87C}">
          <x14:formula1>
            <xm:f>Sheet1!$B$17:$B$18</xm:f>
          </x14:formula1>
          <xm:sqref>G5</xm:sqref>
        </x14:dataValidation>
        <x14:dataValidation type="list" allowBlank="1" showInputMessage="1" showErrorMessage="1" xr:uid="{63B3F182-BA30-4E9F-9DFC-60A60C700FEF}">
          <x14:formula1>
            <xm:f>Sheet1!$L$5:$L$25</xm:f>
          </x14:formula1>
          <xm:sqref>G13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0DA6-9D0E-4919-8EA7-82A26E7A99A8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214</v>
      </c>
      <c r="C2" s="80"/>
      <c r="D2" s="80"/>
      <c r="E2" s="80"/>
      <c r="F2" s="80"/>
      <c r="G2" s="80"/>
      <c r="H2" s="80"/>
      <c r="I2" s="81"/>
      <c r="J2" s="43">
        <v>61365565</v>
      </c>
      <c r="K2" s="44">
        <v>515</v>
      </c>
      <c r="L2" s="44">
        <v>7</v>
      </c>
      <c r="M2" s="44">
        <v>41.844999999999999</v>
      </c>
      <c r="N2" s="44">
        <v>43.180999999999997</v>
      </c>
      <c r="O2" s="44">
        <v>48.680999999999997</v>
      </c>
      <c r="P2" s="44" t="s">
        <v>54</v>
      </c>
      <c r="Q2" s="44">
        <v>0.23499999999999999</v>
      </c>
      <c r="R2" s="44" t="s">
        <v>62</v>
      </c>
    </row>
    <row r="3" spans="2:22" x14ac:dyDescent="0.2">
      <c r="B3" s="6" t="s">
        <v>53</v>
      </c>
      <c r="C3" s="64">
        <f>+'579'!C3+1</f>
        <v>580</v>
      </c>
      <c r="D3" s="5"/>
      <c r="E3" s="5"/>
      <c r="F3" s="5"/>
      <c r="G3" s="5" t="s">
        <v>52</v>
      </c>
      <c r="H3" s="31">
        <f>+'579'!H3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61365565</v>
      </c>
      <c r="C21" s="62">
        <f>VLOOKUP($K56,reff!E2:F29,2,0)</f>
        <v>896206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48.680999999999997</v>
      </c>
      <c r="G23" s="23">
        <f>+N2</f>
        <v>43.180999999999997</v>
      </c>
      <c r="H23" s="23">
        <f>+M2</f>
        <v>41.844999999999999</v>
      </c>
      <c r="I23" s="63">
        <f>+L2</f>
        <v>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3"/>
      <c r="D26" s="73"/>
      <c r="E26" s="73"/>
      <c r="F26" s="73"/>
      <c r="G26" s="73"/>
      <c r="H26" s="73"/>
      <c r="I26" s="72"/>
    </row>
    <row r="27" spans="2:13" ht="24.75" customHeight="1" x14ac:dyDescent="0.2">
      <c r="B27" s="82" t="str">
        <f>+K4</f>
        <v>GIRLS COTTON FIBERS, KNIT PULLOVER, WITH NO NECK CLOSURE, STITCH COUNT IS GREATER THAN 9/2CM, REACHES WAIST [60% COTTON 40% POLYESTER]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85" t="s">
        <v>19</v>
      </c>
      <c r="E31" s="85"/>
      <c r="F31" s="85" t="s">
        <v>18</v>
      </c>
      <c r="G31" s="85"/>
      <c r="H31" s="63" t="s">
        <v>17</v>
      </c>
      <c r="I31" s="19" t="s">
        <v>16</v>
      </c>
      <c r="M31"/>
    </row>
    <row r="32" spans="2:13" ht="39" customHeight="1" x14ac:dyDescent="0.2">
      <c r="B32" s="41" t="s">
        <v>187</v>
      </c>
      <c r="C32" s="19" t="s">
        <v>186</v>
      </c>
      <c r="D32" s="77"/>
      <c r="E32" s="78"/>
      <c r="F32" s="77">
        <f>+K2</f>
        <v>515</v>
      </c>
      <c r="G32" s="78"/>
      <c r="H32" s="17">
        <v>0.81</v>
      </c>
      <c r="I32" s="18">
        <f>+H32*F32</f>
        <v>417.15000000000003</v>
      </c>
      <c r="K32" s="48"/>
      <c r="M32" s="39"/>
    </row>
    <row r="33" spans="2:11" ht="21" customHeight="1" x14ac:dyDescent="0.2">
      <c r="B33" s="15" t="s">
        <v>15</v>
      </c>
      <c r="C33" s="15"/>
      <c r="D33" s="68"/>
      <c r="E33" s="65"/>
      <c r="F33" s="71"/>
      <c r="G33" s="72"/>
      <c r="H33" s="17"/>
      <c r="I33" s="63"/>
    </row>
    <row r="34" spans="2:11" ht="21.75" customHeight="1" x14ac:dyDescent="0.2">
      <c r="B34" s="15" t="s">
        <v>14</v>
      </c>
      <c r="C34" s="15"/>
      <c r="D34" s="71"/>
      <c r="E34" s="72"/>
      <c r="F34" s="77">
        <f>SUM(F32:G33)</f>
        <v>515</v>
      </c>
      <c r="G34" s="78"/>
      <c r="H34" s="15"/>
      <c r="I34" s="14">
        <f>SUM(I32:I33)</f>
        <v>417.15000000000003</v>
      </c>
      <c r="J34" s="40"/>
      <c r="K34" s="40"/>
    </row>
    <row r="35" spans="2:11" ht="21.75" customHeight="1" x14ac:dyDescent="0.2">
      <c r="B35" s="16" t="s">
        <v>13</v>
      </c>
      <c r="C35" s="15"/>
      <c r="E35" s="65"/>
      <c r="F35" s="71"/>
      <c r="G35" s="72"/>
      <c r="H35" s="15"/>
      <c r="I35" s="63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417.15000000000003</v>
      </c>
    </row>
    <row r="37" spans="2:11" ht="20.25" customHeight="1" x14ac:dyDescent="0.2">
      <c r="B37" s="15" t="s">
        <v>80</v>
      </c>
      <c r="C37" s="71" t="s">
        <v>11</v>
      </c>
      <c r="D37" s="73"/>
      <c r="E37" s="73"/>
      <c r="F37" s="73"/>
      <c r="G37" s="73"/>
      <c r="H37" s="7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417.15000000000003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265K0028</v>
      </c>
      <c r="I52" s="8"/>
      <c r="K52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10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18">
    <mergeCell ref="F33:G33"/>
    <mergeCell ref="D34:E34"/>
    <mergeCell ref="F34:G34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B3B75E7-ACBA-46AA-8C70-8C98EBADC7EA}">
          <x14:formula1>
            <xm:f>Sheet1!$L$5:$L$25</xm:f>
          </x14:formula1>
          <xm:sqref>G13</xm:sqref>
        </x14:dataValidation>
        <x14:dataValidation type="list" allowBlank="1" showInputMessage="1" showErrorMessage="1" xr:uid="{AC79E212-3EA6-4BDB-8C91-8ADAB50900C8}">
          <x14:formula1>
            <xm:f>Sheet1!$B$17:$B$18</xm:f>
          </x14:formula1>
          <xm:sqref>G5</xm:sqref>
        </x14:dataValidation>
        <x14:dataValidation type="list" allowBlank="1" showInputMessage="1" showErrorMessage="1" xr:uid="{5A53E507-43A5-41F1-8FD3-C00E11684353}">
          <x14:formula1>
            <xm:f>Sheet1!$K$5:$K$12</xm:f>
          </x14:formula1>
          <xm:sqref>B14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FEDF-D78C-4BD5-A59A-4CB6E8E43A86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214</v>
      </c>
      <c r="C2" s="80"/>
      <c r="D2" s="80"/>
      <c r="E2" s="80"/>
      <c r="F2" s="80"/>
      <c r="G2" s="80"/>
      <c r="H2" s="80"/>
      <c r="I2" s="81"/>
      <c r="J2" s="43">
        <v>61365573</v>
      </c>
      <c r="K2" s="44">
        <v>452</v>
      </c>
      <c r="L2" s="44">
        <v>5</v>
      </c>
      <c r="M2" s="44">
        <v>36.750999999999998</v>
      </c>
      <c r="N2" s="44">
        <v>37.914999999999999</v>
      </c>
      <c r="O2" s="44">
        <v>42.115000000000002</v>
      </c>
      <c r="P2" s="44" t="s">
        <v>54</v>
      </c>
      <c r="Q2" s="44">
        <v>0.20100000000000001</v>
      </c>
      <c r="R2" s="44" t="s">
        <v>62</v>
      </c>
    </row>
    <row r="3" spans="2:22" x14ac:dyDescent="0.2">
      <c r="B3" s="6" t="s">
        <v>53</v>
      </c>
      <c r="C3" s="64">
        <f>+'580'!C3+1</f>
        <v>581</v>
      </c>
      <c r="D3" s="5"/>
      <c r="E3" s="5"/>
      <c r="F3" s="5"/>
      <c r="G3" s="5" t="s">
        <v>52</v>
      </c>
      <c r="H3" s="31">
        <f>+'580'!H3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209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61365573</v>
      </c>
      <c r="C21" s="62">
        <f>VLOOKUP($K56,reff!E2:F29,2,0)</f>
        <v>893958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42.115000000000002</v>
      </c>
      <c r="G23" s="23">
        <f>+N2</f>
        <v>37.914999999999999</v>
      </c>
      <c r="H23" s="23">
        <f>+M2</f>
        <v>36.750999999999998</v>
      </c>
      <c r="I23" s="63">
        <f>+L2</f>
        <v>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3"/>
      <c r="D26" s="73"/>
      <c r="E26" s="73"/>
      <c r="F26" s="73"/>
      <c r="G26" s="73"/>
      <c r="H26" s="73"/>
      <c r="I26" s="72"/>
    </row>
    <row r="27" spans="2:13" ht="24.75" customHeight="1" x14ac:dyDescent="0.2">
      <c r="B27" s="82" t="str">
        <f>+K4</f>
        <v>GIRLS COTTON FIBERS, KNIT PULLOVER, WITH NO NECK CLOSURE, STITCH COUNT IS GREATER THAN 9/2CM, REACHES WAIST [100% COTTON]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85" t="s">
        <v>19</v>
      </c>
      <c r="E31" s="85"/>
      <c r="F31" s="85" t="s">
        <v>18</v>
      </c>
      <c r="G31" s="85"/>
      <c r="H31" s="63" t="s">
        <v>17</v>
      </c>
      <c r="I31" s="19" t="s">
        <v>16</v>
      </c>
      <c r="M31"/>
    </row>
    <row r="32" spans="2:13" ht="39" customHeight="1" x14ac:dyDescent="0.2">
      <c r="B32" s="41" t="s">
        <v>179</v>
      </c>
      <c r="C32" s="19" t="s">
        <v>188</v>
      </c>
      <c r="D32" s="77"/>
      <c r="E32" s="78"/>
      <c r="F32" s="77">
        <f>+K2</f>
        <v>452</v>
      </c>
      <c r="G32" s="78"/>
      <c r="H32" s="17">
        <v>0.78</v>
      </c>
      <c r="I32" s="18">
        <f>+H32*F32</f>
        <v>352.56</v>
      </c>
      <c r="K32" s="48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63"/>
    </row>
    <row r="34" spans="2:11" ht="21.75" customHeight="1" x14ac:dyDescent="0.2">
      <c r="B34" s="15" t="s">
        <v>14</v>
      </c>
      <c r="C34" s="15"/>
      <c r="D34" s="86"/>
      <c r="E34" s="87"/>
      <c r="F34" s="77">
        <f>SUM(F32:G33)</f>
        <v>452</v>
      </c>
      <c r="G34" s="78"/>
      <c r="H34" s="15"/>
      <c r="I34" s="14">
        <f>SUM(I32:I33)</f>
        <v>352.56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63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352.56</v>
      </c>
    </row>
    <row r="37" spans="2:11" ht="20.25" customHeight="1" x14ac:dyDescent="0.2">
      <c r="B37" s="15" t="s">
        <v>80</v>
      </c>
      <c r="C37" s="71" t="s">
        <v>11</v>
      </c>
      <c r="D37" s="73"/>
      <c r="E37" s="73"/>
      <c r="F37" s="73"/>
      <c r="G37" s="73"/>
      <c r="H37" s="7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352.56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265K0031</v>
      </c>
      <c r="I52" s="8"/>
      <c r="K52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11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385FA0-00A2-4BF3-B1F4-76598AD3B19E}">
          <x14:formula1>
            <xm:f>Sheet1!$K$5:$K$12</xm:f>
          </x14:formula1>
          <xm:sqref>B14</xm:sqref>
        </x14:dataValidation>
        <x14:dataValidation type="list" allowBlank="1" showInputMessage="1" showErrorMessage="1" xr:uid="{B9DEF07A-1FF0-49EB-8209-A913FE833878}">
          <x14:formula1>
            <xm:f>Sheet1!$B$17:$B$18</xm:f>
          </x14:formula1>
          <xm:sqref>G5</xm:sqref>
        </x14:dataValidation>
        <x14:dataValidation type="list" allowBlank="1" showInputMessage="1" showErrorMessage="1" xr:uid="{DBE23F1E-C6D8-4134-8DE8-B0E944B506E4}">
          <x14:formula1>
            <xm:f>Sheet1!$L$5:$L$25</xm:f>
          </x14:formula1>
          <xm:sqref>G13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D0C0-839C-43AA-A48C-27453BFD2E53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214</v>
      </c>
      <c r="C2" s="80"/>
      <c r="D2" s="80"/>
      <c r="E2" s="80"/>
      <c r="F2" s="80"/>
      <c r="G2" s="80"/>
      <c r="H2" s="80"/>
      <c r="I2" s="81"/>
      <c r="J2" s="43">
        <v>61309088</v>
      </c>
      <c r="K2" s="50">
        <v>1237</v>
      </c>
      <c r="L2" s="44">
        <v>11</v>
      </c>
      <c r="M2" s="44">
        <v>100.51600000000001</v>
      </c>
      <c r="N2" s="44">
        <v>103.7</v>
      </c>
      <c r="O2" s="44">
        <v>113.4</v>
      </c>
      <c r="P2" s="44" t="s">
        <v>54</v>
      </c>
      <c r="Q2" s="44">
        <v>0.52600000000000002</v>
      </c>
      <c r="R2" s="44" t="s">
        <v>62</v>
      </c>
    </row>
    <row r="3" spans="2:22" x14ac:dyDescent="0.2">
      <c r="B3" s="6" t="s">
        <v>53</v>
      </c>
      <c r="C3" s="64">
        <f>'581'!C3+1</f>
        <v>582</v>
      </c>
      <c r="D3" s="5"/>
      <c r="E3" s="5"/>
      <c r="F3" s="5"/>
      <c r="G3" s="5" t="s">
        <v>52</v>
      </c>
      <c r="H3" s="31">
        <f>+'581'!H3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61309088</v>
      </c>
      <c r="C21" s="62">
        <f>VLOOKUP($K56,reff!E2:F29,2,0)</f>
        <v>893947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113.4</v>
      </c>
      <c r="G23" s="23">
        <f>+N2</f>
        <v>103.7</v>
      </c>
      <c r="H23" s="23">
        <f>+M2</f>
        <v>100.51600000000001</v>
      </c>
      <c r="I23" s="63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3"/>
      <c r="D26" s="73"/>
      <c r="E26" s="73"/>
      <c r="F26" s="73"/>
      <c r="G26" s="73"/>
      <c r="H26" s="73"/>
      <c r="I26" s="72"/>
    </row>
    <row r="27" spans="2:13" ht="24.75" customHeight="1" x14ac:dyDescent="0.2">
      <c r="B27" s="82" t="str">
        <f>+K4</f>
        <v>GIRLS COTTON FIBERS, KNIT PULLOVER, WITH NO NECK CLOSURE, STITCH COUNT IS GREATER THAN 9/2CM, REACHES WAIST [60% COTTON 40% POLYESTER]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85" t="s">
        <v>19</v>
      </c>
      <c r="E31" s="85"/>
      <c r="F31" s="85" t="s">
        <v>18</v>
      </c>
      <c r="G31" s="85"/>
      <c r="H31" s="63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208</v>
      </c>
      <c r="D32" s="77"/>
      <c r="E32" s="78"/>
      <c r="F32" s="77">
        <f>+K2</f>
        <v>1237</v>
      </c>
      <c r="G32" s="78"/>
      <c r="H32" s="17">
        <v>1.1000000000000001</v>
      </c>
      <c r="I32" s="18">
        <f>+H32*F32</f>
        <v>1360.7</v>
      </c>
      <c r="K32" s="48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63"/>
    </row>
    <row r="34" spans="2:11" ht="21.75" customHeight="1" x14ac:dyDescent="0.2">
      <c r="B34" s="15" t="s">
        <v>14</v>
      </c>
      <c r="C34" s="15"/>
      <c r="D34" s="88"/>
      <c r="E34" s="89"/>
      <c r="F34" s="77">
        <f>SUM(F32:G33)</f>
        <v>1237</v>
      </c>
      <c r="G34" s="78"/>
      <c r="H34" s="15"/>
      <c r="I34" s="14">
        <f>SUM(I32:I33)</f>
        <v>1360.7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63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1360.7</v>
      </c>
    </row>
    <row r="37" spans="2:11" ht="20.25" customHeight="1" x14ac:dyDescent="0.2">
      <c r="B37" s="15" t="s">
        <v>80</v>
      </c>
      <c r="C37" s="71" t="s">
        <v>11</v>
      </c>
      <c r="D37" s="73"/>
      <c r="E37" s="73"/>
      <c r="F37" s="73"/>
      <c r="G37" s="73"/>
      <c r="H37" s="7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1360.7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265K0032</v>
      </c>
      <c r="I52" s="8"/>
      <c r="K52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12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C14458-43FE-4821-871D-20F1CA0ADC79}">
          <x14:formula1>
            <xm:f>Sheet1!$L$5:$L$25</xm:f>
          </x14:formula1>
          <xm:sqref>G13</xm:sqref>
        </x14:dataValidation>
        <x14:dataValidation type="list" allowBlank="1" showInputMessage="1" showErrorMessage="1" xr:uid="{1C0341E8-5D8F-4E00-B1A2-D65DA0616BAB}">
          <x14:formula1>
            <xm:f>Sheet1!$B$17:$B$18</xm:f>
          </x14:formula1>
          <xm:sqref>G5</xm:sqref>
        </x14:dataValidation>
        <x14:dataValidation type="list" allowBlank="1" showInputMessage="1" showErrorMessage="1" xr:uid="{C14BC80E-9E41-47E5-AB23-76C4DA9ABC11}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6B2E-8706-42C0-8489-AEEFB43EAF9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214</v>
      </c>
      <c r="C2" s="80"/>
      <c r="D2" s="80"/>
      <c r="E2" s="80"/>
      <c r="F2" s="80"/>
      <c r="G2" s="80"/>
      <c r="H2" s="80"/>
      <c r="I2" s="81"/>
      <c r="J2" s="43">
        <v>61309105</v>
      </c>
      <c r="K2" s="44">
        <v>545</v>
      </c>
      <c r="L2" s="44">
        <v>7</v>
      </c>
      <c r="M2" s="44">
        <v>44.284999999999997</v>
      </c>
      <c r="N2" s="44">
        <v>45.685000000000002</v>
      </c>
      <c r="O2" s="44">
        <v>51.284999999999997</v>
      </c>
      <c r="P2" s="44" t="s">
        <v>54</v>
      </c>
      <c r="Q2" s="44">
        <v>0.246</v>
      </c>
      <c r="R2" s="44" t="s">
        <v>62</v>
      </c>
    </row>
    <row r="3" spans="2:22" x14ac:dyDescent="0.2">
      <c r="B3" s="6" t="s">
        <v>53</v>
      </c>
      <c r="C3" s="64">
        <f>'582'!C3+1</f>
        <v>583</v>
      </c>
      <c r="D3" s="5"/>
      <c r="E3" s="5"/>
      <c r="F3" s="5"/>
      <c r="G3" s="5" t="s">
        <v>52</v>
      </c>
      <c r="H3" s="31">
        <f>+'582'!H3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209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61309105</v>
      </c>
      <c r="C21" s="62">
        <f>VLOOKUP($K56,reff!E2:F29,2,0)</f>
        <v>893957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51.284999999999997</v>
      </c>
      <c r="G23" s="23">
        <f>+N2</f>
        <v>45.685000000000002</v>
      </c>
      <c r="H23" s="23">
        <f>+M2</f>
        <v>44.284999999999997</v>
      </c>
      <c r="I23" s="63">
        <f>+L2</f>
        <v>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3"/>
      <c r="D26" s="73"/>
      <c r="E26" s="73"/>
      <c r="F26" s="73"/>
      <c r="G26" s="73"/>
      <c r="H26" s="73"/>
      <c r="I26" s="72"/>
    </row>
    <row r="27" spans="2:13" ht="24.75" customHeight="1" x14ac:dyDescent="0.2">
      <c r="B27" s="82" t="str">
        <f>+K4</f>
        <v>GIRLS COTTON FIBERS, KNIT PULLOVER, WITH NO NECK CLOSURE, STITCH COUNT IS GREATER THAN 9/2CM, REACHES WAIST [100% COTTON]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85" t="s">
        <v>19</v>
      </c>
      <c r="E31" s="85"/>
      <c r="F31" s="85" t="s">
        <v>18</v>
      </c>
      <c r="G31" s="85"/>
      <c r="H31" s="63" t="s">
        <v>17</v>
      </c>
      <c r="I31" s="19" t="s">
        <v>16</v>
      </c>
      <c r="M31"/>
    </row>
    <row r="32" spans="2:13" ht="27" customHeight="1" x14ac:dyDescent="0.2">
      <c r="B32" s="41" t="s">
        <v>177</v>
      </c>
      <c r="C32" s="19" t="s">
        <v>180</v>
      </c>
      <c r="D32" s="77"/>
      <c r="E32" s="78"/>
      <c r="F32" s="77">
        <f>+K2</f>
        <v>545</v>
      </c>
      <c r="G32" s="78"/>
      <c r="H32" s="17">
        <v>0.78</v>
      </c>
      <c r="I32" s="18">
        <f>+H32*F32</f>
        <v>425.1</v>
      </c>
      <c r="K32" s="48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63"/>
    </row>
    <row r="34" spans="2:11" ht="21.75" customHeight="1" x14ac:dyDescent="0.2">
      <c r="B34" s="15" t="s">
        <v>14</v>
      </c>
      <c r="C34" s="15"/>
      <c r="D34" s="86"/>
      <c r="E34" s="87"/>
      <c r="F34" s="77">
        <f>SUM(F32:G33)</f>
        <v>545</v>
      </c>
      <c r="G34" s="78"/>
      <c r="H34" s="15"/>
      <c r="I34" s="14">
        <f>SUM(I32:I33)</f>
        <v>425.1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63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425.1</v>
      </c>
    </row>
    <row r="37" spans="2:11" ht="20.25" customHeight="1" x14ac:dyDescent="0.2">
      <c r="B37" s="15" t="s">
        <v>80</v>
      </c>
      <c r="C37" s="71" t="s">
        <v>11</v>
      </c>
      <c r="D37" s="73"/>
      <c r="E37" s="73"/>
      <c r="F37" s="73"/>
      <c r="G37" s="73"/>
      <c r="H37" s="7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425.1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265K0030</v>
      </c>
      <c r="I52" s="8"/>
      <c r="K52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13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EBFF53B-25F1-4A47-B074-04D7C1F6B135}">
          <x14:formula1>
            <xm:f>Sheet1!$K$5:$K$12</xm:f>
          </x14:formula1>
          <xm:sqref>B14</xm:sqref>
        </x14:dataValidation>
        <x14:dataValidation type="list" allowBlank="1" showInputMessage="1" showErrorMessage="1" xr:uid="{C0457828-C7EA-43AF-A56E-15EDA2A7A2E8}">
          <x14:formula1>
            <xm:f>Sheet1!$B$17:$B$18</xm:f>
          </x14:formula1>
          <xm:sqref>G5</xm:sqref>
        </x14:dataValidation>
        <x14:dataValidation type="list" allowBlank="1" showInputMessage="1" showErrorMessage="1" xr:uid="{60F58A6D-9B01-4421-A21B-3CE2D342C83A}">
          <x14:formula1>
            <xm:f>Sheet1!$L$5:$L$25</xm:f>
          </x14:formula1>
          <xm:sqref>G13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8D20-D0F9-414A-8363-FAA8E9F1D4D4}">
  <sheetPr>
    <pageSetUpPr fitToPage="1"/>
  </sheetPr>
  <dimension ref="B1:V59"/>
  <sheetViews>
    <sheetView view="pageBreakPreview" topLeftCell="A21" zoomScaleNormal="100" zoomScaleSheetLayoutView="100" workbookViewId="0">
      <selection activeCell="I33" sqref="I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9" t="s">
        <v>214</v>
      </c>
      <c r="C2" s="80"/>
      <c r="D2" s="80"/>
      <c r="E2" s="80"/>
      <c r="F2" s="80"/>
      <c r="G2" s="80"/>
      <c r="H2" s="80"/>
      <c r="I2" s="81"/>
      <c r="J2" s="43">
        <v>61309080</v>
      </c>
      <c r="K2" s="50">
        <v>1037</v>
      </c>
      <c r="L2" s="44">
        <v>10</v>
      </c>
      <c r="M2" s="44">
        <v>78.861000000000004</v>
      </c>
      <c r="N2" s="44">
        <v>80.935000000000002</v>
      </c>
      <c r="O2" s="44">
        <v>89.435000000000002</v>
      </c>
      <c r="P2" s="44" t="s">
        <v>54</v>
      </c>
      <c r="Q2" s="44">
        <v>0.436</v>
      </c>
      <c r="R2" s="44" t="s">
        <v>62</v>
      </c>
    </row>
    <row r="3" spans="2:22" x14ac:dyDescent="0.2">
      <c r="B3" s="6" t="s">
        <v>53</v>
      </c>
      <c r="C3" s="64">
        <f>+'583'!C3+1</f>
        <v>584</v>
      </c>
      <c r="D3" s="5"/>
      <c r="E3" s="5"/>
      <c r="F3" s="5"/>
      <c r="G3" s="5" t="s">
        <v>52</v>
      </c>
      <c r="H3" s="31">
        <f>+'582'!H3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61309080</v>
      </c>
      <c r="C21" s="6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89.435000000000002</v>
      </c>
      <c r="G23" s="23">
        <f>+N2</f>
        <v>80.935000000000002</v>
      </c>
      <c r="H23" s="23">
        <f>+M2</f>
        <v>78.861000000000004</v>
      </c>
      <c r="I23" s="67">
        <f>+L2</f>
        <v>10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3"/>
      <c r="D26" s="73"/>
      <c r="E26" s="73"/>
      <c r="F26" s="73"/>
      <c r="G26" s="73"/>
      <c r="H26" s="73"/>
      <c r="I26" s="72"/>
    </row>
    <row r="27" spans="2:13" ht="24.75" customHeight="1" x14ac:dyDescent="0.2">
      <c r="B27" s="82" t="str">
        <f>+K4</f>
        <v>GIRLS COTTON FIBERS, KNIT PULLOVER, WITH NO NECK CLOSURE, STITCH COUNT IS GREATER THAN 9/2CM, REACHES WAIST [60% COTTON 40% RECYCLED POLYESTER]</v>
      </c>
      <c r="C27" s="83"/>
      <c r="D27" s="83"/>
      <c r="E27" s="83"/>
      <c r="F27" s="83"/>
      <c r="G27" s="83"/>
      <c r="H27" s="83"/>
      <c r="I27" s="8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5" t="s">
        <v>19</v>
      </c>
      <c r="E31" s="85"/>
      <c r="F31" s="85" t="s">
        <v>18</v>
      </c>
      <c r="G31" s="85"/>
      <c r="H31" s="67" t="s">
        <v>17</v>
      </c>
      <c r="I31" s="19" t="s">
        <v>16</v>
      </c>
      <c r="M31"/>
    </row>
    <row r="32" spans="2:13" ht="39" customHeight="1" x14ac:dyDescent="0.2">
      <c r="B32" s="41" t="s">
        <v>187</v>
      </c>
      <c r="C32" s="19" t="s">
        <v>199</v>
      </c>
      <c r="D32" s="77"/>
      <c r="E32" s="78"/>
      <c r="F32" s="77">
        <v>922</v>
      </c>
      <c r="G32" s="78"/>
      <c r="H32" s="17">
        <v>0.71</v>
      </c>
      <c r="I32" s="18">
        <f>+H32*F32</f>
        <v>654.62</v>
      </c>
      <c r="K32" s="48"/>
      <c r="M32" s="39"/>
    </row>
    <row r="33" spans="2:13" ht="39" customHeight="1" x14ac:dyDescent="0.2">
      <c r="B33" s="41" t="s">
        <v>177</v>
      </c>
      <c r="C33" s="19" t="s">
        <v>180</v>
      </c>
      <c r="D33" s="77"/>
      <c r="E33" s="78"/>
      <c r="F33" s="77">
        <v>115</v>
      </c>
      <c r="G33" s="78"/>
      <c r="H33" s="17">
        <v>0.71</v>
      </c>
      <c r="I33" s="18">
        <f>+H33*F33</f>
        <v>81.649999999999991</v>
      </c>
      <c r="K33" s="48"/>
      <c r="M33" s="39"/>
    </row>
    <row r="34" spans="2:13" ht="21" customHeight="1" x14ac:dyDescent="0.2">
      <c r="B34" s="15" t="s">
        <v>15</v>
      </c>
      <c r="C34" s="15"/>
      <c r="D34" s="71"/>
      <c r="E34" s="72"/>
      <c r="F34" s="71"/>
      <c r="G34" s="72"/>
      <c r="H34" s="17"/>
      <c r="I34" s="67"/>
    </row>
    <row r="35" spans="2:13" ht="21.75" customHeight="1" x14ac:dyDescent="0.2">
      <c r="B35" s="15" t="s">
        <v>14</v>
      </c>
      <c r="C35" s="15"/>
      <c r="D35" s="86"/>
      <c r="E35" s="87"/>
      <c r="F35" s="77">
        <f>SUM(F32:G34)</f>
        <v>1037</v>
      </c>
      <c r="G35" s="78"/>
      <c r="H35" s="15"/>
      <c r="I35" s="14">
        <f>SUM(I32:I34)</f>
        <v>736.27</v>
      </c>
      <c r="J35" s="40"/>
      <c r="K35" s="40"/>
    </row>
    <row r="36" spans="2:13" ht="21.75" customHeight="1" x14ac:dyDescent="0.2">
      <c r="B36" s="16" t="s">
        <v>13</v>
      </c>
      <c r="C36" s="15"/>
      <c r="D36" s="71"/>
      <c r="E36" s="72"/>
      <c r="F36" s="71"/>
      <c r="G36" s="72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1"/>
      <c r="E37" s="72"/>
      <c r="F37" s="71"/>
      <c r="G37" s="72"/>
      <c r="H37" s="15"/>
      <c r="I37" s="14">
        <f>+I35</f>
        <v>736.27</v>
      </c>
    </row>
    <row r="38" spans="2:13" ht="20.25" customHeight="1" x14ac:dyDescent="0.2">
      <c r="B38" s="15" t="s">
        <v>80</v>
      </c>
      <c r="C38" s="71" t="s">
        <v>11</v>
      </c>
      <c r="D38" s="73"/>
      <c r="E38" s="73"/>
      <c r="F38" s="73"/>
      <c r="G38" s="73"/>
      <c r="H38" s="72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736.27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4" t="s">
        <v>7</v>
      </c>
      <c r="C47" s="74"/>
      <c r="D47" s="74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265K0026</v>
      </c>
      <c r="I53" s="8"/>
      <c r="K53">
        <v>14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5" t="s">
        <v>1</v>
      </c>
      <c r="D56" s="75"/>
      <c r="E56" s="5"/>
      <c r="F56" s="5"/>
      <c r="G56" s="5"/>
      <c r="H56" s="5"/>
      <c r="I56" s="4"/>
    </row>
    <row r="57" spans="2:11" x14ac:dyDescent="0.2">
      <c r="B57" s="6"/>
      <c r="C57" s="76" t="s">
        <v>0</v>
      </c>
      <c r="D57" s="76"/>
      <c r="E57" s="5"/>
      <c r="F57" s="5"/>
      <c r="G57" s="5"/>
      <c r="H57" s="5"/>
      <c r="I57" s="4"/>
      <c r="K57">
        <v>14</v>
      </c>
    </row>
    <row r="58" spans="2:11" x14ac:dyDescent="0.2">
      <c r="B58" s="2"/>
      <c r="C58" s="70"/>
      <c r="D58" s="70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53BE446-FB16-4C91-AF1B-3A72019A915C}">
          <x14:formula1>
            <xm:f>Sheet1!$L$5:$L$25</xm:f>
          </x14:formula1>
          <xm:sqref>G13</xm:sqref>
        </x14:dataValidation>
        <x14:dataValidation type="list" allowBlank="1" showInputMessage="1" showErrorMessage="1" xr:uid="{931D84DF-EC68-4B6C-AD1E-186FCC2BBD73}">
          <x14:formula1>
            <xm:f>Sheet1!$B$17:$B$18</xm:f>
          </x14:formula1>
          <xm:sqref>G5</xm:sqref>
        </x14:dataValidation>
        <x14:dataValidation type="list" allowBlank="1" showInputMessage="1" showErrorMessage="1" xr:uid="{34B53F29-FF46-40B4-8223-BAE4F4523CF6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Sheet1</vt:lpstr>
      <vt:lpstr>reff</vt:lpstr>
      <vt:lpstr>571</vt:lpstr>
      <vt:lpstr>572</vt:lpstr>
      <vt:lpstr>573</vt:lpstr>
      <vt:lpstr>574</vt:lpstr>
      <vt:lpstr>575</vt:lpstr>
      <vt:lpstr>576</vt:lpstr>
      <vt:lpstr>577</vt:lpstr>
      <vt:lpstr>578</vt:lpstr>
      <vt:lpstr>579</vt:lpstr>
      <vt:lpstr>580</vt:lpstr>
      <vt:lpstr>581</vt:lpstr>
      <vt:lpstr>582</vt:lpstr>
      <vt:lpstr>583</vt:lpstr>
      <vt:lpstr>584</vt:lpstr>
      <vt:lpstr>'571'!Print_Area</vt:lpstr>
      <vt:lpstr>'572'!Print_Area</vt:lpstr>
      <vt:lpstr>'573'!Print_Area</vt:lpstr>
      <vt:lpstr>'574'!Print_Area</vt:lpstr>
      <vt:lpstr>'575'!Print_Area</vt:lpstr>
      <vt:lpstr>'576'!Print_Area</vt:lpstr>
      <vt:lpstr>'577'!Print_Area</vt:lpstr>
      <vt:lpstr>'578'!Print_Area</vt:lpstr>
      <vt:lpstr>'579'!Print_Area</vt:lpstr>
      <vt:lpstr>'580'!Print_Area</vt:lpstr>
      <vt:lpstr>'581'!Print_Area</vt:lpstr>
      <vt:lpstr>'582'!Print_Area</vt:lpstr>
      <vt:lpstr>'583'!Print_Area</vt:lpstr>
      <vt:lpstr>'584'!Print_Area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2026-04-28T02:00:29Z</cp:lastPrinted>
  <dcterms:created xsi:type="dcterms:W3CDTF">2024-04-17T09:56:05Z</dcterms:created>
  <dcterms:modified xsi:type="dcterms:W3CDTF">2026-04-28T07:44:46Z</dcterms:modified>
</cp:coreProperties>
</file>