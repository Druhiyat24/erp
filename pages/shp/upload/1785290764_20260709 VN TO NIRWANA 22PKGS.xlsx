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fukou-svr\Users\出口\(出口) Colleen\VN出貨115年\NIRWAN\20260709 VN TO NIRWANA - BAMBOO+GRITTI\"/>
    </mc:Choice>
  </mc:AlternateContent>
  <xr:revisionPtr revIDLastSave="0" documentId="13_ncr:1_{71679B9D-5C96-43CE-BAF8-E1A223A90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2" r:id="rId1"/>
    <sheet name="PACKING LIS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4" l="1"/>
  <c r="K45" i="4"/>
  <c r="J45" i="4"/>
  <c r="E45" i="4"/>
  <c r="E37" i="2" l="1"/>
  <c r="F36" i="2"/>
  <c r="J34" i="2"/>
  <c r="J32" i="2"/>
  <c r="J30" i="2"/>
  <c r="J36" i="2" s="1"/>
</calcChain>
</file>

<file path=xl/sharedStrings.xml><?xml version="1.0" encoding="utf-8"?>
<sst xmlns="http://schemas.openxmlformats.org/spreadsheetml/2006/main" count="203" uniqueCount="110">
  <si>
    <t>COMMERCIAL INVOICE</t>
  </si>
  <si>
    <t>INVOICE NO:</t>
  </si>
  <si>
    <t/>
  </si>
  <si>
    <t>DATE:</t>
  </si>
  <si>
    <t>09/JUL/2026</t>
  </si>
  <si>
    <t>INVOICE OF AS DESCRIPTION</t>
  </si>
  <si>
    <t>FOR ACCOUNT OF:</t>
  </si>
  <si>
    <t>CONSIGNEE:</t>
  </si>
  <si>
    <t>Fu Kwok Knitting &amp; Garment Co., Ltd.</t>
  </si>
  <si>
    <t>PT. NIRWANA ALABARE GARMENT</t>
  </si>
  <si>
    <t>110, Nei-Huan South Road, N. E. P. Z. Kaohsiung 811, Taiwan, R. O. C.</t>
  </si>
  <si>
    <t>JL. RAYA RANCAEKEK - MAJALAYA NO.289, DESA SOLOKAN JERUK, KEC.SOLOKAN JERUK, KABUPATEN BANDUNG, JAWA BARAT 40382 INDONESIA. TAX Code: 0745 4069 2644 4000</t>
  </si>
  <si>
    <t>TEL:6222 85962076</t>
  </si>
  <si>
    <t>SAILING ON OR ABOUT:</t>
  </si>
  <si>
    <t>TO:</t>
  </si>
  <si>
    <t>DESCRIPTION OF GOOD</t>
  </si>
  <si>
    <t>KNITTED FABRIC</t>
  </si>
  <si>
    <t>QUANTITY</t>
  </si>
  <si>
    <t>UNIT PRICE</t>
  </si>
  <si>
    <t>COLOR</t>
  </si>
  <si>
    <t>ROLLS</t>
  </si>
  <si>
    <t>METER</t>
  </si>
  <si>
    <t>NET WEIGHT</t>
  </si>
  <si>
    <t>(USD/YD)</t>
  </si>
  <si>
    <t>AMOUNT</t>
  </si>
  <si>
    <t>FOC</t>
  </si>
  <si>
    <t>Container NO:</t>
  </si>
  <si>
    <t>S.C.NO:</t>
  </si>
  <si>
    <t>T2609904C1</t>
  </si>
  <si>
    <t>P.O.:</t>
  </si>
  <si>
    <t>6K060816</t>
  </si>
  <si>
    <t>STYLE NO:</t>
  </si>
  <si>
    <t>CONTENTS:</t>
  </si>
  <si>
    <t>100% POLYESTER</t>
  </si>
  <si>
    <t>#200001 100% Polyester Lining Mesh-Warp Knit 60inch x62gsm   &lt; HS CODE: 60053790 &gt;</t>
  </si>
  <si>
    <t>Black</t>
  </si>
  <si>
    <t>KGS</t>
  </si>
  <si>
    <t>USD</t>
  </si>
  <si>
    <t>Marine Light</t>
  </si>
  <si>
    <t>Twilight</t>
  </si>
  <si>
    <t>TOTAL:</t>
  </si>
  <si>
    <t>SHIPPING MARK</t>
  </si>
  <si>
    <t>P.O:</t>
  </si>
  <si>
    <t>S.C:</t>
  </si>
  <si>
    <t>STYLE:</t>
  </si>
  <si>
    <t>COLOR:</t>
  </si>
  <si>
    <t>BUY DATE:</t>
  </si>
  <si>
    <t>ITEM:</t>
  </si>
  <si>
    <t>MADE IN VIET NAM</t>
  </si>
  <si>
    <t>PACKING LIST</t>
  </si>
  <si>
    <t>CUS_NW</t>
  </si>
  <si>
    <t>NW</t>
  </si>
  <si>
    <t>LBS</t>
  </si>
  <si>
    <t>GW</t>
  </si>
  <si>
    <t>DESCRIPTION:</t>
  </si>
  <si>
    <t>226525097-1</t>
  </si>
  <si>
    <t>1-34</t>
  </si>
  <si>
    <t>21OS</t>
  </si>
  <si>
    <t>226613093</t>
  </si>
  <si>
    <t>1-35</t>
  </si>
  <si>
    <t>2ZF</t>
  </si>
  <si>
    <t>3ZF</t>
  </si>
  <si>
    <t>4ZF</t>
  </si>
  <si>
    <t>226613094</t>
  </si>
  <si>
    <t>1-1</t>
  </si>
  <si>
    <t>1ZG</t>
  </si>
  <si>
    <t>2ZG</t>
  </si>
  <si>
    <t>3ZG</t>
  </si>
  <si>
    <t>226613095</t>
  </si>
  <si>
    <t>1ZH</t>
  </si>
  <si>
    <t>SAY TOTAL Q'TY</t>
  </si>
  <si>
    <r>
      <rPr>
        <b/>
        <sz val="10"/>
        <color theme="1"/>
        <rFont val="Body Font"/>
        <family val="2"/>
      </rPr>
      <t>SHIPMENT OF (GOODS):</t>
    </r>
    <r>
      <rPr>
        <sz val="10"/>
        <color theme="1"/>
        <rFont val="Body Font"/>
        <family val="2"/>
      </rPr>
      <t xml:space="preserve"> AS BELOW</t>
    </r>
    <phoneticPr fontId="1" type="noConversion"/>
  </si>
  <si>
    <t>XM6930</t>
    <phoneticPr fontId="1" type="noConversion"/>
  </si>
  <si>
    <t>HB/PTNAG2607088</t>
    <phoneticPr fontId="1" type="noConversion"/>
  </si>
  <si>
    <t>FU KWOK KNITTING AND GARMENT CO.,  LTD.</t>
    <phoneticPr fontId="1" type="noConversion"/>
  </si>
  <si>
    <t>110, NEI-HUAN SOUTH ROAD, N.E.P.Z. KAOHSIUNG, TAIWAN, R.O.C.</t>
    <phoneticPr fontId="1" type="noConversion"/>
  </si>
  <si>
    <t>SHIPPED PER :</t>
    <phoneticPr fontId="18" type="noConversion"/>
  </si>
  <si>
    <t>INCRES V.076S</t>
    <phoneticPr fontId="1" type="noConversion"/>
  </si>
  <si>
    <t>#097383 20L Debossed Columbia Button 100% Polyester :283344pcs</t>
    <phoneticPr fontId="18" type="noConversion"/>
  </si>
  <si>
    <t>#097383 20L Debossed Columbia Button 100% Polyester :48019pcs</t>
    <phoneticPr fontId="18" type="noConversion"/>
  </si>
  <si>
    <t>#001601 20L 4H Columbia PFG 2 tone Button1 Clr CAN BE USE FOR YOUTH Outisde :31676pcs</t>
    <phoneticPr fontId="18" type="noConversion"/>
  </si>
  <si>
    <t>S27-0624UY / 6K060255S71 / AM0126</t>
    <phoneticPr fontId="18" type="noConversion"/>
  </si>
  <si>
    <t>S27-0527UY / 6K060255.256.258 / AM0126/AS0126/AT0126</t>
    <phoneticPr fontId="18" type="noConversion"/>
  </si>
  <si>
    <t>S27-0527UY / 6K060816 / XM6930</t>
    <phoneticPr fontId="18" type="noConversion"/>
  </si>
  <si>
    <t>YARDS/PCS</t>
    <phoneticPr fontId="1" type="noConversion"/>
  </si>
  <si>
    <t>"</t>
    <phoneticPr fontId="1" type="noConversion"/>
  </si>
  <si>
    <t>SAY TOTAL US DOLLARS: SEVEN THOUSAND SEVENTY EIGHT AND CENTS SIX ONLY.</t>
    <phoneticPr fontId="1" type="noConversion"/>
  </si>
  <si>
    <t>GRITTI VIETNAM CO.,LTD</t>
    <phoneticPr fontId="1" type="noConversion"/>
  </si>
  <si>
    <t>PACKING LIST NO.</t>
    <phoneticPr fontId="1" type="noConversion"/>
  </si>
  <si>
    <t>DATE</t>
    <phoneticPr fontId="1" type="noConversion"/>
  </si>
  <si>
    <t>SHIP TO PARTY:</t>
    <phoneticPr fontId="1" type="noConversion"/>
  </si>
  <si>
    <t>CTN NO.</t>
    <phoneticPr fontId="1" type="noConversion"/>
  </si>
  <si>
    <t>ARTICLE</t>
    <phoneticPr fontId="1" type="noConversion"/>
  </si>
  <si>
    <t>PI NO.</t>
    <phoneticPr fontId="1" type="noConversion"/>
  </si>
  <si>
    <t xml:space="preserve">CUSTOMER ARTICLE </t>
    <phoneticPr fontId="1" type="noConversion"/>
  </si>
  <si>
    <t>CUSTOMER ORDER NO.</t>
    <phoneticPr fontId="1" type="noConversion"/>
  </si>
  <si>
    <t>HEADQUARTER</t>
    <phoneticPr fontId="1" type="noConversion"/>
  </si>
  <si>
    <t xml:space="preserve">ORDER QYT </t>
    <phoneticPr fontId="1" type="noConversion"/>
  </si>
  <si>
    <t>FOC</t>
    <phoneticPr fontId="1" type="noConversion"/>
  </si>
  <si>
    <t>NET WEIGHT</t>
    <phoneticPr fontId="1" type="noConversion"/>
  </si>
  <si>
    <t>GROSS WEIGHT</t>
    <phoneticPr fontId="1" type="noConversion"/>
  </si>
  <si>
    <t>CTN/ROLL NO.</t>
    <phoneticPr fontId="1" type="noConversion"/>
  </si>
  <si>
    <t>1-11</t>
    <phoneticPr fontId="1" type="noConversion"/>
  </si>
  <si>
    <t>1-3</t>
    <phoneticPr fontId="1" type="noConversion"/>
  </si>
  <si>
    <t>225.2 N.W</t>
    <phoneticPr fontId="1" type="noConversion"/>
  </si>
  <si>
    <t>236.8 G.W</t>
    <phoneticPr fontId="1" type="noConversion"/>
  </si>
  <si>
    <t>22PKGS (8 ROLLS+14CTNS)</t>
    <phoneticPr fontId="1" type="noConversion"/>
  </si>
  <si>
    <t>PKGS</t>
    <phoneticPr fontId="1" type="noConversion"/>
  </si>
  <si>
    <t>UDS</t>
    <phoneticPr fontId="1" type="noConversion"/>
  </si>
  <si>
    <t>KGS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</si>
</sst>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&quot;$&quot;#,##0_);\(&quot;$&quot;#,##0\)"/>
    <numFmt numFmtId="177" formatCode="_(* #,##0.00_);_(* \(#,##0.00\);_(* &quot;-&quot;??_);_(@_)"/>
    <numFmt numFmtId="178" formatCode="#,##0_ "/>
    <numFmt numFmtId="179" formatCode="#,##0.00_ "/>
    <numFmt numFmtId="180" formatCode="#,##0.000_ "/>
    <numFmt numFmtId="181" formatCode="0.0_ "/>
    <numFmt numFmtId="182" formatCode="0_ "/>
    <numFmt numFmtId="183" formatCode="yyyy/m/d;@"/>
    <numFmt numFmtId="184" formatCode="#,##0.0;[Red]#,##0.0"/>
    <numFmt numFmtId="185" formatCode="0.00_);[Red]\(0.00\)"/>
    <numFmt numFmtId="186" formatCode="0_ &quot;Y&quot;"/>
    <numFmt numFmtId="187" formatCode="#,000\ &quot;PCS&quot;"/>
    <numFmt numFmtId="188" formatCode="#,##0.0000_ "/>
    <numFmt numFmtId="190" formatCode="_(* #,##0_);_(* \(#,##0\);_(* &quot;-&quot;??_);_(@_)"/>
    <numFmt numFmtId="191" formatCode="#,##0_ &quot;Y&quot;"/>
    <numFmt numFmtId="192" formatCode="#,##0_ &quot;PCS&quot;"/>
    <numFmt numFmtId="194" formatCode="#,##0;[Red]#,##0"/>
  </numFmts>
  <fonts count="22">
    <font>
      <sz val="12"/>
      <color theme="1"/>
      <name val="Body Font"/>
      <family val="2"/>
    </font>
    <font>
      <sz val="12"/>
      <color indexed="8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scheme val="minor"/>
    </font>
    <font>
      <sz val="12"/>
      <color theme="1"/>
      <name val="Body Font"/>
      <family val="1"/>
    </font>
    <font>
      <b/>
      <sz val="12"/>
      <color theme="1"/>
      <name val="Body Font"/>
      <family val="1"/>
    </font>
    <font>
      <sz val="10"/>
      <color theme="1"/>
      <name val="Body Font"/>
      <family val="2"/>
    </font>
    <font>
      <sz val="12"/>
      <color theme="1"/>
      <name val="Body Font"/>
      <family val="2"/>
    </font>
    <font>
      <sz val="12"/>
      <color theme="1"/>
      <name val="Body Font"/>
      <family val="2"/>
    </font>
    <font>
      <b/>
      <sz val="10"/>
      <color theme="1"/>
      <name val="Body Font"/>
    </font>
    <font>
      <b/>
      <sz val="10"/>
      <color theme="1"/>
      <name val="Body Font"/>
      <family val="2"/>
    </font>
    <font>
      <b/>
      <u/>
      <sz val="10"/>
      <color theme="1"/>
      <name val="Body Font"/>
      <family val="2"/>
    </font>
    <font>
      <u/>
      <sz val="10"/>
      <color theme="1"/>
      <name val="Body Font"/>
      <family val="2"/>
    </font>
    <font>
      <sz val="10"/>
      <color theme="1"/>
      <name val="Body Font"/>
    </font>
    <font>
      <b/>
      <sz val="10"/>
      <color rgb="FFFF0000"/>
      <name val="Body Font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b/>
      <u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Arial Unicode MS"/>
      <family val="1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indexed="64"/>
      </bottom>
      <diagonal/>
    </border>
  </borders>
  <cellStyleXfs count="39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>
      <alignment vertical="center"/>
    </xf>
    <xf numFmtId="0" fontId="2" fillId="0" borderId="0"/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</cellStyleXfs>
  <cellXfs count="172">
    <xf numFmtId="0" fontId="0" fillId="0" borderId="0" xfId="0">
      <alignment vertical="center"/>
    </xf>
    <xf numFmtId="49" fontId="6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vertical="center" shrinkToFit="1"/>
    </xf>
    <xf numFmtId="182" fontId="6" fillId="0" borderId="0" xfId="0" applyNumberFormat="1" applyFont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2" fontId="6" fillId="0" borderId="5" xfId="0" applyNumberFormat="1" applyFont="1" applyBorder="1" applyAlignment="1">
      <alignment horizontal="right" vertical="center" shrinkToFit="1"/>
    </xf>
    <xf numFmtId="182" fontId="7" fillId="0" borderId="7" xfId="0" applyNumberFormat="1" applyFont="1" applyBorder="1" applyAlignment="1">
      <alignment horizontal="right" vertical="center" shrinkToFit="1"/>
    </xf>
    <xf numFmtId="49" fontId="8" fillId="0" borderId="0" xfId="0" applyNumberFormat="1" applyFont="1" applyAlignment="1">
      <alignment horizontal="left" vertical="top" wrapText="1" shrinkToFit="1"/>
    </xf>
    <xf numFmtId="49" fontId="11" fillId="0" borderId="0" xfId="0" applyNumberFormat="1" applyFont="1" applyAlignment="1">
      <alignment horizontal="center"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2" fillId="0" borderId="0" xfId="0" applyNumberFormat="1" applyFont="1" applyAlignment="1">
      <alignment horizontal="left" vertical="center"/>
    </xf>
    <xf numFmtId="182" fontId="12" fillId="0" borderId="0" xfId="0" applyNumberFormat="1" applyFont="1" applyAlignment="1">
      <alignment horizontal="right" vertical="center" shrinkToFit="1"/>
    </xf>
    <xf numFmtId="185" fontId="12" fillId="0" borderId="0" xfId="0" applyNumberFormat="1" applyFont="1" applyAlignment="1">
      <alignment horizontal="right" vertical="center" shrinkToFit="1"/>
    </xf>
    <xf numFmtId="181" fontId="12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horizontal="right" vertical="center" shrinkToFit="1"/>
    </xf>
    <xf numFmtId="180" fontId="12" fillId="0" borderId="0" xfId="0" applyNumberFormat="1" applyFont="1" applyAlignment="1">
      <alignment horizontal="right" vertical="center" shrinkToFit="1"/>
    </xf>
    <xf numFmtId="179" fontId="12" fillId="0" borderId="0" xfId="0" applyNumberFormat="1" applyFont="1" applyAlignment="1">
      <alignment horizontal="right" vertical="center" shrinkToFit="1"/>
    </xf>
    <xf numFmtId="182" fontId="8" fillId="0" borderId="0" xfId="0" applyNumberFormat="1" applyFont="1" applyAlignment="1">
      <alignment horizontal="right" vertical="center" shrinkToFit="1"/>
    </xf>
    <xf numFmtId="185" fontId="8" fillId="0" borderId="0" xfId="0" applyNumberFormat="1" applyFont="1" applyAlignment="1">
      <alignment horizontal="right" vertical="center" shrinkToFit="1"/>
    </xf>
    <xf numFmtId="178" fontId="12" fillId="0" borderId="0" xfId="0" applyNumberFormat="1" applyFont="1" applyAlignment="1">
      <alignment horizontal="right" vertical="center" shrinkToFit="1"/>
    </xf>
    <xf numFmtId="49" fontId="8" fillId="0" borderId="0" xfId="0" applyNumberFormat="1" applyFont="1" applyAlignment="1">
      <alignment horizontal="left" vertical="center"/>
    </xf>
    <xf numFmtId="181" fontId="8" fillId="0" borderId="0" xfId="0" applyNumberFormat="1" applyFont="1" applyAlignment="1">
      <alignment horizontal="right" vertical="center" shrinkToFit="1"/>
    </xf>
    <xf numFmtId="49" fontId="8" fillId="0" borderId="0" xfId="0" applyNumberFormat="1" applyFont="1" applyAlignment="1">
      <alignment horizontal="right" vertical="center" shrinkToFit="1"/>
    </xf>
    <xf numFmtId="180" fontId="8" fillId="0" borderId="0" xfId="0" applyNumberFormat="1" applyFont="1" applyAlignment="1">
      <alignment horizontal="right" vertical="center" shrinkToFit="1"/>
    </xf>
    <xf numFmtId="179" fontId="8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vertical="center" shrinkToFit="1"/>
    </xf>
    <xf numFmtId="49" fontId="12" fillId="0" borderId="5" xfId="0" applyNumberFormat="1" applyFont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left" vertical="center"/>
    </xf>
    <xf numFmtId="182" fontId="8" fillId="0" borderId="5" xfId="0" applyNumberFormat="1" applyFont="1" applyBorder="1" applyAlignment="1">
      <alignment horizontal="right" vertical="center" shrinkToFit="1"/>
    </xf>
    <xf numFmtId="185" fontId="8" fillId="0" borderId="5" xfId="0" applyNumberFormat="1" applyFont="1" applyBorder="1" applyAlignment="1">
      <alignment horizontal="right" vertical="center" shrinkToFit="1"/>
    </xf>
    <xf numFmtId="181" fontId="8" fillId="0" borderId="5" xfId="0" applyNumberFormat="1" applyFont="1" applyBorder="1" applyAlignment="1">
      <alignment horizontal="right" vertical="center" shrinkToFit="1"/>
    </xf>
    <xf numFmtId="49" fontId="8" fillId="0" borderId="5" xfId="0" applyNumberFormat="1" applyFont="1" applyBorder="1" applyAlignment="1">
      <alignment horizontal="right" vertical="center" shrinkToFit="1"/>
    </xf>
    <xf numFmtId="180" fontId="8" fillId="0" borderId="5" xfId="0" applyNumberFormat="1" applyFont="1" applyBorder="1" applyAlignment="1">
      <alignment horizontal="right" vertical="center" shrinkToFit="1"/>
    </xf>
    <xf numFmtId="179" fontId="8" fillId="0" borderId="5" xfId="0" applyNumberFormat="1" applyFont="1" applyBorder="1" applyAlignment="1">
      <alignment horizontal="right" vertical="center" shrinkToFit="1"/>
    </xf>
    <xf numFmtId="179" fontId="8" fillId="0" borderId="1" xfId="0" applyNumberFormat="1" applyFont="1" applyBorder="1" applyAlignment="1">
      <alignment horizontal="right" vertical="center" shrinkToFit="1"/>
    </xf>
    <xf numFmtId="49" fontId="12" fillId="0" borderId="3" xfId="0" applyNumberFormat="1" applyFont="1" applyBorder="1" applyAlignment="1">
      <alignment horizontal="center" vertical="center" shrinkToFit="1"/>
    </xf>
    <xf numFmtId="49" fontId="8" fillId="0" borderId="4" xfId="0" applyNumberFormat="1" applyFont="1" applyBorder="1" applyAlignment="1">
      <alignment horizontal="left" vertical="center"/>
    </xf>
    <xf numFmtId="182" fontId="8" fillId="0" borderId="1" xfId="0" applyNumberFormat="1" applyFont="1" applyBorder="1" applyAlignment="1">
      <alignment horizontal="right" vertical="center" shrinkToFit="1"/>
    </xf>
    <xf numFmtId="185" fontId="8" fillId="0" borderId="1" xfId="0" applyNumberFormat="1" applyFont="1" applyBorder="1" applyAlignment="1">
      <alignment horizontal="right" vertical="center" shrinkToFit="1"/>
    </xf>
    <xf numFmtId="49" fontId="12" fillId="0" borderId="6" xfId="0" applyNumberFormat="1" applyFont="1" applyBorder="1" applyAlignment="1">
      <alignment horizontal="center" vertical="center" shrinkToFit="1"/>
    </xf>
    <xf numFmtId="49" fontId="12" fillId="0" borderId="6" xfId="0" applyNumberFormat="1" applyFont="1" applyBorder="1" applyAlignment="1">
      <alignment horizontal="left" vertical="center"/>
    </xf>
    <xf numFmtId="182" fontId="12" fillId="0" borderId="6" xfId="0" applyNumberFormat="1" applyFont="1" applyBorder="1" applyAlignment="1">
      <alignment horizontal="right" vertical="center" shrinkToFit="1"/>
    </xf>
    <xf numFmtId="185" fontId="12" fillId="0" borderId="6" xfId="0" applyNumberFormat="1" applyFont="1" applyBorder="1" applyAlignment="1">
      <alignment horizontal="right" vertical="center" shrinkToFit="1"/>
    </xf>
    <xf numFmtId="181" fontId="12" fillId="0" borderId="6" xfId="0" applyNumberFormat="1" applyFont="1" applyBorder="1" applyAlignment="1">
      <alignment horizontal="right" vertical="center" shrinkToFit="1"/>
    </xf>
    <xf numFmtId="49" fontId="12" fillId="0" borderId="6" xfId="0" applyNumberFormat="1" applyFont="1" applyBorder="1" applyAlignment="1">
      <alignment horizontal="right" vertical="center" shrinkToFit="1"/>
    </xf>
    <xf numFmtId="180" fontId="12" fillId="0" borderId="6" xfId="0" applyNumberFormat="1" applyFont="1" applyBorder="1" applyAlignment="1">
      <alignment horizontal="right" vertical="center" shrinkToFit="1"/>
    </xf>
    <xf numFmtId="179" fontId="12" fillId="0" borderId="6" xfId="0" applyNumberFormat="1" applyFont="1" applyBorder="1" applyAlignment="1">
      <alignment horizontal="right" vertical="center" shrinkToFit="1"/>
    </xf>
    <xf numFmtId="184" fontId="12" fillId="0" borderId="0" xfId="0" applyNumberFormat="1" applyFont="1" applyAlignment="1">
      <alignment horizontal="right" vertical="center" shrinkToFit="1"/>
    </xf>
    <xf numFmtId="184" fontId="8" fillId="0" borderId="0" xfId="0" applyNumberFormat="1" applyFont="1" applyAlignment="1">
      <alignment horizontal="right" vertical="center" shrinkToFit="1"/>
    </xf>
    <xf numFmtId="178" fontId="8" fillId="0" borderId="0" xfId="0" applyNumberFormat="1" applyFont="1" applyAlignment="1">
      <alignment horizontal="right" vertical="center" shrinkToFit="1"/>
    </xf>
    <xf numFmtId="182" fontId="8" fillId="0" borderId="2" xfId="0" applyNumberFormat="1" applyFont="1" applyBorder="1" applyAlignment="1">
      <alignment horizontal="right" vertical="center" shrinkToFit="1"/>
    </xf>
    <xf numFmtId="184" fontId="8" fillId="0" borderId="2" xfId="0" applyNumberFormat="1" applyFont="1" applyBorder="1" applyAlignment="1">
      <alignment horizontal="right" vertical="center" shrinkToFit="1"/>
    </xf>
    <xf numFmtId="178" fontId="8" fillId="0" borderId="2" xfId="0" applyNumberFormat="1" applyFont="1" applyBorder="1" applyAlignment="1">
      <alignment horizontal="right" vertical="center" shrinkToFit="1"/>
    </xf>
    <xf numFmtId="179" fontId="8" fillId="0" borderId="2" xfId="0" applyNumberFormat="1" applyFont="1" applyBorder="1" applyAlignment="1">
      <alignment horizontal="right" vertical="center" shrinkToFit="1"/>
    </xf>
    <xf numFmtId="49" fontId="1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182" fontId="14" fillId="0" borderId="0" xfId="0" applyNumberFormat="1" applyFont="1" applyAlignment="1">
      <alignment horizontal="right" vertical="center" shrinkToFit="1"/>
    </xf>
    <xf numFmtId="184" fontId="14" fillId="0" borderId="0" xfId="0" applyNumberFormat="1" applyFont="1" applyAlignment="1">
      <alignment horizontal="right" vertical="center" shrinkToFit="1"/>
    </xf>
    <xf numFmtId="178" fontId="14" fillId="0" borderId="0" xfId="0" applyNumberFormat="1" applyFont="1" applyAlignment="1">
      <alignment horizontal="right" vertical="center" shrinkToFit="1"/>
    </xf>
    <xf numFmtId="179" fontId="14" fillId="0" borderId="0" xfId="0" applyNumberFormat="1" applyFont="1" applyAlignment="1">
      <alignment horizontal="right" vertical="center" shrinkToFit="1"/>
    </xf>
    <xf numFmtId="184" fontId="12" fillId="0" borderId="6" xfId="0" applyNumberFormat="1" applyFont="1" applyBorder="1" applyAlignment="1">
      <alignment horizontal="right" vertical="center" shrinkToFit="1"/>
    </xf>
    <xf numFmtId="178" fontId="12" fillId="0" borderId="6" xfId="0" applyNumberFormat="1" applyFont="1" applyBorder="1" applyAlignment="1">
      <alignment horizontal="right" vertical="center" shrinkToFit="1"/>
    </xf>
    <xf numFmtId="184" fontId="8" fillId="0" borderId="6" xfId="0" applyNumberFormat="1" applyFont="1" applyBorder="1" applyAlignment="1">
      <alignment horizontal="right" vertical="center" shrinkToFit="1"/>
    </xf>
    <xf numFmtId="49" fontId="8" fillId="0" borderId="8" xfId="0" applyNumberFormat="1" applyFont="1" applyBorder="1" applyAlignment="1">
      <alignment horizontal="left" vertical="center"/>
    </xf>
    <xf numFmtId="182" fontId="8" fillId="0" borderId="8" xfId="0" applyNumberFormat="1" applyFont="1" applyBorder="1" applyAlignment="1">
      <alignment horizontal="right" vertical="center" shrinkToFit="1"/>
    </xf>
    <xf numFmtId="184" fontId="8" fillId="0" borderId="8" xfId="0" applyNumberFormat="1" applyFont="1" applyBorder="1" applyAlignment="1">
      <alignment horizontal="right" vertical="center" shrinkToFit="1"/>
    </xf>
    <xf numFmtId="178" fontId="8" fillId="0" borderId="8" xfId="0" applyNumberFormat="1" applyFont="1" applyBorder="1" applyAlignment="1">
      <alignment horizontal="right" vertical="center" shrinkToFit="1"/>
    </xf>
    <xf numFmtId="179" fontId="8" fillId="0" borderId="8" xfId="0" applyNumberFormat="1" applyFont="1" applyBorder="1" applyAlignment="1">
      <alignment horizontal="right" vertical="center" shrinkToFit="1"/>
    </xf>
    <xf numFmtId="182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 shrinkToFit="1"/>
    </xf>
    <xf numFmtId="49" fontId="16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center" vertical="center" shrinkToFit="1"/>
    </xf>
    <xf numFmtId="49" fontId="12" fillId="0" borderId="0" xfId="0" applyNumberFormat="1" applyFont="1" applyAlignment="1">
      <alignment horizontal="left" vertical="center" shrinkToFit="1"/>
    </xf>
    <xf numFmtId="49" fontId="8" fillId="0" borderId="0" xfId="0" applyNumberFormat="1" applyFont="1" applyAlignment="1">
      <alignment horizontal="left" vertical="center"/>
    </xf>
    <xf numFmtId="182" fontId="8" fillId="0" borderId="0" xfId="0" applyNumberFormat="1" applyFont="1" applyAlignment="1">
      <alignment horizontal="right" vertical="center" shrinkToFit="1"/>
    </xf>
    <xf numFmtId="185" fontId="8" fillId="0" borderId="0" xfId="0" applyNumberFormat="1" applyFont="1" applyAlignment="1">
      <alignment horizontal="right" vertical="center" shrinkToFit="1"/>
    </xf>
    <xf numFmtId="181" fontId="8" fillId="0" borderId="0" xfId="0" applyNumberFormat="1" applyFont="1" applyAlignment="1">
      <alignment horizontal="right" vertical="center" shrinkToFit="1"/>
    </xf>
    <xf numFmtId="49" fontId="8" fillId="0" borderId="0" xfId="0" applyNumberFormat="1" applyFont="1" applyAlignment="1">
      <alignment horizontal="right" vertical="center" shrinkToFit="1"/>
    </xf>
    <xf numFmtId="180" fontId="8" fillId="0" borderId="0" xfId="0" applyNumberFormat="1" applyFont="1" applyAlignment="1">
      <alignment horizontal="right" vertical="center" shrinkToFit="1"/>
    </xf>
    <xf numFmtId="179" fontId="8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horizontal="left" vertical="center"/>
    </xf>
    <xf numFmtId="184" fontId="8" fillId="0" borderId="0" xfId="0" applyNumberFormat="1" applyFont="1" applyAlignment="1">
      <alignment horizontal="right" vertical="center" shrinkToFit="1"/>
    </xf>
    <xf numFmtId="178" fontId="8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horizontal="left" vertical="center" shrinkToFit="1"/>
    </xf>
    <xf numFmtId="49" fontId="8" fillId="0" borderId="0" xfId="0" applyNumberFormat="1" applyFont="1" applyAlignment="1">
      <alignment horizontal="left" vertical="center"/>
    </xf>
    <xf numFmtId="182" fontId="8" fillId="0" borderId="0" xfId="0" applyNumberFormat="1" applyFont="1" applyAlignment="1">
      <alignment horizontal="right" vertical="center" shrinkToFit="1"/>
    </xf>
    <xf numFmtId="185" fontId="8" fillId="0" borderId="0" xfId="0" applyNumberFormat="1" applyFont="1" applyAlignment="1">
      <alignment horizontal="right" vertical="center" shrinkToFit="1"/>
    </xf>
    <xf numFmtId="181" fontId="8" fillId="0" borderId="0" xfId="0" applyNumberFormat="1" applyFont="1" applyAlignment="1">
      <alignment horizontal="right" vertical="center" shrinkToFit="1"/>
    </xf>
    <xf numFmtId="49" fontId="8" fillId="0" borderId="0" xfId="0" applyNumberFormat="1" applyFont="1" applyAlignment="1">
      <alignment horizontal="right" vertical="center" shrinkToFit="1"/>
    </xf>
    <xf numFmtId="180" fontId="8" fillId="0" borderId="0" xfId="0" applyNumberFormat="1" applyFont="1" applyAlignment="1">
      <alignment horizontal="right" vertical="center" shrinkToFit="1"/>
    </xf>
    <xf numFmtId="179" fontId="8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vertical="center" shrinkToFi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 shrinkToFit="1"/>
    </xf>
    <xf numFmtId="49" fontId="11" fillId="0" borderId="0" xfId="0" applyNumberFormat="1" applyFont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8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left" vertical="top" wrapText="1" shrinkToFit="1"/>
    </xf>
    <xf numFmtId="49" fontId="12" fillId="0" borderId="0" xfId="0" applyNumberFormat="1" applyFont="1" applyAlignment="1">
      <alignment horizontal="center" vertical="center" shrinkToFit="1"/>
    </xf>
    <xf numFmtId="183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right" vertical="center" shrinkToFit="1"/>
    </xf>
    <xf numFmtId="177" fontId="8" fillId="0" borderId="0" xfId="20" applyFont="1" applyAlignment="1">
      <alignment horizontal="center" vertical="center" wrapText="1" shrinkToFit="1"/>
    </xf>
    <xf numFmtId="177" fontId="12" fillId="0" borderId="0" xfId="20" applyFont="1" applyAlignment="1">
      <alignment horizontal="center" vertical="center" shrinkToFit="1"/>
    </xf>
    <xf numFmtId="49" fontId="12" fillId="0" borderId="0" xfId="0" applyNumberFormat="1" applyFont="1" applyAlignment="1">
      <alignment horizontal="left" vertical="center"/>
    </xf>
    <xf numFmtId="184" fontId="8" fillId="0" borderId="0" xfId="0" applyNumberFormat="1" applyFont="1" applyAlignment="1">
      <alignment horizontal="right" vertical="center" shrinkToFit="1"/>
    </xf>
    <xf numFmtId="178" fontId="8" fillId="0" borderId="0" xfId="0" applyNumberFormat="1" applyFont="1" applyAlignment="1">
      <alignment horizontal="right" vertical="center"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2" fillId="0" borderId="2" xfId="0" applyNumberFormat="1" applyFont="1" applyBorder="1" applyAlignment="1">
      <alignment vertical="center" shrinkToFit="1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186" fontId="8" fillId="0" borderId="0" xfId="0" applyNumberFormat="1" applyFont="1" applyAlignment="1">
      <alignment horizontal="right" vertical="center" shrinkToFit="1"/>
    </xf>
    <xf numFmtId="187" fontId="8" fillId="0" borderId="0" xfId="0" applyNumberFormat="1" applyFont="1" applyAlignment="1">
      <alignment horizontal="right" vertical="center" shrinkToFit="1"/>
    </xf>
    <xf numFmtId="188" fontId="8" fillId="0" borderId="0" xfId="0" applyNumberFormat="1" applyFont="1" applyAlignment="1">
      <alignment horizontal="right" vertical="center" shrinkToFit="1"/>
    </xf>
    <xf numFmtId="182" fontId="8" fillId="0" borderId="0" xfId="0" applyNumberFormat="1" applyFont="1" applyAlignment="1">
      <alignment horizontal="center" vertical="center" shrinkToFit="1"/>
    </xf>
    <xf numFmtId="49" fontId="12" fillId="0" borderId="0" xfId="0" applyNumberFormat="1" applyFont="1" applyBorder="1" applyAlignment="1">
      <alignment horizontal="center" vertical="center" shrinkToFit="1"/>
    </xf>
    <xf numFmtId="49" fontId="12" fillId="0" borderId="0" xfId="0" applyNumberFormat="1" applyFont="1" applyBorder="1" applyAlignment="1">
      <alignment horizontal="left" vertical="center"/>
    </xf>
    <xf numFmtId="182" fontId="12" fillId="0" borderId="0" xfId="0" applyNumberFormat="1" applyFont="1" applyBorder="1" applyAlignment="1">
      <alignment horizontal="right" vertical="center" shrinkToFit="1"/>
    </xf>
    <xf numFmtId="185" fontId="12" fillId="0" borderId="0" xfId="0" applyNumberFormat="1" applyFont="1" applyBorder="1" applyAlignment="1">
      <alignment horizontal="right" vertical="center" shrinkToFit="1"/>
    </xf>
    <xf numFmtId="181" fontId="12" fillId="0" borderId="0" xfId="0" applyNumberFormat="1" applyFont="1" applyBorder="1" applyAlignment="1">
      <alignment horizontal="right" vertical="center" shrinkToFit="1"/>
    </xf>
    <xf numFmtId="49" fontId="12" fillId="0" borderId="0" xfId="0" applyNumberFormat="1" applyFont="1" applyBorder="1" applyAlignment="1">
      <alignment horizontal="right" vertical="center" shrinkToFit="1"/>
    </xf>
    <xf numFmtId="180" fontId="12" fillId="0" borderId="0" xfId="0" applyNumberFormat="1" applyFont="1" applyBorder="1" applyAlignment="1">
      <alignment horizontal="right" vertical="center" shrinkToFit="1"/>
    </xf>
    <xf numFmtId="179" fontId="12" fillId="0" borderId="0" xfId="0" applyNumberFormat="1" applyFont="1" applyBorder="1" applyAlignment="1">
      <alignment horizontal="right" vertical="center" shrinkToFit="1"/>
    </xf>
    <xf numFmtId="49" fontId="12" fillId="0" borderId="9" xfId="0" applyNumberFormat="1" applyFont="1" applyBorder="1" applyAlignment="1">
      <alignment horizontal="center" vertical="center" shrinkToFit="1"/>
    </xf>
    <xf numFmtId="49" fontId="16" fillId="0" borderId="9" xfId="0" applyNumberFormat="1" applyFont="1" applyBorder="1" applyAlignment="1">
      <alignment horizontal="left" vertical="center"/>
    </xf>
    <xf numFmtId="182" fontId="8" fillId="0" borderId="9" xfId="0" applyNumberFormat="1" applyFont="1" applyBorder="1" applyAlignment="1">
      <alignment horizontal="right" vertical="center" shrinkToFit="1"/>
    </xf>
    <xf numFmtId="185" fontId="8" fillId="0" borderId="9" xfId="0" applyNumberFormat="1" applyFont="1" applyBorder="1" applyAlignment="1">
      <alignment horizontal="right" vertical="center" shrinkToFit="1"/>
    </xf>
    <xf numFmtId="181" fontId="8" fillId="0" borderId="9" xfId="0" applyNumberFormat="1" applyFont="1" applyBorder="1" applyAlignment="1">
      <alignment horizontal="right" vertical="center" shrinkToFit="1"/>
    </xf>
    <xf numFmtId="49" fontId="8" fillId="0" borderId="9" xfId="0" applyNumberFormat="1" applyFont="1" applyBorder="1" applyAlignment="1">
      <alignment horizontal="right" vertical="center" shrinkToFit="1"/>
    </xf>
    <xf numFmtId="180" fontId="8" fillId="0" borderId="9" xfId="0" applyNumberFormat="1" applyFont="1" applyBorder="1" applyAlignment="1">
      <alignment horizontal="right" vertical="center" shrinkToFit="1"/>
    </xf>
    <xf numFmtId="179" fontId="8" fillId="0" borderId="9" xfId="0" applyNumberFormat="1" applyFont="1" applyBorder="1" applyAlignment="1">
      <alignment horizontal="right" vertical="center" shrinkToFit="1"/>
    </xf>
    <xf numFmtId="49" fontId="12" fillId="0" borderId="9" xfId="0" applyNumberFormat="1" applyFont="1" applyBorder="1" applyAlignment="1">
      <alignment horizontal="left" vertical="center"/>
    </xf>
    <xf numFmtId="182" fontId="12" fillId="0" borderId="9" xfId="0" applyNumberFormat="1" applyFont="1" applyBorder="1" applyAlignment="1">
      <alignment horizontal="right" vertical="center" shrinkToFit="1"/>
    </xf>
    <xf numFmtId="185" fontId="12" fillId="0" borderId="9" xfId="0" applyNumberFormat="1" applyFont="1" applyBorder="1" applyAlignment="1">
      <alignment horizontal="right" vertical="center" shrinkToFit="1"/>
    </xf>
    <xf numFmtId="181" fontId="12" fillId="0" borderId="9" xfId="0" applyNumberFormat="1" applyFont="1" applyBorder="1" applyAlignment="1">
      <alignment horizontal="right" vertical="center" shrinkToFit="1"/>
    </xf>
    <xf numFmtId="49" fontId="12" fillId="0" borderId="9" xfId="0" applyNumberFormat="1" applyFont="1" applyBorder="1" applyAlignment="1">
      <alignment horizontal="right" vertical="center" shrinkToFit="1"/>
    </xf>
    <xf numFmtId="180" fontId="12" fillId="0" borderId="9" xfId="0" applyNumberFormat="1" applyFont="1" applyBorder="1" applyAlignment="1">
      <alignment horizontal="right" vertical="center" shrinkToFit="1"/>
    </xf>
    <xf numFmtId="179" fontId="12" fillId="0" borderId="9" xfId="0" applyNumberFormat="1" applyFont="1" applyBorder="1" applyAlignment="1">
      <alignment horizontal="right" vertical="center" shrinkToFit="1"/>
    </xf>
    <xf numFmtId="190" fontId="8" fillId="0" borderId="0" xfId="20" applyNumberFormat="1" applyFont="1" applyBorder="1">
      <alignment vertical="center"/>
    </xf>
    <xf numFmtId="182" fontId="7" fillId="0" borderId="0" xfId="0" applyNumberFormat="1" applyFont="1" applyBorder="1" applyAlignment="1">
      <alignment horizontal="right" vertical="center" shrinkToFit="1"/>
    </xf>
    <xf numFmtId="49" fontId="8" fillId="0" borderId="0" xfId="0" applyNumberFormat="1" applyFont="1" applyBorder="1" applyAlignment="1">
      <alignment horizontal="left" vertical="center"/>
    </xf>
    <xf numFmtId="182" fontId="8" fillId="0" borderId="0" xfId="0" applyNumberFormat="1" applyFont="1" applyBorder="1" applyAlignment="1">
      <alignment horizontal="right" vertical="center" shrinkToFit="1"/>
    </xf>
    <xf numFmtId="184" fontId="8" fillId="0" borderId="0" xfId="0" applyNumberFormat="1" applyFont="1" applyBorder="1" applyAlignment="1">
      <alignment horizontal="right" vertical="center" shrinkToFit="1"/>
    </xf>
    <xf numFmtId="178" fontId="8" fillId="0" borderId="0" xfId="0" applyNumberFormat="1" applyFont="1" applyBorder="1" applyAlignment="1">
      <alignment horizontal="right" vertical="center" shrinkToFit="1"/>
    </xf>
    <xf numFmtId="179" fontId="8" fillId="0" borderId="0" xfId="0" applyNumberFormat="1" applyFont="1" applyBorder="1" applyAlignment="1">
      <alignment horizontal="right" vertical="center" shrinkToFit="1"/>
    </xf>
    <xf numFmtId="191" fontId="8" fillId="0" borderId="0" xfId="0" applyNumberFormat="1" applyFont="1" applyAlignment="1">
      <alignment horizontal="right" vertical="center" shrinkToFit="1"/>
    </xf>
    <xf numFmtId="192" fontId="8" fillId="0" borderId="0" xfId="0" applyNumberFormat="1" applyFont="1" applyAlignment="1">
      <alignment horizontal="right" vertical="center" shrinkToFit="1"/>
    </xf>
    <xf numFmtId="182" fontId="8" fillId="0" borderId="0" xfId="0" quotePrefix="1" applyNumberFormat="1" applyFont="1" applyAlignment="1">
      <alignment horizontal="right" vertical="center" shrinkToFit="1"/>
    </xf>
    <xf numFmtId="182" fontId="8" fillId="0" borderId="0" xfId="0" quotePrefix="1" applyNumberFormat="1" applyFont="1" applyAlignment="1">
      <alignment horizontal="center" vertical="center" shrinkToFit="1"/>
    </xf>
    <xf numFmtId="184" fontId="12" fillId="0" borderId="0" xfId="0" applyNumberFormat="1" applyFont="1" applyBorder="1" applyAlignment="1">
      <alignment horizontal="right" vertical="center" shrinkToFit="1"/>
    </xf>
    <xf numFmtId="178" fontId="12" fillId="0" borderId="0" xfId="0" applyNumberFormat="1" applyFont="1" applyBorder="1" applyAlignment="1">
      <alignment horizontal="right" vertical="center" shrinkToFit="1"/>
    </xf>
    <xf numFmtId="194" fontId="12" fillId="0" borderId="0" xfId="0" applyNumberFormat="1" applyFont="1" applyBorder="1" applyAlignment="1">
      <alignment horizontal="right" vertical="center" shrinkToFit="1"/>
    </xf>
    <xf numFmtId="184" fontId="12" fillId="0" borderId="9" xfId="0" applyNumberFormat="1" applyFont="1" applyBorder="1" applyAlignment="1">
      <alignment horizontal="right" vertical="center" shrinkToFit="1"/>
    </xf>
    <xf numFmtId="187" fontId="8" fillId="0" borderId="9" xfId="0" applyNumberFormat="1" applyFont="1" applyBorder="1" applyAlignment="1">
      <alignment horizontal="right" vertical="center" shrinkToFit="1"/>
    </xf>
    <xf numFmtId="178" fontId="12" fillId="0" borderId="9" xfId="0" applyNumberFormat="1" applyFont="1" applyBorder="1" applyAlignment="1">
      <alignment horizontal="right" vertical="center" shrinkToFit="1"/>
    </xf>
    <xf numFmtId="194" fontId="12" fillId="0" borderId="9" xfId="0" applyNumberFormat="1" applyFont="1" applyBorder="1" applyAlignment="1">
      <alignment horizontal="right" vertical="center" shrinkToFit="1"/>
    </xf>
    <xf numFmtId="49" fontId="8" fillId="0" borderId="9" xfId="0" applyNumberFormat="1" applyFont="1" applyBorder="1" applyAlignment="1">
      <alignment horizontal="left" vertical="center"/>
    </xf>
    <xf numFmtId="184" fontId="8" fillId="0" borderId="9" xfId="0" applyNumberFormat="1" applyFont="1" applyBorder="1" applyAlignment="1">
      <alignment horizontal="right" vertical="center" shrinkToFit="1"/>
    </xf>
    <xf numFmtId="178" fontId="8" fillId="0" borderId="9" xfId="0" applyNumberFormat="1" applyFont="1" applyBorder="1" applyAlignment="1">
      <alignment horizontal="right" vertical="center" shrinkToFit="1"/>
    </xf>
    <xf numFmtId="49" fontId="1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186" fontId="12" fillId="0" borderId="0" xfId="0" applyNumberFormat="1" applyFont="1" applyBorder="1" applyAlignment="1">
      <alignment horizontal="right" vertical="center" shrinkToFit="1"/>
    </xf>
    <xf numFmtId="187" fontId="12" fillId="0" borderId="9" xfId="0" applyNumberFormat="1" applyFont="1" applyBorder="1" applyAlignment="1">
      <alignment horizontal="right" vertical="center" shrinkToFit="1"/>
    </xf>
  </cellXfs>
  <cellStyles count="39">
    <cellStyle name="¤@¯ë 2" xfId="38" xr:uid="{00000000-0005-0000-0000-000000000000}"/>
    <cellStyle name="¤d¤À¦ì 2" xfId="1" xr:uid="{00000000-0005-0000-0000-000001000000}"/>
    <cellStyle name="Normal 2" xfId="2" xr:uid="{00000000-0005-0000-0000-000003000000}"/>
    <cellStyle name="Normal 3" xfId="3" xr:uid="{00000000-0005-0000-0000-000004000000}"/>
    <cellStyle name="一般" xfId="0" builtinId="0"/>
    <cellStyle name="一般 10" xfId="4" xr:uid="{00000000-0005-0000-0000-000007000000}"/>
    <cellStyle name="一般 10 2" xfId="5" xr:uid="{00000000-0005-0000-0000-000008000000}"/>
    <cellStyle name="一般 11" xfId="6" xr:uid="{00000000-0005-0000-0000-000009000000}"/>
    <cellStyle name="一般 12" xfId="7" xr:uid="{00000000-0005-0000-0000-00000A000000}"/>
    <cellStyle name="一般 15" xfId="8" xr:uid="{00000000-0005-0000-0000-00000B000000}"/>
    <cellStyle name="一般 2" xfId="9" xr:uid="{00000000-0005-0000-0000-00000C000000}"/>
    <cellStyle name="一般 2 2" xfId="10" xr:uid="{00000000-0005-0000-0000-00000D000000}"/>
    <cellStyle name="一般 2 2 2" xfId="11" xr:uid="{00000000-0005-0000-0000-00000E000000}"/>
    <cellStyle name="一般 2 2 3" xfId="12" xr:uid="{00000000-0005-0000-0000-00000F000000}"/>
    <cellStyle name="一般 3" xfId="13" xr:uid="{00000000-0005-0000-0000-000010000000}"/>
    <cellStyle name="一般 4" xfId="14" xr:uid="{00000000-0005-0000-0000-000011000000}"/>
    <cellStyle name="一般 5" xfId="15" xr:uid="{00000000-0005-0000-0000-000012000000}"/>
    <cellStyle name="一般 6" xfId="16" xr:uid="{00000000-0005-0000-0000-000013000000}"/>
    <cellStyle name="一般 7" xfId="17" xr:uid="{00000000-0005-0000-0000-000014000000}"/>
    <cellStyle name="一般 8" xfId="18" xr:uid="{00000000-0005-0000-0000-000015000000}"/>
    <cellStyle name="一般 9" xfId="19" xr:uid="{00000000-0005-0000-0000-000016000000}"/>
    <cellStyle name="千分位" xfId="20" builtinId="3"/>
    <cellStyle name="千分位 10" xfId="21" xr:uid="{00000000-0005-0000-0000-000018000000}"/>
    <cellStyle name="千分位 11" xfId="22" xr:uid="{00000000-0005-0000-0000-000019000000}"/>
    <cellStyle name="千分位 12" xfId="23" xr:uid="{00000000-0005-0000-0000-00001A000000}"/>
    <cellStyle name="千分位 13" xfId="24" xr:uid="{00000000-0005-0000-0000-00001B000000}"/>
    <cellStyle name="千分位 14" xfId="25" xr:uid="{00000000-0005-0000-0000-00001C000000}"/>
    <cellStyle name="千分位 15" xfId="26" xr:uid="{00000000-0005-0000-0000-00001D000000}"/>
    <cellStyle name="千分位 16" xfId="27" xr:uid="{00000000-0005-0000-0000-00001E000000}"/>
    <cellStyle name="千分位 2" xfId="28" xr:uid="{00000000-0005-0000-0000-00001F000000}"/>
    <cellStyle name="千分位 3" xfId="29" xr:uid="{00000000-0005-0000-0000-000020000000}"/>
    <cellStyle name="千分位 4" xfId="30" xr:uid="{00000000-0005-0000-0000-000021000000}"/>
    <cellStyle name="千分位 5" xfId="31" xr:uid="{00000000-0005-0000-0000-000022000000}"/>
    <cellStyle name="千分位 6" xfId="32" xr:uid="{00000000-0005-0000-0000-000023000000}"/>
    <cellStyle name="千分位 7" xfId="33" xr:uid="{00000000-0005-0000-0000-000024000000}"/>
    <cellStyle name="千分位 8" xfId="34" xr:uid="{00000000-0005-0000-0000-000025000000}"/>
    <cellStyle name="千分位 9" xfId="35" xr:uid="{00000000-0005-0000-0000-000026000000}"/>
    <cellStyle name="千位分隔 2" xfId="36" xr:uid="{00000000-0005-0000-0000-000027000000}"/>
    <cellStyle name="常规 2" xfId="37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topLeftCell="A36" workbookViewId="0">
      <selection activeCell="A49" sqref="A49:J49"/>
    </sheetView>
  </sheetViews>
  <sheetFormatPr defaultColWidth="9" defaultRowHeight="15"/>
  <cols>
    <col min="1" max="1" width="11.36328125" style="9" customWidth="1"/>
    <col min="2" max="2" width="25.453125" style="20" customWidth="1"/>
    <col min="3" max="3" width="4.36328125" style="17" customWidth="1"/>
    <col min="4" max="4" width="5.1796875" style="18" customWidth="1"/>
    <col min="5" max="5" width="9.81640625" style="17" customWidth="1"/>
    <col min="6" max="6" width="8.6328125" style="21" customWidth="1"/>
    <col min="7" max="7" width="3.6328125" style="22" customWidth="1"/>
    <col min="8" max="8" width="6.453125" style="23" customWidth="1"/>
    <col min="9" max="9" width="3.453125" style="22" customWidth="1"/>
    <col min="10" max="10" width="10" style="24" customWidth="1"/>
    <col min="11" max="11" width="5.453125" style="3" hidden="1" customWidth="1"/>
    <col min="12" max="12" width="3.90625" style="1" hidden="1" customWidth="1"/>
    <col min="13" max="13" width="9" style="1" customWidth="1"/>
    <col min="14" max="16384" width="9" style="1"/>
  </cols>
  <sheetData>
    <row r="1" spans="1:17" ht="23.25" customHeight="1">
      <c r="A1" s="95" t="s">
        <v>74</v>
      </c>
      <c r="B1" s="95"/>
      <c r="C1" s="95"/>
      <c r="D1" s="95"/>
      <c r="E1" s="95"/>
      <c r="F1" s="95"/>
      <c r="G1" s="95"/>
      <c r="H1" s="95"/>
      <c r="I1" s="95"/>
      <c r="J1" s="95"/>
    </row>
    <row r="2" spans="1:17" ht="26.4" customHeight="1">
      <c r="A2" s="102" t="s">
        <v>75</v>
      </c>
      <c r="B2" s="103"/>
      <c r="C2" s="103"/>
      <c r="D2" s="103"/>
      <c r="E2" s="103"/>
      <c r="F2" s="103"/>
      <c r="G2" s="103"/>
      <c r="H2" s="103"/>
      <c r="I2" s="103"/>
      <c r="J2" s="103"/>
      <c r="K2" s="2"/>
    </row>
    <row r="3" spans="1:17" ht="21" customHeight="1">
      <c r="A3" s="99" t="s">
        <v>0</v>
      </c>
      <c r="B3" s="99"/>
      <c r="C3" s="99"/>
      <c r="D3" s="99"/>
      <c r="E3" s="99"/>
      <c r="F3" s="99"/>
      <c r="G3" s="99"/>
      <c r="H3" s="99"/>
      <c r="I3" s="99"/>
      <c r="J3" s="99"/>
    </row>
    <row r="4" spans="1:17" ht="6.75" customHeight="1">
      <c r="B4" s="10"/>
      <c r="C4" s="11"/>
      <c r="D4" s="12"/>
      <c r="E4" s="11"/>
      <c r="F4" s="13"/>
      <c r="G4" s="14"/>
      <c r="H4" s="15"/>
      <c r="I4" s="14"/>
      <c r="J4" s="16"/>
    </row>
    <row r="5" spans="1:17">
      <c r="A5" s="9" t="s">
        <v>1</v>
      </c>
      <c r="B5" s="10" t="s">
        <v>73</v>
      </c>
      <c r="F5" s="101" t="s">
        <v>3</v>
      </c>
      <c r="G5" s="101"/>
      <c r="H5" s="84" t="s">
        <v>4</v>
      </c>
      <c r="I5" s="84"/>
      <c r="J5" s="84"/>
    </row>
    <row r="6" spans="1:17" ht="9" customHeight="1"/>
    <row r="7" spans="1:17">
      <c r="A7" s="92" t="s">
        <v>5</v>
      </c>
      <c r="B7" s="92"/>
    </row>
    <row r="8" spans="1:17">
      <c r="A8" s="92" t="s">
        <v>6</v>
      </c>
      <c r="B8" s="92"/>
      <c r="E8" s="92" t="s">
        <v>7</v>
      </c>
      <c r="F8" s="92"/>
      <c r="G8" s="92"/>
      <c r="H8" s="92"/>
      <c r="I8" s="92"/>
      <c r="J8" s="92"/>
    </row>
    <row r="9" spans="1:17">
      <c r="A9" s="92" t="s">
        <v>8</v>
      </c>
      <c r="B9" s="92"/>
      <c r="C9" s="92"/>
      <c r="D9" s="92"/>
      <c r="E9" s="92" t="s">
        <v>9</v>
      </c>
      <c r="F9" s="92"/>
      <c r="G9" s="92"/>
      <c r="H9" s="92"/>
      <c r="I9" s="92"/>
      <c r="J9" s="92"/>
    </row>
    <row r="10" spans="1:17" ht="51" customHeight="1">
      <c r="A10" s="98" t="s">
        <v>10</v>
      </c>
      <c r="B10" s="98"/>
      <c r="C10" s="98"/>
      <c r="D10" s="98"/>
      <c r="E10" s="98" t="s">
        <v>11</v>
      </c>
      <c r="F10" s="98"/>
      <c r="G10" s="98"/>
      <c r="H10" s="98"/>
      <c r="I10" s="98"/>
      <c r="J10" s="98"/>
    </row>
    <row r="11" spans="1:17" ht="22.8" customHeight="1">
      <c r="A11" s="97"/>
      <c r="B11" s="97"/>
      <c r="C11" s="97"/>
      <c r="D11" s="97"/>
      <c r="E11" s="97" t="s">
        <v>12</v>
      </c>
      <c r="F11" s="97"/>
      <c r="G11" s="97"/>
      <c r="H11" s="97"/>
      <c r="I11" s="97"/>
      <c r="J11" s="97"/>
      <c r="P11" s="112"/>
      <c r="Q11" s="113"/>
    </row>
    <row r="12" spans="1:17">
      <c r="A12" s="111" t="s">
        <v>76</v>
      </c>
      <c r="B12" s="97" t="s">
        <v>77</v>
      </c>
      <c r="C12" s="97"/>
      <c r="D12" s="97"/>
      <c r="E12" s="92" t="s">
        <v>13</v>
      </c>
      <c r="F12" s="92"/>
      <c r="G12" s="92"/>
      <c r="H12" s="100">
        <v>46212</v>
      </c>
      <c r="I12" s="100"/>
    </row>
    <row r="13" spans="1:17">
      <c r="A13" s="97" t="s">
        <v>71</v>
      </c>
      <c r="B13" s="97"/>
      <c r="C13" s="97"/>
      <c r="D13" s="97"/>
      <c r="E13" s="11" t="s">
        <v>14</v>
      </c>
      <c r="F13" s="92" t="s">
        <v>9</v>
      </c>
      <c r="G13" s="92"/>
      <c r="H13" s="92"/>
      <c r="I13" s="92"/>
      <c r="J13" s="92"/>
    </row>
    <row r="14" spans="1:17" ht="6" customHeight="1">
      <c r="A14" s="27"/>
      <c r="B14" s="28"/>
      <c r="C14" s="29"/>
      <c r="D14" s="30"/>
      <c r="E14" s="29"/>
      <c r="F14" s="31"/>
      <c r="G14" s="32"/>
      <c r="H14" s="33"/>
      <c r="I14" s="32"/>
      <c r="J14" s="34"/>
      <c r="K14" s="5"/>
    </row>
    <row r="15" spans="1:17">
      <c r="A15" s="92" t="s">
        <v>15</v>
      </c>
      <c r="B15" s="92"/>
    </row>
    <row r="16" spans="1:17">
      <c r="A16" s="92" t="s">
        <v>16</v>
      </c>
      <c r="B16" s="92"/>
    </row>
    <row r="17" spans="1:12" ht="15" customHeight="1">
      <c r="B17" s="10"/>
      <c r="C17" s="10"/>
      <c r="D17" s="96" t="s">
        <v>17</v>
      </c>
      <c r="E17" s="96"/>
      <c r="F17" s="96"/>
      <c r="G17" s="96"/>
      <c r="H17" s="96" t="s">
        <v>18</v>
      </c>
      <c r="I17" s="96"/>
      <c r="J17" s="35"/>
      <c r="K17" s="4"/>
    </row>
    <row r="18" spans="1:12">
      <c r="A18" s="36"/>
      <c r="B18" s="37" t="s">
        <v>19</v>
      </c>
      <c r="C18" s="38" t="s">
        <v>20</v>
      </c>
      <c r="D18" s="39"/>
      <c r="E18" s="38" t="s">
        <v>84</v>
      </c>
      <c r="F18" s="96" t="s">
        <v>22</v>
      </c>
      <c r="G18" s="96" t="s">
        <v>23</v>
      </c>
      <c r="H18" s="96" t="s">
        <v>23</v>
      </c>
      <c r="I18" s="96"/>
      <c r="J18" s="35" t="s">
        <v>24</v>
      </c>
      <c r="K18" s="4" t="s">
        <v>25</v>
      </c>
    </row>
    <row r="19" spans="1:12">
      <c r="A19" s="40" t="s">
        <v>26</v>
      </c>
      <c r="B19" s="41" t="s">
        <v>2</v>
      </c>
      <c r="C19" s="42"/>
      <c r="D19" s="43"/>
      <c r="E19" s="42"/>
      <c r="F19" s="44"/>
      <c r="G19" s="45"/>
      <c r="H19" s="46"/>
      <c r="I19" s="45"/>
      <c r="J19" s="47"/>
    </row>
    <row r="20" spans="1:12">
      <c r="A20" s="9" t="s">
        <v>27</v>
      </c>
      <c r="B20" s="20" t="s">
        <v>28</v>
      </c>
    </row>
    <row r="21" spans="1:12">
      <c r="A21" s="9" t="s">
        <v>29</v>
      </c>
      <c r="B21" s="20" t="s">
        <v>30</v>
      </c>
    </row>
    <row r="22" spans="1:12">
      <c r="A22" s="9" t="s">
        <v>31</v>
      </c>
      <c r="B22" s="20" t="s">
        <v>72</v>
      </c>
    </row>
    <row r="23" spans="1:12">
      <c r="A23" s="9" t="s">
        <v>32</v>
      </c>
      <c r="B23" s="20" t="s">
        <v>33</v>
      </c>
    </row>
    <row r="24" spans="1:12" s="70" customFormat="1" ht="13.2">
      <c r="A24" s="8"/>
      <c r="B24" s="93" t="s">
        <v>34</v>
      </c>
      <c r="C24" s="86"/>
      <c r="D24" s="87"/>
      <c r="E24" s="86"/>
      <c r="F24" s="88"/>
      <c r="G24" s="89"/>
      <c r="H24" s="90"/>
      <c r="I24" s="89"/>
      <c r="J24" s="91"/>
      <c r="K24" s="86"/>
      <c r="L24" s="94"/>
    </row>
    <row r="25" spans="1:12">
      <c r="B25" s="20" t="s">
        <v>35</v>
      </c>
      <c r="C25" s="17">
        <v>4</v>
      </c>
      <c r="E25" s="118">
        <v>494</v>
      </c>
      <c r="F25" s="21">
        <v>48</v>
      </c>
      <c r="G25" s="22" t="s">
        <v>36</v>
      </c>
      <c r="H25" s="23">
        <v>0.46</v>
      </c>
      <c r="I25" s="22" t="s">
        <v>37</v>
      </c>
      <c r="J25" s="24">
        <v>227.24</v>
      </c>
    </row>
    <row r="26" spans="1:12">
      <c r="B26" s="20" t="s">
        <v>38</v>
      </c>
      <c r="C26" s="17">
        <v>3</v>
      </c>
      <c r="E26" s="118">
        <v>329</v>
      </c>
      <c r="F26" s="21">
        <v>32.5</v>
      </c>
      <c r="G26" s="22" t="s">
        <v>36</v>
      </c>
      <c r="H26" s="23">
        <v>0.46</v>
      </c>
      <c r="I26" s="22" t="s">
        <v>37</v>
      </c>
      <c r="J26" s="24">
        <v>151.34</v>
      </c>
    </row>
    <row r="27" spans="1:12">
      <c r="B27" s="20" t="s">
        <v>39</v>
      </c>
      <c r="C27" s="17">
        <v>1</v>
      </c>
      <c r="E27" s="118">
        <v>206</v>
      </c>
      <c r="F27" s="21">
        <v>18.3</v>
      </c>
      <c r="G27" s="22" t="s">
        <v>36</v>
      </c>
      <c r="H27" s="23">
        <v>1.92</v>
      </c>
      <c r="I27" s="22" t="s">
        <v>37</v>
      </c>
      <c r="J27" s="24">
        <v>395.52</v>
      </c>
    </row>
    <row r="28" spans="1:12">
      <c r="A28" s="72"/>
      <c r="B28" s="71"/>
      <c r="C28" s="75"/>
      <c r="D28" s="76"/>
      <c r="E28" s="75"/>
      <c r="F28" s="77"/>
      <c r="G28" s="78"/>
      <c r="H28" s="79"/>
      <c r="I28" s="78"/>
      <c r="J28" s="80"/>
    </row>
    <row r="29" spans="1:12" ht="16.2">
      <c r="A29" s="72"/>
      <c r="B29" s="117" t="s">
        <v>81</v>
      </c>
      <c r="C29" s="116"/>
      <c r="D29" s="116"/>
      <c r="E29" s="119"/>
      <c r="F29" s="77"/>
      <c r="G29" s="78"/>
      <c r="H29" s="120"/>
      <c r="I29" s="78"/>
      <c r="J29" s="80"/>
    </row>
    <row r="30" spans="1:12" ht="32.4">
      <c r="A30" s="72"/>
      <c r="B30" s="114" t="s">
        <v>78</v>
      </c>
      <c r="C30" s="75">
        <v>11</v>
      </c>
      <c r="D30" s="76"/>
      <c r="E30" s="119">
        <v>283344</v>
      </c>
      <c r="F30" s="77">
        <v>97.5</v>
      </c>
      <c r="G30" s="78" t="s">
        <v>36</v>
      </c>
      <c r="H30" s="120">
        <v>1.7600000000000001E-2</v>
      </c>
      <c r="I30" s="78" t="s">
        <v>37</v>
      </c>
      <c r="J30" s="80">
        <f>E30*H30</f>
        <v>4986.8544000000002</v>
      </c>
      <c r="K30" s="116"/>
      <c r="L30" s="116"/>
    </row>
    <row r="31" spans="1:12" ht="16.2">
      <c r="A31" s="72"/>
      <c r="B31" s="117" t="s">
        <v>82</v>
      </c>
      <c r="C31" s="75"/>
      <c r="D31" s="76"/>
      <c r="E31" s="75"/>
      <c r="F31" s="77"/>
      <c r="G31" s="78"/>
      <c r="H31" s="79"/>
      <c r="I31" s="78"/>
      <c r="J31" s="115"/>
      <c r="K31" s="116"/>
      <c r="L31" s="116"/>
    </row>
    <row r="32" spans="1:12" ht="32.4">
      <c r="A32" s="72"/>
      <c r="B32" s="114" t="s">
        <v>79</v>
      </c>
      <c r="C32" s="121">
        <v>3</v>
      </c>
      <c r="D32" s="76"/>
      <c r="E32" s="119">
        <v>48019</v>
      </c>
      <c r="F32" s="77">
        <v>28.9</v>
      </c>
      <c r="G32" s="78" t="s">
        <v>36</v>
      </c>
      <c r="H32" s="120">
        <v>1.7600000000000001E-2</v>
      </c>
      <c r="I32" s="78" t="s">
        <v>37</v>
      </c>
      <c r="J32" s="80">
        <f>E32*H32</f>
        <v>845.13440000000003</v>
      </c>
    </row>
    <row r="33" spans="1:11" ht="16.2">
      <c r="A33" s="72"/>
      <c r="B33" s="117" t="s">
        <v>83</v>
      </c>
      <c r="C33" s="75"/>
      <c r="D33" s="76"/>
      <c r="E33" s="75"/>
      <c r="F33" s="77"/>
      <c r="G33" s="78"/>
      <c r="H33" s="1"/>
      <c r="I33" s="116"/>
      <c r="J33" s="116"/>
    </row>
    <row r="34" spans="1:11" ht="48.6">
      <c r="A34" s="72"/>
      <c r="B34" s="114" t="s">
        <v>80</v>
      </c>
      <c r="C34" s="121" t="s">
        <v>85</v>
      </c>
      <c r="D34" s="76"/>
      <c r="E34" s="119">
        <v>31676</v>
      </c>
      <c r="F34" s="77"/>
      <c r="G34" s="78"/>
      <c r="H34" s="120">
        <v>1.49E-2</v>
      </c>
      <c r="I34" s="78" t="s">
        <v>37</v>
      </c>
      <c r="J34" s="80">
        <f>E34*H34</f>
        <v>471.97239999999999</v>
      </c>
    </row>
    <row r="35" spans="1:11" ht="15.6" thickBot="1">
      <c r="A35" s="130"/>
      <c r="B35" s="131"/>
      <c r="C35" s="132"/>
      <c r="D35" s="133"/>
      <c r="E35" s="132"/>
      <c r="F35" s="134"/>
      <c r="G35" s="135"/>
      <c r="H35" s="136"/>
      <c r="I35" s="135"/>
      <c r="J35" s="137"/>
    </row>
    <row r="36" spans="1:11" ht="16.2" thickBot="1">
      <c r="A36" s="122"/>
      <c r="B36" s="123" t="s">
        <v>40</v>
      </c>
      <c r="C36" s="124">
        <v>22</v>
      </c>
      <c r="D36" s="125" t="s">
        <v>107</v>
      </c>
      <c r="E36" s="118">
        <v>1029</v>
      </c>
      <c r="F36" s="126">
        <f>SUM(F24:F35)</f>
        <v>225.20000000000002</v>
      </c>
      <c r="G36" s="127" t="s">
        <v>109</v>
      </c>
      <c r="H36" s="128"/>
      <c r="I36" s="127" t="s">
        <v>108</v>
      </c>
      <c r="J36" s="129">
        <f>SUM(J24:J34)</f>
        <v>7078.0612000000001</v>
      </c>
      <c r="K36" s="6"/>
    </row>
    <row r="37" spans="1:11" ht="16.8" thickTop="1" thickBot="1">
      <c r="A37" s="130"/>
      <c r="B37" s="138"/>
      <c r="C37" s="139"/>
      <c r="D37" s="140"/>
      <c r="E37" s="160">
        <f>E30+E32+E34</f>
        <v>363039</v>
      </c>
      <c r="F37" s="141"/>
      <c r="G37" s="142"/>
      <c r="H37" s="143"/>
      <c r="I37" s="142"/>
      <c r="J37" s="144"/>
      <c r="K37" s="6"/>
    </row>
    <row r="38" spans="1:11" ht="15.6">
      <c r="A38" s="122"/>
      <c r="B38" s="123"/>
      <c r="C38" s="124"/>
      <c r="D38" s="125"/>
      <c r="E38" s="145"/>
      <c r="F38" s="126"/>
      <c r="G38" s="127"/>
      <c r="H38" s="128"/>
      <c r="I38" s="127"/>
      <c r="J38" s="129"/>
      <c r="K38" s="146"/>
    </row>
    <row r="39" spans="1:11" s="70" customFormat="1" ht="13.2">
      <c r="A39" s="95" t="s">
        <v>86</v>
      </c>
      <c r="B39" s="85"/>
      <c r="C39" s="86"/>
      <c r="D39" s="87"/>
      <c r="E39" s="86"/>
      <c r="F39" s="88"/>
      <c r="G39" s="89"/>
      <c r="H39" s="90"/>
      <c r="I39" s="89"/>
      <c r="J39" s="91"/>
      <c r="K39" s="86"/>
    </row>
    <row r="40" spans="1:11" s="70" customFormat="1" ht="13.2">
      <c r="A40" s="9"/>
      <c r="B40" s="20"/>
      <c r="C40" s="17"/>
      <c r="D40" s="18"/>
      <c r="E40" s="17"/>
      <c r="F40" s="21"/>
      <c r="G40" s="22"/>
      <c r="H40" s="23"/>
      <c r="I40" s="22"/>
      <c r="J40" s="24"/>
      <c r="K40" s="17"/>
    </row>
    <row r="41" spans="1:11" s="70" customFormat="1" ht="13.2">
      <c r="A41" s="9"/>
      <c r="B41" s="20"/>
      <c r="C41" s="17"/>
      <c r="D41" s="18"/>
      <c r="E41" s="17"/>
      <c r="F41" s="21"/>
      <c r="G41" s="22"/>
      <c r="H41" s="23"/>
      <c r="I41" s="22"/>
      <c r="J41" s="24"/>
      <c r="K41" s="17"/>
    </row>
    <row r="42" spans="1:11" s="70" customFormat="1" ht="13.2">
      <c r="A42" s="9"/>
      <c r="B42" s="20"/>
      <c r="C42" s="17"/>
      <c r="D42" s="18"/>
      <c r="E42" s="17"/>
      <c r="F42" s="21"/>
      <c r="G42" s="22"/>
      <c r="H42" s="23"/>
      <c r="I42" s="22"/>
      <c r="J42" s="24"/>
      <c r="K42" s="17"/>
    </row>
    <row r="43" spans="1:11" s="70" customFormat="1" ht="13.2">
      <c r="A43" s="84" t="s">
        <v>41</v>
      </c>
      <c r="B43" s="85"/>
      <c r="C43" s="17"/>
      <c r="D43" s="18"/>
      <c r="E43" s="17"/>
      <c r="F43" s="21"/>
      <c r="G43" s="22"/>
      <c r="H43" s="23"/>
      <c r="I43" s="22"/>
      <c r="J43" s="24"/>
      <c r="K43" s="17"/>
    </row>
    <row r="45" spans="1:11">
      <c r="A45" s="84" t="s">
        <v>9</v>
      </c>
      <c r="B45" s="85"/>
      <c r="C45" s="86"/>
      <c r="D45" s="87"/>
      <c r="E45" s="86"/>
      <c r="F45" s="88"/>
      <c r="G45" s="89"/>
      <c r="H45" s="90"/>
      <c r="I45" s="89"/>
      <c r="J45" s="91"/>
    </row>
    <row r="46" spans="1:11">
      <c r="A46" s="84" t="s">
        <v>42</v>
      </c>
      <c r="B46" s="85"/>
      <c r="C46" s="86"/>
      <c r="D46" s="87"/>
      <c r="E46" s="86"/>
      <c r="F46" s="88"/>
      <c r="G46" s="89"/>
      <c r="H46" s="90"/>
      <c r="I46" s="89"/>
      <c r="J46" s="91"/>
    </row>
    <row r="47" spans="1:11">
      <c r="A47" s="84" t="s">
        <v>43</v>
      </c>
      <c r="B47" s="85"/>
      <c r="C47" s="86"/>
      <c r="D47" s="87"/>
      <c r="E47" s="86"/>
      <c r="F47" s="88"/>
      <c r="G47" s="89"/>
      <c r="H47" s="90"/>
      <c r="I47" s="89"/>
      <c r="J47" s="91"/>
    </row>
    <row r="48" spans="1:11">
      <c r="A48" s="84" t="s">
        <v>44</v>
      </c>
      <c r="B48" s="85"/>
      <c r="C48" s="86"/>
      <c r="D48" s="87"/>
      <c r="E48" s="86"/>
      <c r="F48" s="88"/>
      <c r="G48" s="89"/>
      <c r="H48" s="90"/>
      <c r="I48" s="89"/>
      <c r="J48" s="91"/>
    </row>
    <row r="49" spans="1:10">
      <c r="A49" s="84" t="s">
        <v>45</v>
      </c>
      <c r="B49" s="85"/>
      <c r="C49" s="86"/>
      <c r="D49" s="87"/>
      <c r="E49" s="86"/>
      <c r="F49" s="88"/>
      <c r="G49" s="89"/>
      <c r="H49" s="90"/>
      <c r="I49" s="89"/>
      <c r="J49" s="91"/>
    </row>
    <row r="50" spans="1:10">
      <c r="A50" s="84" t="s">
        <v>46</v>
      </c>
      <c r="B50" s="85"/>
      <c r="C50" s="86"/>
      <c r="D50" s="87"/>
      <c r="E50" s="86"/>
      <c r="F50" s="88"/>
      <c r="G50" s="89"/>
      <c r="H50" s="90"/>
      <c r="I50" s="89"/>
      <c r="J50" s="91"/>
    </row>
    <row r="51" spans="1:10">
      <c r="A51" s="84" t="s">
        <v>47</v>
      </c>
      <c r="B51" s="85"/>
      <c r="C51" s="86"/>
      <c r="D51" s="87"/>
      <c r="E51" s="86"/>
      <c r="F51" s="88"/>
      <c r="G51" s="89"/>
      <c r="H51" s="90"/>
      <c r="I51" s="89"/>
      <c r="J51" s="91"/>
    </row>
    <row r="52" spans="1:10">
      <c r="A52" s="84" t="s">
        <v>48</v>
      </c>
      <c r="B52" s="85"/>
      <c r="C52" s="86"/>
      <c r="D52" s="87"/>
      <c r="E52" s="86"/>
      <c r="F52" s="88"/>
      <c r="G52" s="89"/>
      <c r="H52" s="90"/>
      <c r="I52" s="89"/>
      <c r="J52" s="91"/>
    </row>
    <row r="54" spans="1:10">
      <c r="A54" s="84" t="s">
        <v>87</v>
      </c>
      <c r="B54" s="85"/>
      <c r="C54" s="86"/>
      <c r="D54" s="87"/>
      <c r="E54" s="86"/>
      <c r="F54" s="88"/>
      <c r="G54" s="89"/>
      <c r="H54" s="90"/>
      <c r="I54" s="89"/>
      <c r="J54" s="91"/>
    </row>
    <row r="55" spans="1:10">
      <c r="A55" s="73" t="s">
        <v>88</v>
      </c>
    </row>
    <row r="56" spans="1:10">
      <c r="A56" s="73" t="s">
        <v>89</v>
      </c>
    </row>
    <row r="57" spans="1:10">
      <c r="A57" s="73" t="s">
        <v>90</v>
      </c>
    </row>
    <row r="58" spans="1:10">
      <c r="A58" s="73" t="s">
        <v>91</v>
      </c>
    </row>
    <row r="59" spans="1:10">
      <c r="A59" s="73" t="s">
        <v>92</v>
      </c>
    </row>
    <row r="60" spans="1:10">
      <c r="A60" s="73" t="s">
        <v>93</v>
      </c>
    </row>
    <row r="61" spans="1:10">
      <c r="A61" s="73" t="s">
        <v>94</v>
      </c>
    </row>
    <row r="62" spans="1:10">
      <c r="A62" s="73" t="s">
        <v>95</v>
      </c>
    </row>
    <row r="63" spans="1:10">
      <c r="A63" s="73" t="s">
        <v>96</v>
      </c>
    </row>
    <row r="64" spans="1:10">
      <c r="A64" s="73" t="s">
        <v>97</v>
      </c>
    </row>
    <row r="65" spans="1:1">
      <c r="A65" s="73" t="s">
        <v>98</v>
      </c>
    </row>
    <row r="66" spans="1:1">
      <c r="A66" s="73" t="s">
        <v>99</v>
      </c>
    </row>
    <row r="67" spans="1:1">
      <c r="A67" s="73" t="s">
        <v>100</v>
      </c>
    </row>
  </sheetData>
  <mergeCells count="37">
    <mergeCell ref="A54:J54"/>
    <mergeCell ref="E9:J9"/>
    <mergeCell ref="A10:D10"/>
    <mergeCell ref="A11:D11"/>
    <mergeCell ref="E10:J10"/>
    <mergeCell ref="E11:J11"/>
    <mergeCell ref="A1:J1"/>
    <mergeCell ref="A7:B7"/>
    <mergeCell ref="A8:B8"/>
    <mergeCell ref="A9:D9"/>
    <mergeCell ref="A3:J3"/>
    <mergeCell ref="E8:J8"/>
    <mergeCell ref="H5:J5"/>
    <mergeCell ref="F5:G5"/>
    <mergeCell ref="A2:J2"/>
    <mergeCell ref="A13:D13"/>
    <mergeCell ref="B12:D12"/>
    <mergeCell ref="E12:G12"/>
    <mergeCell ref="H12:I12"/>
    <mergeCell ref="F13:J13"/>
    <mergeCell ref="A15:B15"/>
    <mergeCell ref="A16:B16"/>
    <mergeCell ref="B24:L24"/>
    <mergeCell ref="A39:K39"/>
    <mergeCell ref="F18:G18"/>
    <mergeCell ref="H17:I17"/>
    <mergeCell ref="H18:I18"/>
    <mergeCell ref="D17:G17"/>
    <mergeCell ref="A43:B43"/>
    <mergeCell ref="A45:J45"/>
    <mergeCell ref="A51:J51"/>
    <mergeCell ref="A52:J52"/>
    <mergeCell ref="A46:J46"/>
    <mergeCell ref="A47:J47"/>
    <mergeCell ref="A48:J48"/>
    <mergeCell ref="A49:J49"/>
    <mergeCell ref="A50:J50"/>
  </mergeCells>
  <phoneticPr fontId="1" type="noConversion"/>
  <pageMargins left="0" right="0" top="0" bottom="0" header="0" footer="0.19685039370078741"/>
  <pageSetup paperSize="9" orientation="portrait"/>
  <headerFooter>
    <oddFooter>&amp;CPage:&amp;P/&amp;N&amp;RPrintTime:&amp;D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58F-53EB-48C1-A87C-A372089DEE44}">
  <dimension ref="A1:K78"/>
  <sheetViews>
    <sheetView topLeftCell="A13" workbookViewId="0">
      <selection activeCell="A18" sqref="A18:XFD18"/>
    </sheetView>
  </sheetViews>
  <sheetFormatPr defaultColWidth="9" defaultRowHeight="15"/>
  <cols>
    <col min="1" max="1" width="14" style="10" customWidth="1"/>
    <col min="2" max="2" width="12.08984375" style="20" customWidth="1"/>
    <col min="3" max="3" width="8" style="17" customWidth="1"/>
    <col min="4" max="4" width="8" style="49" hidden="1" customWidth="1"/>
    <col min="5" max="5" width="7.453125" style="49" customWidth="1"/>
    <col min="6" max="6" width="8.453125" style="50" customWidth="1"/>
    <col min="7" max="7" width="5.453125" style="50" hidden="1" customWidth="1"/>
    <col min="8" max="8" width="10.453125" style="24" customWidth="1"/>
    <col min="9" max="10" width="6.6328125" style="49" customWidth="1"/>
    <col min="11" max="11" width="4.90625" style="50" customWidth="1"/>
    <col min="12" max="12" width="9.81640625" style="1" customWidth="1"/>
    <col min="13" max="13" width="9" style="1" customWidth="1"/>
    <col min="14" max="16384" width="9" style="1"/>
  </cols>
  <sheetData>
    <row r="1" spans="1:11" ht="23.25" customHeight="1">
      <c r="A1" s="95" t="s">
        <v>74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33" customHeight="1">
      <c r="A2" s="108" t="s">
        <v>75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21" customHeight="1">
      <c r="A3" s="99" t="s">
        <v>49</v>
      </c>
      <c r="B3" s="99"/>
      <c r="C3" s="99"/>
      <c r="D3" s="99"/>
      <c r="E3" s="99"/>
      <c r="F3" s="99"/>
      <c r="G3" s="99"/>
      <c r="H3" s="99"/>
      <c r="I3" s="99"/>
      <c r="J3" s="99"/>
      <c r="K3" s="99"/>
    </row>
    <row r="4" spans="1:11" ht="6.75" customHeight="1">
      <c r="B4" s="10"/>
      <c r="C4" s="11"/>
      <c r="D4" s="48"/>
      <c r="E4" s="48"/>
      <c r="F4" s="19"/>
      <c r="G4" s="19"/>
      <c r="H4" s="16"/>
      <c r="I4" s="48"/>
      <c r="J4" s="48"/>
      <c r="K4" s="19"/>
    </row>
    <row r="5" spans="1:11">
      <c r="A5" s="10" t="s">
        <v>1</v>
      </c>
      <c r="B5" s="10" t="s">
        <v>73</v>
      </c>
      <c r="H5" s="16" t="s">
        <v>3</v>
      </c>
      <c r="I5" s="84" t="s">
        <v>4</v>
      </c>
      <c r="J5" s="84"/>
      <c r="K5" s="84"/>
    </row>
    <row r="6" spans="1:11" ht="9" customHeight="1"/>
    <row r="7" spans="1:11">
      <c r="A7" s="99" t="s">
        <v>5</v>
      </c>
      <c r="B7" s="99"/>
      <c r="C7" s="99"/>
    </row>
    <row r="8" spans="1:11">
      <c r="A8" s="92" t="s">
        <v>6</v>
      </c>
      <c r="B8" s="92"/>
      <c r="D8" s="17"/>
      <c r="E8" s="92" t="s">
        <v>7</v>
      </c>
      <c r="F8" s="92"/>
      <c r="G8" s="92"/>
      <c r="H8" s="92"/>
      <c r="I8" s="92"/>
      <c r="J8" s="92"/>
      <c r="K8" s="92"/>
    </row>
    <row r="9" spans="1:11">
      <c r="A9" s="92" t="s">
        <v>8</v>
      </c>
      <c r="B9" s="92"/>
      <c r="C9" s="92"/>
      <c r="D9" s="25"/>
      <c r="E9" s="92" t="s">
        <v>9</v>
      </c>
      <c r="F9" s="92"/>
      <c r="G9" s="92"/>
      <c r="H9" s="92"/>
      <c r="I9" s="92"/>
      <c r="J9" s="92"/>
      <c r="K9" s="92"/>
    </row>
    <row r="10" spans="1:11" ht="39.6" customHeight="1">
      <c r="A10" s="98" t="s">
        <v>10</v>
      </c>
      <c r="B10" s="98"/>
      <c r="C10" s="98"/>
      <c r="D10" s="7"/>
      <c r="E10" s="98" t="s">
        <v>11</v>
      </c>
      <c r="F10" s="98"/>
      <c r="G10" s="98"/>
      <c r="H10" s="98"/>
      <c r="I10" s="98"/>
      <c r="J10" s="98"/>
      <c r="K10" s="98"/>
    </row>
    <row r="11" spans="1:11" ht="14.25" customHeight="1">
      <c r="A11" s="97"/>
      <c r="B11" s="97"/>
      <c r="C11" s="97"/>
      <c r="D11" s="26"/>
      <c r="E11" s="97" t="s">
        <v>12</v>
      </c>
      <c r="F11" s="97"/>
      <c r="G11" s="97"/>
      <c r="H11" s="97"/>
      <c r="I11" s="97"/>
      <c r="J11" s="97"/>
      <c r="K11" s="97"/>
    </row>
    <row r="12" spans="1:11">
      <c r="A12" s="111" t="s">
        <v>76</v>
      </c>
      <c r="B12" s="97" t="s">
        <v>77</v>
      </c>
      <c r="C12" s="97"/>
      <c r="D12" s="97"/>
      <c r="E12" s="92" t="s">
        <v>13</v>
      </c>
      <c r="F12" s="92"/>
      <c r="G12" s="92"/>
      <c r="H12" s="92"/>
      <c r="I12" s="100">
        <v>46212</v>
      </c>
      <c r="J12" s="100"/>
    </row>
    <row r="13" spans="1:11">
      <c r="A13" s="97" t="s">
        <v>71</v>
      </c>
      <c r="B13" s="97"/>
      <c r="C13" s="97"/>
      <c r="D13" s="48"/>
      <c r="E13" s="48" t="s">
        <v>14</v>
      </c>
      <c r="F13" s="92" t="s">
        <v>9</v>
      </c>
      <c r="G13" s="92"/>
      <c r="H13" s="92"/>
      <c r="I13" s="92"/>
      <c r="J13" s="92"/>
      <c r="K13" s="92"/>
    </row>
    <row r="14" spans="1:11" ht="6" customHeight="1"/>
    <row r="15" spans="1:11">
      <c r="A15" s="110" t="s">
        <v>15</v>
      </c>
      <c r="B15" s="110"/>
      <c r="C15" s="51"/>
      <c r="D15" s="52"/>
      <c r="E15" s="52"/>
      <c r="F15" s="53"/>
      <c r="G15" s="53"/>
      <c r="H15" s="54"/>
      <c r="I15" s="52"/>
      <c r="J15" s="52"/>
      <c r="K15" s="53"/>
    </row>
    <row r="16" spans="1:11">
      <c r="A16" s="92" t="s">
        <v>16</v>
      </c>
      <c r="B16" s="92"/>
    </row>
    <row r="17" spans="1:11">
      <c r="A17" s="55"/>
      <c r="B17" s="56" t="s">
        <v>2</v>
      </c>
      <c r="C17" s="57" t="s">
        <v>101</v>
      </c>
      <c r="D17" s="58" t="s">
        <v>50</v>
      </c>
      <c r="E17" s="58" t="s">
        <v>51</v>
      </c>
      <c r="F17" s="59" t="s">
        <v>84</v>
      </c>
      <c r="G17" s="59" t="s">
        <v>25</v>
      </c>
      <c r="H17" s="60" t="s">
        <v>21</v>
      </c>
      <c r="I17" s="58" t="s">
        <v>52</v>
      </c>
      <c r="J17" s="58" t="s">
        <v>53</v>
      </c>
      <c r="K17" s="59" t="s">
        <v>20</v>
      </c>
    </row>
    <row r="18" spans="1:11">
      <c r="A18" s="41"/>
      <c r="B18" s="41"/>
      <c r="C18" s="42"/>
      <c r="D18" s="61"/>
      <c r="E18" s="61"/>
      <c r="F18" s="62"/>
      <c r="G18" s="62"/>
      <c r="H18" s="47"/>
      <c r="I18" s="61"/>
      <c r="J18" s="63"/>
    </row>
    <row r="19" spans="1:11">
      <c r="A19" s="10" t="s">
        <v>27</v>
      </c>
      <c r="B19" s="20" t="s">
        <v>28</v>
      </c>
    </row>
    <row r="20" spans="1:11">
      <c r="A20" s="10" t="s">
        <v>29</v>
      </c>
      <c r="B20" s="20" t="s">
        <v>30</v>
      </c>
    </row>
    <row r="21" spans="1:11">
      <c r="A21" s="10" t="s">
        <v>32</v>
      </c>
      <c r="B21" s="20" t="s">
        <v>33</v>
      </c>
    </row>
    <row r="22" spans="1:11">
      <c r="A22" s="10" t="s">
        <v>54</v>
      </c>
      <c r="B22" s="85" t="s">
        <v>34</v>
      </c>
      <c r="C22" s="86"/>
      <c r="D22" s="105"/>
      <c r="E22" s="105"/>
      <c r="F22" s="106"/>
      <c r="G22" s="106"/>
      <c r="H22" s="91"/>
      <c r="I22" s="105"/>
      <c r="J22" s="105"/>
      <c r="K22" s="106"/>
    </row>
    <row r="23" spans="1:11">
      <c r="A23" s="10" t="s">
        <v>45</v>
      </c>
      <c r="B23" s="10" t="s">
        <v>35</v>
      </c>
    </row>
    <row r="24" spans="1:11">
      <c r="A24" s="10" t="s">
        <v>55</v>
      </c>
      <c r="B24" s="20" t="s">
        <v>56</v>
      </c>
      <c r="C24" s="17" t="s">
        <v>57</v>
      </c>
      <c r="D24" s="49">
        <v>1.7</v>
      </c>
      <c r="E24" s="49">
        <v>1.8</v>
      </c>
      <c r="F24" s="152">
        <v>19</v>
      </c>
      <c r="G24" s="50">
        <v>0</v>
      </c>
      <c r="H24" s="24">
        <v>17.37</v>
      </c>
      <c r="I24" s="49">
        <v>4</v>
      </c>
      <c r="J24" s="49">
        <v>2.2999999999999998</v>
      </c>
      <c r="K24" s="50">
        <v>1</v>
      </c>
    </row>
    <row r="25" spans="1:11">
      <c r="A25" s="10" t="s">
        <v>58</v>
      </c>
      <c r="B25" s="20" t="s">
        <v>59</v>
      </c>
      <c r="C25" s="17" t="s">
        <v>60</v>
      </c>
      <c r="D25" s="49">
        <v>17.8</v>
      </c>
      <c r="E25" s="49">
        <v>19.3</v>
      </c>
      <c r="F25" s="152">
        <v>200</v>
      </c>
      <c r="G25" s="50">
        <v>0</v>
      </c>
      <c r="H25" s="24">
        <v>182.88</v>
      </c>
      <c r="I25" s="49">
        <v>42.5</v>
      </c>
      <c r="J25" s="49">
        <v>19.8</v>
      </c>
      <c r="K25" s="50">
        <v>1</v>
      </c>
    </row>
    <row r="26" spans="1:11">
      <c r="A26" s="10" t="s">
        <v>58</v>
      </c>
      <c r="B26" s="20" t="s">
        <v>59</v>
      </c>
      <c r="C26" s="17" t="s">
        <v>61</v>
      </c>
      <c r="D26" s="49">
        <v>18.2</v>
      </c>
      <c r="E26" s="49">
        <v>19.8</v>
      </c>
      <c r="F26" s="152">
        <v>204</v>
      </c>
      <c r="G26" s="50">
        <v>1</v>
      </c>
      <c r="H26" s="24">
        <v>186.54</v>
      </c>
      <c r="I26" s="49">
        <v>43.7</v>
      </c>
      <c r="J26" s="49">
        <v>20.3</v>
      </c>
      <c r="K26" s="50">
        <v>1</v>
      </c>
    </row>
    <row r="27" spans="1:11">
      <c r="A27" s="10" t="s">
        <v>58</v>
      </c>
      <c r="B27" s="20" t="s">
        <v>59</v>
      </c>
      <c r="C27" s="17" t="s">
        <v>62</v>
      </c>
      <c r="D27" s="49">
        <v>6.3</v>
      </c>
      <c r="E27" s="49">
        <v>7.1</v>
      </c>
      <c r="F27" s="152">
        <v>71</v>
      </c>
      <c r="G27" s="50">
        <v>1</v>
      </c>
      <c r="H27" s="24">
        <v>64.92</v>
      </c>
      <c r="I27" s="49">
        <v>15.7</v>
      </c>
      <c r="J27" s="49">
        <v>7.6</v>
      </c>
      <c r="K27" s="50">
        <v>1</v>
      </c>
    </row>
    <row r="28" spans="1:11">
      <c r="B28" s="64"/>
      <c r="C28" s="65"/>
      <c r="D28" s="66"/>
      <c r="E28" s="66"/>
      <c r="F28" s="67"/>
      <c r="G28" s="67"/>
      <c r="H28" s="68"/>
      <c r="I28" s="66"/>
      <c r="J28" s="66"/>
      <c r="K28" s="67"/>
    </row>
    <row r="29" spans="1:11">
      <c r="A29" s="10" t="s">
        <v>45</v>
      </c>
      <c r="B29" s="10" t="s">
        <v>38</v>
      </c>
    </row>
    <row r="30" spans="1:11">
      <c r="A30" s="10" t="s">
        <v>63</v>
      </c>
      <c r="B30" s="20" t="s">
        <v>64</v>
      </c>
      <c r="C30" s="17" t="s">
        <v>65</v>
      </c>
      <c r="D30" s="49">
        <v>9.3000000000000007</v>
      </c>
      <c r="E30" s="49">
        <v>10.1</v>
      </c>
      <c r="F30" s="152">
        <v>104</v>
      </c>
      <c r="G30" s="50">
        <v>0</v>
      </c>
      <c r="H30" s="24">
        <v>95.1</v>
      </c>
      <c r="I30" s="49">
        <v>22.3</v>
      </c>
      <c r="J30" s="49">
        <v>10.6</v>
      </c>
      <c r="K30" s="50">
        <v>1</v>
      </c>
    </row>
    <row r="31" spans="1:11">
      <c r="A31" s="10" t="s">
        <v>63</v>
      </c>
      <c r="B31" s="20" t="s">
        <v>64</v>
      </c>
      <c r="C31" s="17" t="s">
        <v>66</v>
      </c>
      <c r="D31" s="49">
        <v>17.2</v>
      </c>
      <c r="E31" s="49">
        <v>18.600000000000001</v>
      </c>
      <c r="F31" s="152">
        <v>193</v>
      </c>
      <c r="G31" s="50">
        <v>0</v>
      </c>
      <c r="H31" s="24">
        <v>176.48</v>
      </c>
      <c r="I31" s="49">
        <v>41</v>
      </c>
      <c r="J31" s="49">
        <v>19.100000000000001</v>
      </c>
      <c r="K31" s="50">
        <v>1</v>
      </c>
    </row>
    <row r="32" spans="1:11">
      <c r="A32" s="10" t="s">
        <v>63</v>
      </c>
      <c r="B32" s="20" t="s">
        <v>64</v>
      </c>
      <c r="C32" s="17" t="s">
        <v>67</v>
      </c>
      <c r="D32" s="49">
        <v>2.8</v>
      </c>
      <c r="E32" s="49">
        <v>3.8</v>
      </c>
      <c r="F32" s="152">
        <v>32</v>
      </c>
      <c r="G32" s="50">
        <v>1</v>
      </c>
      <c r="H32" s="24">
        <v>29.26</v>
      </c>
      <c r="I32" s="49">
        <v>8.4</v>
      </c>
      <c r="J32" s="49">
        <v>4.3</v>
      </c>
      <c r="K32" s="50">
        <v>1</v>
      </c>
    </row>
    <row r="33" spans="1:11">
      <c r="B33" s="64"/>
      <c r="C33" s="65"/>
      <c r="D33" s="66"/>
      <c r="E33" s="66"/>
      <c r="F33" s="67"/>
      <c r="G33" s="67"/>
      <c r="H33" s="68"/>
      <c r="I33" s="66"/>
      <c r="J33" s="66"/>
      <c r="K33" s="67"/>
    </row>
    <row r="34" spans="1:11">
      <c r="A34" s="10" t="s">
        <v>45</v>
      </c>
      <c r="B34" s="10" t="s">
        <v>39</v>
      </c>
    </row>
    <row r="35" spans="1:11">
      <c r="A35" s="166" t="s">
        <v>68</v>
      </c>
      <c r="B35" s="74" t="s">
        <v>64</v>
      </c>
      <c r="C35" s="75" t="s">
        <v>69</v>
      </c>
      <c r="D35" s="82">
        <v>18.3</v>
      </c>
      <c r="E35" s="82">
        <v>18.3</v>
      </c>
      <c r="F35" s="152">
        <v>206</v>
      </c>
      <c r="G35" s="83">
        <v>0</v>
      </c>
      <c r="H35" s="80">
        <v>188.37</v>
      </c>
      <c r="I35" s="82">
        <v>40.299999999999997</v>
      </c>
      <c r="J35" s="82">
        <v>18.8</v>
      </c>
      <c r="K35" s="83">
        <v>1</v>
      </c>
    </row>
    <row r="36" spans="1:11">
      <c r="A36" s="166"/>
      <c r="B36" s="64"/>
      <c r="C36" s="65"/>
      <c r="D36" s="66"/>
      <c r="E36" s="66"/>
      <c r="F36" s="152"/>
      <c r="G36" s="67"/>
      <c r="H36" s="68"/>
      <c r="I36" s="66"/>
      <c r="J36" s="66"/>
      <c r="K36" s="67"/>
    </row>
    <row r="37" spans="1:11">
      <c r="A37" s="81"/>
      <c r="B37" s="147"/>
      <c r="C37" s="148"/>
      <c r="D37" s="149"/>
      <c r="E37" s="149"/>
      <c r="F37" s="150"/>
      <c r="G37" s="150"/>
      <c r="H37" s="151"/>
      <c r="I37" s="149"/>
      <c r="J37" s="149"/>
      <c r="K37" s="150"/>
    </row>
    <row r="38" spans="1:11">
      <c r="A38" s="81"/>
      <c r="B38" s="167" t="s">
        <v>81</v>
      </c>
      <c r="C38" s="168"/>
      <c r="D38" s="168"/>
      <c r="E38" s="119"/>
      <c r="F38" s="77"/>
      <c r="G38" s="78"/>
      <c r="H38" s="151"/>
      <c r="I38" s="149"/>
      <c r="J38" s="149"/>
      <c r="K38" s="150"/>
    </row>
    <row r="39" spans="1:11" ht="90">
      <c r="A39" s="81"/>
      <c r="B39" s="169" t="s">
        <v>78</v>
      </c>
      <c r="C39" s="154" t="s">
        <v>102</v>
      </c>
      <c r="D39" s="76"/>
      <c r="E39" s="119"/>
      <c r="F39" s="153">
        <v>283344</v>
      </c>
      <c r="G39" s="78" t="s">
        <v>36</v>
      </c>
      <c r="H39" s="151"/>
      <c r="I39" s="149"/>
      <c r="J39" s="149"/>
      <c r="K39" s="150"/>
    </row>
    <row r="40" spans="1:11">
      <c r="A40" s="81"/>
      <c r="B40" s="167" t="s">
        <v>82</v>
      </c>
      <c r="C40" s="75"/>
      <c r="D40" s="76"/>
      <c r="E40" s="75"/>
      <c r="F40" s="77"/>
      <c r="G40" s="78"/>
      <c r="H40" s="151"/>
      <c r="I40" s="149"/>
      <c r="J40" s="149"/>
      <c r="K40" s="150"/>
    </row>
    <row r="41" spans="1:11" ht="90">
      <c r="A41" s="81"/>
      <c r="B41" s="169" t="s">
        <v>79</v>
      </c>
      <c r="C41" s="155" t="s">
        <v>103</v>
      </c>
      <c r="D41" s="76"/>
      <c r="E41" s="149">
        <v>28.9</v>
      </c>
      <c r="F41" s="153">
        <v>48019</v>
      </c>
      <c r="G41" s="78" t="s">
        <v>36</v>
      </c>
      <c r="H41" s="151"/>
      <c r="I41" s="149"/>
      <c r="J41" s="149">
        <v>30.7</v>
      </c>
      <c r="K41" s="150">
        <v>11</v>
      </c>
    </row>
    <row r="42" spans="1:11">
      <c r="A42" s="81"/>
      <c r="B42" s="167" t="s">
        <v>83</v>
      </c>
      <c r="C42" s="75"/>
      <c r="D42" s="76"/>
      <c r="E42" s="75"/>
      <c r="F42" s="77"/>
      <c r="G42" s="78"/>
      <c r="H42" s="151"/>
      <c r="I42" s="149"/>
      <c r="J42" s="149"/>
      <c r="K42" s="150"/>
    </row>
    <row r="43" spans="1:11" ht="120">
      <c r="A43" s="81"/>
      <c r="B43" s="169" t="s">
        <v>80</v>
      </c>
      <c r="C43" s="121" t="s">
        <v>85</v>
      </c>
      <c r="D43" s="76"/>
      <c r="E43" s="149">
        <v>97.5</v>
      </c>
      <c r="F43" s="153">
        <v>31676</v>
      </c>
      <c r="G43" s="78"/>
      <c r="H43" s="151"/>
      <c r="I43" s="149"/>
      <c r="J43" s="149">
        <v>103.3</v>
      </c>
      <c r="K43" s="150">
        <v>3</v>
      </c>
    </row>
    <row r="44" spans="1:11" ht="15.6" thickBot="1">
      <c r="A44" s="138"/>
      <c r="B44" s="163"/>
      <c r="C44" s="132"/>
      <c r="D44" s="164"/>
      <c r="E44" s="164"/>
      <c r="F44" s="165"/>
      <c r="G44" s="165"/>
      <c r="H44" s="137"/>
      <c r="I44" s="164"/>
      <c r="J44" s="164"/>
      <c r="K44" s="165"/>
    </row>
    <row r="45" spans="1:11">
      <c r="A45" s="123"/>
      <c r="B45" s="123" t="s">
        <v>40</v>
      </c>
      <c r="C45" s="124"/>
      <c r="D45" s="156">
        <v>91.6</v>
      </c>
      <c r="E45" s="156">
        <f>SUM(E24:E44)</f>
        <v>225.20000000000002</v>
      </c>
      <c r="F45" s="170">
        <v>1029</v>
      </c>
      <c r="G45" s="157">
        <v>3</v>
      </c>
      <c r="H45" s="129"/>
      <c r="I45" s="156"/>
      <c r="J45" s="156">
        <f>SUM(J24:J44)</f>
        <v>236.8</v>
      </c>
      <c r="K45" s="158">
        <f>SUM(K24:K44)</f>
        <v>22</v>
      </c>
    </row>
    <row r="46" spans="1:11" ht="15.6" thickBot="1">
      <c r="A46" s="138"/>
      <c r="B46" s="138"/>
      <c r="C46" s="139"/>
      <c r="D46" s="159"/>
      <c r="E46" s="159"/>
      <c r="F46" s="171">
        <f>F39+F41+F43</f>
        <v>363039</v>
      </c>
      <c r="G46" s="161"/>
      <c r="H46" s="144"/>
      <c r="I46" s="159"/>
      <c r="J46" s="159"/>
      <c r="K46" s="162"/>
    </row>
    <row r="47" spans="1:11">
      <c r="A47" s="166"/>
      <c r="B47" s="74"/>
      <c r="C47" s="75"/>
      <c r="D47" s="82"/>
      <c r="E47" s="82"/>
      <c r="F47" s="83"/>
      <c r="G47" s="83"/>
      <c r="H47" s="80"/>
      <c r="I47" s="82"/>
      <c r="J47" s="82"/>
      <c r="K47" s="83"/>
    </row>
    <row r="48" spans="1:11">
      <c r="A48" s="166" t="s">
        <v>70</v>
      </c>
      <c r="B48" s="74"/>
      <c r="C48" s="69" t="s">
        <v>106</v>
      </c>
      <c r="D48" s="82"/>
      <c r="E48" s="82"/>
      <c r="F48" s="83"/>
      <c r="G48" s="106" t="s">
        <v>104</v>
      </c>
      <c r="H48" s="91"/>
      <c r="I48" s="105"/>
      <c r="J48" s="105"/>
      <c r="K48" s="83"/>
    </row>
    <row r="49" spans="1:11">
      <c r="A49" s="166"/>
      <c r="B49" s="107"/>
      <c r="C49" s="86"/>
      <c r="D49" s="82"/>
      <c r="E49" s="82"/>
      <c r="F49" s="83"/>
      <c r="G49" s="106" t="s">
        <v>105</v>
      </c>
      <c r="H49" s="91"/>
      <c r="I49" s="105"/>
      <c r="J49" s="105"/>
      <c r="K49" s="83"/>
    </row>
    <row r="52" spans="1:11">
      <c r="A52" s="104" t="s">
        <v>41</v>
      </c>
      <c r="B52" s="85"/>
    </row>
    <row r="56" spans="1:11">
      <c r="A56" s="104" t="s">
        <v>9</v>
      </c>
      <c r="B56" s="85"/>
      <c r="C56" s="86"/>
      <c r="D56" s="105"/>
      <c r="E56" s="105"/>
      <c r="F56" s="106"/>
      <c r="G56" s="106"/>
      <c r="H56" s="91"/>
      <c r="I56" s="105"/>
      <c r="J56" s="105"/>
    </row>
    <row r="57" spans="1:11">
      <c r="A57" s="104" t="s">
        <v>42</v>
      </c>
      <c r="B57" s="85"/>
      <c r="C57" s="86"/>
      <c r="D57" s="105"/>
      <c r="E57" s="105"/>
      <c r="F57" s="106"/>
      <c r="G57" s="106"/>
      <c r="H57" s="91"/>
      <c r="I57" s="105"/>
      <c r="J57" s="105"/>
    </row>
    <row r="58" spans="1:11">
      <c r="A58" s="104" t="s">
        <v>43</v>
      </c>
      <c r="B58" s="85"/>
      <c r="C58" s="86"/>
      <c r="D58" s="105"/>
      <c r="E58" s="105"/>
      <c r="F58" s="106"/>
      <c r="G58" s="106"/>
      <c r="H58" s="91"/>
      <c r="I58" s="105"/>
      <c r="J58" s="105"/>
    </row>
    <row r="59" spans="1:11">
      <c r="A59" s="104" t="s">
        <v>44</v>
      </c>
      <c r="B59" s="85"/>
      <c r="C59" s="86"/>
      <c r="D59" s="105"/>
      <c r="E59" s="105"/>
      <c r="F59" s="106"/>
      <c r="G59" s="106"/>
      <c r="H59" s="91"/>
      <c r="I59" s="105"/>
      <c r="J59" s="105"/>
    </row>
    <row r="60" spans="1:11">
      <c r="A60" s="104" t="s">
        <v>45</v>
      </c>
      <c r="B60" s="85"/>
      <c r="C60" s="86"/>
      <c r="D60" s="105"/>
      <c r="E60" s="105"/>
      <c r="F60" s="106"/>
      <c r="G60" s="106"/>
      <c r="H60" s="91"/>
      <c r="I60" s="105"/>
      <c r="J60" s="105"/>
    </row>
    <row r="61" spans="1:11">
      <c r="A61" s="104" t="s">
        <v>46</v>
      </c>
      <c r="B61" s="85"/>
      <c r="C61" s="86"/>
      <c r="D61" s="105"/>
      <c r="E61" s="105"/>
      <c r="F61" s="106"/>
      <c r="G61" s="106"/>
      <c r="H61" s="91"/>
      <c r="I61" s="105"/>
      <c r="J61" s="105"/>
    </row>
    <row r="62" spans="1:11">
      <c r="A62" s="104" t="s">
        <v>47</v>
      </c>
      <c r="B62" s="85"/>
      <c r="C62" s="86"/>
      <c r="D62" s="105"/>
      <c r="E62" s="105"/>
      <c r="F62" s="106"/>
      <c r="G62" s="106"/>
      <c r="H62" s="91"/>
      <c r="I62" s="105"/>
      <c r="J62" s="105"/>
    </row>
    <row r="63" spans="1:11">
      <c r="A63" s="104" t="s">
        <v>48</v>
      </c>
      <c r="B63" s="85"/>
      <c r="C63" s="86"/>
      <c r="D63" s="105"/>
      <c r="E63" s="105"/>
      <c r="F63" s="106"/>
      <c r="G63" s="106"/>
      <c r="H63" s="91"/>
      <c r="I63" s="105"/>
      <c r="J63" s="105"/>
    </row>
    <row r="65" spans="1:10">
      <c r="A65" s="84" t="s">
        <v>87</v>
      </c>
      <c r="B65" s="85"/>
      <c r="C65" s="86"/>
      <c r="D65" s="87"/>
      <c r="E65" s="86"/>
      <c r="F65" s="88"/>
      <c r="G65" s="89"/>
      <c r="H65" s="90"/>
      <c r="I65" s="89"/>
      <c r="J65" s="91"/>
    </row>
    <row r="66" spans="1:10">
      <c r="A66" s="73" t="s">
        <v>88</v>
      </c>
      <c r="B66" s="74"/>
      <c r="C66" s="75"/>
      <c r="D66" s="76"/>
      <c r="E66" s="75"/>
      <c r="F66" s="77"/>
      <c r="G66" s="78"/>
      <c r="H66" s="79"/>
      <c r="I66" s="78"/>
      <c r="J66" s="80"/>
    </row>
    <row r="67" spans="1:10">
      <c r="A67" s="73" t="s">
        <v>89</v>
      </c>
      <c r="B67" s="74"/>
      <c r="C67" s="75"/>
      <c r="D67" s="76"/>
      <c r="E67" s="75"/>
      <c r="F67" s="77"/>
      <c r="G67" s="78"/>
      <c r="H67" s="79"/>
      <c r="I67" s="78"/>
      <c r="J67" s="80"/>
    </row>
    <row r="68" spans="1:10">
      <c r="A68" s="73" t="s">
        <v>90</v>
      </c>
      <c r="B68" s="74"/>
      <c r="C68" s="75"/>
      <c r="D68" s="76"/>
      <c r="E68" s="75"/>
      <c r="F68" s="77"/>
      <c r="G68" s="78"/>
      <c r="H68" s="79"/>
      <c r="I68" s="78"/>
      <c r="J68" s="80"/>
    </row>
    <row r="69" spans="1:10">
      <c r="A69" s="73" t="s">
        <v>91</v>
      </c>
      <c r="B69" s="74"/>
      <c r="C69" s="75"/>
      <c r="D69" s="76"/>
      <c r="E69" s="75"/>
      <c r="F69" s="77"/>
      <c r="G69" s="78"/>
      <c r="H69" s="79"/>
      <c r="I69" s="78"/>
      <c r="J69" s="80"/>
    </row>
    <row r="70" spans="1:10">
      <c r="A70" s="73" t="s">
        <v>92</v>
      </c>
      <c r="B70" s="74"/>
      <c r="C70" s="75"/>
      <c r="D70" s="76"/>
      <c r="E70" s="75"/>
      <c r="F70" s="77"/>
      <c r="G70" s="78"/>
      <c r="H70" s="79"/>
      <c r="I70" s="78"/>
      <c r="J70" s="80"/>
    </row>
    <row r="71" spans="1:10">
      <c r="A71" s="73" t="s">
        <v>93</v>
      </c>
      <c r="B71" s="74"/>
      <c r="C71" s="75"/>
      <c r="D71" s="76"/>
      <c r="E71" s="75"/>
      <c r="F71" s="77"/>
      <c r="G71" s="78"/>
      <c r="H71" s="79"/>
      <c r="I71" s="78"/>
      <c r="J71" s="80"/>
    </row>
    <row r="72" spans="1:10">
      <c r="A72" s="73" t="s">
        <v>94</v>
      </c>
      <c r="B72" s="74"/>
      <c r="C72" s="75"/>
      <c r="D72" s="76"/>
      <c r="E72" s="75"/>
      <c r="F72" s="77"/>
      <c r="G72" s="78"/>
      <c r="H72" s="79"/>
      <c r="I72" s="78"/>
      <c r="J72" s="80"/>
    </row>
    <row r="73" spans="1:10">
      <c r="A73" s="73" t="s">
        <v>95</v>
      </c>
      <c r="B73" s="74"/>
      <c r="C73" s="75"/>
      <c r="D73" s="76"/>
      <c r="E73" s="75"/>
      <c r="F73" s="77"/>
      <c r="G73" s="78"/>
      <c r="H73" s="79"/>
      <c r="I73" s="78"/>
      <c r="J73" s="80"/>
    </row>
    <row r="74" spans="1:10">
      <c r="A74" s="73" t="s">
        <v>96</v>
      </c>
      <c r="B74" s="74"/>
      <c r="C74" s="75"/>
      <c r="D74" s="76"/>
      <c r="E74" s="75"/>
      <c r="F74" s="77"/>
      <c r="G74" s="78"/>
      <c r="H74" s="79"/>
      <c r="I74" s="78"/>
      <c r="J74" s="80"/>
    </row>
    <row r="75" spans="1:10">
      <c r="A75" s="73" t="s">
        <v>97</v>
      </c>
      <c r="B75" s="74"/>
      <c r="C75" s="75"/>
      <c r="D75" s="76"/>
      <c r="E75" s="75"/>
      <c r="F75" s="77"/>
      <c r="G75" s="78"/>
      <c r="H75" s="79"/>
      <c r="I75" s="78"/>
      <c r="J75" s="80"/>
    </row>
    <row r="76" spans="1:10">
      <c r="A76" s="73" t="s">
        <v>98</v>
      </c>
      <c r="B76" s="74"/>
      <c r="C76" s="75"/>
      <c r="D76" s="76"/>
      <c r="E76" s="75"/>
      <c r="F76" s="77"/>
      <c r="G76" s="78"/>
      <c r="H76" s="79"/>
      <c r="I76" s="78"/>
      <c r="J76" s="80"/>
    </row>
    <row r="77" spans="1:10">
      <c r="A77" s="73" t="s">
        <v>99</v>
      </c>
      <c r="B77" s="74"/>
      <c r="C77" s="75"/>
      <c r="D77" s="76"/>
      <c r="E77" s="75"/>
      <c r="F77" s="77"/>
      <c r="G77" s="78"/>
      <c r="H77" s="79"/>
      <c r="I77" s="78"/>
      <c r="J77" s="80"/>
    </row>
    <row r="78" spans="1:10">
      <c r="A78" s="73" t="s">
        <v>100</v>
      </c>
      <c r="B78" s="74"/>
      <c r="C78" s="75"/>
      <c r="D78" s="76"/>
      <c r="E78" s="75"/>
      <c r="F78" s="77"/>
      <c r="G78" s="78"/>
      <c r="H78" s="79"/>
      <c r="I78" s="78"/>
      <c r="J78" s="80"/>
    </row>
  </sheetData>
  <mergeCells count="36">
    <mergeCell ref="A65:J65"/>
    <mergeCell ref="A13:C13"/>
    <mergeCell ref="F13:K13"/>
    <mergeCell ref="A15:B15"/>
    <mergeCell ref="A16:B16"/>
    <mergeCell ref="E12:H12"/>
    <mergeCell ref="I12:J12"/>
    <mergeCell ref="B12:D12"/>
    <mergeCell ref="E11:K11"/>
    <mergeCell ref="A1:K1"/>
    <mergeCell ref="A3:K3"/>
    <mergeCell ref="A8:B8"/>
    <mergeCell ref="E8:K8"/>
    <mergeCell ref="A9:C9"/>
    <mergeCell ref="E9:K9"/>
    <mergeCell ref="A7:C7"/>
    <mergeCell ref="A10:C10"/>
    <mergeCell ref="E10:K10"/>
    <mergeCell ref="A11:C11"/>
    <mergeCell ref="I5:K5"/>
    <mergeCell ref="A2:K2"/>
    <mergeCell ref="B22:K22"/>
    <mergeCell ref="G48:H48"/>
    <mergeCell ref="I48:J48"/>
    <mergeCell ref="B49:C49"/>
    <mergeCell ref="G49:H49"/>
    <mergeCell ref="I49:J49"/>
    <mergeCell ref="A60:J60"/>
    <mergeCell ref="A61:J61"/>
    <mergeCell ref="A62:J62"/>
    <mergeCell ref="A63:J63"/>
    <mergeCell ref="A52:B52"/>
    <mergeCell ref="A56:J56"/>
    <mergeCell ref="A57:J57"/>
    <mergeCell ref="A58:J58"/>
    <mergeCell ref="A59:J59"/>
  </mergeCells>
  <phoneticPr fontId="1" type="noConversion"/>
  <pageMargins left="0.19685039370078741" right="0" top="0" bottom="0.39370078740157483" header="0" footer="0"/>
  <pageSetup paperSize="9" orientation="portrait" r:id="rId1"/>
  <headerFooter>
    <oddFooter>&amp;CPage: &amp;P/&amp;N&amp;RPrint Time:&amp;D&amp;T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</dc:creator>
  <cp:lastModifiedBy>colleen Tasi</cp:lastModifiedBy>
  <cp:lastPrinted>2025-08-18T03:11:07Z</cp:lastPrinted>
  <dcterms:created xsi:type="dcterms:W3CDTF">2017-03-17T05:23:17Z</dcterms:created>
  <dcterms:modified xsi:type="dcterms:W3CDTF">2026-07-13T03:02:24Z</dcterms:modified>
</cp:coreProperties>
</file>