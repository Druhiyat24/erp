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03.08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1" sheetId="138" r:id="rId3"/>
    <sheet name="2" sheetId="129" r:id="rId4"/>
    <sheet name="3" sheetId="133" r:id="rId5"/>
    <sheet name="4" sheetId="134" r:id="rId6"/>
    <sheet name="5" sheetId="135" r:id="rId7"/>
    <sheet name="6" sheetId="137" r:id="rId8"/>
    <sheet name="7" sheetId="172" r:id="rId9"/>
    <sheet name="8" sheetId="173" r:id="rId10"/>
    <sheet name="9" sheetId="174" r:id="rId11"/>
    <sheet name="10" sheetId="175" r:id="rId12"/>
    <sheet name="11" sheetId="176" r:id="rId13"/>
    <sheet name="12" sheetId="177" r:id="rId14"/>
    <sheet name="13" sheetId="178" r:id="rId15"/>
    <sheet name="14" sheetId="179" r:id="rId16"/>
  </sheets>
  <externalReferences>
    <externalReference r:id="rId17"/>
    <externalReference r:id="rId18"/>
    <externalReference r:id="rId19"/>
  </externalReferences>
  <definedNames>
    <definedName name="_box2">[1]参数!$B$3</definedName>
    <definedName name="a" localSheetId="2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'1'!$B$1:$I$58</definedName>
    <definedName name="_xlnm.Print_Area" localSheetId="11">'10'!$B$1:$I$58</definedName>
    <definedName name="_xlnm.Print_Area" localSheetId="12">'11'!$B$1:$I$57</definedName>
    <definedName name="_xlnm.Print_Area" localSheetId="13">'12'!$B$1:$I$57</definedName>
    <definedName name="_xlnm.Print_Area" localSheetId="14">'13'!$B$1:$I$58</definedName>
    <definedName name="_xlnm.Print_Area" localSheetId="15">'14'!$B$1:$I$58</definedName>
    <definedName name="_xlnm.Print_Area" localSheetId="3">'2'!$B$1:$I$58</definedName>
    <definedName name="_xlnm.Print_Area" localSheetId="4">'3'!$B$1:$I$57</definedName>
    <definedName name="_xlnm.Print_Area" localSheetId="5">'4'!$B$1:$I$57</definedName>
    <definedName name="_xlnm.Print_Area" localSheetId="6">'5'!$B$1:$I$57</definedName>
    <definedName name="_xlnm.Print_Area" localSheetId="7">'6'!$B$1:$I$57</definedName>
    <definedName name="_xlnm.Print_Area" localSheetId="8">'7'!$B$1:$I$58</definedName>
    <definedName name="_xlnm.Print_Area" localSheetId="9">'8'!$B$1:$I$57</definedName>
    <definedName name="_xlnm.Print_Area" localSheetId="10">'9'!$B$1:$I$57</definedName>
    <definedName name="v" localSheetId="2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29" l="1"/>
  <c r="I32" i="129"/>
  <c r="I33" i="138"/>
  <c r="I32" i="138"/>
  <c r="F33" i="179" l="1"/>
  <c r="F32" i="179"/>
  <c r="I33" i="179"/>
  <c r="F33" i="178"/>
  <c r="I33" i="178"/>
  <c r="I32" i="178"/>
  <c r="F32" i="176"/>
  <c r="F33" i="175"/>
  <c r="I33" i="175"/>
  <c r="I33" i="172"/>
  <c r="F32" i="135"/>
  <c r="F35" i="129"/>
  <c r="D35" i="129"/>
  <c r="D33" i="129"/>
  <c r="D32" i="129"/>
  <c r="F35" i="138"/>
  <c r="D35" i="138"/>
  <c r="D33" i="138"/>
  <c r="D32" i="138"/>
  <c r="H53" i="179"/>
  <c r="F35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G15" i="179"/>
  <c r="G16" i="179" s="1"/>
  <c r="G17" i="179" s="1"/>
  <c r="H21" i="179" s="1"/>
  <c r="B15" i="179"/>
  <c r="G14" i="179"/>
  <c r="H53" i="178"/>
  <c r="F35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F32" i="177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2" i="176"/>
  <c r="F34" i="176"/>
  <c r="I32" i="176"/>
  <c r="I34" i="176" s="1"/>
  <c r="I36" i="176" s="1"/>
  <c r="I38" i="176" s="1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3" i="175"/>
  <c r="F35" i="175"/>
  <c r="I32" i="175"/>
  <c r="B27" i="175"/>
  <c r="I23" i="175"/>
  <c r="H23" i="175"/>
  <c r="G23" i="175"/>
  <c r="F23" i="175"/>
  <c r="E23" i="175"/>
  <c r="E21" i="175"/>
  <c r="D21" i="175"/>
  <c r="C21" i="175"/>
  <c r="B21" i="175"/>
  <c r="G15" i="175"/>
  <c r="G16" i="175" s="1"/>
  <c r="G17" i="175" s="1"/>
  <c r="H21" i="175" s="1"/>
  <c r="B15" i="175"/>
  <c r="B16" i="175" s="1"/>
  <c r="B17" i="175" s="1"/>
  <c r="B18" i="175" s="1"/>
  <c r="G14" i="175"/>
  <c r="H52" i="174"/>
  <c r="F34" i="174"/>
  <c r="I32" i="174"/>
  <c r="I34" i="174" s="1"/>
  <c r="I36" i="174" s="1"/>
  <c r="I38" i="174" s="1"/>
  <c r="F32" i="174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3" i="172"/>
  <c r="F35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78" l="1"/>
  <c r="I37" i="178" s="1"/>
  <c r="I39" i="178" s="1"/>
  <c r="I35" i="175"/>
  <c r="I37" i="175" s="1"/>
  <c r="I39" i="175" s="1"/>
  <c r="I35" i="129"/>
  <c r="I32" i="173"/>
  <c r="I34" i="173" s="1"/>
  <c r="I36" i="173" s="1"/>
  <c r="I38" i="173" s="1"/>
  <c r="I32" i="172"/>
  <c r="I35" i="172" s="1"/>
  <c r="I37" i="172" s="1"/>
  <c r="I39" i="172" s="1"/>
  <c r="I32" i="179"/>
  <c r="I35" i="179" s="1"/>
  <c r="I37" i="179" s="1"/>
  <c r="I39" i="179" s="1"/>
  <c r="I32" i="135" l="1"/>
  <c r="F34" i="135"/>
  <c r="B27" i="135"/>
  <c r="I35" i="138" l="1"/>
  <c r="C3" i="129" l="1"/>
  <c r="F32" i="133" l="1"/>
  <c r="F32" i="134" l="1"/>
  <c r="F34" i="133" l="1"/>
  <c r="I32" i="134" l="1"/>
  <c r="C3" i="133"/>
  <c r="F32" i="137"/>
  <c r="F34" i="137" l="1"/>
  <c r="I32" i="137" l="1"/>
  <c r="F34" i="134"/>
  <c r="I32" i="133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2" i="134"/>
  <c r="H52" i="135"/>
  <c r="H52" i="137"/>
  <c r="H53" i="138"/>
  <c r="H52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C3" i="179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<sst xmlns="http://schemas.openxmlformats.org/spreadsheetml/2006/main" count="1291" uniqueCount="202">
  <si>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</si>
  <si>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</si>
  <si>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</si>
  <si>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</si>
  <si>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</si>
  <si>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</si>
  <si>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</si>
  <si>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</si>
  <si>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</si>
  <si>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</si>
  <si>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</si>
  <si>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</si>
  <si>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</si>
  <si>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</si>
  <si>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</si>
  <si>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</si>
  <si>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</si>
  <si>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</si>
  <si>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</si>
  <si>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</si>
  <si>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</si>
  <si>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</si>
  <si>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</si>
  <si>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</si>
  <si>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</si>
  <si>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</si>
  <si>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</si>
  <si>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</si>
  <si>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</si>
  <si>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</si>
  <si>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</si>
  <si>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</si>
  <si>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</si>
  <si>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</si>
  <si>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</si>
  <si>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</si>
  <si>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</si>
  <si>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</si>
  <si>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</si>
  <si>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</si>
  <si>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</si>
  <si>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</si>
  <si>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</si>
  <si>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</si>
  <si>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</si>
  <si>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</si>
  <si>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</si>
  <si>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</si>
  <si>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</si>
  <si>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</si>
  <si>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</si>
  <si>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</si>
  <si>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</si>
  <si>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</si>
  <si>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</si>
  <si>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</si>
  <si>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</si>
  <si>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</si>
  <si>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</si>
  <si>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</si>
  <si>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</si>
  <si>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</si>
  <si>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</si>
  <si>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</si>
  <si>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</si>
  <si>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</si>
  <si>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</si>
  <si>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</si>
  <si>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</si>
  <si>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</si>
  <si>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</si>
  <si>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</si>
  <si>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</si>
  <si>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</si>
  <si>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</si>
  <si>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</si>
  <si>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</si>
  <si>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</si>
  <si>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</si>
  <si>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</si>
  <si>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</si>
  <si>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</si>
  <si>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</si>
  <si>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</si>
  <si>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</si>
  <si>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</si>
  <si>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</si>
  <si>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</si>
  <si>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</si>
  <si>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</si>
  <si>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</si>
  <si>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</si>
  <si>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</si>
  <si>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</si>
  <si>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</si>
  <si>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</si>
  <si>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</si>
  <si>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</si>
  <si>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</si>
  <si>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</si>
  <si>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</si>
  <si>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</si>
  <si>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</si>
  <si>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</si>
  <si>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</si>
  <si>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</si>
  <si>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</si>
  <si>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</si>
  <si>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</si>
  <si>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</si>
  <si>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</si>
  <si>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</si>
  <si>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</si>
  <si>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</si>
  <si>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</si>
  <si>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</si>
  <si>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</si>
  <si>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</si>
  <si>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</si>
  <si>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</si>
  <si>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</si>
  <si>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</si>
  <si>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</si>
  <si>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</si>
  <si>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</si>
  <si>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</si>
  <si>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</si>
  <si>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</si>
  <si>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</si>
  <si>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</si>
  <si>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</si>
  <si>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</si>
  <si>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</si>
  <si>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</si>
  <si>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</si>
  <si>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</si>
  <si>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</si>
  <si>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</si>
  <si>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</si>
  <si>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</si>
  <si>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</si>
  <si>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</si>
  <si>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</si>
  <si>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</si>
  <si>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</si>
  <si>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</si>
  <si>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</si>
  <si>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</si>
  <si>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</si>
  <si>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</si>
  <si>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</si>
  <si>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</si>
  <si>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</si>
  <si>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</si>
  <si>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</si>
  <si>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</si>
  <si>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</si>
  <si>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</si>
  <si>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</si>
  <si>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</si>
  <si>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</si>
  <si>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</si>
  <si>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</si>
  <si>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</si>
  <si>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</si>
  <si>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</si>
  <si>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</si>
  <si>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</si>
  <si>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</si>
  <si>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</si>
  <si>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</si>
  <si>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</si>
  <si>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</si>
  <si>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</si>
  <si>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</si>
  <si>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</si>
  <si>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</si>
  <si>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INK BLUE</t>
  </si>
  <si>
    <t>02</t>
  </si>
  <si>
    <t>CALLA LILY 451</t>
  </si>
  <si>
    <t>265K0089</t>
  </si>
  <si>
    <t>265K0090</t>
  </si>
  <si>
    <t>06</t>
  </si>
  <si>
    <t>01</t>
  </si>
  <si>
    <t>00, 01</t>
  </si>
  <si>
    <t>GIRLS COTTON FIBERS, KNIT PULLOVER, WITH NO NECK CLOSURE, STITCH COUNT IS GREATER THAN 9/2CM, REACHES WAIST [100% COTTON]</t>
  </si>
  <si>
    <t>BLACK LEOPARD, PINK LEOPARD HEART</t>
  </si>
  <si>
    <t>A MULTY PACK OF 3 PIECES OF BOYS COTTON FIBERS, KNIT SHIRT, WITH NECK CLOSURE, STITCH COUNT EQUAL OR IS GREATER THAN 10/1CM, HEM BOTTOM [60% COTTON 40% POLYESTER]</t>
  </si>
  <si>
    <t>265K0087</t>
  </si>
  <si>
    <t>265K0058</t>
  </si>
  <si>
    <t>265K0059</t>
  </si>
  <si>
    <t>Online</t>
  </si>
  <si>
    <t>Retail</t>
  </si>
  <si>
    <t>Franchise</t>
  </si>
  <si>
    <t>PINK LEOPARD HEART,
BLACK LEOPARD</t>
  </si>
  <si>
    <t>04</t>
  </si>
  <si>
    <t>PINK FLORAL</t>
  </si>
  <si>
    <t>PURPLE CHECK</t>
  </si>
  <si>
    <t>RED HEART,
PURPLE CHECK</t>
  </si>
  <si>
    <t>03, 05</t>
  </si>
  <si>
    <t>RED HEART, PURPLE CHECK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</si>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</sst>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#,###\ &quot;SET&quot;"/>
    <numFmt numFmtId="170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284060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5" sqref="I15"/>
    </sheetView>
  </sheetViews>
  <sheetFormatPr defaultRowHeight="12.75" x14ac:dyDescent="0.2"/>
  <sheetData>
    <row r="2" spans="2:9" ht="15" x14ac:dyDescent="0.25">
      <c r="B2" s="57">
        <v>1</v>
      </c>
      <c r="C2" t="s">
        <v>188</v>
      </c>
      <c r="E2" s="57">
        <v>1</v>
      </c>
      <c r="F2">
        <v>769950</v>
      </c>
      <c r="H2" s="57">
        <v>1</v>
      </c>
      <c r="I2" s="65" t="s">
        <v>191</v>
      </c>
    </row>
    <row r="3" spans="2:9" ht="15" x14ac:dyDescent="0.25">
      <c r="B3" s="57">
        <v>2</v>
      </c>
      <c r="C3" t="s">
        <v>188</v>
      </c>
      <c r="E3" s="57">
        <v>2</v>
      </c>
      <c r="F3">
        <v>769950</v>
      </c>
      <c r="H3" s="57">
        <v>2</v>
      </c>
      <c r="I3" s="65" t="s">
        <v>191</v>
      </c>
    </row>
    <row r="4" spans="2:9" ht="15" x14ac:dyDescent="0.25">
      <c r="B4" s="57">
        <v>3</v>
      </c>
      <c r="C4" t="s">
        <v>189</v>
      </c>
      <c r="E4" s="57">
        <v>3</v>
      </c>
      <c r="F4">
        <v>905994</v>
      </c>
      <c r="H4" s="57">
        <v>3</v>
      </c>
      <c r="I4" s="65" t="s">
        <v>191</v>
      </c>
    </row>
    <row r="5" spans="2:9" ht="15" x14ac:dyDescent="0.25">
      <c r="B5" s="57">
        <v>4</v>
      </c>
      <c r="C5" t="s">
        <v>190</v>
      </c>
      <c r="E5" s="57">
        <v>4</v>
      </c>
      <c r="F5">
        <v>906033</v>
      </c>
      <c r="H5" s="57">
        <v>4</v>
      </c>
      <c r="I5" s="65" t="s">
        <v>191</v>
      </c>
    </row>
    <row r="6" spans="2:9" ht="15" x14ac:dyDescent="0.25">
      <c r="B6" s="57">
        <v>5</v>
      </c>
      <c r="C6" t="s">
        <v>190</v>
      </c>
      <c r="E6" s="57">
        <v>5</v>
      </c>
      <c r="F6">
        <v>906033</v>
      </c>
      <c r="H6" s="57">
        <v>5</v>
      </c>
      <c r="I6" s="65" t="s">
        <v>192</v>
      </c>
    </row>
    <row r="7" spans="2:9" ht="15" x14ac:dyDescent="0.25">
      <c r="B7" s="57">
        <v>6</v>
      </c>
      <c r="C7" t="s">
        <v>190</v>
      </c>
      <c r="E7" s="57">
        <v>6</v>
      </c>
      <c r="F7">
        <v>906033</v>
      </c>
      <c r="H7" s="57">
        <v>6</v>
      </c>
      <c r="I7" s="65" t="s">
        <v>191</v>
      </c>
    </row>
    <row r="8" spans="2:9" ht="15" x14ac:dyDescent="0.25">
      <c r="B8" s="57">
        <v>7</v>
      </c>
      <c r="C8" t="s">
        <v>180</v>
      </c>
      <c r="E8" s="57">
        <v>7</v>
      </c>
      <c r="F8">
        <v>905994</v>
      </c>
      <c r="H8" s="57">
        <v>7</v>
      </c>
      <c r="I8" s="65" t="s">
        <v>193</v>
      </c>
    </row>
    <row r="9" spans="2:9" ht="15" x14ac:dyDescent="0.25">
      <c r="B9" s="57">
        <v>8</v>
      </c>
      <c r="C9" t="s">
        <v>180</v>
      </c>
      <c r="E9" s="57">
        <v>8</v>
      </c>
      <c r="F9">
        <v>905994</v>
      </c>
      <c r="H9" s="57">
        <v>8</v>
      </c>
      <c r="I9" s="65" t="s">
        <v>191</v>
      </c>
    </row>
    <row r="10" spans="2:9" ht="15" x14ac:dyDescent="0.25">
      <c r="B10" s="57">
        <v>9</v>
      </c>
      <c r="C10" t="s">
        <v>180</v>
      </c>
      <c r="E10" s="57">
        <v>9</v>
      </c>
      <c r="F10">
        <v>905994</v>
      </c>
      <c r="H10" s="57">
        <v>9</v>
      </c>
      <c r="I10" s="65" t="s">
        <v>191</v>
      </c>
    </row>
    <row r="11" spans="2:9" ht="15" x14ac:dyDescent="0.25">
      <c r="B11" s="57">
        <v>10</v>
      </c>
      <c r="C11" t="s">
        <v>181</v>
      </c>
      <c r="E11" s="57">
        <v>10</v>
      </c>
      <c r="F11">
        <v>906033</v>
      </c>
      <c r="H11" s="57">
        <v>10</v>
      </c>
      <c r="I11" s="65" t="s">
        <v>191</v>
      </c>
    </row>
    <row r="12" spans="2:9" ht="15" x14ac:dyDescent="0.25">
      <c r="B12" s="57">
        <v>11</v>
      </c>
      <c r="C12" t="s">
        <v>180</v>
      </c>
      <c r="E12" s="57">
        <v>11</v>
      </c>
      <c r="F12">
        <v>905994</v>
      </c>
      <c r="H12" s="57">
        <v>11</v>
      </c>
      <c r="I12" s="65" t="s">
        <v>191</v>
      </c>
    </row>
    <row r="13" spans="2:9" ht="15" x14ac:dyDescent="0.25">
      <c r="B13" s="57">
        <v>12</v>
      </c>
      <c r="C13" t="s">
        <v>180</v>
      </c>
      <c r="E13" s="57">
        <v>12</v>
      </c>
      <c r="F13">
        <v>905994</v>
      </c>
      <c r="H13" s="57">
        <v>12</v>
      </c>
      <c r="I13" s="65" t="s">
        <v>191</v>
      </c>
    </row>
    <row r="14" spans="2:9" ht="15" x14ac:dyDescent="0.25">
      <c r="B14" s="57">
        <v>13</v>
      </c>
      <c r="C14" t="s">
        <v>181</v>
      </c>
      <c r="E14" s="57">
        <v>13</v>
      </c>
      <c r="F14">
        <v>906033</v>
      </c>
      <c r="H14" s="57">
        <v>13</v>
      </c>
      <c r="I14" s="65" t="s">
        <v>191</v>
      </c>
    </row>
    <row r="15" spans="2:9" ht="15" x14ac:dyDescent="0.25">
      <c r="B15" s="57">
        <v>14</v>
      </c>
      <c r="C15" t="s">
        <v>181</v>
      </c>
      <c r="E15" s="57">
        <v>14</v>
      </c>
      <c r="F15">
        <v>906033</v>
      </c>
      <c r="H15" s="57">
        <v>14</v>
      </c>
      <c r="I15" s="65" t="s">
        <v>192</v>
      </c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61808371</v>
      </c>
      <c r="K2" s="63">
        <v>1676</v>
      </c>
      <c r="L2" s="64">
        <v>54</v>
      </c>
      <c r="M2" s="64">
        <v>617.30399999999997</v>
      </c>
      <c r="N2" s="64">
        <v>627.36</v>
      </c>
      <c r="O2" s="64">
        <v>678.16</v>
      </c>
      <c r="P2" s="64" t="s">
        <v>54</v>
      </c>
      <c r="Q2" s="64">
        <v>3.109</v>
      </c>
      <c r="R2" s="64" t="s">
        <v>62</v>
      </c>
    </row>
    <row r="3" spans="2:22" x14ac:dyDescent="0.2">
      <c r="B3" s="6" t="s">
        <v>53</v>
      </c>
      <c r="C3" s="69">
        <v>1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61808371</v>
      </c>
      <c r="C21" s="56">
        <f>VLOOKUP($K57,reff!E2:F29,2,0)</f>
        <v>769950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678.16</v>
      </c>
      <c r="G23" s="23">
        <f>+N2</f>
        <v>627.36</v>
      </c>
      <c r="H23" s="23">
        <f>+M2</f>
        <v>617.30399999999997</v>
      </c>
      <c r="I23" s="55">
        <f>+L2</f>
        <v>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A MULTY PACK OF 3 PIECES OF 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4.95" customHeight="1" x14ac:dyDescent="0.2">
      <c r="B32" s="41" t="s">
        <v>183</v>
      </c>
      <c r="C32" s="19" t="s">
        <v>177</v>
      </c>
      <c r="D32" s="70">
        <f>+F32*3</f>
        <v>2430</v>
      </c>
      <c r="E32" s="71"/>
      <c r="F32" s="70">
        <v>810</v>
      </c>
      <c r="G32" s="71"/>
      <c r="H32" s="17">
        <v>0.9</v>
      </c>
      <c r="I32" s="18">
        <f>+H32*D32</f>
        <v>2187</v>
      </c>
      <c r="K32" s="46"/>
      <c r="M32" s="39"/>
    </row>
    <row r="33" spans="2:13" ht="24.95" customHeight="1" x14ac:dyDescent="0.2">
      <c r="B33" s="41" t="s">
        <v>178</v>
      </c>
      <c r="C33" s="19" t="s">
        <v>179</v>
      </c>
      <c r="D33" s="70">
        <f>+F33*3</f>
        <v>2598</v>
      </c>
      <c r="E33" s="71"/>
      <c r="F33" s="70">
        <v>866</v>
      </c>
      <c r="G33" s="71"/>
      <c r="H33" s="17">
        <v>0.9</v>
      </c>
      <c r="I33" s="18">
        <f>+H33*D33</f>
        <v>2338.2000000000003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0"/>
    </row>
    <row r="35" spans="2:13" ht="21.75" customHeight="1" x14ac:dyDescent="0.2">
      <c r="B35" s="15" t="s">
        <v>14</v>
      </c>
      <c r="C35" s="15"/>
      <c r="D35" s="74">
        <f>SUM(D32:E34)</f>
        <v>5028</v>
      </c>
      <c r="E35" s="75"/>
      <c r="F35" s="76">
        <f>SUM(F32:G34)</f>
        <v>1676</v>
      </c>
      <c r="G35" s="77"/>
      <c r="H35" s="15"/>
      <c r="I35" s="14">
        <f>SUM(I32:I34)</f>
        <v>4525.2000000000007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4525.2000000000007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4525.2000000000007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265K0087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4:E34"/>
    <mergeCell ref="F34:G34"/>
    <mergeCell ref="D35:E35"/>
    <mergeCell ref="F35:G35"/>
    <mergeCell ref="D33:E33"/>
    <mergeCell ref="F33:G33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61808373</v>
      </c>
      <c r="K2" s="64">
        <v>680</v>
      </c>
      <c r="L2" s="64">
        <v>28</v>
      </c>
      <c r="M2" s="64">
        <v>250.39500000000001</v>
      </c>
      <c r="N2" s="64">
        <v>254.47499999999999</v>
      </c>
      <c r="O2" s="64">
        <v>278.77499999999998</v>
      </c>
      <c r="P2" s="64" t="s">
        <v>54</v>
      </c>
      <c r="Q2" s="64">
        <v>1.286</v>
      </c>
      <c r="R2" s="64" t="s">
        <v>62</v>
      </c>
    </row>
    <row r="3" spans="2:22" x14ac:dyDescent="0.2">
      <c r="B3" s="6" t="s">
        <v>53</v>
      </c>
      <c r="C3" s="69">
        <f>+'1'!C3+1</f>
        <v>2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61808373</v>
      </c>
      <c r="C21" s="49">
        <f>VLOOKUP($K57,reff!E2:F29,2,0)</f>
        <v>769950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278.77499999999998</v>
      </c>
      <c r="G23" s="23">
        <f>+N2</f>
        <v>254.47499999999999</v>
      </c>
      <c r="H23" s="23">
        <f>+M2</f>
        <v>250.39500000000001</v>
      </c>
      <c r="I23" s="48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A MULTY PACK OF 3 PIECES OF 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24.95" customHeight="1" x14ac:dyDescent="0.2">
      <c r="B32" s="41" t="s">
        <v>183</v>
      </c>
      <c r="C32" s="19" t="s">
        <v>177</v>
      </c>
      <c r="D32" s="70">
        <f>+F32*3</f>
        <v>987</v>
      </c>
      <c r="E32" s="71"/>
      <c r="F32" s="70">
        <v>329</v>
      </c>
      <c r="G32" s="71"/>
      <c r="H32" s="17">
        <v>0.9</v>
      </c>
      <c r="I32" s="18">
        <f>+H32*D32</f>
        <v>888.30000000000007</v>
      </c>
      <c r="K32" s="46"/>
      <c r="M32" s="39"/>
    </row>
    <row r="33" spans="2:13" ht="24.95" customHeight="1" x14ac:dyDescent="0.2">
      <c r="B33" s="41" t="s">
        <v>178</v>
      </c>
      <c r="C33" s="19" t="s">
        <v>179</v>
      </c>
      <c r="D33" s="70">
        <f>+F33*3</f>
        <v>1053</v>
      </c>
      <c r="E33" s="71"/>
      <c r="F33" s="70">
        <v>351</v>
      </c>
      <c r="G33" s="71"/>
      <c r="H33" s="17">
        <v>0.9</v>
      </c>
      <c r="I33" s="18">
        <f>+H33*D33</f>
        <v>947.7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48"/>
    </row>
    <row r="35" spans="2:13" ht="21.75" customHeight="1" x14ac:dyDescent="0.2">
      <c r="B35" s="15" t="s">
        <v>14</v>
      </c>
      <c r="C35" s="15"/>
      <c r="D35" s="74">
        <f>SUM(D32:E34)</f>
        <v>2040</v>
      </c>
      <c r="E35" s="75"/>
      <c r="F35" s="76">
        <f>SUM(F32:G34)</f>
        <v>680</v>
      </c>
      <c r="G35" s="77"/>
      <c r="H35" s="15"/>
      <c r="I35" s="14">
        <f>SUM(I32:I34)</f>
        <v>1836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1836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1836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265K0087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61646949</v>
      </c>
      <c r="K2" s="64">
        <v>451</v>
      </c>
      <c r="L2" s="64">
        <v>4</v>
      </c>
      <c r="M2" s="64">
        <v>33.218000000000004</v>
      </c>
      <c r="N2" s="64">
        <v>34.119999999999997</v>
      </c>
      <c r="O2" s="64">
        <v>37.520000000000003</v>
      </c>
      <c r="P2" s="64" t="s">
        <v>54</v>
      </c>
      <c r="Q2" s="64">
        <v>0.17899999999999999</v>
      </c>
      <c r="R2" s="64" t="s">
        <v>62</v>
      </c>
    </row>
    <row r="3" spans="2:22" x14ac:dyDescent="0.2">
      <c r="B3" s="6" t="s">
        <v>53</v>
      </c>
      <c r="C3" s="69">
        <f>+'2'!C3+1</f>
        <v>3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61646949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37.520000000000003</v>
      </c>
      <c r="G23" s="23">
        <f>+N2</f>
        <v>34.119999999999997</v>
      </c>
      <c r="H23" s="23">
        <f>+M2</f>
        <v>33.218000000000004</v>
      </c>
      <c r="I23" s="48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41.25" customHeight="1" x14ac:dyDescent="0.2">
      <c r="B32" s="41" t="s">
        <v>184</v>
      </c>
      <c r="C32" s="19" t="s">
        <v>194</v>
      </c>
      <c r="D32" s="70"/>
      <c r="E32" s="71"/>
      <c r="F32" s="70">
        <f>+K2</f>
        <v>451</v>
      </c>
      <c r="G32" s="71"/>
      <c r="H32" s="17">
        <v>0.81</v>
      </c>
      <c r="I32" s="18">
        <f>+H32*F32</f>
        <v>365.31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48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451</v>
      </c>
      <c r="G34" s="71"/>
      <c r="H34" s="15"/>
      <c r="I34" s="14">
        <f>SUM(I32:I33)</f>
        <v>365.31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365.31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365.31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61646965</v>
      </c>
      <c r="K2" s="63">
        <v>1899</v>
      </c>
      <c r="L2" s="64">
        <v>19</v>
      </c>
      <c r="M2" s="64">
        <v>159.05699999999999</v>
      </c>
      <c r="N2" s="64">
        <v>162.85499999999999</v>
      </c>
      <c r="O2" s="64">
        <v>179.95500000000001</v>
      </c>
      <c r="P2" s="64" t="s">
        <v>54</v>
      </c>
      <c r="Q2" s="64">
        <v>0.97299999999999998</v>
      </c>
      <c r="R2" s="64" t="s">
        <v>62</v>
      </c>
    </row>
    <row r="3" spans="2:22" x14ac:dyDescent="0.2">
      <c r="B3" s="6" t="s">
        <v>53</v>
      </c>
      <c r="C3" s="69">
        <f>+'3'!C3+1</f>
        <v>4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61646965</v>
      </c>
      <c r="C21" s="5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179.95500000000001</v>
      </c>
      <c r="G23" s="23">
        <f>+N2</f>
        <v>162.85499999999999</v>
      </c>
      <c r="H23" s="23">
        <f>+M2</f>
        <v>159.05699999999999</v>
      </c>
      <c r="I23" s="54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9" t="s">
        <v>19</v>
      </c>
      <c r="E31" s="89"/>
      <c r="F31" s="89" t="s">
        <v>18</v>
      </c>
      <c r="G31" s="89"/>
      <c r="H31" s="54" t="s">
        <v>17</v>
      </c>
      <c r="I31" s="19" t="s">
        <v>16</v>
      </c>
      <c r="M31"/>
    </row>
    <row r="32" spans="2:13" ht="39" customHeight="1" x14ac:dyDescent="0.2">
      <c r="B32" s="41" t="s">
        <v>184</v>
      </c>
      <c r="C32" s="19" t="s">
        <v>186</v>
      </c>
      <c r="D32" s="70"/>
      <c r="E32" s="71"/>
      <c r="F32" s="70">
        <f>+K2</f>
        <v>1899</v>
      </c>
      <c r="G32" s="71"/>
      <c r="H32" s="17">
        <v>0.84</v>
      </c>
      <c r="I32" s="18">
        <f>+H32*F32</f>
        <v>1595.1599999999999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4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1899</v>
      </c>
      <c r="G34" s="71"/>
      <c r="H34" s="15"/>
      <c r="I34" s="14">
        <f>SUM(I32:I33)</f>
        <v>1595.1599999999999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1595.1599999999999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1595.1599999999999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61613710</v>
      </c>
      <c r="K2" s="63">
        <v>6905</v>
      </c>
      <c r="L2" s="64">
        <v>67</v>
      </c>
      <c r="M2" s="64">
        <v>561.92499999999995</v>
      </c>
      <c r="N2" s="64">
        <v>575.73500000000001</v>
      </c>
      <c r="O2" s="64">
        <v>636.48500000000001</v>
      </c>
      <c r="P2" s="64" t="s">
        <v>54</v>
      </c>
      <c r="Q2" s="64">
        <v>3.7410000000000001</v>
      </c>
      <c r="R2" s="64" t="s">
        <v>62</v>
      </c>
    </row>
    <row r="3" spans="2:22" x14ac:dyDescent="0.2">
      <c r="B3" s="6" t="s">
        <v>53</v>
      </c>
      <c r="C3" s="69">
        <f>+'4'!C3+1</f>
        <v>5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61613710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636.48500000000001</v>
      </c>
      <c r="G23" s="23">
        <f>+N2</f>
        <v>575.73500000000001</v>
      </c>
      <c r="H23" s="23">
        <f>+M2</f>
        <v>561.92499999999995</v>
      </c>
      <c r="I23" s="55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36.75" customHeight="1" x14ac:dyDescent="0.2">
      <c r="B32" s="41" t="s">
        <v>184</v>
      </c>
      <c r="C32" s="19" t="s">
        <v>186</v>
      </c>
      <c r="D32" s="70"/>
      <c r="E32" s="71"/>
      <c r="F32" s="70">
        <f>+K2</f>
        <v>6905</v>
      </c>
      <c r="G32" s="71"/>
      <c r="H32" s="17">
        <v>0.84</v>
      </c>
      <c r="I32" s="18">
        <f>+H32*F32</f>
        <v>5800.2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9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6905</v>
      </c>
      <c r="G34" s="71"/>
      <c r="H34" s="15"/>
      <c r="I34" s="14">
        <f>SUM(I32:I32)</f>
        <v>5800.2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5800.2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5800.2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61646979</v>
      </c>
      <c r="K2" s="63">
        <v>1039</v>
      </c>
      <c r="L2" s="64">
        <v>14</v>
      </c>
      <c r="M2" s="64">
        <v>86.956999999999994</v>
      </c>
      <c r="N2" s="64">
        <v>89.034999999999997</v>
      </c>
      <c r="O2" s="64">
        <v>100.63500000000001</v>
      </c>
      <c r="P2" s="64" t="s">
        <v>54</v>
      </c>
      <c r="Q2" s="64">
        <v>0.56999999999999995</v>
      </c>
      <c r="R2" s="64" t="s">
        <v>62</v>
      </c>
    </row>
    <row r="3" spans="2:22" x14ac:dyDescent="0.2">
      <c r="B3" s="6" t="s">
        <v>53</v>
      </c>
      <c r="C3" s="69">
        <f>+'5'!C3+1</f>
        <v>6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61646979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100.63500000000001</v>
      </c>
      <c r="G23" s="23">
        <f>+N2</f>
        <v>89.034999999999997</v>
      </c>
      <c r="H23" s="23">
        <f>+M2</f>
        <v>86.956999999999994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37.5" customHeight="1" x14ac:dyDescent="0.2">
      <c r="B32" s="61" t="s">
        <v>184</v>
      </c>
      <c r="C32" s="19" t="s">
        <v>186</v>
      </c>
      <c r="D32" s="70"/>
      <c r="E32" s="71"/>
      <c r="F32" s="70">
        <f>+K2</f>
        <v>1039</v>
      </c>
      <c r="G32" s="71"/>
      <c r="H32" s="17">
        <v>0.84</v>
      </c>
      <c r="I32" s="18">
        <f>+H32*F32</f>
        <v>872.76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1039</v>
      </c>
      <c r="G34" s="71"/>
      <c r="H34" s="15"/>
      <c r="I34" s="14">
        <f>SUM(I32:I33)</f>
        <v>872.76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872.76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872.76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62007392</v>
      </c>
      <c r="K2" s="64">
        <v>440</v>
      </c>
      <c r="L2" s="64">
        <v>15</v>
      </c>
      <c r="M2" s="64">
        <v>29.454999999999998</v>
      </c>
      <c r="N2" s="64">
        <v>30.335000000000001</v>
      </c>
      <c r="O2" s="64">
        <v>37.435000000000002</v>
      </c>
      <c r="P2" s="64" t="s">
        <v>54</v>
      </c>
      <c r="Q2" s="64">
        <v>0.26800000000000002</v>
      </c>
      <c r="R2" s="64" t="s">
        <v>62</v>
      </c>
    </row>
    <row r="3" spans="2:22" x14ac:dyDescent="0.2">
      <c r="B3" s="6" t="s">
        <v>53</v>
      </c>
      <c r="C3" s="69">
        <f>+'6'!C3+1</f>
        <v>7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90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9271 MERIDIAN WAY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WEST CHESTER,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45069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62007392</v>
      </c>
      <c r="C21" s="68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37.435000000000002</v>
      </c>
      <c r="G23" s="23">
        <f>+N2</f>
        <v>30.335000000000001</v>
      </c>
      <c r="H23" s="23">
        <f>+M2</f>
        <v>29.454999999999998</v>
      </c>
      <c r="I23" s="67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195</v>
      </c>
      <c r="C32" s="19" t="s">
        <v>196</v>
      </c>
      <c r="D32" s="70"/>
      <c r="E32" s="71"/>
      <c r="F32" s="70">
        <v>360</v>
      </c>
      <c r="G32" s="71"/>
      <c r="H32" s="17">
        <v>0.81</v>
      </c>
      <c r="I32" s="18">
        <f>+H32*F32</f>
        <v>291.60000000000002</v>
      </c>
      <c r="K32" s="46"/>
      <c r="M32" s="39"/>
    </row>
    <row r="33" spans="2:13" ht="24.95" customHeight="1" x14ac:dyDescent="0.2">
      <c r="B33" s="41" t="s">
        <v>182</v>
      </c>
      <c r="C33" s="19" t="s">
        <v>197</v>
      </c>
      <c r="D33" s="70"/>
      <c r="E33" s="71"/>
      <c r="F33" s="70">
        <v>80</v>
      </c>
      <c r="G33" s="71"/>
      <c r="H33" s="17">
        <v>0.81</v>
      </c>
      <c r="I33" s="18">
        <f>+H33*F33</f>
        <v>64.800000000000011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440</v>
      </c>
      <c r="G35" s="71"/>
      <c r="H35" s="15"/>
      <c r="I35" s="14">
        <f>SUM(I32:I34)</f>
        <v>356.40000000000003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356.40000000000003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356.40000000000003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265K0089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7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61996930</v>
      </c>
      <c r="K2" s="64">
        <v>805</v>
      </c>
      <c r="L2" s="64">
        <v>8</v>
      </c>
      <c r="M2" s="64">
        <v>56.65</v>
      </c>
      <c r="N2" s="64">
        <v>58.26</v>
      </c>
      <c r="O2" s="64">
        <v>64.959999999999994</v>
      </c>
      <c r="P2" s="64" t="s">
        <v>54</v>
      </c>
      <c r="Q2" s="64">
        <v>0.33500000000000002</v>
      </c>
      <c r="R2" s="64" t="s">
        <v>62</v>
      </c>
    </row>
    <row r="3" spans="2:22" x14ac:dyDescent="0.2">
      <c r="B3" s="6" t="s">
        <v>53</v>
      </c>
      <c r="C3" s="69">
        <f>+'7'!C3+1</f>
        <v>8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61996930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64.959999999999994</v>
      </c>
      <c r="G23" s="23">
        <f>+N2</f>
        <v>58.26</v>
      </c>
      <c r="H23" s="23">
        <f>+M2</f>
        <v>56.65</v>
      </c>
      <c r="I23" s="67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30.75" customHeight="1" x14ac:dyDescent="0.2">
      <c r="B32" s="41" t="s">
        <v>195</v>
      </c>
      <c r="C32" s="19" t="s">
        <v>196</v>
      </c>
      <c r="D32" s="70"/>
      <c r="E32" s="71"/>
      <c r="F32" s="70">
        <f>+K2</f>
        <v>805</v>
      </c>
      <c r="G32" s="71"/>
      <c r="H32" s="17">
        <v>0.81</v>
      </c>
      <c r="I32" s="18">
        <f>+H32*F32</f>
        <v>652.05000000000007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805</v>
      </c>
      <c r="G34" s="71"/>
      <c r="H34" s="15"/>
      <c r="I34" s="14">
        <f>SUM(I32:I33)</f>
        <v>652.05000000000007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652.05000000000007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652.05000000000007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61996967</v>
      </c>
      <c r="K2" s="64">
        <v>382</v>
      </c>
      <c r="L2" s="64">
        <v>4</v>
      </c>
      <c r="M2" s="64">
        <v>26.905999999999999</v>
      </c>
      <c r="N2" s="64">
        <v>27.67</v>
      </c>
      <c r="O2" s="64">
        <v>30.97</v>
      </c>
      <c r="P2" s="64" t="s">
        <v>54</v>
      </c>
      <c r="Q2" s="64">
        <v>0.157</v>
      </c>
      <c r="R2" s="64" t="s">
        <v>62</v>
      </c>
    </row>
    <row r="3" spans="2:22" x14ac:dyDescent="0.2">
      <c r="B3" s="6" t="s">
        <v>53</v>
      </c>
      <c r="C3" s="69">
        <f>+'8'!C3+1</f>
        <v>9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61996967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30.97</v>
      </c>
      <c r="G23" s="23">
        <f>+N2</f>
        <v>27.67</v>
      </c>
      <c r="H23" s="23">
        <f>+M2</f>
        <v>26.905999999999999</v>
      </c>
      <c r="I23" s="67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8.5" customHeight="1" x14ac:dyDescent="0.2">
      <c r="B32" s="41" t="s">
        <v>182</v>
      </c>
      <c r="C32" s="19" t="s">
        <v>197</v>
      </c>
      <c r="D32" s="70"/>
      <c r="E32" s="71"/>
      <c r="F32" s="70">
        <f>+K2</f>
        <v>382</v>
      </c>
      <c r="G32" s="71"/>
      <c r="H32" s="17">
        <v>0.81</v>
      </c>
      <c r="I32" s="18">
        <f>+H32*F32</f>
        <v>309.42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382</v>
      </c>
      <c r="G34" s="71"/>
      <c r="H34" s="15"/>
      <c r="I34" s="14">
        <f>SUM(I32:I33)</f>
        <v>309.42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309.42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309.42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61997056</v>
      </c>
      <c r="K2" s="63">
        <v>5201</v>
      </c>
      <c r="L2" s="64">
        <v>61</v>
      </c>
      <c r="M2" s="64">
        <v>436.483</v>
      </c>
      <c r="N2" s="64">
        <v>446.88499999999999</v>
      </c>
      <c r="O2" s="64">
        <v>500.08499999999998</v>
      </c>
      <c r="P2" s="64" t="s">
        <v>54</v>
      </c>
      <c r="Q2" s="64">
        <v>2.863</v>
      </c>
      <c r="R2" s="64" t="s">
        <v>62</v>
      </c>
    </row>
    <row r="3" spans="2:22" x14ac:dyDescent="0.2">
      <c r="B3" s="6" t="s">
        <v>53</v>
      </c>
      <c r="C3" s="69">
        <f>+'9'!C3+1</f>
        <v>10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61997056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500.08499999999998</v>
      </c>
      <c r="G23" s="23">
        <f>+N2</f>
        <v>446.88499999999999</v>
      </c>
      <c r="H23" s="23">
        <f>+M2</f>
        <v>436.483</v>
      </c>
      <c r="I23" s="67">
        <f>+L2</f>
        <v>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1" customHeight="1" x14ac:dyDescent="0.2">
      <c r="B32" s="41" t="s">
        <v>195</v>
      </c>
      <c r="C32" s="19" t="s">
        <v>196</v>
      </c>
      <c r="D32" s="70"/>
      <c r="E32" s="71"/>
      <c r="F32" s="70">
        <v>2227</v>
      </c>
      <c r="G32" s="71"/>
      <c r="H32" s="17">
        <v>0.84</v>
      </c>
      <c r="I32" s="18">
        <f>+H32*F32</f>
        <v>1870.6799999999998</v>
      </c>
      <c r="K32" s="46"/>
      <c r="M32" s="39"/>
    </row>
    <row r="33" spans="2:13" ht="39" customHeight="1" x14ac:dyDescent="0.2">
      <c r="B33" s="41" t="s">
        <v>199</v>
      </c>
      <c r="C33" s="19" t="s">
        <v>198</v>
      </c>
      <c r="D33" s="70"/>
      <c r="E33" s="71"/>
      <c r="F33" s="70">
        <f>1465+1509</f>
        <v>2974</v>
      </c>
      <c r="G33" s="71"/>
      <c r="H33" s="17">
        <v>0.84</v>
      </c>
      <c r="I33" s="18">
        <f>+H33*F33</f>
        <v>2498.16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5201</v>
      </c>
      <c r="G35" s="71"/>
      <c r="H35" s="15"/>
      <c r="I35" s="14">
        <f>SUM(I32:I34)</f>
        <v>4368.84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4368.84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4368.84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10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10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8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61996932</v>
      </c>
      <c r="K2" s="64">
        <v>403</v>
      </c>
      <c r="L2" s="64">
        <v>5</v>
      </c>
      <c r="M2" s="64">
        <v>28.408999999999999</v>
      </c>
      <c r="N2" s="64">
        <v>29.215</v>
      </c>
      <c r="O2" s="64">
        <v>33.115000000000002</v>
      </c>
      <c r="P2" s="64" t="s">
        <v>54</v>
      </c>
      <c r="Q2" s="64">
        <v>0.16800000000000001</v>
      </c>
      <c r="R2" s="64" t="s">
        <v>62</v>
      </c>
    </row>
    <row r="3" spans="2:22" x14ac:dyDescent="0.2">
      <c r="B3" s="6" t="s">
        <v>53</v>
      </c>
      <c r="C3" s="69">
        <f>+'10'!C3+1</f>
        <v>11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61996932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33.115000000000002</v>
      </c>
      <c r="G23" s="23">
        <f>+N2</f>
        <v>29.215</v>
      </c>
      <c r="H23" s="23">
        <f>+M2</f>
        <v>28.408999999999999</v>
      </c>
      <c r="I23" s="67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195</v>
      </c>
      <c r="C32" s="19" t="s">
        <v>196</v>
      </c>
      <c r="D32" s="70"/>
      <c r="E32" s="71"/>
      <c r="F32" s="70">
        <f>+K2</f>
        <v>403</v>
      </c>
      <c r="G32" s="71"/>
      <c r="H32" s="17">
        <v>0.81</v>
      </c>
      <c r="I32" s="18">
        <f>+H32*F32</f>
        <v>326.43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403</v>
      </c>
      <c r="G34" s="71"/>
      <c r="H34" s="15"/>
      <c r="I34" s="14">
        <f>SUM(I32:I32)</f>
        <v>326.43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326.43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326.43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61996973</v>
      </c>
      <c r="K2" s="64">
        <v>189</v>
      </c>
      <c r="L2" s="64">
        <v>3</v>
      </c>
      <c r="M2" s="64">
        <v>13.347</v>
      </c>
      <c r="N2" s="64">
        <v>13.725</v>
      </c>
      <c r="O2" s="64">
        <v>16.024999999999999</v>
      </c>
      <c r="P2" s="64" t="s">
        <v>54</v>
      </c>
      <c r="Q2" s="64">
        <v>8.8999999999999996E-2</v>
      </c>
      <c r="R2" s="64" t="s">
        <v>62</v>
      </c>
    </row>
    <row r="3" spans="2:22" x14ac:dyDescent="0.2">
      <c r="B3" s="6" t="s">
        <v>53</v>
      </c>
      <c r="C3" s="69">
        <f>+'11'!C3+1</f>
        <v>12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61996973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16.024999999999999</v>
      </c>
      <c r="G23" s="23">
        <f>+N2</f>
        <v>13.725</v>
      </c>
      <c r="H23" s="23">
        <f>+M2</f>
        <v>13.347</v>
      </c>
      <c r="I23" s="67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25" customHeight="1" x14ac:dyDescent="0.2">
      <c r="B32" s="61" t="s">
        <v>182</v>
      </c>
      <c r="C32" s="19" t="s">
        <v>197</v>
      </c>
      <c r="D32" s="70"/>
      <c r="E32" s="71"/>
      <c r="F32" s="70">
        <f>+K2</f>
        <v>189</v>
      </c>
      <c r="G32" s="71"/>
      <c r="H32" s="17">
        <v>0.81</v>
      </c>
      <c r="I32" s="18">
        <f>+H32*F32</f>
        <v>153.09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189</v>
      </c>
      <c r="G34" s="71"/>
      <c r="H34" s="15"/>
      <c r="I34" s="14">
        <f>SUM(I32:I33)</f>
        <v>153.09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153.09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153.09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61997058</v>
      </c>
      <c r="K2" s="63">
        <v>2844</v>
      </c>
      <c r="L2" s="64">
        <v>37</v>
      </c>
      <c r="M2" s="64">
        <v>238.64699999999999</v>
      </c>
      <c r="N2" s="64">
        <v>244.33500000000001</v>
      </c>
      <c r="O2" s="64">
        <v>275.53500000000003</v>
      </c>
      <c r="P2" s="64" t="s">
        <v>54</v>
      </c>
      <c r="Q2" s="64">
        <v>1.5880000000000001</v>
      </c>
      <c r="R2" s="64" t="s">
        <v>62</v>
      </c>
    </row>
    <row r="3" spans="2:22" x14ac:dyDescent="0.2">
      <c r="B3" s="6" t="s">
        <v>53</v>
      </c>
      <c r="C3" s="69">
        <f>+'12'!C3+1</f>
        <v>13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61997058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275.53500000000003</v>
      </c>
      <c r="G23" s="23">
        <f>+N2</f>
        <v>244.33500000000001</v>
      </c>
      <c r="H23" s="23">
        <f>+M2</f>
        <v>238.64699999999999</v>
      </c>
      <c r="I23" s="67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1" customHeight="1" x14ac:dyDescent="0.2">
      <c r="B32" s="41" t="s">
        <v>195</v>
      </c>
      <c r="C32" s="19" t="s">
        <v>196</v>
      </c>
      <c r="D32" s="70"/>
      <c r="E32" s="71"/>
      <c r="F32" s="70">
        <v>1218</v>
      </c>
      <c r="G32" s="71"/>
      <c r="H32" s="17">
        <v>0.84</v>
      </c>
      <c r="I32" s="18">
        <f>+H32*F32</f>
        <v>1023.12</v>
      </c>
      <c r="K32" s="46"/>
      <c r="M32" s="39"/>
    </row>
    <row r="33" spans="2:13" ht="42" customHeight="1" x14ac:dyDescent="0.2">
      <c r="B33" s="41" t="s">
        <v>199</v>
      </c>
      <c r="C33" s="19" t="s">
        <v>198</v>
      </c>
      <c r="D33" s="70"/>
      <c r="E33" s="71"/>
      <c r="F33" s="70">
        <f>800+826</f>
        <v>1626</v>
      </c>
      <c r="G33" s="71"/>
      <c r="H33" s="17">
        <v>0.84</v>
      </c>
      <c r="I33" s="18">
        <f>+H33*F33</f>
        <v>1365.84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2844</v>
      </c>
      <c r="G35" s="71"/>
      <c r="H35" s="15"/>
      <c r="I35" s="14">
        <f>SUM(I32:I34)</f>
        <v>2388.96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2388.96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2388.96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  <c r="K56" s="20">
        <v>13</v>
      </c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201</v>
      </c>
      <c r="C2" s="84"/>
      <c r="D2" s="84"/>
      <c r="E2" s="84"/>
      <c r="F2" s="84"/>
      <c r="G2" s="84"/>
      <c r="H2" s="84"/>
      <c r="I2" s="85"/>
      <c r="J2" s="62">
        <v>61996850</v>
      </c>
      <c r="K2" s="63">
        <v>20474</v>
      </c>
      <c r="L2" s="64">
        <v>184</v>
      </c>
      <c r="M2" s="66">
        <v>1675.2270000000001</v>
      </c>
      <c r="N2" s="66">
        <v>1716.175</v>
      </c>
      <c r="O2" s="66">
        <v>1889.875</v>
      </c>
      <c r="P2" s="64" t="s">
        <v>54</v>
      </c>
      <c r="Q2" s="64">
        <v>11.038</v>
      </c>
      <c r="R2" s="64" t="s">
        <v>62</v>
      </c>
    </row>
    <row r="3" spans="2:22" x14ac:dyDescent="0.2">
      <c r="B3" s="6" t="s">
        <v>53</v>
      </c>
      <c r="C3" s="69">
        <f>+'13'!C3+1</f>
        <v>14</v>
      </c>
      <c r="D3" s="5"/>
      <c r="E3" s="5"/>
      <c r="F3" s="5"/>
      <c r="G3" s="5" t="s">
        <v>52</v>
      </c>
      <c r="H3" s="31">
        <v>46245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61996850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1889.875</v>
      </c>
      <c r="G23" s="23">
        <f>+N2</f>
        <v>1716.175</v>
      </c>
      <c r="H23" s="23">
        <f>+M2</f>
        <v>1675.2270000000001</v>
      </c>
      <c r="I23" s="67">
        <f>+L2</f>
        <v>184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1" customHeight="1" x14ac:dyDescent="0.2">
      <c r="B32" s="41" t="s">
        <v>195</v>
      </c>
      <c r="C32" s="19" t="s">
        <v>196</v>
      </c>
      <c r="D32" s="70"/>
      <c r="E32" s="71"/>
      <c r="F32" s="70">
        <f>557+1994+2118+1919+1023</f>
        <v>7611</v>
      </c>
      <c r="G32" s="71"/>
      <c r="H32" s="17">
        <v>0.84</v>
      </c>
      <c r="I32" s="18">
        <f>+H32*F32</f>
        <v>6393.24</v>
      </c>
      <c r="K32" s="46"/>
      <c r="M32" s="39"/>
    </row>
    <row r="33" spans="2:13" ht="42" customHeight="1" x14ac:dyDescent="0.2">
      <c r="B33" s="41" t="s">
        <v>199</v>
      </c>
      <c r="C33" s="19" t="s">
        <v>200</v>
      </c>
      <c r="D33" s="70"/>
      <c r="E33" s="71"/>
      <c r="F33" s="70">
        <f>20474-F32</f>
        <v>12863</v>
      </c>
      <c r="G33" s="71"/>
      <c r="H33" s="17">
        <v>0.84</v>
      </c>
      <c r="I33" s="18">
        <f>+H33*F33</f>
        <v>10804.92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20474</v>
      </c>
      <c r="G35" s="71"/>
      <c r="H35" s="15"/>
      <c r="I35" s="14">
        <f>SUM(I32:I34)</f>
        <v>17198.16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17198.16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17198.16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  <c r="K56" s="20">
        <v>14</v>
      </c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reff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2026-07-13T01:37:58Z</cp:lastPrinted>
  <dcterms:created xsi:type="dcterms:W3CDTF">2024-04-17T09:56:05Z</dcterms:created>
  <dcterms:modified xsi:type="dcterms:W3CDTF">2026-08-05T01:56:20Z</dcterms:modified>
</cp:coreProperties>
</file>