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07. JULI\13.07.2026\"/>
    </mc:Choice>
  </mc:AlternateContent>
  <bookViews>
    <workbookView xWindow="-120" yWindow="-120" windowWidth="20730" windowHeight="11160" activeTab="2"/>
  </bookViews>
  <sheets>
    <sheet name="Sheet1" sheetId="128" r:id="rId1"/>
    <sheet name="reff" sheetId="162" r:id="rId2"/>
    <sheet name="285" sheetId="138" r:id="rId3"/>
    <sheet name="286" sheetId="129" r:id="rId4"/>
    <sheet name="287" sheetId="133" r:id="rId5"/>
    <sheet name="288" sheetId="134" r:id="rId6"/>
    <sheet name="289" sheetId="135" r:id="rId7"/>
    <sheet name="290" sheetId="137" r:id="rId8"/>
    <sheet name="291" sheetId="141" r:id="rId9"/>
    <sheet name="292" sheetId="142" r:id="rId10"/>
    <sheet name="293" sheetId="143" r:id="rId11"/>
    <sheet name="294" sheetId="163" r:id="rId12"/>
    <sheet name="295" sheetId="164" r:id="rId13"/>
    <sheet name="296" sheetId="165" r:id="rId14"/>
    <sheet name="297" sheetId="166" r:id="rId15"/>
    <sheet name="298" sheetId="167" r:id="rId16"/>
    <sheet name="299" sheetId="168" r:id="rId17"/>
    <sheet name="300" sheetId="169" r:id="rId18"/>
    <sheet name="301" sheetId="170" r:id="rId19"/>
    <sheet name="302" sheetId="171" r:id="rId20"/>
  </sheets>
  <externalReferences>
    <externalReference r:id="rId21"/>
    <externalReference r:id="rId22"/>
    <externalReference r:id="rId23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16">[2]xdata!#REF!</definedName>
    <definedName name="a" localSheetId="17">[2]xdata!#REF!</definedName>
    <definedName name="a" localSheetId="18">[2]xdata!#REF!</definedName>
    <definedName name="a" localSheetId="19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16">[2]xdata!#REF!</definedName>
    <definedName name="b" localSheetId="17">[2]xdata!#REF!</definedName>
    <definedName name="b" localSheetId="18">[2]xdata!#REF!</definedName>
    <definedName name="b" localSheetId="19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16">[2]xdata!#REF!</definedName>
    <definedName name="C_O" localSheetId="17">[2]xdata!#REF!</definedName>
    <definedName name="C_O" localSheetId="18">[2]xdata!#REF!</definedName>
    <definedName name="C_O" localSheetId="19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16">[2]xdata!#REF!</definedName>
    <definedName name="Dept_no" localSheetId="17">[2]xdata!#REF!</definedName>
    <definedName name="Dept_no" localSheetId="18">[2]xdata!#REF!</definedName>
    <definedName name="Dept_no" localSheetId="19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16">[2]xdata!#REF!</definedName>
    <definedName name="E_L" localSheetId="17">[2]xdata!#REF!</definedName>
    <definedName name="E_L" localSheetId="18">[2]xdata!#REF!</definedName>
    <definedName name="E_L" localSheetId="19">[2]xdata!#REF!</definedName>
    <definedName name="E_L">[2]xdata!#REF!</definedName>
    <definedName name="INVOICE">[2]xdata!$B$2</definedName>
    <definedName name="_xlnm.Print_Area" localSheetId="2">'285'!$B$1:$I$58</definedName>
    <definedName name="_xlnm.Print_Area" localSheetId="3">'286'!$B$1:$I$57</definedName>
    <definedName name="_xlnm.Print_Area" localSheetId="4">'287'!$B$1:$I$57</definedName>
    <definedName name="_xlnm.Print_Area" localSheetId="5">'288'!$B$1:$I$57</definedName>
    <definedName name="_xlnm.Print_Area" localSheetId="6">'289'!$B$1:$I$57</definedName>
    <definedName name="_xlnm.Print_Area" localSheetId="7">'290'!$B$1:$I$57</definedName>
    <definedName name="_xlnm.Print_Area" localSheetId="8">'291'!$B$1:$I$57</definedName>
    <definedName name="_xlnm.Print_Area" localSheetId="9">'292'!$B$1:$I$57</definedName>
    <definedName name="_xlnm.Print_Area" localSheetId="10">'293'!$B$1:$I$57</definedName>
    <definedName name="_xlnm.Print_Area" localSheetId="11">'294'!$B$1:$I$57</definedName>
    <definedName name="_xlnm.Print_Area" localSheetId="12">'295'!$B$1:$I$58</definedName>
    <definedName name="_xlnm.Print_Area" localSheetId="13">'296'!$B$1:$I$57</definedName>
    <definedName name="_xlnm.Print_Area" localSheetId="14">'297'!$B$1:$I$57</definedName>
    <definedName name="_xlnm.Print_Area" localSheetId="15">'298'!$B$1:$I$57</definedName>
    <definedName name="_xlnm.Print_Area" localSheetId="16">'299'!$B$1:$I$57</definedName>
    <definedName name="_xlnm.Print_Area" localSheetId="17">'300'!$B$1:$I$57</definedName>
    <definedName name="_xlnm.Print_Area" localSheetId="18">'301'!$B$1:$I$58</definedName>
    <definedName name="_xlnm.Print_Area" localSheetId="19">'302'!$B$1:$I$57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16">[2]xdata!#REF!</definedName>
    <definedName name="v" localSheetId="17">[2]xdata!#REF!</definedName>
    <definedName name="v" localSheetId="18">[2]xdata!#REF!</definedName>
    <definedName name="v" localSheetId="19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2" i="163" l="1"/>
  <c r="F32" i="170" l="1"/>
  <c r="F33" i="170"/>
  <c r="I33" i="170" s="1"/>
  <c r="F35" i="164" l="1"/>
  <c r="F33" i="164"/>
  <c r="I33" i="164"/>
  <c r="F32" i="163"/>
  <c r="F32" i="143"/>
  <c r="I32" i="143" s="1"/>
  <c r="F33" i="138"/>
  <c r="F32" i="138"/>
  <c r="H52" i="171" l="1"/>
  <c r="F34" i="171"/>
  <c r="I32" i="171"/>
  <c r="I34" i="171" s="1"/>
  <c r="I36" i="171" s="1"/>
  <c r="I38" i="171" s="1"/>
  <c r="F32" i="171"/>
  <c r="B27" i="171"/>
  <c r="I23" i="171"/>
  <c r="H23" i="171"/>
  <c r="G23" i="171"/>
  <c r="F23" i="171"/>
  <c r="E23" i="171"/>
  <c r="E21" i="171"/>
  <c r="D21" i="171"/>
  <c r="C21" i="171"/>
  <c r="B21" i="171"/>
  <c r="B15" i="171"/>
  <c r="B16" i="171" s="1"/>
  <c r="B17" i="171" s="1"/>
  <c r="B18" i="171" s="1"/>
  <c r="G14" i="171"/>
  <c r="G15" i="171" s="1"/>
  <c r="G16" i="171" s="1"/>
  <c r="G17" i="171" s="1"/>
  <c r="H21" i="171" s="1"/>
  <c r="H53" i="170"/>
  <c r="F35" i="170"/>
  <c r="B27" i="170"/>
  <c r="I23" i="170"/>
  <c r="H23" i="170"/>
  <c r="G23" i="170"/>
  <c r="F23" i="170"/>
  <c r="E23" i="170"/>
  <c r="E21" i="170"/>
  <c r="D21" i="170"/>
  <c r="C21" i="170"/>
  <c r="B21" i="170"/>
  <c r="B15" i="170"/>
  <c r="B16" i="170" s="1"/>
  <c r="B17" i="170" s="1"/>
  <c r="B18" i="170" s="1"/>
  <c r="G14" i="170"/>
  <c r="G15" i="170" s="1"/>
  <c r="G16" i="170" s="1"/>
  <c r="G17" i="170" s="1"/>
  <c r="H21" i="170" s="1"/>
  <c r="H52" i="169"/>
  <c r="F32" i="169"/>
  <c r="F34" i="169" s="1"/>
  <c r="B27" i="169"/>
  <c r="I23" i="169"/>
  <c r="H23" i="169"/>
  <c r="G23" i="169"/>
  <c r="F23" i="169"/>
  <c r="E23" i="169"/>
  <c r="E21" i="169"/>
  <c r="D21" i="169"/>
  <c r="C21" i="169"/>
  <c r="B21" i="169"/>
  <c r="B15" i="169"/>
  <c r="B16" i="169" s="1"/>
  <c r="B17" i="169" s="1"/>
  <c r="B18" i="169" s="1"/>
  <c r="G14" i="169"/>
  <c r="G15" i="169" s="1"/>
  <c r="G16" i="169" s="1"/>
  <c r="G17" i="169" s="1"/>
  <c r="H21" i="169" s="1"/>
  <c r="H52" i="168"/>
  <c r="F34" i="168"/>
  <c r="F32" i="168"/>
  <c r="I32" i="168" s="1"/>
  <c r="I34" i="168" s="1"/>
  <c r="I36" i="168" s="1"/>
  <c r="I38" i="168" s="1"/>
  <c r="B27" i="168"/>
  <c r="I23" i="168"/>
  <c r="H23" i="168"/>
  <c r="G23" i="168"/>
  <c r="F23" i="168"/>
  <c r="E23" i="168"/>
  <c r="E21" i="168"/>
  <c r="D21" i="168"/>
  <c r="C21" i="168"/>
  <c r="B21" i="168"/>
  <c r="B15" i="168"/>
  <c r="B16" i="168" s="1"/>
  <c r="B17" i="168" s="1"/>
  <c r="B18" i="168" s="1"/>
  <c r="G14" i="168"/>
  <c r="G15" i="168" s="1"/>
  <c r="G16" i="168" s="1"/>
  <c r="G17" i="168" s="1"/>
  <c r="H21" i="168" s="1"/>
  <c r="H52" i="167"/>
  <c r="F34" i="167"/>
  <c r="I32" i="167"/>
  <c r="I34" i="167" s="1"/>
  <c r="I36" i="167" s="1"/>
  <c r="I38" i="167" s="1"/>
  <c r="F32" i="167"/>
  <c r="B27" i="167"/>
  <c r="I23" i="167"/>
  <c r="H23" i="167"/>
  <c r="G23" i="167"/>
  <c r="F23" i="167"/>
  <c r="E23" i="167"/>
  <c r="E21" i="167"/>
  <c r="D21" i="167"/>
  <c r="C21" i="167"/>
  <c r="B21" i="167"/>
  <c r="B15" i="167"/>
  <c r="B16" i="167" s="1"/>
  <c r="B17" i="167" s="1"/>
  <c r="B18" i="167" s="1"/>
  <c r="G14" i="167"/>
  <c r="G15" i="167" s="1"/>
  <c r="G16" i="167" s="1"/>
  <c r="G17" i="167" s="1"/>
  <c r="H21" i="167" s="1"/>
  <c r="H52" i="166"/>
  <c r="F32" i="166"/>
  <c r="F34" i="166" s="1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52" i="165"/>
  <c r="F32" i="165"/>
  <c r="F34" i="165" s="1"/>
  <c r="B27" i="165"/>
  <c r="I23" i="165"/>
  <c r="H23" i="165"/>
  <c r="G23" i="165"/>
  <c r="F23" i="165"/>
  <c r="E23" i="165"/>
  <c r="E21" i="165"/>
  <c r="D21" i="165"/>
  <c r="C21" i="165"/>
  <c r="B21" i="165"/>
  <c r="B16" i="165"/>
  <c r="B17" i="165" s="1"/>
  <c r="B18" i="165" s="1"/>
  <c r="B15" i="165"/>
  <c r="G14" i="165"/>
  <c r="G15" i="165" s="1"/>
  <c r="G16" i="165" s="1"/>
  <c r="G17" i="165" s="1"/>
  <c r="H21" i="165" s="1"/>
  <c r="H53" i="164"/>
  <c r="I32" i="164"/>
  <c r="I35" i="164" s="1"/>
  <c r="I37" i="164" s="1"/>
  <c r="I39" i="164" s="1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52" i="163"/>
  <c r="F34" i="163"/>
  <c r="I34" i="163"/>
  <c r="I36" i="163" s="1"/>
  <c r="I38" i="163" s="1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I32" i="170" l="1"/>
  <c r="I35" i="170" s="1"/>
  <c r="I37" i="170" s="1"/>
  <c r="I39" i="170" s="1"/>
  <c r="I32" i="169"/>
  <c r="I34" i="169" s="1"/>
  <c r="I36" i="169" s="1"/>
  <c r="I38" i="169" s="1"/>
  <c r="I32" i="166"/>
  <c r="I34" i="166" s="1"/>
  <c r="I36" i="166" s="1"/>
  <c r="I38" i="166" s="1"/>
  <c r="I32" i="165"/>
  <c r="I34" i="165" s="1"/>
  <c r="I36" i="165" s="1"/>
  <c r="I38" i="165" s="1"/>
  <c r="F35" i="138"/>
  <c r="I33" i="138"/>
  <c r="C3" i="129" l="1"/>
  <c r="F32" i="135" l="1"/>
  <c r="F34" i="135" s="1"/>
  <c r="F32" i="133"/>
  <c r="F32" i="129"/>
  <c r="I32" i="129" s="1"/>
  <c r="F32" i="141"/>
  <c r="F32" i="134" l="1"/>
  <c r="I32" i="138" l="1"/>
  <c r="I35" i="138" s="1"/>
  <c r="F34" i="133" l="1"/>
  <c r="F34" i="129" l="1"/>
  <c r="F32" i="142"/>
  <c r="F34" i="142" s="1"/>
  <c r="I32" i="134"/>
  <c r="C3" i="133"/>
  <c r="F34" i="141"/>
  <c r="F32" i="137"/>
  <c r="I32" i="141" l="1"/>
  <c r="I34" i="141" s="1"/>
  <c r="F34" i="137"/>
  <c r="I34" i="129" l="1"/>
  <c r="I32" i="137"/>
  <c r="F34" i="134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2" i="129"/>
  <c r="H52" i="134"/>
  <c r="H52" i="135"/>
  <c r="H52" i="137"/>
  <c r="H53" i="138"/>
  <c r="H52" i="143"/>
  <c r="H52" i="133"/>
  <c r="F34" i="143" l="1"/>
  <c r="I34" i="143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4" i="135" l="1"/>
  <c r="I36" i="135" s="1"/>
  <c r="I38" i="135" s="1"/>
  <c r="I37" i="138"/>
  <c r="I39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l="1"/>
  <c r="C3" i="163" s="1"/>
  <c r="C3" i="164" s="1"/>
  <c r="C3" i="165" s="1"/>
  <c r="C3" i="166" s="1"/>
  <c r="C3" i="167" s="1"/>
  <c r="C3" i="168" s="1"/>
  <c r="C3" i="169" s="1"/>
  <c r="C3" i="170" s="1"/>
  <c r="C3" i="171" s="1"/>
</calcChain>
</file>

<file path=xl/sharedStrings.xml><?xml version="1.0" encoding="utf-8"?>
<sst xmlns="http://schemas.openxmlformats.org/spreadsheetml/2006/main" count="1602" uniqueCount="215">
  <si>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</si>
  <si>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</si>
  <si>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</si>
  <si>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</si>
  <si>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</si>
  <si>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</si>
  <si>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</si>
  <si>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</si>
  <si>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</si>
  <si>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</si>
  <si>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</si>
  <si>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</si>
  <si>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</si>
  <si>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</si>
  <si>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</si>
  <si>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</si>
  <si>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</si>
  <si>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</si>
  <si>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</si>
  <si>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</si>
  <si>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</si>
  <si>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</si>
  <si>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</si>
  <si>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</si>
  <si>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</si>
  <si>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</si>
  <si>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</si>
  <si>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</si>
  <si>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</si>
  <si>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</si>
  <si>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</si>
  <si>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</si>
  <si>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</si>
  <si>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</si>
  <si>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</si>
  <si>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</si>
  <si>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</si>
  <si>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</si>
  <si>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</si>
  <si>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</si>
  <si>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</si>
  <si>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</si>
  <si>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</si>
  <si>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</si>
  <si>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</si>
  <si>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</si>
  <si>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</si>
  <si>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</si>
  <si>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</si>
  <si>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</si>
  <si>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</si>
  <si>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</si>
  <si>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</si>
  <si>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</si>
  <si>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</si>
  <si>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</si>
  <si>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</si>
  <si>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</si>
  <si>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</si>
  <si>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</si>
  <si>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</si>
  <si>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</si>
  <si>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</si>
  <si>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</si>
  <si>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</si>
  <si>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</si>
  <si>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</si>
  <si>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</si>
  <si>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</si>
  <si>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</si>
  <si>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</si>
  <si>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</si>
  <si>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</si>
  <si>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</si>
  <si>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</si>
  <si>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</si>
  <si>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</si>
  <si>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</si>
  <si>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</si>
  <si>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</si>
  <si>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</si>
  <si>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</si>
  <si>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</si>
  <si>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</si>
  <si>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</si>
  <si>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</si>
  <si>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</si>
  <si>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</si>
  <si>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</si>
  <si>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</si>
  <si>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</si>
  <si>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</si>
  <si>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</si>
  <si>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</si>
  <si>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</si>
  <si>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</si>
  <si>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</si>
  <si>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</si>
  <si>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</si>
  <si>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</si>
  <si>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</si>
  <si>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</si>
  <si>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</si>
  <si>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</si>
  <si>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</si>
  <si>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</si>
  <si>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</si>
  <si>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</si>
  <si>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</si>
  <si>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</si>
  <si>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</si>
  <si>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</si>
  <si>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</si>
  <si>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</si>
  <si>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</si>
  <si>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</si>
  <si>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</si>
  <si>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</si>
  <si>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</si>
  <si>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</si>
  <si>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</si>
  <si>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</si>
  <si>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</si>
  <si>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</si>
  <si>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</si>
  <si>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</si>
  <si>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</si>
  <si>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</si>
  <si>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</si>
  <si>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</si>
  <si>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</si>
  <si>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</si>
  <si>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</si>
  <si>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</si>
  <si>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</si>
  <si>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</si>
  <si>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</si>
  <si>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</si>
  <si>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</si>
  <si>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</si>
  <si>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</si>
  <si>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</si>
  <si>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</si>
  <si>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</si>
  <si>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</si>
  <si>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</si>
  <si>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</si>
  <si>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</si>
  <si>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</si>
  <si>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</si>
  <si>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</si>
  <si>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</si>
  <si>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</si>
  <si>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</si>
  <si>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</si>
  <si>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</si>
  <si>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</si>
  <si>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</si>
  <si>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</si>
  <si>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</si>
  <si>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</si>
  <si>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</si>
  <si>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</si>
  <si>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</si>
  <si>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</si>
  <si>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</si>
  <si>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</si>
  <si>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</si>
  <si>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</si>
  <si>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</si>
  <si>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</si>
  <si>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</si>
  <si>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</si>
  <si>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</si>
  <si>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</si>
  <si>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</si>
  <si>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</si>
  <si>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265K0051</t>
  </si>
  <si>
    <t xml:space="preserve"> 265K0075 </t>
  </si>
  <si>
    <t>SHOOTING STAR</t>
  </si>
  <si>
    <t>BOYS COTTON FIBERS, KNIT SHIRT, WITH NECK CLOSURE, STITCH COUNT EQUAL OR IS GREATER THAN 10/1CM, HEM BOTTOM [60% COTTON 40% POLYESTER]</t>
  </si>
  <si>
    <t>WOMENS COTTON FIBERS, KNIT PULLOVER, WITH NO NECK CLOSURE, STITCH COUNT IS GREATER THAN 9/2CM, REACHES WAIST, SLEEVELESS [96% COTTON 4% SPANDEX]</t>
  </si>
  <si>
    <t>Retail</t>
  </si>
  <si>
    <t>Online</t>
  </si>
  <si>
    <t>INK BLUE</t>
  </si>
  <si>
    <t>02</t>
  </si>
  <si>
    <t>BRIGHT WHITE</t>
  </si>
  <si>
    <t>04</t>
  </si>
  <si>
    <t>MONET BLUE</t>
  </si>
  <si>
    <t>05</t>
  </si>
  <si>
    <t>265K0005</t>
  </si>
  <si>
    <t>265K0052</t>
  </si>
  <si>
    <t>CALLA LILY 451</t>
  </si>
  <si>
    <t>00</t>
  </si>
  <si>
    <t>BLACKJACK JAS, BLUSH HUE</t>
  </si>
  <si>
    <t>01, 02</t>
  </si>
  <si>
    <t>GIRLS COTTON FIBERS, KNIT PULLOVER, WITH NO NECK CLOSURE, STITCH COUNT IS GREATER THAN 9/2CM, REACHES WAIST [60% COTTON 40% RECYCLED POLYESTER]</t>
  </si>
  <si>
    <t>IN THE NAVY</t>
  </si>
  <si>
    <t>BLACK COFFEE, BLACK JACK 3, IN THE NAVY, CALLA LILY 2</t>
  </si>
  <si>
    <t>13, 15, 16, 20</t>
  </si>
  <si>
    <t>BLACK COFFEE, IN THE NAVY, CALLA LILY 2</t>
  </si>
  <si>
    <t>13, 16, 20</t>
  </si>
  <si>
    <t>RED TAPE, BLACK JACK, RON BURGUNDY</t>
  </si>
  <si>
    <t>01, 04, 05</t>
  </si>
  <si>
    <t>Boys Cotton Fibers, Knit Shirt, With Neck Closure, Stitch Count Equal Or Is Greater Than 10/1cm, Hem Bottom [60% Cotton 40% Polyester]</t>
  </si>
  <si>
    <t>DARK GREEN, BLUE TANGO</t>
  </si>
  <si>
    <t>06, 07</t>
  </si>
  <si>
    <t>03</t>
  </si>
  <si>
    <t>CALLA LILY 451, INK BLUE</t>
  </si>
  <si>
    <t>00, 02</t>
  </si>
  <si>
    <t>FAUX HEATHER GREY, BLACK JACK</t>
  </si>
  <si>
    <t>00, 03</t>
  </si>
  <si>
    <t>BLUE TANGO</t>
  </si>
  <si>
    <t>07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</si>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</sst>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7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14" fillId="3" borderId="0" xfId="0" applyNumberFormat="1" applyFont="1" applyFill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0615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06125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48975"/>
          <a:ext cx="2846285" cy="1390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77550"/>
          <a:ext cx="2846285" cy="13906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1565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H33" sqref="H33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H33" sqref="H33"/>
    </sheetView>
  </sheetViews>
  <sheetFormatPr defaultRowHeight="12.75" x14ac:dyDescent="0.2"/>
  <sheetData>
    <row r="2" spans="2:9" ht="15" x14ac:dyDescent="0.25">
      <c r="B2" s="57">
        <v>1</v>
      </c>
      <c r="C2" t="s">
        <v>190</v>
      </c>
      <c r="E2" s="57">
        <v>1</v>
      </c>
      <c r="F2">
        <v>867788</v>
      </c>
      <c r="H2" s="57">
        <v>1</v>
      </c>
      <c r="I2" s="58" t="s">
        <v>182</v>
      </c>
    </row>
    <row r="3" spans="2:9" ht="15" x14ac:dyDescent="0.25">
      <c r="B3" s="57">
        <v>2</v>
      </c>
      <c r="C3" t="s">
        <v>178</v>
      </c>
      <c r="E3" s="57">
        <v>2</v>
      </c>
      <c r="F3">
        <v>692926</v>
      </c>
      <c r="H3" s="57">
        <v>2</v>
      </c>
      <c r="I3" s="67" t="s">
        <v>183</v>
      </c>
    </row>
    <row r="4" spans="2:9" ht="15" x14ac:dyDescent="0.2">
      <c r="B4" s="57">
        <v>3</v>
      </c>
      <c r="C4" t="s">
        <v>178</v>
      </c>
      <c r="E4" s="57">
        <v>3</v>
      </c>
      <c r="F4">
        <v>692926</v>
      </c>
      <c r="H4" s="57">
        <v>3</v>
      </c>
      <c r="I4" s="71" t="s">
        <v>183</v>
      </c>
    </row>
    <row r="5" spans="2:9" ht="15" x14ac:dyDescent="0.25">
      <c r="B5" s="57">
        <v>4</v>
      </c>
      <c r="C5" t="s">
        <v>178</v>
      </c>
      <c r="E5" s="57">
        <v>4</v>
      </c>
      <c r="F5">
        <v>692926</v>
      </c>
      <c r="H5" s="57">
        <v>4</v>
      </c>
      <c r="I5" s="67" t="s">
        <v>182</v>
      </c>
    </row>
    <row r="6" spans="2:9" ht="15" x14ac:dyDescent="0.25">
      <c r="B6" s="57">
        <v>5</v>
      </c>
      <c r="C6" t="s">
        <v>178</v>
      </c>
      <c r="E6" s="57">
        <v>5</v>
      </c>
      <c r="F6">
        <v>692926</v>
      </c>
      <c r="H6" s="57">
        <v>5</v>
      </c>
      <c r="I6" s="67" t="s">
        <v>182</v>
      </c>
    </row>
    <row r="7" spans="2:9" ht="15" x14ac:dyDescent="0.25">
      <c r="B7" s="57">
        <v>6</v>
      </c>
      <c r="C7" t="s">
        <v>178</v>
      </c>
      <c r="E7" s="57">
        <v>6</v>
      </c>
      <c r="F7">
        <v>692926</v>
      </c>
      <c r="H7" s="57">
        <v>6</v>
      </c>
      <c r="I7" s="67" t="s">
        <v>183</v>
      </c>
    </row>
    <row r="8" spans="2:9" ht="15" x14ac:dyDescent="0.25">
      <c r="B8" s="57">
        <v>7</v>
      </c>
      <c r="C8" t="s">
        <v>178</v>
      </c>
      <c r="E8" s="57">
        <v>7</v>
      </c>
      <c r="F8">
        <v>692926</v>
      </c>
      <c r="H8" s="57">
        <v>7</v>
      </c>
      <c r="I8" s="67" t="s">
        <v>183</v>
      </c>
    </row>
    <row r="9" spans="2:9" ht="15" x14ac:dyDescent="0.25">
      <c r="B9" s="57">
        <v>8</v>
      </c>
      <c r="C9" t="s">
        <v>178</v>
      </c>
      <c r="E9" s="57">
        <v>8</v>
      </c>
      <c r="F9">
        <v>692926</v>
      </c>
      <c r="H9" s="57">
        <v>8</v>
      </c>
      <c r="I9" s="67" t="s">
        <v>183</v>
      </c>
    </row>
    <row r="10" spans="2:9" ht="15" x14ac:dyDescent="0.25">
      <c r="B10" s="57">
        <v>9</v>
      </c>
      <c r="C10" t="s">
        <v>178</v>
      </c>
      <c r="E10" s="57">
        <v>9</v>
      </c>
      <c r="F10">
        <v>692926</v>
      </c>
      <c r="H10" s="57">
        <v>9</v>
      </c>
      <c r="I10" s="67" t="s">
        <v>182</v>
      </c>
    </row>
    <row r="11" spans="2:9" ht="15" x14ac:dyDescent="0.25">
      <c r="B11" s="57">
        <v>10</v>
      </c>
      <c r="C11" t="s">
        <v>178</v>
      </c>
      <c r="E11" s="57">
        <v>10</v>
      </c>
      <c r="F11">
        <v>692926</v>
      </c>
      <c r="H11" s="57">
        <v>10</v>
      </c>
      <c r="I11" s="67" t="s">
        <v>182</v>
      </c>
    </row>
    <row r="12" spans="2:9" ht="15" x14ac:dyDescent="0.25">
      <c r="B12" s="57">
        <v>11</v>
      </c>
      <c r="C12" t="s">
        <v>177</v>
      </c>
      <c r="E12" s="57">
        <v>11</v>
      </c>
      <c r="F12">
        <v>416363</v>
      </c>
      <c r="H12" s="57">
        <v>11</v>
      </c>
      <c r="I12" s="67" t="s">
        <v>182</v>
      </c>
    </row>
    <row r="13" spans="2:9" ht="15" x14ac:dyDescent="0.25">
      <c r="B13" s="57">
        <v>12</v>
      </c>
      <c r="C13" t="s">
        <v>177</v>
      </c>
      <c r="E13" s="57">
        <v>12</v>
      </c>
      <c r="F13">
        <v>416363</v>
      </c>
      <c r="H13" s="57">
        <v>12</v>
      </c>
      <c r="I13" s="67" t="s">
        <v>182</v>
      </c>
    </row>
    <row r="14" spans="2:9" ht="15" x14ac:dyDescent="0.25">
      <c r="B14" s="57">
        <v>13</v>
      </c>
      <c r="C14" t="s">
        <v>191</v>
      </c>
      <c r="E14" s="57">
        <v>13</v>
      </c>
      <c r="F14">
        <v>767468</v>
      </c>
      <c r="H14" s="57">
        <v>13</v>
      </c>
      <c r="I14" s="67" t="s">
        <v>183</v>
      </c>
    </row>
    <row r="15" spans="2:9" ht="15" x14ac:dyDescent="0.25">
      <c r="B15" s="57">
        <v>14</v>
      </c>
      <c r="C15" t="s">
        <v>191</v>
      </c>
      <c r="E15" s="57">
        <v>14</v>
      </c>
      <c r="F15">
        <v>767468</v>
      </c>
      <c r="H15" s="57">
        <v>14</v>
      </c>
      <c r="I15" s="67" t="s">
        <v>183</v>
      </c>
    </row>
    <row r="16" spans="2:9" ht="15" x14ac:dyDescent="0.25">
      <c r="B16" s="57">
        <v>15</v>
      </c>
      <c r="C16" t="s">
        <v>191</v>
      </c>
      <c r="E16" s="57">
        <v>15</v>
      </c>
      <c r="F16">
        <v>767468</v>
      </c>
      <c r="H16" s="57">
        <v>15</v>
      </c>
      <c r="I16" s="67" t="s">
        <v>183</v>
      </c>
    </row>
    <row r="17" spans="2:11" ht="15" x14ac:dyDescent="0.25">
      <c r="B17" s="57">
        <v>16</v>
      </c>
      <c r="C17" t="s">
        <v>191</v>
      </c>
      <c r="E17" s="57">
        <v>16</v>
      </c>
      <c r="F17">
        <v>767468</v>
      </c>
      <c r="H17" s="57">
        <v>16</v>
      </c>
      <c r="I17" s="67" t="s">
        <v>183</v>
      </c>
    </row>
    <row r="18" spans="2:11" ht="15" x14ac:dyDescent="0.25">
      <c r="B18" s="57">
        <v>17</v>
      </c>
      <c r="C18" t="s">
        <v>177</v>
      </c>
      <c r="E18" s="57">
        <v>17</v>
      </c>
      <c r="F18">
        <v>416363</v>
      </c>
      <c r="H18" s="57">
        <v>17</v>
      </c>
      <c r="I18" s="67" t="s">
        <v>183</v>
      </c>
    </row>
    <row r="19" spans="2:11" ht="15" x14ac:dyDescent="0.25">
      <c r="B19" s="57">
        <v>18</v>
      </c>
      <c r="C19" t="s">
        <v>177</v>
      </c>
      <c r="E19" s="57">
        <v>18</v>
      </c>
      <c r="F19">
        <v>416363</v>
      </c>
      <c r="H19" s="57">
        <v>18</v>
      </c>
      <c r="I19" s="67" t="s">
        <v>183</v>
      </c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62148389</v>
      </c>
      <c r="K2" s="65">
        <v>6350</v>
      </c>
      <c r="L2" s="66">
        <v>38</v>
      </c>
      <c r="M2" s="66">
        <v>472.81</v>
      </c>
      <c r="N2" s="66">
        <v>485.51</v>
      </c>
      <c r="O2" s="66">
        <v>523.51</v>
      </c>
      <c r="P2" s="66" t="s">
        <v>54</v>
      </c>
      <c r="Q2" s="66">
        <v>2.5499999999999998</v>
      </c>
      <c r="R2" s="66" t="s">
        <v>62</v>
      </c>
    </row>
    <row r="3" spans="2:22" x14ac:dyDescent="0.2">
      <c r="B3" s="6" t="s">
        <v>53</v>
      </c>
      <c r="C3" s="63">
        <v>285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62148389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523.51</v>
      </c>
      <c r="G23" s="23">
        <f>+N2</f>
        <v>485.51</v>
      </c>
      <c r="H23" s="23">
        <f>+M2</f>
        <v>472.81</v>
      </c>
      <c r="I23" s="55">
        <f>+L2</f>
        <v>38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GIRLS COTTON FIBERS, KNIT PULLOVER, WITH NO NECK CLOSURE, STITCH COUNT IS GREATER THAN 9/2CM, REACHES WAIST [60% COTTON 40% RECYCLED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27.75" customHeight="1" x14ac:dyDescent="0.2">
      <c r="B32" s="41" t="s">
        <v>193</v>
      </c>
      <c r="C32" s="19" t="s">
        <v>192</v>
      </c>
      <c r="D32" s="72"/>
      <c r="E32" s="73"/>
      <c r="F32" s="72">
        <f>540+540+510+480+300</f>
        <v>2370</v>
      </c>
      <c r="G32" s="73"/>
      <c r="H32" s="17">
        <v>0.71</v>
      </c>
      <c r="I32" s="18">
        <f>+H32*F32</f>
        <v>1682.6999999999998</v>
      </c>
      <c r="K32" s="46"/>
      <c r="M32" s="39"/>
    </row>
    <row r="33" spans="2:13" ht="35.25" customHeight="1" x14ac:dyDescent="0.2">
      <c r="B33" s="41" t="s">
        <v>195</v>
      </c>
      <c r="C33" s="19" t="s">
        <v>194</v>
      </c>
      <c r="D33" s="72"/>
      <c r="E33" s="73"/>
      <c r="F33" s="72">
        <f>6350-2370</f>
        <v>3980</v>
      </c>
      <c r="G33" s="73"/>
      <c r="H33" s="17">
        <v>0.71</v>
      </c>
      <c r="I33" s="18">
        <f>+H33*F33</f>
        <v>2825.7999999999997</v>
      </c>
      <c r="K33" s="46"/>
      <c r="M33" s="39"/>
    </row>
    <row r="34" spans="2:13" ht="21" customHeight="1" x14ac:dyDescent="0.2">
      <c r="B34" s="15" t="s">
        <v>15</v>
      </c>
      <c r="C34" s="15"/>
      <c r="D34" s="74"/>
      <c r="E34" s="75"/>
      <c r="F34" s="74"/>
      <c r="G34" s="75"/>
      <c r="H34" s="17"/>
      <c r="I34" s="61"/>
    </row>
    <row r="35" spans="2:13" ht="21.75" customHeight="1" x14ac:dyDescent="0.2">
      <c r="B35" s="15" t="s">
        <v>14</v>
      </c>
      <c r="C35" s="15"/>
      <c r="D35" s="76"/>
      <c r="E35" s="77"/>
      <c r="F35" s="72">
        <f>SUM(F32:G34)</f>
        <v>6350</v>
      </c>
      <c r="G35" s="73"/>
      <c r="H35" s="15"/>
      <c r="I35" s="14">
        <f>SUM(I32:I34)</f>
        <v>4508.5</v>
      </c>
      <c r="J35" s="40"/>
      <c r="K35" s="40"/>
    </row>
    <row r="36" spans="2:13" ht="21.75" customHeight="1" x14ac:dyDescent="0.2">
      <c r="B36" s="16" t="s">
        <v>13</v>
      </c>
      <c r="C36" s="15"/>
      <c r="D36" s="74"/>
      <c r="E36" s="75"/>
      <c r="F36" s="74"/>
      <c r="G36" s="75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4"/>
      <c r="E37" s="75"/>
      <c r="F37" s="74"/>
      <c r="G37" s="75"/>
      <c r="H37" s="15"/>
      <c r="I37" s="14">
        <f>+I35</f>
        <v>4508.5</v>
      </c>
    </row>
    <row r="38" spans="2:13" ht="20.25" customHeight="1" x14ac:dyDescent="0.2">
      <c r="B38" s="15" t="s">
        <v>80</v>
      </c>
      <c r="C38" s="74" t="s">
        <v>11</v>
      </c>
      <c r="D38" s="79"/>
      <c r="E38" s="79"/>
      <c r="F38" s="79"/>
      <c r="G38" s="79"/>
      <c r="H38" s="75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4508.5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62015000</v>
      </c>
      <c r="K2" s="66">
        <v>547</v>
      </c>
      <c r="L2" s="66">
        <v>13</v>
      </c>
      <c r="M2" s="66">
        <v>56.5</v>
      </c>
      <c r="N2" s="66">
        <v>61.97</v>
      </c>
      <c r="O2" s="66">
        <v>71.67</v>
      </c>
      <c r="P2" s="66" t="s">
        <v>54</v>
      </c>
      <c r="Q2" s="66">
        <v>0.36899999999999999</v>
      </c>
      <c r="R2" s="66" t="s">
        <v>62</v>
      </c>
    </row>
    <row r="3" spans="2:22" x14ac:dyDescent="0.2">
      <c r="B3" s="6" t="s">
        <v>53</v>
      </c>
      <c r="C3" s="63">
        <f>+'285'!C3+1</f>
        <v>286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62015000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71.67</v>
      </c>
      <c r="G23" s="23">
        <f>+N2</f>
        <v>61.97</v>
      </c>
      <c r="H23" s="23">
        <f>+M2</f>
        <v>56.5</v>
      </c>
      <c r="I23" s="48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9" t="s">
        <v>19</v>
      </c>
      <c r="E31" s="89"/>
      <c r="F31" s="89" t="s">
        <v>18</v>
      </c>
      <c r="G31" s="89"/>
      <c r="H31" s="48" t="s">
        <v>17</v>
      </c>
      <c r="I31" s="19" t="s">
        <v>16</v>
      </c>
      <c r="M31"/>
    </row>
    <row r="32" spans="2:13" ht="30.75" customHeight="1" x14ac:dyDescent="0.2">
      <c r="B32" s="41">
        <v>16</v>
      </c>
      <c r="C32" s="19" t="s">
        <v>197</v>
      </c>
      <c r="D32" s="72"/>
      <c r="E32" s="73"/>
      <c r="F32" s="72">
        <f>+K2</f>
        <v>547</v>
      </c>
      <c r="G32" s="73"/>
      <c r="H32" s="17">
        <v>0.76</v>
      </c>
      <c r="I32" s="18">
        <f>+H32*F32</f>
        <v>415.72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48"/>
    </row>
    <row r="34" spans="2:11" ht="21.75" customHeight="1" x14ac:dyDescent="0.2">
      <c r="B34" s="15" t="s">
        <v>14</v>
      </c>
      <c r="C34" s="15"/>
      <c r="D34" s="76"/>
      <c r="E34" s="77"/>
      <c r="F34" s="72">
        <f>SUM(F31:G33)</f>
        <v>547</v>
      </c>
      <c r="G34" s="73"/>
      <c r="H34" s="15"/>
      <c r="I34" s="14">
        <f>SUM(I32:I33)</f>
        <v>415.72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415.72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415.72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62023871</v>
      </c>
      <c r="K2" s="65">
        <v>7217</v>
      </c>
      <c r="L2" s="66">
        <v>133</v>
      </c>
      <c r="M2" s="66">
        <v>768.82</v>
      </c>
      <c r="N2" s="66">
        <v>840.99</v>
      </c>
      <c r="O2" s="66">
        <v>947.79</v>
      </c>
      <c r="P2" s="66" t="s">
        <v>54</v>
      </c>
      <c r="Q2" s="66">
        <v>4.8869999999999996</v>
      </c>
      <c r="R2" s="66" t="s">
        <v>62</v>
      </c>
    </row>
    <row r="3" spans="2:22" x14ac:dyDescent="0.2">
      <c r="B3" s="6" t="s">
        <v>53</v>
      </c>
      <c r="C3" s="63">
        <f>+'286'!C3+1</f>
        <v>287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62023871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947.79</v>
      </c>
      <c r="G23" s="23">
        <f>+N2</f>
        <v>840.99</v>
      </c>
      <c r="H23" s="23">
        <f>+M2</f>
        <v>768.82</v>
      </c>
      <c r="I23" s="48">
        <f>+L2</f>
        <v>133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9" t="s">
        <v>19</v>
      </c>
      <c r="E31" s="89"/>
      <c r="F31" s="89" t="s">
        <v>18</v>
      </c>
      <c r="G31" s="89"/>
      <c r="H31" s="48" t="s">
        <v>17</v>
      </c>
      <c r="I31" s="19" t="s">
        <v>16</v>
      </c>
      <c r="M31"/>
    </row>
    <row r="32" spans="2:13" ht="56.25" customHeight="1" x14ac:dyDescent="0.2">
      <c r="B32" s="41" t="s">
        <v>199</v>
      </c>
      <c r="C32" s="19" t="s">
        <v>198</v>
      </c>
      <c r="D32" s="72"/>
      <c r="E32" s="73"/>
      <c r="F32" s="72">
        <f>+K2</f>
        <v>7217</v>
      </c>
      <c r="G32" s="73"/>
      <c r="H32" s="17">
        <v>0.76</v>
      </c>
      <c r="I32" s="18">
        <f>+H32*F32</f>
        <v>5484.92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48"/>
    </row>
    <row r="34" spans="2:11" ht="21.75" customHeight="1" x14ac:dyDescent="0.2">
      <c r="B34" s="15" t="s">
        <v>14</v>
      </c>
      <c r="C34" s="15"/>
      <c r="D34" s="76"/>
      <c r="E34" s="77"/>
      <c r="F34" s="72">
        <f>SUM(F31:G33)</f>
        <v>7217</v>
      </c>
      <c r="G34" s="73"/>
      <c r="H34" s="15"/>
      <c r="I34" s="14">
        <f>SUM(I32:I33)</f>
        <v>5484.92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5484.92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5484.92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62015067</v>
      </c>
      <c r="K2" s="65">
        <v>6309</v>
      </c>
      <c r="L2" s="66">
        <v>141</v>
      </c>
      <c r="M2" s="66">
        <v>648.54999999999995</v>
      </c>
      <c r="N2" s="66">
        <v>869.36500000000001</v>
      </c>
      <c r="O2" s="70">
        <v>1002.165</v>
      </c>
      <c r="P2" s="66" t="s">
        <v>54</v>
      </c>
      <c r="Q2" s="66">
        <v>8.0850000000000009</v>
      </c>
      <c r="R2" s="66" t="s">
        <v>62</v>
      </c>
    </row>
    <row r="3" spans="2:22" x14ac:dyDescent="0.2">
      <c r="B3" s="6" t="s">
        <v>53</v>
      </c>
      <c r="C3" s="63">
        <f>+'287'!C3+1</f>
        <v>288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62015067</v>
      </c>
      <c r="C21" s="5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1002.165</v>
      </c>
      <c r="G23" s="23">
        <f>+N2</f>
        <v>869.36500000000001</v>
      </c>
      <c r="H23" s="23">
        <f>+M2</f>
        <v>648.54999999999995</v>
      </c>
      <c r="I23" s="54">
        <f>+L2</f>
        <v>141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9" t="s">
        <v>19</v>
      </c>
      <c r="E31" s="89"/>
      <c r="F31" s="89" t="s">
        <v>18</v>
      </c>
      <c r="G31" s="89"/>
      <c r="H31" s="54" t="s">
        <v>17</v>
      </c>
      <c r="I31" s="19" t="s">
        <v>16</v>
      </c>
      <c r="M31"/>
    </row>
    <row r="32" spans="2:13" ht="39" customHeight="1" x14ac:dyDescent="0.2">
      <c r="B32" s="41" t="s">
        <v>201</v>
      </c>
      <c r="C32" s="19" t="s">
        <v>200</v>
      </c>
      <c r="D32" s="72"/>
      <c r="E32" s="73"/>
      <c r="F32" s="72">
        <f>+K2</f>
        <v>6309</v>
      </c>
      <c r="G32" s="73"/>
      <c r="H32" s="17">
        <v>0.76</v>
      </c>
      <c r="I32" s="18">
        <f>+H32*F32</f>
        <v>4794.84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54"/>
    </row>
    <row r="34" spans="2:11" ht="21.75" customHeight="1" x14ac:dyDescent="0.2">
      <c r="B34" s="15" t="s">
        <v>14</v>
      </c>
      <c r="C34" s="15"/>
      <c r="D34" s="76"/>
      <c r="E34" s="77"/>
      <c r="F34" s="72">
        <f>SUM(F32:G33)</f>
        <v>6309</v>
      </c>
      <c r="G34" s="73"/>
      <c r="H34" s="15"/>
      <c r="I34" s="14">
        <f>SUM(I32:I33)</f>
        <v>4794.84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4794.84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4794.84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61953783</v>
      </c>
      <c r="K2" s="65">
        <v>10045</v>
      </c>
      <c r="L2" s="66">
        <v>215</v>
      </c>
      <c r="M2" s="70">
        <v>1032.96</v>
      </c>
      <c r="N2" s="70">
        <v>1384.5350000000001</v>
      </c>
      <c r="O2" s="70">
        <v>1588.9349999999999</v>
      </c>
      <c r="P2" s="66" t="s">
        <v>54</v>
      </c>
      <c r="Q2" s="66">
        <v>12.648</v>
      </c>
      <c r="R2" s="66" t="s">
        <v>62</v>
      </c>
    </row>
    <row r="3" spans="2:22" x14ac:dyDescent="0.2">
      <c r="B3" s="6" t="s">
        <v>53</v>
      </c>
      <c r="C3" s="63">
        <f>+'288'!C3+1</f>
        <v>289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61953783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1588.9349999999999</v>
      </c>
      <c r="G23" s="23">
        <f>+N2</f>
        <v>1384.5350000000001</v>
      </c>
      <c r="H23" s="23">
        <f>+M2</f>
        <v>1032.96</v>
      </c>
      <c r="I23" s="55">
        <f>+L2</f>
        <v>215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55.5" customHeight="1" x14ac:dyDescent="0.2">
      <c r="B32" s="41" t="s">
        <v>199</v>
      </c>
      <c r="C32" s="19" t="s">
        <v>198</v>
      </c>
      <c r="D32" s="72"/>
      <c r="E32" s="73"/>
      <c r="F32" s="72">
        <f>+K2</f>
        <v>10045</v>
      </c>
      <c r="G32" s="73"/>
      <c r="H32" s="17">
        <v>0.76</v>
      </c>
      <c r="I32" s="18">
        <f>+H32*F32</f>
        <v>7634.2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59"/>
    </row>
    <row r="34" spans="2:11" ht="21.75" customHeight="1" x14ac:dyDescent="0.2">
      <c r="B34" s="15" t="s">
        <v>14</v>
      </c>
      <c r="C34" s="15"/>
      <c r="D34" s="76"/>
      <c r="E34" s="77"/>
      <c r="F34" s="72">
        <f>SUM(F32:G33)</f>
        <v>10045</v>
      </c>
      <c r="G34" s="73"/>
      <c r="H34" s="15"/>
      <c r="I34" s="14">
        <f>SUM(I32:I32)</f>
        <v>7634.2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7634.2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7634.2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62014998</v>
      </c>
      <c r="K2" s="65">
        <v>1041</v>
      </c>
      <c r="L2" s="66">
        <v>17</v>
      </c>
      <c r="M2" s="66">
        <v>107.6</v>
      </c>
      <c r="N2" s="66">
        <v>118.01</v>
      </c>
      <c r="O2" s="66">
        <v>132.01</v>
      </c>
      <c r="P2" s="66" t="s">
        <v>54</v>
      </c>
      <c r="Q2" s="66">
        <v>0.67100000000000004</v>
      </c>
      <c r="R2" s="66" t="s">
        <v>62</v>
      </c>
    </row>
    <row r="3" spans="2:22" x14ac:dyDescent="0.2">
      <c r="B3" s="6" t="s">
        <v>53</v>
      </c>
      <c r="C3" s="63">
        <f>+'289'!C3+1</f>
        <v>290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62014998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132.01</v>
      </c>
      <c r="G23" s="23">
        <f>+N2</f>
        <v>118.01</v>
      </c>
      <c r="H23" s="23">
        <f>+M2</f>
        <v>107.6</v>
      </c>
      <c r="I23" s="55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37.5" customHeight="1" x14ac:dyDescent="0.2">
      <c r="B32" s="62">
        <v>16</v>
      </c>
      <c r="C32" s="19" t="s">
        <v>197</v>
      </c>
      <c r="D32" s="72"/>
      <c r="E32" s="73"/>
      <c r="F32" s="72">
        <f>+K2</f>
        <v>1041</v>
      </c>
      <c r="G32" s="73"/>
      <c r="H32" s="17">
        <v>0.76</v>
      </c>
      <c r="I32" s="18">
        <f>+H32*F32</f>
        <v>791.16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55"/>
    </row>
    <row r="34" spans="2:11" ht="21.75" customHeight="1" x14ac:dyDescent="0.2">
      <c r="B34" s="15" t="s">
        <v>14</v>
      </c>
      <c r="C34" s="15"/>
      <c r="D34" s="76"/>
      <c r="E34" s="77"/>
      <c r="F34" s="72">
        <f>SUM(F32:G33)</f>
        <v>1041</v>
      </c>
      <c r="G34" s="73"/>
      <c r="H34" s="15"/>
      <c r="I34" s="14">
        <f>SUM(I32:I33)</f>
        <v>791.16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791.16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791.16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62023869</v>
      </c>
      <c r="K2" s="65">
        <v>13585</v>
      </c>
      <c r="L2" s="66">
        <v>189</v>
      </c>
      <c r="M2" s="70">
        <v>1447.81</v>
      </c>
      <c r="N2" s="70">
        <v>1583.66</v>
      </c>
      <c r="O2" s="70">
        <v>1745.76</v>
      </c>
      <c r="P2" s="66" t="s">
        <v>54</v>
      </c>
      <c r="Q2" s="66">
        <v>8.5549999999999997</v>
      </c>
      <c r="R2" s="66" t="s">
        <v>62</v>
      </c>
    </row>
    <row r="3" spans="2:22" x14ac:dyDescent="0.2">
      <c r="B3" s="6" t="s">
        <v>53</v>
      </c>
      <c r="C3" s="63">
        <f>+'290'!C3+1</f>
        <v>291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62023869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1745.76</v>
      </c>
      <c r="G23" s="23">
        <f>+N2</f>
        <v>1583.66</v>
      </c>
      <c r="H23" s="23">
        <f>+M2</f>
        <v>1447.81</v>
      </c>
      <c r="I23" s="55">
        <f>+L2</f>
        <v>189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49.5" customHeight="1" x14ac:dyDescent="0.2">
      <c r="B32" s="41" t="s">
        <v>199</v>
      </c>
      <c r="C32" s="19" t="s">
        <v>198</v>
      </c>
      <c r="D32" s="72"/>
      <c r="E32" s="73"/>
      <c r="F32" s="72">
        <f>+K2</f>
        <v>13585</v>
      </c>
      <c r="G32" s="73"/>
      <c r="H32" s="17">
        <v>0.76</v>
      </c>
      <c r="I32" s="18">
        <f>+H32*F32</f>
        <v>10324.6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60"/>
    </row>
    <row r="34" spans="2:11" ht="21.75" customHeight="1" x14ac:dyDescent="0.2">
      <c r="B34" s="15" t="s">
        <v>14</v>
      </c>
      <c r="C34" s="15"/>
      <c r="D34" s="76"/>
      <c r="E34" s="77"/>
      <c r="F34" s="72">
        <f>SUM(F32:G33)</f>
        <v>13585</v>
      </c>
      <c r="G34" s="73"/>
      <c r="H34" s="15"/>
      <c r="I34" s="14">
        <f>SUM(I32:I33)</f>
        <v>10324.6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10324.6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10324.6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62023779</v>
      </c>
      <c r="K2" s="65">
        <v>2150</v>
      </c>
      <c r="L2" s="66">
        <v>67</v>
      </c>
      <c r="M2" s="66">
        <v>235.27</v>
      </c>
      <c r="N2" s="66">
        <v>256.77</v>
      </c>
      <c r="O2" s="66">
        <v>305.87</v>
      </c>
      <c r="P2" s="66" t="s">
        <v>54</v>
      </c>
      <c r="Q2" s="66">
        <v>1.7889999999999999</v>
      </c>
      <c r="R2" s="66" t="s">
        <v>62</v>
      </c>
    </row>
    <row r="3" spans="2:22" x14ac:dyDescent="0.2">
      <c r="B3" s="6" t="s">
        <v>53</v>
      </c>
      <c r="C3" s="63">
        <f>+'291'!C3+1</f>
        <v>292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62023779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305.87</v>
      </c>
      <c r="G23" s="23">
        <f>+N2</f>
        <v>256.77</v>
      </c>
      <c r="H23" s="23">
        <f>+M2</f>
        <v>235.27</v>
      </c>
      <c r="I23" s="55">
        <f>+L2</f>
        <v>67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48" customHeight="1" x14ac:dyDescent="0.2">
      <c r="B32" s="41" t="s">
        <v>199</v>
      </c>
      <c r="C32" s="19" t="s">
        <v>198</v>
      </c>
      <c r="D32" s="72"/>
      <c r="E32" s="73"/>
      <c r="F32" s="72">
        <f>+K2</f>
        <v>2150</v>
      </c>
      <c r="G32" s="73"/>
      <c r="H32" s="17">
        <v>0.76</v>
      </c>
      <c r="I32" s="18">
        <f>+H32*F32</f>
        <v>1634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55"/>
    </row>
    <row r="34" spans="2:11" ht="21.75" customHeight="1" x14ac:dyDescent="0.2">
      <c r="B34" s="15" t="s">
        <v>14</v>
      </c>
      <c r="C34" s="15"/>
      <c r="D34" s="76"/>
      <c r="E34" s="77"/>
      <c r="F34" s="72">
        <f>SUM(F32:G33)</f>
        <v>2150</v>
      </c>
      <c r="G34" s="73"/>
      <c r="H34" s="15"/>
      <c r="I34" s="14">
        <f>SUM(I32:I33)</f>
        <v>1634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1634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1634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62023876</v>
      </c>
      <c r="K2" s="65">
        <v>3113</v>
      </c>
      <c r="L2" s="66">
        <v>83</v>
      </c>
      <c r="M2" s="66">
        <v>322.75</v>
      </c>
      <c r="N2" s="66">
        <v>431.70499999999998</v>
      </c>
      <c r="O2" s="66">
        <v>506.10500000000002</v>
      </c>
      <c r="P2" s="66" t="s">
        <v>54</v>
      </c>
      <c r="Q2" s="66">
        <v>4.1269999999999998</v>
      </c>
      <c r="R2" s="66" t="s">
        <v>62</v>
      </c>
    </row>
    <row r="3" spans="2:22" x14ac:dyDescent="0.2">
      <c r="B3" s="6" t="s">
        <v>53</v>
      </c>
      <c r="C3" s="63">
        <f>+'292'!C3+1</f>
        <v>293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62023876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506.10500000000002</v>
      </c>
      <c r="G23" s="23">
        <f>+N2</f>
        <v>431.70499999999998</v>
      </c>
      <c r="H23" s="23">
        <f>+M2</f>
        <v>322.75</v>
      </c>
      <c r="I23" s="55">
        <f>+L2</f>
        <v>83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48.75" customHeight="1" x14ac:dyDescent="0.2">
      <c r="B32" s="41" t="s">
        <v>199</v>
      </c>
      <c r="C32" s="19" t="s">
        <v>198</v>
      </c>
      <c r="D32" s="72"/>
      <c r="E32" s="73"/>
      <c r="F32" s="72">
        <f>+K2</f>
        <v>3113</v>
      </c>
      <c r="G32" s="73"/>
      <c r="H32" s="17">
        <v>0.76</v>
      </c>
      <c r="I32" s="18">
        <f>+H32*F32</f>
        <v>2365.88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55"/>
    </row>
    <row r="34" spans="2:11" ht="21.75" customHeight="1" x14ac:dyDescent="0.2">
      <c r="B34" s="15" t="s">
        <v>14</v>
      </c>
      <c r="C34" s="15"/>
      <c r="D34" s="76"/>
      <c r="E34" s="77"/>
      <c r="F34" s="72">
        <f>SUM(F32:G33)</f>
        <v>3113</v>
      </c>
      <c r="G34" s="73"/>
      <c r="H34" s="15"/>
      <c r="I34" s="14">
        <f>SUM(I32:I33)</f>
        <v>2365.88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2365.88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2365.88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62023842</v>
      </c>
      <c r="K2" s="66">
        <v>156</v>
      </c>
      <c r="L2" s="66">
        <v>6</v>
      </c>
      <c r="M2" s="66">
        <v>15.85</v>
      </c>
      <c r="N2" s="66">
        <v>21.31</v>
      </c>
      <c r="O2" s="66">
        <v>26.31</v>
      </c>
      <c r="P2" s="66" t="s">
        <v>54</v>
      </c>
      <c r="Q2" s="66">
        <v>0.23499999999999999</v>
      </c>
      <c r="R2" s="66" t="s">
        <v>62</v>
      </c>
    </row>
    <row r="3" spans="2:22" x14ac:dyDescent="0.2">
      <c r="B3" s="6" t="s">
        <v>53</v>
      </c>
      <c r="C3" s="63">
        <f>+'293'!C3+1</f>
        <v>294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62023842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9" t="s">
        <v>35</v>
      </c>
      <c r="G21" s="69"/>
      <c r="H21" s="47" t="str">
        <f>IF(LEFT(G17,2)="CA","CA",IF(LEFT(G17,2)="UN","US",IF(LEFT(G17,2)="PA","PA",IF(LEFT(G17,2)="JA","JP"))))</f>
        <v>CA</v>
      </c>
      <c r="I21" s="69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26.31</v>
      </c>
      <c r="G23" s="23">
        <f>+N2</f>
        <v>21.31</v>
      </c>
      <c r="H23" s="23">
        <f>+M2</f>
        <v>15.85</v>
      </c>
      <c r="I23" s="69">
        <f>+L2</f>
        <v>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9" t="s">
        <v>19</v>
      </c>
      <c r="E31" s="89"/>
      <c r="F31" s="89" t="s">
        <v>18</v>
      </c>
      <c r="G31" s="89"/>
      <c r="H31" s="69" t="s">
        <v>17</v>
      </c>
      <c r="I31" s="19" t="s">
        <v>16</v>
      </c>
      <c r="M31"/>
    </row>
    <row r="32" spans="2:13" ht="27.75" customHeight="1" x14ac:dyDescent="0.2">
      <c r="B32" s="41">
        <v>21</v>
      </c>
      <c r="C32" s="19" t="s">
        <v>179</v>
      </c>
      <c r="D32" s="72"/>
      <c r="E32" s="73"/>
      <c r="F32" s="72">
        <f>+K2</f>
        <v>156</v>
      </c>
      <c r="G32" s="73"/>
      <c r="H32" s="17">
        <v>0.76</v>
      </c>
      <c r="I32" s="18">
        <f>+H32*F32</f>
        <v>118.56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69"/>
    </row>
    <row r="34" spans="2:11" ht="21.75" customHeight="1" x14ac:dyDescent="0.2">
      <c r="B34" s="15" t="s">
        <v>14</v>
      </c>
      <c r="C34" s="15"/>
      <c r="D34" s="76"/>
      <c r="E34" s="77"/>
      <c r="F34" s="72">
        <f>SUM(F32:G33)</f>
        <v>156</v>
      </c>
      <c r="G34" s="73"/>
      <c r="H34" s="15"/>
      <c r="I34" s="14">
        <f>SUM(I32:I33)</f>
        <v>118.56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118.56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118.56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 s="20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10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3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61760760</v>
      </c>
      <c r="K2" s="65">
        <v>1456</v>
      </c>
      <c r="L2" s="66">
        <v>17</v>
      </c>
      <c r="M2" s="66">
        <v>168.113</v>
      </c>
      <c r="N2" s="66">
        <v>171.02500000000001</v>
      </c>
      <c r="O2" s="66">
        <v>186.125</v>
      </c>
      <c r="P2" s="66" t="s">
        <v>54</v>
      </c>
      <c r="Q2" s="66">
        <v>0.90600000000000003</v>
      </c>
      <c r="R2" s="66" t="s">
        <v>62</v>
      </c>
    </row>
    <row r="3" spans="2:22" x14ac:dyDescent="0.2">
      <c r="B3" s="6" t="s">
        <v>53</v>
      </c>
      <c r="C3" s="63">
        <f>+'294'!C3+1</f>
        <v>295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61760760</v>
      </c>
      <c r="C21" s="68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186.125</v>
      </c>
      <c r="G23" s="23">
        <f>+N2</f>
        <v>171.02500000000001</v>
      </c>
      <c r="H23" s="23">
        <f>+M2</f>
        <v>168.113</v>
      </c>
      <c r="I23" s="69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BOYS COTTON FIBERS, KNIT SHIRT, WITH NECK CLOSURE, STITCH COUNT EQUAL OR IS GREATER THAN 10/1CM, HEM BOTTOM [60% COTTON 40%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9" t="s">
        <v>19</v>
      </c>
      <c r="E31" s="89"/>
      <c r="F31" s="89" t="s">
        <v>18</v>
      </c>
      <c r="G31" s="89"/>
      <c r="H31" s="69" t="s">
        <v>17</v>
      </c>
      <c r="I31" s="19" t="s">
        <v>16</v>
      </c>
      <c r="M31"/>
    </row>
    <row r="32" spans="2:13" ht="30.75" customHeight="1" x14ac:dyDescent="0.2">
      <c r="B32" s="41" t="s">
        <v>185</v>
      </c>
      <c r="C32" s="19" t="s">
        <v>184</v>
      </c>
      <c r="D32" s="72"/>
      <c r="E32" s="73"/>
      <c r="F32" s="72">
        <v>12</v>
      </c>
      <c r="G32" s="73"/>
      <c r="H32" s="17">
        <v>0.9</v>
      </c>
      <c r="I32" s="18">
        <f>+H32*F32</f>
        <v>10.8</v>
      </c>
      <c r="K32" s="46"/>
      <c r="M32" s="39"/>
    </row>
    <row r="33" spans="2:13" ht="30.75" customHeight="1" x14ac:dyDescent="0.2">
      <c r="B33" s="41" t="s">
        <v>187</v>
      </c>
      <c r="C33" s="19" t="s">
        <v>186</v>
      </c>
      <c r="D33" s="72"/>
      <c r="E33" s="73"/>
      <c r="F33" s="72">
        <f>1456-12</f>
        <v>1444</v>
      </c>
      <c r="G33" s="73"/>
      <c r="H33" s="17">
        <v>0.9</v>
      </c>
      <c r="I33" s="18">
        <f>+H33*F33</f>
        <v>1299.6000000000001</v>
      </c>
      <c r="K33" s="46"/>
      <c r="M33" s="39"/>
    </row>
    <row r="34" spans="2:13" ht="21" customHeight="1" x14ac:dyDescent="0.2">
      <c r="B34" s="15" t="s">
        <v>15</v>
      </c>
      <c r="C34" s="15"/>
      <c r="D34" s="74"/>
      <c r="E34" s="75"/>
      <c r="F34" s="74"/>
      <c r="G34" s="75"/>
      <c r="H34" s="17"/>
      <c r="I34" s="69"/>
    </row>
    <row r="35" spans="2:13" ht="21.75" customHeight="1" x14ac:dyDescent="0.2">
      <c r="B35" s="15" t="s">
        <v>14</v>
      </c>
      <c r="C35" s="15"/>
      <c r="D35" s="76"/>
      <c r="E35" s="77"/>
      <c r="F35" s="72">
        <f>SUM(F31:G34)</f>
        <v>1456</v>
      </c>
      <c r="G35" s="73"/>
      <c r="H35" s="15"/>
      <c r="I35" s="14">
        <f>SUM(I32:I34)</f>
        <v>1310.4000000000001</v>
      </c>
      <c r="J35" s="40"/>
      <c r="K35" s="40"/>
    </row>
    <row r="36" spans="2:13" ht="21.75" customHeight="1" x14ac:dyDescent="0.2">
      <c r="B36" s="16" t="s">
        <v>13</v>
      </c>
      <c r="C36" s="15"/>
      <c r="D36" s="74"/>
      <c r="E36" s="75"/>
      <c r="F36" s="74"/>
      <c r="G36" s="75"/>
      <c r="H36" s="15"/>
      <c r="I36" s="69"/>
      <c r="J36" s="40"/>
    </row>
    <row r="37" spans="2:13" ht="21.75" customHeight="1" x14ac:dyDescent="0.2">
      <c r="B37" s="16" t="s">
        <v>12</v>
      </c>
      <c r="C37" s="15"/>
      <c r="D37" s="74"/>
      <c r="E37" s="75"/>
      <c r="F37" s="74"/>
      <c r="G37" s="75"/>
      <c r="H37" s="15"/>
      <c r="I37" s="14">
        <f>+I35</f>
        <v>1310.4000000000001</v>
      </c>
    </row>
    <row r="38" spans="2:13" ht="20.25" customHeight="1" x14ac:dyDescent="0.2">
      <c r="B38" s="15" t="s">
        <v>80</v>
      </c>
      <c r="C38" s="74" t="s">
        <v>11</v>
      </c>
      <c r="D38" s="79"/>
      <c r="E38" s="79"/>
      <c r="F38" s="79"/>
      <c r="G38" s="79"/>
      <c r="H38" s="75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1310.4000000000001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 s="20">
        <v>11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 s="20">
        <v>11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61763739</v>
      </c>
      <c r="K2" s="66">
        <v>965</v>
      </c>
      <c r="L2" s="66">
        <v>11</v>
      </c>
      <c r="M2" s="66">
        <v>91.573999999999998</v>
      </c>
      <c r="N2" s="66">
        <v>99.293999999999997</v>
      </c>
      <c r="O2" s="66">
        <v>108.59399999999999</v>
      </c>
      <c r="P2" s="66" t="s">
        <v>54</v>
      </c>
      <c r="Q2" s="66">
        <v>0.53700000000000003</v>
      </c>
      <c r="R2" s="66" t="s">
        <v>62</v>
      </c>
    </row>
    <row r="3" spans="2:22" x14ac:dyDescent="0.2">
      <c r="B3" s="6" t="s">
        <v>53</v>
      </c>
      <c r="C3" s="63">
        <f>+'295'!C3+1</f>
        <v>296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61763739</v>
      </c>
      <c r="C21" s="68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108.59399999999999</v>
      </c>
      <c r="G23" s="23">
        <f>+N2</f>
        <v>99.293999999999997</v>
      </c>
      <c r="H23" s="23">
        <f>+M2</f>
        <v>91.573999999999998</v>
      </c>
      <c r="I23" s="69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BOYS COTTON FIBERS, KNIT SHIRT, WITH NECK CLOSURE, STITCH COUNT EQUAL OR IS GREATER THAN 10/1CM, HEM BOTTOM [60% COTTON 40%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9" t="s">
        <v>19</v>
      </c>
      <c r="E31" s="89"/>
      <c r="F31" s="89" t="s">
        <v>18</v>
      </c>
      <c r="G31" s="89"/>
      <c r="H31" s="69" t="s">
        <v>17</v>
      </c>
      <c r="I31" s="19" t="s">
        <v>16</v>
      </c>
      <c r="M31"/>
    </row>
    <row r="32" spans="2:13" ht="24.75" customHeight="1" x14ac:dyDescent="0.2">
      <c r="B32" s="41" t="s">
        <v>189</v>
      </c>
      <c r="C32" s="19" t="s">
        <v>188</v>
      </c>
      <c r="D32" s="72"/>
      <c r="E32" s="73"/>
      <c r="F32" s="72">
        <f>+K2</f>
        <v>965</v>
      </c>
      <c r="G32" s="73"/>
      <c r="H32" s="17">
        <v>0.9</v>
      </c>
      <c r="I32" s="18">
        <f>+H32*F32</f>
        <v>868.5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69"/>
    </row>
    <row r="34" spans="2:11" ht="21.75" customHeight="1" x14ac:dyDescent="0.2">
      <c r="B34" s="15" t="s">
        <v>14</v>
      </c>
      <c r="C34" s="15"/>
      <c r="D34" s="76"/>
      <c r="E34" s="77"/>
      <c r="F34" s="72">
        <f>SUM(F31:G33)</f>
        <v>965</v>
      </c>
      <c r="G34" s="73"/>
      <c r="H34" s="15"/>
      <c r="I34" s="14">
        <f>SUM(I32:I33)</f>
        <v>868.5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868.5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868.5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 s="20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12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61472488</v>
      </c>
      <c r="K2" s="65">
        <v>1500</v>
      </c>
      <c r="L2" s="66">
        <v>34</v>
      </c>
      <c r="M2" s="66">
        <v>193.63</v>
      </c>
      <c r="N2" s="66">
        <v>223.63</v>
      </c>
      <c r="O2" s="66">
        <v>251.03</v>
      </c>
      <c r="P2" s="66" t="s">
        <v>54</v>
      </c>
      <c r="Q2" s="66">
        <v>1.252</v>
      </c>
      <c r="R2" s="66" t="s">
        <v>62</v>
      </c>
    </row>
    <row r="3" spans="2:22" x14ac:dyDescent="0.2">
      <c r="B3" s="6" t="s">
        <v>53</v>
      </c>
      <c r="C3" s="63">
        <f>+'296'!C3+1</f>
        <v>297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61472488</v>
      </c>
      <c r="C21" s="68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CA</v>
      </c>
      <c r="I21" s="69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251.03</v>
      </c>
      <c r="G23" s="23">
        <f>+N2</f>
        <v>223.63</v>
      </c>
      <c r="H23" s="23">
        <f>+M2</f>
        <v>193.63</v>
      </c>
      <c r="I23" s="69">
        <f>+L2</f>
        <v>34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Boys Cotton Fibers, Knit Shirt, With Neck Closure, Stitch Count Equal Or Is Greater Than 10/1cm, Hem Bottom [60% Cotton 40%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9" t="s">
        <v>19</v>
      </c>
      <c r="E31" s="89"/>
      <c r="F31" s="89" t="s">
        <v>18</v>
      </c>
      <c r="G31" s="89"/>
      <c r="H31" s="69" t="s">
        <v>17</v>
      </c>
      <c r="I31" s="19" t="s">
        <v>16</v>
      </c>
      <c r="M31"/>
    </row>
    <row r="32" spans="2:13" ht="39" customHeight="1" x14ac:dyDescent="0.2">
      <c r="B32" s="41" t="s">
        <v>203</v>
      </c>
      <c r="C32" s="19" t="s">
        <v>202</v>
      </c>
      <c r="D32" s="72"/>
      <c r="E32" s="73"/>
      <c r="F32" s="72">
        <f>+K2</f>
        <v>1500</v>
      </c>
      <c r="G32" s="73"/>
      <c r="H32" s="17">
        <v>1.05</v>
      </c>
      <c r="I32" s="18">
        <f>+H32*F32</f>
        <v>1575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69"/>
    </row>
    <row r="34" spans="2:11" ht="21.75" customHeight="1" x14ac:dyDescent="0.2">
      <c r="B34" s="15" t="s">
        <v>14</v>
      </c>
      <c r="C34" s="15"/>
      <c r="D34" s="76"/>
      <c r="E34" s="77"/>
      <c r="F34" s="72">
        <f>SUM(F32:G33)</f>
        <v>1500</v>
      </c>
      <c r="G34" s="73"/>
      <c r="H34" s="15"/>
      <c r="I34" s="14">
        <f>SUM(I32:I33)</f>
        <v>1575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1575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1575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 s="20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13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61476602</v>
      </c>
      <c r="K2" s="65">
        <v>1035</v>
      </c>
      <c r="L2" s="66">
        <v>17</v>
      </c>
      <c r="M2" s="66">
        <v>133.68</v>
      </c>
      <c r="N2" s="66">
        <v>154.38</v>
      </c>
      <c r="O2" s="66">
        <v>169.58</v>
      </c>
      <c r="P2" s="66" t="s">
        <v>54</v>
      </c>
      <c r="Q2" s="66">
        <v>0.85</v>
      </c>
      <c r="R2" s="66" t="s">
        <v>62</v>
      </c>
    </row>
    <row r="3" spans="2:22" x14ac:dyDescent="0.2">
      <c r="B3" s="6" t="s">
        <v>53</v>
      </c>
      <c r="C3" s="63">
        <f>+'297'!C3+1</f>
        <v>298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61476602</v>
      </c>
      <c r="C21" s="68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CA</v>
      </c>
      <c r="I21" s="69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169.58</v>
      </c>
      <c r="G23" s="23">
        <f>+N2</f>
        <v>154.38</v>
      </c>
      <c r="H23" s="23">
        <f>+M2</f>
        <v>133.68</v>
      </c>
      <c r="I23" s="69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Boys Cotton Fibers, Knit Shirt, With Neck Closure, Stitch Count Equal Or Is Greater Than 10/1cm, Hem Bottom [60% Cotton 40%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9" t="s">
        <v>19</v>
      </c>
      <c r="E31" s="89"/>
      <c r="F31" s="89" t="s">
        <v>18</v>
      </c>
      <c r="G31" s="89"/>
      <c r="H31" s="69" t="s">
        <v>17</v>
      </c>
      <c r="I31" s="19" t="s">
        <v>16</v>
      </c>
      <c r="M31"/>
    </row>
    <row r="32" spans="2:13" ht="35.25" customHeight="1" x14ac:dyDescent="0.2">
      <c r="B32" s="41" t="s">
        <v>206</v>
      </c>
      <c r="C32" s="19" t="s">
        <v>205</v>
      </c>
      <c r="D32" s="72"/>
      <c r="E32" s="73"/>
      <c r="F32" s="72">
        <f>+K2</f>
        <v>1035</v>
      </c>
      <c r="G32" s="73"/>
      <c r="H32" s="17">
        <v>1.05</v>
      </c>
      <c r="I32" s="18">
        <f>+H32*F32</f>
        <v>1086.75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69"/>
    </row>
    <row r="34" spans="2:11" ht="21.75" customHeight="1" x14ac:dyDescent="0.2">
      <c r="B34" s="15" t="s">
        <v>14</v>
      </c>
      <c r="C34" s="15"/>
      <c r="D34" s="76"/>
      <c r="E34" s="77"/>
      <c r="F34" s="72">
        <f>SUM(F32:G33)</f>
        <v>1035</v>
      </c>
      <c r="G34" s="73"/>
      <c r="H34" s="15"/>
      <c r="I34" s="14">
        <f>SUM(I32:I32)</f>
        <v>1086.75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1086.75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1086.75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 s="20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14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61716164</v>
      </c>
      <c r="K2" s="66">
        <v>645</v>
      </c>
      <c r="L2" s="66">
        <v>11</v>
      </c>
      <c r="M2" s="66">
        <v>83.24</v>
      </c>
      <c r="N2" s="66">
        <v>96.14</v>
      </c>
      <c r="O2" s="66">
        <v>105.84</v>
      </c>
      <c r="P2" s="66" t="s">
        <v>54</v>
      </c>
      <c r="Q2" s="66">
        <v>0.52600000000000002</v>
      </c>
      <c r="R2" s="66" t="s">
        <v>62</v>
      </c>
    </row>
    <row r="3" spans="2:22" x14ac:dyDescent="0.2">
      <c r="B3" s="6" t="s">
        <v>53</v>
      </c>
      <c r="C3" s="63">
        <f>+'298'!C3+1</f>
        <v>299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61716164</v>
      </c>
      <c r="C21" s="68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CA</v>
      </c>
      <c r="I21" s="69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105.84</v>
      </c>
      <c r="G23" s="23">
        <f>+N2</f>
        <v>96.14</v>
      </c>
      <c r="H23" s="23">
        <f>+M2</f>
        <v>83.24</v>
      </c>
      <c r="I23" s="69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Boys Cotton Fibers, Knit Shirt, With Neck Closure, Stitch Count Equal Or Is Greater Than 10/1cm, Hem Bottom [60% Cotton 40%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9" t="s">
        <v>19</v>
      </c>
      <c r="E31" s="89"/>
      <c r="F31" s="89" t="s">
        <v>18</v>
      </c>
      <c r="G31" s="89"/>
      <c r="H31" s="69" t="s">
        <v>17</v>
      </c>
      <c r="I31" s="19" t="s">
        <v>16</v>
      </c>
      <c r="M31"/>
    </row>
    <row r="32" spans="2:13" ht="37.5" customHeight="1" x14ac:dyDescent="0.2">
      <c r="B32" s="62" t="s">
        <v>207</v>
      </c>
      <c r="C32" s="19" t="s">
        <v>188</v>
      </c>
      <c r="D32" s="72"/>
      <c r="E32" s="73"/>
      <c r="F32" s="72">
        <f>+K2</f>
        <v>645</v>
      </c>
      <c r="G32" s="73"/>
      <c r="H32" s="17">
        <v>1.05</v>
      </c>
      <c r="I32" s="18">
        <f>+H32*F32</f>
        <v>677.25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69"/>
    </row>
    <row r="34" spans="2:11" ht="21.75" customHeight="1" x14ac:dyDescent="0.2">
      <c r="B34" s="15" t="s">
        <v>14</v>
      </c>
      <c r="C34" s="15"/>
      <c r="D34" s="76"/>
      <c r="E34" s="77"/>
      <c r="F34" s="72">
        <f>SUM(F32:G33)</f>
        <v>645</v>
      </c>
      <c r="G34" s="73"/>
      <c r="H34" s="15"/>
      <c r="I34" s="14">
        <f>SUM(I32:I33)</f>
        <v>677.25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677.25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677.25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 s="20">
        <v>15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15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61750573</v>
      </c>
      <c r="K2" s="65">
        <v>3305</v>
      </c>
      <c r="L2" s="66">
        <v>46</v>
      </c>
      <c r="M2" s="66">
        <v>426.5</v>
      </c>
      <c r="N2" s="66">
        <v>492.6</v>
      </c>
      <c r="O2" s="66">
        <v>536.29999999999995</v>
      </c>
      <c r="P2" s="66" t="s">
        <v>54</v>
      </c>
      <c r="Q2" s="66">
        <v>2.7170000000000001</v>
      </c>
      <c r="R2" s="66" t="s">
        <v>62</v>
      </c>
    </row>
    <row r="3" spans="2:22" x14ac:dyDescent="0.2">
      <c r="B3" s="6" t="s">
        <v>53</v>
      </c>
      <c r="C3" s="63">
        <f>+'299'!C3+1</f>
        <v>300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61750573</v>
      </c>
      <c r="C21" s="68">
        <f>VLOOKUP($K55,reff!E2:F29,2,0)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CA</v>
      </c>
      <c r="I21" s="69" t="s">
        <v>34</v>
      </c>
      <c r="K21" s="20">
        <v>16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536.29999999999995</v>
      </c>
      <c r="G23" s="23">
        <f>+N2</f>
        <v>492.6</v>
      </c>
      <c r="H23" s="23">
        <f>+M2</f>
        <v>426.5</v>
      </c>
      <c r="I23" s="69">
        <f>+L2</f>
        <v>46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Boys Cotton Fibers, Knit Shirt, With Neck Closure, Stitch Count Equal Or Is Greater Than 10/1cm, Hem Bottom [60% Cotton 40%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9" t="s">
        <v>19</v>
      </c>
      <c r="E31" s="89"/>
      <c r="F31" s="89" t="s">
        <v>18</v>
      </c>
      <c r="G31" s="89"/>
      <c r="H31" s="69" t="s">
        <v>17</v>
      </c>
      <c r="I31" s="19" t="s">
        <v>16</v>
      </c>
      <c r="M31"/>
    </row>
    <row r="32" spans="2:13" ht="42.75" customHeight="1" x14ac:dyDescent="0.2">
      <c r="B32" s="41" t="s">
        <v>209</v>
      </c>
      <c r="C32" s="19" t="s">
        <v>208</v>
      </c>
      <c r="D32" s="72"/>
      <c r="E32" s="73"/>
      <c r="F32" s="72">
        <f>+K2</f>
        <v>3305</v>
      </c>
      <c r="G32" s="73"/>
      <c r="H32" s="17">
        <v>1.05</v>
      </c>
      <c r="I32" s="18">
        <f>+H32*F32</f>
        <v>3470.25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69"/>
    </row>
    <row r="34" spans="2:11" ht="21.75" customHeight="1" x14ac:dyDescent="0.2">
      <c r="B34" s="15" t="s">
        <v>14</v>
      </c>
      <c r="C34" s="15"/>
      <c r="D34" s="76"/>
      <c r="E34" s="77"/>
      <c r="F34" s="72">
        <f>SUM(F32:G33)</f>
        <v>3305</v>
      </c>
      <c r="G34" s="73"/>
      <c r="H34" s="15"/>
      <c r="I34" s="14">
        <f>SUM(I32:I33)</f>
        <v>3470.25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3470.25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3470.25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 s="20">
        <v>16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 s="20">
        <v>16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61476533</v>
      </c>
      <c r="K2" s="65">
        <v>2153</v>
      </c>
      <c r="L2" s="66">
        <v>30</v>
      </c>
      <c r="M2" s="66">
        <v>252.40899999999999</v>
      </c>
      <c r="N2" s="66">
        <v>256.71499999999997</v>
      </c>
      <c r="O2" s="66">
        <v>282.51499999999999</v>
      </c>
      <c r="P2" s="66" t="s">
        <v>54</v>
      </c>
      <c r="Q2" s="66">
        <v>1.353</v>
      </c>
      <c r="R2" s="66" t="s">
        <v>62</v>
      </c>
    </row>
    <row r="3" spans="2:22" x14ac:dyDescent="0.2">
      <c r="B3" s="6" t="s">
        <v>53</v>
      </c>
      <c r="C3" s="63">
        <f>+'300'!C3+1</f>
        <v>301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61476533</v>
      </c>
      <c r="C21" s="68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CA</v>
      </c>
      <c r="I21" s="69" t="s">
        <v>34</v>
      </c>
      <c r="K21" s="20">
        <v>17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282.51499999999999</v>
      </c>
      <c r="G23" s="23">
        <f>+N2</f>
        <v>256.71499999999997</v>
      </c>
      <c r="H23" s="23">
        <f>+M2</f>
        <v>252.40899999999999</v>
      </c>
      <c r="I23" s="69">
        <f>+L2</f>
        <v>30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Boys Cotton Fibers, Knit Shirt, With Neck Closure, Stitch Count Equal Or Is Greater Than 10/1cm, Hem Bottom [60% Cotton 40%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9" t="s">
        <v>19</v>
      </c>
      <c r="E31" s="89"/>
      <c r="F31" s="89" t="s">
        <v>18</v>
      </c>
      <c r="G31" s="89"/>
      <c r="H31" s="69" t="s">
        <v>17</v>
      </c>
      <c r="I31" s="19" t="s">
        <v>16</v>
      </c>
      <c r="M31"/>
    </row>
    <row r="32" spans="2:13" ht="33.75" customHeight="1" x14ac:dyDescent="0.2">
      <c r="B32" s="41" t="s">
        <v>211</v>
      </c>
      <c r="C32" s="19" t="s">
        <v>210</v>
      </c>
      <c r="D32" s="72"/>
      <c r="E32" s="73"/>
      <c r="F32" s="72">
        <f>2153-450</f>
        <v>1703</v>
      </c>
      <c r="G32" s="73"/>
      <c r="H32" s="17">
        <v>0.9</v>
      </c>
      <c r="I32" s="18">
        <f>+H32*F32</f>
        <v>1532.7</v>
      </c>
      <c r="K32" s="46"/>
      <c r="M32" s="39"/>
    </row>
    <row r="33" spans="2:13" ht="27.75" customHeight="1" x14ac:dyDescent="0.2">
      <c r="B33" s="41" t="s">
        <v>213</v>
      </c>
      <c r="C33" s="19" t="s">
        <v>212</v>
      </c>
      <c r="D33" s="72"/>
      <c r="E33" s="73"/>
      <c r="F33" s="72">
        <f>4+7+13+49+92+89+105+76+15</f>
        <v>450</v>
      </c>
      <c r="G33" s="73"/>
      <c r="H33" s="17">
        <v>0.9</v>
      </c>
      <c r="I33" s="18">
        <f>+H33*F33</f>
        <v>405</v>
      </c>
      <c r="K33" s="46"/>
      <c r="M33" s="39"/>
    </row>
    <row r="34" spans="2:13" ht="21" customHeight="1" x14ac:dyDescent="0.2">
      <c r="B34" s="15" t="s">
        <v>15</v>
      </c>
      <c r="C34" s="15"/>
      <c r="D34" s="74"/>
      <c r="E34" s="75"/>
      <c r="F34" s="74"/>
      <c r="G34" s="75"/>
      <c r="H34" s="17"/>
      <c r="I34" s="69"/>
    </row>
    <row r="35" spans="2:13" ht="21.75" customHeight="1" x14ac:dyDescent="0.2">
      <c r="B35" s="15" t="s">
        <v>14</v>
      </c>
      <c r="C35" s="15"/>
      <c r="D35" s="76"/>
      <c r="E35" s="77"/>
      <c r="F35" s="72">
        <f>SUM(F32:G34)</f>
        <v>2153</v>
      </c>
      <c r="G35" s="73"/>
      <c r="H35" s="15"/>
      <c r="I35" s="14">
        <f>SUM(I32:I34)</f>
        <v>1937.7</v>
      </c>
      <c r="J35" s="40"/>
      <c r="K35" s="40"/>
    </row>
    <row r="36" spans="2:13" ht="21.75" customHeight="1" x14ac:dyDescent="0.2">
      <c r="B36" s="16" t="s">
        <v>13</v>
      </c>
      <c r="C36" s="15"/>
      <c r="D36" s="74"/>
      <c r="E36" s="75"/>
      <c r="F36" s="74"/>
      <c r="G36" s="75"/>
      <c r="H36" s="15"/>
      <c r="I36" s="69"/>
      <c r="J36" s="40"/>
    </row>
    <row r="37" spans="2:13" ht="21.75" customHeight="1" x14ac:dyDescent="0.2">
      <c r="B37" s="16" t="s">
        <v>12</v>
      </c>
      <c r="C37" s="15"/>
      <c r="D37" s="74"/>
      <c r="E37" s="75"/>
      <c r="F37" s="74"/>
      <c r="G37" s="75"/>
      <c r="H37" s="15"/>
      <c r="I37" s="14">
        <f>+I35</f>
        <v>1937.7</v>
      </c>
    </row>
    <row r="38" spans="2:13" ht="20.25" customHeight="1" x14ac:dyDescent="0.2">
      <c r="B38" s="15" t="s">
        <v>80</v>
      </c>
      <c r="C38" s="74" t="s">
        <v>11</v>
      </c>
      <c r="D38" s="79"/>
      <c r="E38" s="79"/>
      <c r="F38" s="79"/>
      <c r="G38" s="79"/>
      <c r="H38" s="75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1937.7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 s="20">
        <v>17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  <c r="K56" s="20">
        <v>17</v>
      </c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214</v>
      </c>
      <c r="C2" s="84"/>
      <c r="D2" s="84"/>
      <c r="E2" s="84"/>
      <c r="F2" s="84"/>
      <c r="G2" s="84"/>
      <c r="H2" s="84"/>
      <c r="I2" s="85"/>
      <c r="J2" s="64">
        <v>61716207</v>
      </c>
      <c r="K2" s="66">
        <v>960</v>
      </c>
      <c r="L2" s="66">
        <v>12</v>
      </c>
      <c r="M2" s="66">
        <v>106.461</v>
      </c>
      <c r="N2" s="66">
        <v>114.14100000000001</v>
      </c>
      <c r="O2" s="66">
        <v>124.84099999999999</v>
      </c>
      <c r="P2" s="66" t="s">
        <v>54</v>
      </c>
      <c r="Q2" s="66">
        <v>0.60399999999999998</v>
      </c>
      <c r="R2" s="66" t="s">
        <v>62</v>
      </c>
    </row>
    <row r="3" spans="2:22" x14ac:dyDescent="0.2">
      <c r="B3" s="6" t="s">
        <v>53</v>
      </c>
      <c r="C3" s="63">
        <f>+'301'!C3+1</f>
        <v>302</v>
      </c>
      <c r="D3" s="5"/>
      <c r="E3" s="5"/>
      <c r="F3" s="5"/>
      <c r="G3" s="5" t="s">
        <v>52</v>
      </c>
      <c r="H3" s="31">
        <v>46224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61716207</v>
      </c>
      <c r="C21" s="68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CA</v>
      </c>
      <c r="I21" s="69" t="s">
        <v>34</v>
      </c>
      <c r="K21" s="20">
        <v>18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124.84099999999999</v>
      </c>
      <c r="G23" s="23">
        <f>+N2</f>
        <v>114.14100000000001</v>
      </c>
      <c r="H23" s="23">
        <f>+M2</f>
        <v>106.461</v>
      </c>
      <c r="I23" s="69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9"/>
      <c r="D26" s="79"/>
      <c r="E26" s="79"/>
      <c r="F26" s="79"/>
      <c r="G26" s="79"/>
      <c r="H26" s="79"/>
      <c r="I26" s="75"/>
    </row>
    <row r="27" spans="2:13" ht="24.75" customHeight="1" x14ac:dyDescent="0.2">
      <c r="B27" s="86" t="str">
        <f>+K4</f>
        <v>Boys Cotton Fibers, Knit Shirt, With Neck Closure, Stitch Count Equal Or Is Greater Than 10/1cm, Hem Bottom [60% Cotton 40%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9" t="s">
        <v>19</v>
      </c>
      <c r="E31" s="89"/>
      <c r="F31" s="89" t="s">
        <v>18</v>
      </c>
      <c r="G31" s="89"/>
      <c r="H31" s="69" t="s">
        <v>17</v>
      </c>
      <c r="I31" s="19" t="s">
        <v>16</v>
      </c>
      <c r="M31"/>
    </row>
    <row r="32" spans="2:13" ht="30" customHeight="1" x14ac:dyDescent="0.2">
      <c r="B32" s="41" t="s">
        <v>189</v>
      </c>
      <c r="C32" s="19" t="s">
        <v>188</v>
      </c>
      <c r="D32" s="72"/>
      <c r="E32" s="73"/>
      <c r="F32" s="72">
        <f>+K2</f>
        <v>960</v>
      </c>
      <c r="G32" s="73"/>
      <c r="H32" s="17">
        <v>0.9</v>
      </c>
      <c r="I32" s="18">
        <f>+H32*F32</f>
        <v>864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5"/>
      <c r="F33" s="74"/>
      <c r="G33" s="75"/>
      <c r="H33" s="17"/>
      <c r="I33" s="69"/>
    </row>
    <row r="34" spans="2:11" ht="21.75" customHeight="1" x14ac:dyDescent="0.2">
      <c r="B34" s="15" t="s">
        <v>14</v>
      </c>
      <c r="C34" s="15"/>
      <c r="D34" s="76"/>
      <c r="E34" s="77"/>
      <c r="F34" s="72">
        <f>SUM(F32:G33)</f>
        <v>960</v>
      </c>
      <c r="G34" s="73"/>
      <c r="H34" s="15"/>
      <c r="I34" s="14">
        <f>SUM(I32:I33)</f>
        <v>864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5"/>
      <c r="F35" s="74"/>
      <c r="G35" s="75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4"/>
      <c r="E36" s="75"/>
      <c r="F36" s="74"/>
      <c r="G36" s="75"/>
      <c r="H36" s="15"/>
      <c r="I36" s="14">
        <f>+I34</f>
        <v>864</v>
      </c>
    </row>
    <row r="37" spans="2:11" ht="20.25" customHeight="1" x14ac:dyDescent="0.2">
      <c r="B37" s="15" t="s">
        <v>80</v>
      </c>
      <c r="C37" s="74" t="s">
        <v>11</v>
      </c>
      <c r="D37" s="79"/>
      <c r="E37" s="79"/>
      <c r="F37" s="79"/>
      <c r="G37" s="79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864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 s="20">
        <v>18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18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18</vt:i4>
      </vt:variant>
    </vt:vector>
  </HeadingPairs>
  <TitlesOfParts>
    <vt:vector size="38" baseType="lpstr">
      <vt:lpstr>Sheet1</vt:lpstr>
      <vt:lpstr>reff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'285'!Print_Area</vt:lpstr>
      <vt:lpstr>'286'!Print_Area</vt:lpstr>
      <vt:lpstr>'287'!Print_Area</vt:lpstr>
      <vt:lpstr>'288'!Print_Area</vt:lpstr>
      <vt:lpstr>'289'!Print_Area</vt:lpstr>
      <vt:lpstr>'290'!Print_Area</vt:lpstr>
      <vt:lpstr>'291'!Print_Area</vt:lpstr>
      <vt:lpstr>'292'!Print_Area</vt:lpstr>
      <vt:lpstr>'293'!Print_Area</vt:lpstr>
      <vt:lpstr>'294'!Print_Area</vt:lpstr>
      <vt:lpstr>'295'!Print_Area</vt:lpstr>
      <vt:lpstr>'296'!Print_Area</vt:lpstr>
      <vt:lpstr>'297'!Print_Area</vt:lpstr>
      <vt:lpstr>'298'!Print_Area</vt:lpstr>
      <vt:lpstr>'299'!Print_Area</vt:lpstr>
      <vt:lpstr>'300'!Print_Area</vt:lpstr>
      <vt:lpstr>'301'!Print_Area</vt:lpstr>
      <vt:lpstr>'302'!Print_Area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2026-07-13T01:37:53Z</cp:lastPrinted>
  <dcterms:created xsi:type="dcterms:W3CDTF">2024-04-17T09:56:05Z</dcterms:created>
  <dcterms:modified xsi:type="dcterms:W3CDTF">2026-07-14T06:17:50Z</dcterms:modified>
</cp:coreProperties>
</file>