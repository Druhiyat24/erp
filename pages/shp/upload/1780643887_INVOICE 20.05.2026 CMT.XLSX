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admexim3-pc\0 DATA SRI\EKSPORT\1. GAP\Shipment GAP\2026\05. MEI\20.05.2026\"/>
    </mc:Choice>
  </mc:AlternateContent>
  <xr:revisionPtr revIDLastSave="0" documentId="13_ncr:1_{A19185BA-2B14-4340-95BE-A9BF7F9C5DDF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Sheet1" sheetId="128" r:id="rId1"/>
    <sheet name="reff" sheetId="162" r:id="rId2"/>
    <sheet name="322" sheetId="129" r:id="rId3"/>
    <sheet name="323" sheetId="133" r:id="rId4"/>
  </sheets>
  <externalReferences>
    <externalReference r:id="rId5"/>
    <externalReference r:id="rId6"/>
    <externalReference r:id="rId7"/>
  </externalReferences>
  <definedNames>
    <definedName name="_box2">[1]参数!$B$3</definedName>
    <definedName name="a" localSheetId="2">[2]xdata!#REF!</definedName>
    <definedName name="a" localSheetId="3">[2]xdata!#REF!</definedName>
    <definedName name="a">[2]xdata!#REF!</definedName>
    <definedName name="b" localSheetId="2">[2]xdata!#REF!</definedName>
    <definedName name="b" localSheetId="3">[2]xdata!#REF!</definedName>
    <definedName name="b">[2]xdata!#REF!</definedName>
    <definedName name="C_O" localSheetId="2">[2]xdata!#REF!</definedName>
    <definedName name="C_O" localSheetId="3">[2]xdata!#REF!</definedName>
    <definedName name="C_O">[2]xdata!#REF!</definedName>
    <definedName name="CBM">[3]参数!$E$3</definedName>
    <definedName name="Dept_no" localSheetId="2">[2]xdata!#REF!</definedName>
    <definedName name="Dept_no" localSheetId="3">[2]xdata!#REF!</definedName>
    <definedName name="Dept_no">[2]xdata!#REF!</definedName>
    <definedName name="Description">[3]参数!$E$1</definedName>
    <definedName name="E_L" localSheetId="2">[2]xdata!#REF!</definedName>
    <definedName name="E_L" localSheetId="3">[2]xdata!#REF!</definedName>
    <definedName name="E_L">[2]xdata!#REF!</definedName>
    <definedName name="INVOICE">[2]xdata!$B$2</definedName>
    <definedName name="_xlnm.Print_Area" localSheetId="2">'322'!$B$1:$I$57</definedName>
    <definedName name="_xlnm.Print_Area" localSheetId="3">'323'!$B$1:$I$57</definedName>
    <definedName name="v" localSheetId="2">[2]xdata!#REF!</definedName>
    <definedName name="v" localSheetId="3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2" i="129" l="1"/>
  <c r="F32" i="133" l="1"/>
  <c r="F34" i="133" s="1"/>
  <c r="F34" i="129" l="1"/>
  <c r="C3" i="133"/>
  <c r="H3" i="133"/>
  <c r="I32" i="129" l="1"/>
  <c r="I32" i="133"/>
  <c r="E21" i="129" l="1"/>
  <c r="E21" i="133" l="1"/>
  <c r="C21" i="129"/>
  <c r="C21" i="133"/>
  <c r="H52" i="129"/>
  <c r="H52" i="133"/>
  <c r="B27" i="133" l="1"/>
  <c r="I23" i="133"/>
  <c r="H23" i="133"/>
  <c r="G23" i="133"/>
  <c r="F23" i="133"/>
  <c r="E23" i="133"/>
  <c r="D21" i="133"/>
  <c r="B21" i="133"/>
  <c r="B15" i="133"/>
  <c r="B16" i="133" s="1"/>
  <c r="B17" i="133" s="1"/>
  <c r="B18" i="133" s="1"/>
  <c r="G14" i="133"/>
  <c r="G15" i="133" s="1"/>
  <c r="G16" i="133" s="1"/>
  <c r="G17" i="133" s="1"/>
  <c r="H21" i="133" s="1"/>
  <c r="I34" i="129"/>
  <c r="I36" i="129" s="1"/>
  <c r="I38" i="129" s="1"/>
  <c r="B27" i="129"/>
  <c r="I23" i="129"/>
  <c r="H23" i="129"/>
  <c r="G23" i="129"/>
  <c r="F23" i="129"/>
  <c r="E23" i="129"/>
  <c r="D21" i="129"/>
  <c r="B21" i="129"/>
  <c r="B15" i="129"/>
  <c r="B16" i="129" s="1"/>
  <c r="B17" i="129" s="1"/>
  <c r="B18" i="129" s="1"/>
  <c r="G14" i="129"/>
  <c r="G15" i="129" s="1"/>
  <c r="G16" i="129" s="1"/>
  <c r="G17" i="129" s="1"/>
  <c r="I34" i="133" l="1"/>
  <c r="I36" i="133" s="1"/>
  <c r="I38" i="133" s="1"/>
  <c r="L25" i="128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</calcChain>
</file>

<file path=xl/sharedStrings.xml><?xml version="1.0" encoding="utf-8"?>
<sst xmlns="http://schemas.openxmlformats.org/spreadsheetml/2006/main" count="320" uniqueCount="187">
  <si>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</si>
  <si>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</si>
  <si>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</si>
  <si>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</si>
  <si>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</si>
  <si>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</si>
  <si>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</si>
  <si>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</si>
  <si>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</si>
  <si>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</si>
  <si>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</si>
  <si>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</si>
  <si>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</si>
  <si>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</si>
  <si>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</si>
  <si>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</si>
  <si>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</si>
  <si>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</si>
  <si>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</si>
  <si>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</si>
  <si>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</si>
  <si>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</si>
  <si>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</si>
  <si>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</si>
  <si>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</si>
  <si>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</si>
  <si>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</si>
  <si>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</si>
  <si>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</si>
  <si>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</si>
  <si>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</si>
  <si>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</si>
  <si>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</si>
  <si>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</si>
  <si>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</si>
  <si>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</si>
  <si>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</si>
  <si>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</si>
  <si>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</si>
  <si>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</si>
  <si>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</si>
  <si>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</si>
  <si>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</si>
  <si>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</si>
  <si>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</si>
  <si>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</si>
  <si>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</si>
  <si>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</si>
  <si>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</si>
  <si>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</si>
  <si>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</si>
  <si>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</si>
  <si>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</si>
  <si>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</si>
  <si>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</si>
  <si>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</si>
  <si>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</si>
  <si>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</si>
  <si>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</si>
  <si>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</si>
  <si>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</si>
  <si>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</si>
  <si>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</si>
  <si>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</si>
  <si>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</si>
  <si>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</si>
  <si>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</si>
  <si>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</si>
  <si>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</si>
  <si>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</si>
  <si>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</si>
  <si>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</si>
  <si>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</si>
  <si>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</si>
  <si>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</si>
  <si>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</si>
  <si>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</si>
  <si>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</si>
  <si>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</si>
  <si>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</si>
  <si>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</si>
  <si>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</si>
  <si>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</si>
  <si>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</si>
  <si>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</si>
  <si>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</si>
  <si>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</si>
  <si>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</si>
  <si>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</si>
  <si>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</si>
  <si>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</si>
  <si>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</si>
  <si>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</si>
  <si>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</si>
  <si>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</si>
  <si>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</si>
  <si>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</si>
  <si>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</si>
  <si>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</si>
  <si>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</si>
  <si>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</si>
  <si>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</si>
  <si>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</si>
  <si>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</si>
  <si>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</si>
  <si>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</si>
  <si>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</si>
  <si>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</si>
  <si>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</si>
  <si>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</si>
  <si>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</si>
  <si>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</si>
  <si>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</si>
  <si>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</si>
  <si>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</si>
  <si>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</si>
  <si>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</si>
  <si>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</si>
  <si>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</si>
  <si>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</si>
  <si>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</si>
  <si>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</si>
  <si>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</si>
  <si>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</si>
  <si>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</si>
  <si>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</si>
  <si>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</si>
  <si>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</si>
  <si>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</si>
  <si>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</si>
  <si>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</si>
  <si>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</si>
  <si>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</si>
  <si>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</si>
  <si>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</si>
  <si>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</si>
  <si>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</si>
  <si>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</si>
  <si>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</si>
  <si>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</si>
  <si>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</si>
  <si>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</si>
  <si>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</si>
  <si>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</si>
  <si>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</si>
  <si>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</si>
  <si>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</si>
  <si>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</si>
  <si>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</si>
  <si>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</si>
  <si>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</si>
  <si>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</si>
  <si>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</si>
  <si>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</si>
  <si>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</si>
  <si>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</si>
  <si>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</si>
  <si>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</si>
  <si>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</si>
  <si>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</si>
  <si>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</si>
  <si>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</si>
  <si>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</si>
  <si>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</si>
  <si>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</si>
  <si>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</si>
  <si>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</si>
  <si>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</si>
  <si>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</si>
  <si>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</si>
  <si>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</si>
  <si>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</si>
  <si>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</si>
  <si>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</si>
  <si>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</si>
  <si>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</si>
  <si>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</si>
  <si>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HK</t>
  </si>
  <si>
    <t xml:space="preserve"> 265K0075 </t>
  </si>
  <si>
    <t>ONLINE</t>
  </si>
  <si>
    <t>RETAIL</t>
  </si>
  <si>
    <t>BLACK COFFEE, IN THE NAVY</t>
  </si>
  <si>
    <t>13, 16</t>
  </si>
  <si>
    <t>WOMENS COTTON FIBERS, KNIT PULLOVER, WITH NO NECK CLOSURE, STITCH COUNT IS GREATER THAN 9/2CM, REACHES WAIST, SLEEVELESS [95% COTTON 5% ELASTANE]</t>
  </si>
  <si>
    <t>BLACK COFFEE, CALLA LILY 2, IN THE NAVY</t>
  </si>
  <si>
    <t>13, 16, 20</t>
  </si>
  <si>
    <t>COMERCIAL INVOICE 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</si>
</sst>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526&quot;"/>
  </numFmts>
  <fonts count="15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  <font>
      <sz val="11"/>
      <color rgb="FF1A1A1A"/>
      <name val="Source Sans Pro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6" fillId="0" borderId="0" xfId="0" applyFont="1" applyBorder="1"/>
    <xf numFmtId="0" fontId="7" fillId="0" borderId="0" xfId="0" applyFont="1" applyBorder="1" applyAlignment="1">
      <alignment horizontal="center" wrapText="1"/>
    </xf>
    <xf numFmtId="0" fontId="8" fillId="3" borderId="0" xfId="0" applyFont="1" applyFill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2" fillId="0" borderId="1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0" xfId="0" quotePrefix="1" applyNumberFormat="1"/>
    <xf numFmtId="0" fontId="13" fillId="0" borderId="0" xfId="0" applyFont="1"/>
    <xf numFmtId="169" fontId="0" fillId="0" borderId="0" xfId="0" quotePrefix="1" applyNumberFormat="1" applyBorder="1" applyAlignment="1">
      <alignment horizontal="left"/>
    </xf>
    <xf numFmtId="0" fontId="14" fillId="3" borderId="0" xfId="0" applyFont="1" applyFill="1" applyAlignment="1">
      <alignment horizontal="left" vertical="center" wrapText="1"/>
    </xf>
    <xf numFmtId="3" fontId="14" fillId="3" borderId="0" xfId="0" applyNumberFormat="1" applyFont="1" applyFill="1" applyAlignment="1">
      <alignment horizontal="right" vertical="center" wrapText="1"/>
    </xf>
    <xf numFmtId="0" fontId="14" fillId="3" borderId="0" xfId="0" applyFont="1" applyFill="1" applyAlignment="1">
      <alignment horizontal="right" vertical="center" wrapText="1"/>
    </xf>
    <xf numFmtId="4" fontId="14" fillId="3" borderId="0" xfId="0" applyNumberFormat="1" applyFont="1" applyFill="1" applyAlignment="1">
      <alignment horizontal="right" vertical="center" wrapText="1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51"/>
  <sheetViews>
    <sheetView workbookViewId="0">
      <selection activeCell="K4" sqref="K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0" customWidth="1"/>
    <col min="4" max="4" width="31.5703125" customWidth="1"/>
    <col min="5" max="5" width="2.140625" style="50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51" t="s">
        <v>83</v>
      </c>
      <c r="D6" s="51" t="s">
        <v>65</v>
      </c>
      <c r="F6" s="51" t="s">
        <v>68</v>
      </c>
      <c r="G6" s="51" t="s">
        <v>68</v>
      </c>
      <c r="H6" s="51" t="s">
        <v>77</v>
      </c>
      <c r="I6" s="51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51" t="s">
        <v>84</v>
      </c>
      <c r="D7" s="51" t="s">
        <v>66</v>
      </c>
      <c r="F7" s="51" t="s">
        <v>69</v>
      </c>
      <c r="G7" s="51" t="s">
        <v>69</v>
      </c>
      <c r="H7" s="51" t="s">
        <v>78</v>
      </c>
      <c r="I7" s="51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2" t="s">
        <v>97</v>
      </c>
      <c r="D8" s="52" t="s">
        <v>75</v>
      </c>
      <c r="F8" s="52" t="s">
        <v>76</v>
      </c>
      <c r="G8" s="52" t="s">
        <v>76</v>
      </c>
      <c r="H8" s="52" t="s">
        <v>79</v>
      </c>
      <c r="I8" s="52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51" t="s">
        <v>138</v>
      </c>
      <c r="D12" s="51" t="s">
        <v>118</v>
      </c>
      <c r="F12" s="51" t="s">
        <v>104</v>
      </c>
      <c r="G12" s="51" t="s">
        <v>106</v>
      </c>
      <c r="H12" s="51" t="s">
        <v>110</v>
      </c>
      <c r="I12" s="51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1" t="s">
        <v>139</v>
      </c>
      <c r="D13" s="51" t="s">
        <v>119</v>
      </c>
      <c r="F13" s="51" t="s">
        <v>101</v>
      </c>
      <c r="G13" s="51" t="s">
        <v>107</v>
      </c>
      <c r="H13" s="51" t="s">
        <v>111</v>
      </c>
      <c r="I13" s="51" t="s">
        <v>115</v>
      </c>
      <c r="L13" t="str">
        <f>F17</f>
        <v>BDC-0015</v>
      </c>
    </row>
    <row r="14" spans="2:12" x14ac:dyDescent="0.2">
      <c r="B14" s="51" t="s">
        <v>141</v>
      </c>
      <c r="D14" s="52" t="s">
        <v>120</v>
      </c>
      <c r="F14" s="52" t="s">
        <v>102</v>
      </c>
      <c r="G14" s="52" t="s">
        <v>108</v>
      </c>
      <c r="H14" s="52" t="s">
        <v>112</v>
      </c>
      <c r="I14" s="52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51" t="s">
        <v>71</v>
      </c>
      <c r="F18" s="51" t="s">
        <v>71</v>
      </c>
      <c r="G18" s="51" t="s">
        <v>71</v>
      </c>
      <c r="H18" s="51" t="s">
        <v>91</v>
      </c>
      <c r="I18" s="51" t="s">
        <v>122</v>
      </c>
      <c r="L18" t="str">
        <f>G23</f>
        <v>EDC(EU FRANCHISE HUB)</v>
      </c>
    </row>
    <row r="19" spans="2:12" x14ac:dyDescent="0.2">
      <c r="D19" s="51" t="s">
        <v>72</v>
      </c>
      <c r="F19" s="51" t="s">
        <v>72</v>
      </c>
      <c r="G19" s="51" t="s">
        <v>72</v>
      </c>
      <c r="H19" s="51" t="s">
        <v>92</v>
      </c>
      <c r="I19" s="51" t="s">
        <v>123</v>
      </c>
      <c r="L19" t="str">
        <f>H23</f>
        <v>EXPEDITORS INT'L GPS STRATEGIC ALLIANCES, LLC</v>
      </c>
    </row>
    <row r="20" spans="2:12" x14ac:dyDescent="0.2">
      <c r="D20" s="51" t="s">
        <v>73</v>
      </c>
      <c r="F20" s="51" t="s">
        <v>73</v>
      </c>
      <c r="G20" s="51" t="s">
        <v>73</v>
      </c>
      <c r="H20" s="52" t="s">
        <v>93</v>
      </c>
      <c r="I20" s="51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51" t="s">
        <v>128</v>
      </c>
      <c r="F24" s="51" t="s">
        <v>135</v>
      </c>
      <c r="G24" s="51" t="s">
        <v>146</v>
      </c>
      <c r="H24" s="51" t="s">
        <v>151</v>
      </c>
      <c r="I24" s="51" t="s">
        <v>157</v>
      </c>
      <c r="L24" t="str">
        <f>I29</f>
        <v>PDC-0014</v>
      </c>
    </row>
    <row r="25" spans="2:12" x14ac:dyDescent="0.2">
      <c r="D25" s="51" t="s">
        <v>129</v>
      </c>
      <c r="F25" s="51" t="s">
        <v>136</v>
      </c>
      <c r="G25" s="51" t="s">
        <v>147</v>
      </c>
      <c r="H25" s="51" t="s">
        <v>152</v>
      </c>
      <c r="I25" s="51" t="s">
        <v>158</v>
      </c>
      <c r="L25" t="str">
        <f>F35</f>
        <v>JPD-0030</v>
      </c>
    </row>
    <row r="26" spans="2:12" x14ac:dyDescent="0.2">
      <c r="D26" s="51" t="s">
        <v>130</v>
      </c>
      <c r="F26" s="51" t="s">
        <v>133</v>
      </c>
      <c r="G26" s="51" t="s">
        <v>148</v>
      </c>
      <c r="H26" s="51" t="s">
        <v>153</v>
      </c>
      <c r="I26" s="52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51" t="s">
        <v>143</v>
      </c>
      <c r="F30" s="51" t="s">
        <v>161</v>
      </c>
      <c r="G30" s="51" t="s">
        <v>163</v>
      </c>
      <c r="H30" s="51" t="s">
        <v>163</v>
      </c>
      <c r="I30" s="51" t="s">
        <v>166</v>
      </c>
    </row>
    <row r="31" spans="2:12" x14ac:dyDescent="0.2">
      <c r="D31" s="51" t="s">
        <v>144</v>
      </c>
      <c r="F31" s="51" t="s">
        <v>111</v>
      </c>
      <c r="G31" s="51" t="s">
        <v>69</v>
      </c>
      <c r="H31" s="51" t="s">
        <v>69</v>
      </c>
      <c r="I31" s="51" t="s">
        <v>101</v>
      </c>
    </row>
    <row r="32" spans="2:12" x14ac:dyDescent="0.2">
      <c r="D32" s="51" t="s">
        <v>130</v>
      </c>
      <c r="F32" s="52" t="s">
        <v>112</v>
      </c>
      <c r="G32" s="52" t="s">
        <v>76</v>
      </c>
      <c r="H32" s="52" t="s">
        <v>76</v>
      </c>
      <c r="I32" s="52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51" t="s">
        <v>118</v>
      </c>
      <c r="F36" s="51" t="s">
        <v>173</v>
      </c>
    </row>
    <row r="37" spans="4:9" x14ac:dyDescent="0.2">
      <c r="D37" s="51" t="s">
        <v>119</v>
      </c>
      <c r="F37" s="51" t="s">
        <v>174</v>
      </c>
    </row>
    <row r="38" spans="4:9" x14ac:dyDescent="0.2">
      <c r="D38" s="52" t="s">
        <v>120</v>
      </c>
      <c r="F38" s="51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51" t="s">
        <v>65</v>
      </c>
    </row>
    <row r="43" spans="4:9" x14ac:dyDescent="0.2">
      <c r="D43" s="51" t="s">
        <v>66</v>
      </c>
    </row>
    <row r="44" spans="4:9" x14ac:dyDescent="0.2">
      <c r="D44" s="52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51" t="s">
        <v>168</v>
      </c>
    </row>
    <row r="49" spans="4:4" x14ac:dyDescent="0.2">
      <c r="D49" s="51" t="s">
        <v>169</v>
      </c>
    </row>
    <row r="50" spans="4:4" x14ac:dyDescent="0.2">
      <c r="D50" s="52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9"/>
  <sheetViews>
    <sheetView workbookViewId="0">
      <selection activeCell="G6" sqref="G6"/>
    </sheetView>
  </sheetViews>
  <sheetFormatPr defaultRowHeight="12.75" x14ac:dyDescent="0.2"/>
  <sheetData>
    <row r="2" spans="2:9" ht="15" x14ac:dyDescent="0.25">
      <c r="B2" s="53">
        <v>1</v>
      </c>
      <c r="C2" t="s">
        <v>178</v>
      </c>
      <c r="E2" s="53">
        <v>1</v>
      </c>
      <c r="F2">
        <v>692926</v>
      </c>
      <c r="H2" s="53">
        <v>1</v>
      </c>
      <c r="I2" s="54" t="s">
        <v>179</v>
      </c>
    </row>
    <row r="3" spans="2:9" ht="15" x14ac:dyDescent="0.25">
      <c r="B3" s="53">
        <v>2</v>
      </c>
      <c r="C3" t="s">
        <v>178</v>
      </c>
      <c r="E3" s="53">
        <v>2</v>
      </c>
      <c r="F3">
        <v>692926</v>
      </c>
      <c r="H3" s="53">
        <v>2</v>
      </c>
      <c r="I3" s="54" t="s">
        <v>180</v>
      </c>
    </row>
    <row r="4" spans="2:9" ht="15" x14ac:dyDescent="0.25">
      <c r="B4" s="53">
        <v>3</v>
      </c>
      <c r="E4" s="53">
        <v>3</v>
      </c>
      <c r="H4" s="53">
        <v>3</v>
      </c>
      <c r="I4" s="54"/>
    </row>
    <row r="5" spans="2:9" ht="15" x14ac:dyDescent="0.25">
      <c r="B5" s="53">
        <v>4</v>
      </c>
      <c r="E5" s="53">
        <v>4</v>
      </c>
      <c r="H5" s="53">
        <v>4</v>
      </c>
      <c r="I5" s="54"/>
    </row>
    <row r="6" spans="2:9" ht="15" x14ac:dyDescent="0.25">
      <c r="B6" s="53">
        <v>5</v>
      </c>
      <c r="E6" s="53">
        <v>5</v>
      </c>
      <c r="H6" s="53">
        <v>5</v>
      </c>
      <c r="I6" s="54"/>
    </row>
    <row r="7" spans="2:9" ht="15" x14ac:dyDescent="0.25">
      <c r="B7" s="53">
        <v>6</v>
      </c>
      <c r="E7" s="53">
        <v>6</v>
      </c>
      <c r="H7" s="53">
        <v>6</v>
      </c>
      <c r="I7" s="54"/>
    </row>
    <row r="8" spans="2:9" ht="15" x14ac:dyDescent="0.25">
      <c r="B8" s="53">
        <v>7</v>
      </c>
      <c r="E8" s="53">
        <v>7</v>
      </c>
      <c r="H8" s="53">
        <v>7</v>
      </c>
      <c r="I8" s="54"/>
    </row>
    <row r="9" spans="2:9" ht="15" x14ac:dyDescent="0.25">
      <c r="B9" s="53">
        <v>8</v>
      </c>
      <c r="E9" s="53">
        <v>8</v>
      </c>
      <c r="H9" s="53">
        <v>8</v>
      </c>
      <c r="I9" s="54"/>
    </row>
    <row r="10" spans="2:9" ht="15" x14ac:dyDescent="0.25">
      <c r="B10" s="53">
        <v>9</v>
      </c>
      <c r="E10" s="53">
        <v>9</v>
      </c>
      <c r="H10" s="53">
        <v>9</v>
      </c>
      <c r="I10" s="54"/>
    </row>
    <row r="11" spans="2:9" ht="15" x14ac:dyDescent="0.25">
      <c r="B11" s="53">
        <v>10</v>
      </c>
      <c r="E11" s="53">
        <v>10</v>
      </c>
      <c r="H11" s="53">
        <v>10</v>
      </c>
      <c r="I11" s="54"/>
    </row>
    <row r="12" spans="2:9" ht="15" x14ac:dyDescent="0.25">
      <c r="B12" s="53">
        <v>11</v>
      </c>
      <c r="E12" s="53">
        <v>11</v>
      </c>
      <c r="H12" s="53">
        <v>11</v>
      </c>
      <c r="I12" s="54"/>
    </row>
    <row r="13" spans="2:9" ht="15" x14ac:dyDescent="0.25">
      <c r="B13" s="53">
        <v>12</v>
      </c>
      <c r="E13" s="53">
        <v>12</v>
      </c>
      <c r="H13" s="53">
        <v>12</v>
      </c>
      <c r="I13" s="54"/>
    </row>
    <row r="14" spans="2:9" ht="15" x14ac:dyDescent="0.25">
      <c r="B14" s="53">
        <v>13</v>
      </c>
      <c r="E14" s="53">
        <v>13</v>
      </c>
      <c r="H14" s="53">
        <v>13</v>
      </c>
      <c r="I14" s="54"/>
    </row>
    <row r="15" spans="2:9" ht="15" x14ac:dyDescent="0.25">
      <c r="B15" s="53">
        <v>14</v>
      </c>
      <c r="E15" s="53">
        <v>14</v>
      </c>
      <c r="H15" s="53">
        <v>14</v>
      </c>
      <c r="I15" s="54"/>
    </row>
    <row r="16" spans="2:9" ht="15" x14ac:dyDescent="0.25">
      <c r="B16" s="53">
        <v>15</v>
      </c>
      <c r="E16" s="53">
        <v>15</v>
      </c>
      <c r="H16" s="53">
        <v>15</v>
      </c>
      <c r="I16" s="54"/>
    </row>
    <row r="17" spans="2:11" ht="15" x14ac:dyDescent="0.25">
      <c r="B17" s="53">
        <v>16</v>
      </c>
      <c r="E17" s="53">
        <v>16</v>
      </c>
      <c r="H17" s="53">
        <v>16</v>
      </c>
      <c r="I17" s="54"/>
    </row>
    <row r="18" spans="2:11" ht="15" x14ac:dyDescent="0.25">
      <c r="B18" s="53">
        <v>17</v>
      </c>
      <c r="E18" s="53">
        <v>17</v>
      </c>
      <c r="H18" s="53">
        <v>17</v>
      </c>
      <c r="I18" s="54"/>
    </row>
    <row r="19" spans="2:11" ht="15" x14ac:dyDescent="0.25">
      <c r="B19" s="53">
        <v>18</v>
      </c>
      <c r="E19" s="53">
        <v>18</v>
      </c>
      <c r="H19" s="53">
        <v>18</v>
      </c>
      <c r="I19" s="54"/>
    </row>
    <row r="20" spans="2:11" ht="15" x14ac:dyDescent="0.25">
      <c r="B20" s="53">
        <v>19</v>
      </c>
      <c r="E20" s="53">
        <v>19</v>
      </c>
      <c r="H20" s="53">
        <v>19</v>
      </c>
      <c r="I20" s="54"/>
    </row>
    <row r="21" spans="2:11" ht="15" x14ac:dyDescent="0.25">
      <c r="B21" s="53">
        <v>20</v>
      </c>
      <c r="E21" s="53">
        <v>20</v>
      </c>
      <c r="H21" s="53">
        <v>20</v>
      </c>
      <c r="I21" s="54"/>
    </row>
    <row r="22" spans="2:11" ht="15" x14ac:dyDescent="0.25">
      <c r="B22" s="53">
        <v>21</v>
      </c>
      <c r="E22" s="53">
        <v>21</v>
      </c>
      <c r="H22" s="53">
        <v>21</v>
      </c>
      <c r="I22" s="54"/>
      <c r="K22" t="s">
        <v>63</v>
      </c>
    </row>
    <row r="23" spans="2:11" ht="15" x14ac:dyDescent="0.25">
      <c r="B23" s="53">
        <v>22</v>
      </c>
      <c r="E23" s="53">
        <v>22</v>
      </c>
      <c r="H23" s="53">
        <v>22</v>
      </c>
      <c r="I23" s="54"/>
    </row>
    <row r="24" spans="2:11" ht="15" x14ac:dyDescent="0.25">
      <c r="B24" s="53">
        <v>23</v>
      </c>
      <c r="E24" s="53">
        <v>23</v>
      </c>
      <c r="H24" s="53">
        <v>23</v>
      </c>
      <c r="I24" s="54"/>
    </row>
    <row r="25" spans="2:11" ht="15" x14ac:dyDescent="0.25">
      <c r="B25" s="53">
        <v>24</v>
      </c>
      <c r="E25" s="53">
        <v>24</v>
      </c>
      <c r="H25" s="53">
        <v>24</v>
      </c>
      <c r="I25" s="54"/>
    </row>
    <row r="26" spans="2:11" ht="15" x14ac:dyDescent="0.25">
      <c r="B26" s="53">
        <v>25</v>
      </c>
      <c r="E26" s="53">
        <v>25</v>
      </c>
      <c r="H26" s="53">
        <v>25</v>
      </c>
      <c r="I26" s="54"/>
    </row>
    <row r="27" spans="2:11" ht="15" x14ac:dyDescent="0.25">
      <c r="B27" s="53">
        <v>26</v>
      </c>
      <c r="E27" s="53">
        <v>26</v>
      </c>
      <c r="H27" s="53">
        <v>26</v>
      </c>
      <c r="I27" s="54"/>
    </row>
    <row r="28" spans="2:11" x14ac:dyDescent="0.2">
      <c r="B28" s="53">
        <v>27</v>
      </c>
      <c r="E28" s="53">
        <v>27</v>
      </c>
      <c r="H28" s="53">
        <v>27</v>
      </c>
    </row>
    <row r="29" spans="2:11" x14ac:dyDescent="0.2">
      <c r="B29" s="53">
        <v>28</v>
      </c>
      <c r="E29" s="53">
        <v>28</v>
      </c>
      <c r="H29" s="53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V58"/>
  <sheetViews>
    <sheetView view="pageBreakPreview" zoomScaleNormal="100" zoomScaleSheetLayoutView="100" workbookViewId="0">
      <selection activeCell="E5" sqref="E5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1" t="s">
        <v>186</v>
      </c>
      <c r="C2" s="72"/>
      <c r="D2" s="72"/>
      <c r="E2" s="72"/>
      <c r="F2" s="72"/>
      <c r="G2" s="72"/>
      <c r="H2" s="72"/>
      <c r="I2" s="73"/>
      <c r="J2" s="56">
        <v>61744354</v>
      </c>
      <c r="K2" s="57">
        <v>8161</v>
      </c>
      <c r="L2" s="58">
        <v>108</v>
      </c>
      <c r="M2" s="58">
        <v>877.78</v>
      </c>
      <c r="N2" s="58">
        <v>959.39</v>
      </c>
      <c r="O2" s="59">
        <v>1053.3900000000001</v>
      </c>
      <c r="P2" s="58" t="s">
        <v>54</v>
      </c>
      <c r="Q2" s="58">
        <v>5.0880000000000001</v>
      </c>
      <c r="R2" s="58" t="s">
        <v>62</v>
      </c>
    </row>
    <row r="3" spans="2:22" x14ac:dyDescent="0.2">
      <c r="B3" s="6" t="s">
        <v>53</v>
      </c>
      <c r="C3" s="55">
        <v>322</v>
      </c>
      <c r="D3" s="5"/>
      <c r="E3" s="5"/>
      <c r="F3" s="5"/>
      <c r="G3" s="5" t="s">
        <v>52</v>
      </c>
      <c r="H3" s="31">
        <v>46162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183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105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5401 MICKEY MELTON BLD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LONGVIEW,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75605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61744354</v>
      </c>
      <c r="C21" s="49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48" t="s">
        <v>35</v>
      </c>
      <c r="G21" s="48"/>
      <c r="H21" s="47" t="s">
        <v>177</v>
      </c>
      <c r="I21" s="48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1053.3900000000001</v>
      </c>
      <c r="G23" s="23">
        <f>+N2</f>
        <v>959.39</v>
      </c>
      <c r="H23" s="23">
        <f>+M2</f>
        <v>877.78</v>
      </c>
      <c r="I23" s="48">
        <f>+L2</f>
        <v>108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0" t="s">
        <v>23</v>
      </c>
      <c r="C26" s="67"/>
      <c r="D26" s="67"/>
      <c r="E26" s="67"/>
      <c r="F26" s="67"/>
      <c r="G26" s="67"/>
      <c r="H26" s="67"/>
      <c r="I26" s="61"/>
    </row>
    <row r="27" spans="2:13" ht="24.75" customHeight="1" x14ac:dyDescent="0.2">
      <c r="B27" s="74" t="str">
        <f>+K4</f>
        <v>WOMENS COTTON FIBERS, KNIT PULLOVER, WITH NO NECK CLOSURE, STITCH COUNT IS GREATER THAN 9/2CM, REACHES WAIST, SLEEVELESS [95% COTTON 5% ELASTANE]</v>
      </c>
      <c r="C27" s="75"/>
      <c r="D27" s="75"/>
      <c r="E27" s="75"/>
      <c r="F27" s="75"/>
      <c r="G27" s="75"/>
      <c r="H27" s="75"/>
      <c r="I27" s="76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77" t="s">
        <v>19</v>
      </c>
      <c r="E31" s="77"/>
      <c r="F31" s="77" t="s">
        <v>18</v>
      </c>
      <c r="G31" s="77"/>
      <c r="H31" s="48" t="s">
        <v>17</v>
      </c>
      <c r="I31" s="19" t="s">
        <v>16</v>
      </c>
      <c r="M31"/>
    </row>
    <row r="32" spans="2:13" ht="30.75" customHeight="1" x14ac:dyDescent="0.2">
      <c r="B32" s="41" t="s">
        <v>182</v>
      </c>
      <c r="C32" s="19" t="s">
        <v>181</v>
      </c>
      <c r="D32" s="64"/>
      <c r="E32" s="65"/>
      <c r="F32" s="64">
        <f>+K2</f>
        <v>8161</v>
      </c>
      <c r="G32" s="65"/>
      <c r="H32" s="17">
        <v>0.76</v>
      </c>
      <c r="I32" s="18">
        <f>+H32*F32</f>
        <v>6202.36</v>
      </c>
      <c r="K32" s="46"/>
      <c r="M32" s="39"/>
    </row>
    <row r="33" spans="2:11" ht="21" customHeight="1" x14ac:dyDescent="0.2">
      <c r="B33" s="15" t="s">
        <v>15</v>
      </c>
      <c r="C33" s="15"/>
      <c r="D33" s="60"/>
      <c r="E33" s="61"/>
      <c r="F33" s="60"/>
      <c r="G33" s="61"/>
      <c r="H33" s="17"/>
      <c r="I33" s="48"/>
    </row>
    <row r="34" spans="2:11" ht="21.75" customHeight="1" x14ac:dyDescent="0.2">
      <c r="B34" s="15" t="s">
        <v>14</v>
      </c>
      <c r="C34" s="15"/>
      <c r="D34" s="62"/>
      <c r="E34" s="63"/>
      <c r="F34" s="64">
        <f>SUM(F31:G33)</f>
        <v>8161</v>
      </c>
      <c r="G34" s="65"/>
      <c r="H34" s="15"/>
      <c r="I34" s="14">
        <f>SUM(I32:I33)</f>
        <v>6202.36</v>
      </c>
      <c r="J34" s="40"/>
      <c r="K34" s="40"/>
    </row>
    <row r="35" spans="2:11" ht="21.75" customHeight="1" x14ac:dyDescent="0.2">
      <c r="B35" s="16" t="s">
        <v>13</v>
      </c>
      <c r="C35" s="15"/>
      <c r="D35" s="60"/>
      <c r="E35" s="61"/>
      <c r="F35" s="60"/>
      <c r="G35" s="61"/>
      <c r="H35" s="15"/>
      <c r="I35" s="48"/>
      <c r="J35" s="40"/>
    </row>
    <row r="36" spans="2:11" ht="21.75" customHeight="1" x14ac:dyDescent="0.2">
      <c r="B36" s="16" t="s">
        <v>12</v>
      </c>
      <c r="C36" s="15"/>
      <c r="D36" s="60"/>
      <c r="E36" s="61"/>
      <c r="F36" s="60"/>
      <c r="G36" s="61"/>
      <c r="H36" s="15"/>
      <c r="I36" s="14">
        <f>+I34</f>
        <v>6202.36</v>
      </c>
    </row>
    <row r="37" spans="2:11" ht="20.25" customHeight="1" x14ac:dyDescent="0.2">
      <c r="B37" s="15" t="s">
        <v>80</v>
      </c>
      <c r="C37" s="60" t="s">
        <v>11</v>
      </c>
      <c r="D37" s="67"/>
      <c r="E37" s="67"/>
      <c r="F37" s="67"/>
      <c r="G37" s="67"/>
      <c r="H37" s="61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6202.36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68" t="s">
        <v>7</v>
      </c>
      <c r="C46" s="68"/>
      <c r="D46" s="68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69" t="s">
        <v>1</v>
      </c>
      <c r="D55" s="69"/>
      <c r="E55" s="5"/>
      <c r="F55" s="5"/>
      <c r="G55" s="5"/>
      <c r="H55" s="5"/>
      <c r="I55" s="4"/>
    </row>
    <row r="56" spans="2:11" x14ac:dyDescent="0.2">
      <c r="B56" s="6"/>
      <c r="C56" s="70" t="s">
        <v>0</v>
      </c>
      <c r="D56" s="70"/>
      <c r="E56" s="5"/>
      <c r="F56" s="5"/>
      <c r="G56" s="5"/>
      <c r="H56" s="5"/>
      <c r="I56" s="4"/>
      <c r="K56">
        <v>1</v>
      </c>
    </row>
    <row r="57" spans="2:11" x14ac:dyDescent="0.2">
      <c r="B57" s="2"/>
      <c r="C57" s="66"/>
      <c r="D57" s="66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B2:I2"/>
    <mergeCell ref="B26:I26"/>
    <mergeCell ref="B27:I27"/>
    <mergeCell ref="D31:E31"/>
    <mergeCell ref="F31:G31"/>
    <mergeCell ref="F32:G32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2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2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V58"/>
  <sheetViews>
    <sheetView tabSelected="1" view="pageBreakPreview" topLeftCell="A17" zoomScaleNormal="100" zoomScaleSheetLayoutView="100" workbookViewId="0">
      <selection activeCell="E5" sqref="E5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1" t="s">
        <v>186</v>
      </c>
      <c r="C2" s="72"/>
      <c r="D2" s="72"/>
      <c r="E2" s="72"/>
      <c r="F2" s="72"/>
      <c r="G2" s="72"/>
      <c r="H2" s="72"/>
      <c r="I2" s="73"/>
      <c r="J2" s="56">
        <v>61770340</v>
      </c>
      <c r="K2" s="57">
        <v>29880</v>
      </c>
      <c r="L2" s="58">
        <v>574</v>
      </c>
      <c r="M2" s="59">
        <v>3118.23</v>
      </c>
      <c r="N2" s="59">
        <v>4164.03</v>
      </c>
      <c r="O2" s="59">
        <v>4729.03</v>
      </c>
      <c r="P2" s="58" t="s">
        <v>54</v>
      </c>
      <c r="Q2" s="58">
        <v>37.005000000000003</v>
      </c>
      <c r="R2" s="58" t="s">
        <v>62</v>
      </c>
    </row>
    <row r="3" spans="2:22" x14ac:dyDescent="0.2">
      <c r="B3" s="6" t="s">
        <v>53</v>
      </c>
      <c r="C3" s="55">
        <f>+'322'!C3+1</f>
        <v>323</v>
      </c>
      <c r="D3" s="5"/>
      <c r="E3" s="5"/>
      <c r="F3" s="5"/>
      <c r="G3" s="5" t="s">
        <v>52</v>
      </c>
      <c r="H3" s="31">
        <f>+'322'!H3+0</f>
        <v>46162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183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61770340</v>
      </c>
      <c r="C21" s="49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4729.03</v>
      </c>
      <c r="G23" s="23">
        <f>+N2</f>
        <v>4164.03</v>
      </c>
      <c r="H23" s="23">
        <f>+M2</f>
        <v>3118.23</v>
      </c>
      <c r="I23" s="48">
        <f>+L2</f>
        <v>574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0" t="s">
        <v>23</v>
      </c>
      <c r="C26" s="67"/>
      <c r="D26" s="67"/>
      <c r="E26" s="67"/>
      <c r="F26" s="67"/>
      <c r="G26" s="67"/>
      <c r="H26" s="67"/>
      <c r="I26" s="61"/>
    </row>
    <row r="27" spans="2:13" ht="24.75" customHeight="1" x14ac:dyDescent="0.2">
      <c r="B27" s="74" t="str">
        <f>+K4</f>
        <v>WOMENS COTTON FIBERS, KNIT PULLOVER, WITH NO NECK CLOSURE, STITCH COUNT IS GREATER THAN 9/2CM, REACHES WAIST, SLEEVELESS [95% COTTON 5% ELASTANE]</v>
      </c>
      <c r="C27" s="75"/>
      <c r="D27" s="75"/>
      <c r="E27" s="75"/>
      <c r="F27" s="75"/>
      <c r="G27" s="75"/>
      <c r="H27" s="75"/>
      <c r="I27" s="76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77" t="s">
        <v>19</v>
      </c>
      <c r="E31" s="77"/>
      <c r="F31" s="77" t="s">
        <v>18</v>
      </c>
      <c r="G31" s="77"/>
      <c r="H31" s="48" t="s">
        <v>17</v>
      </c>
      <c r="I31" s="19" t="s">
        <v>16</v>
      </c>
      <c r="M31"/>
    </row>
    <row r="32" spans="2:13" ht="38.25" x14ac:dyDescent="0.2">
      <c r="B32" s="41" t="s">
        <v>185</v>
      </c>
      <c r="C32" s="19" t="s">
        <v>184</v>
      </c>
      <c r="D32" s="64"/>
      <c r="E32" s="65"/>
      <c r="F32" s="64">
        <f>+K2</f>
        <v>29880</v>
      </c>
      <c r="G32" s="65"/>
      <c r="H32" s="17">
        <v>0.76</v>
      </c>
      <c r="I32" s="18">
        <f>+H32*F32</f>
        <v>22708.799999999999</v>
      </c>
      <c r="K32" s="46"/>
      <c r="M32" s="39"/>
    </row>
    <row r="33" spans="2:11" ht="21" customHeight="1" x14ac:dyDescent="0.2">
      <c r="B33" s="15" t="s">
        <v>15</v>
      </c>
      <c r="C33" s="15"/>
      <c r="D33" s="60"/>
      <c r="E33" s="61"/>
      <c r="F33" s="60"/>
      <c r="G33" s="61"/>
      <c r="H33" s="17"/>
      <c r="I33" s="48"/>
    </row>
    <row r="34" spans="2:11" ht="21.75" customHeight="1" x14ac:dyDescent="0.2">
      <c r="B34" s="15" t="s">
        <v>14</v>
      </c>
      <c r="C34" s="15"/>
      <c r="D34" s="62"/>
      <c r="E34" s="63"/>
      <c r="F34" s="64">
        <f>SUM(F31:G33)</f>
        <v>29880</v>
      </c>
      <c r="G34" s="65"/>
      <c r="H34" s="15"/>
      <c r="I34" s="14">
        <f>SUM(I32:I33)</f>
        <v>22708.799999999999</v>
      </c>
      <c r="J34" s="40"/>
      <c r="K34" s="40"/>
    </row>
    <row r="35" spans="2:11" ht="21.75" customHeight="1" x14ac:dyDescent="0.2">
      <c r="B35" s="16" t="s">
        <v>13</v>
      </c>
      <c r="C35" s="15"/>
      <c r="D35" s="60"/>
      <c r="E35" s="61"/>
      <c r="F35" s="60"/>
      <c r="G35" s="61"/>
      <c r="H35" s="15"/>
      <c r="I35" s="48"/>
      <c r="J35" s="40"/>
    </row>
    <row r="36" spans="2:11" ht="21.75" customHeight="1" x14ac:dyDescent="0.2">
      <c r="B36" s="16" t="s">
        <v>12</v>
      </c>
      <c r="C36" s="15"/>
      <c r="D36" s="60"/>
      <c r="E36" s="61"/>
      <c r="F36" s="60"/>
      <c r="G36" s="61"/>
      <c r="H36" s="15"/>
      <c r="I36" s="14">
        <f>+I34</f>
        <v>22708.799999999999</v>
      </c>
    </row>
    <row r="37" spans="2:11" ht="20.25" customHeight="1" x14ac:dyDescent="0.2">
      <c r="B37" s="15" t="s">
        <v>80</v>
      </c>
      <c r="C37" s="60" t="s">
        <v>11</v>
      </c>
      <c r="D37" s="67"/>
      <c r="E37" s="67"/>
      <c r="F37" s="67"/>
      <c r="G37" s="67"/>
      <c r="H37" s="61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22708.799999999999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68" t="s">
        <v>7</v>
      </c>
      <c r="C46" s="68"/>
      <c r="D46" s="68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2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69" t="s">
        <v>1</v>
      </c>
      <c r="D55" s="69"/>
      <c r="E55" s="5"/>
      <c r="F55" s="5"/>
      <c r="G55" s="5"/>
      <c r="H55" s="5"/>
      <c r="I55" s="4"/>
    </row>
    <row r="56" spans="2:11" x14ac:dyDescent="0.2">
      <c r="B56" s="6"/>
      <c r="C56" s="70" t="s">
        <v>0</v>
      </c>
      <c r="D56" s="70"/>
      <c r="E56" s="5"/>
      <c r="F56" s="5"/>
      <c r="G56" s="5"/>
      <c r="H56" s="5"/>
      <c r="I56" s="4"/>
      <c r="K56">
        <v>2</v>
      </c>
    </row>
    <row r="57" spans="2:11" x14ac:dyDescent="0.2">
      <c r="B57" s="2"/>
      <c r="C57" s="66"/>
      <c r="D57" s="66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3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300-000002000000}">
          <x14:formula1>
            <xm:f>Sheet1!$L$5:$L$25</xm:f>
          </x14:formula1>
          <xm:sqref>G13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reff</vt:lpstr>
      <vt:lpstr>322</vt:lpstr>
      <vt:lpstr>323</vt:lpstr>
      <vt:lpstr>'322'!Print_Area</vt:lpstr>
      <vt:lpstr>'323'!Print_Area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 EXIM</cp:lastModifiedBy>
  <cp:lastPrinted>2026-05-20T01:41:08Z</cp:lastPrinted>
  <dcterms:created xsi:type="dcterms:W3CDTF">2024-04-17T09:56:05Z</dcterms:created>
  <dcterms:modified xsi:type="dcterms:W3CDTF">2026-05-20T01:41:13Z</dcterms:modified>
</cp:coreProperties>
</file>