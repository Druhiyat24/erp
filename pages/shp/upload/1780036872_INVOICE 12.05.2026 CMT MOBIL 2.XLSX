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2.05.2026\MOBIL 2\"/>
    </mc:Choice>
  </mc:AlternateContent>
  <xr:revisionPtr revIDLastSave="0" documentId="13_ncr:1_{1D46547F-338B-49F2-86BF-EE49AA7FB37B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28" r:id="rId1"/>
    <sheet name="reff" sheetId="162" r:id="rId2"/>
    <sheet name="180" sheetId="164" r:id="rId3"/>
    <sheet name="181" sheetId="129" r:id="rId4"/>
    <sheet name="182" sheetId="133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'180'!$B$1:$I$57</definedName>
    <definedName name="_xlnm.Print_Area" localSheetId="3">'181'!$B$1:$I$59</definedName>
    <definedName name="_xlnm.Print_Area" localSheetId="4">'182'!$B$1:$I$57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29" l="1"/>
  <c r="I33" i="129"/>
  <c r="F32" i="133"/>
  <c r="F32" i="164"/>
  <c r="H3" i="129"/>
  <c r="C3" i="129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4" l="1"/>
  <c r="I34" i="164" s="1"/>
  <c r="I36" i="164" s="1"/>
  <c r="I38" i="164" s="1"/>
  <c r="F36" i="129" l="1"/>
  <c r="F34" i="133"/>
  <c r="I32" i="129" l="1"/>
  <c r="C3" i="133"/>
  <c r="H3" i="133"/>
  <c r="I32" i="133" l="1"/>
  <c r="E21" i="129" l="1"/>
  <c r="E21" i="133" l="1"/>
  <c r="C21" i="129"/>
  <c r="C21" i="133"/>
  <c r="H54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I40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<sst xmlns="http://schemas.openxmlformats.org/spreadsheetml/2006/main" count="403" uniqueCount="193">
  <si>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</si>
  <si>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</si>
  <si>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</si>
  <si>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</si>
  <si>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</si>
  <si>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</si>
  <si>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</si>
  <si>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</si>
  <si>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</si>
  <si>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</si>
  <si>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</si>
  <si>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</si>
  <si>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</si>
  <si>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</si>
  <si>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</si>
  <si>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</si>
  <si>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</si>
  <si>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</si>
  <si>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</si>
  <si>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</si>
  <si>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</si>
  <si>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</si>
  <si>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</si>
  <si>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</si>
  <si>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</si>
  <si>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</si>
  <si>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</si>
  <si>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</si>
  <si>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</si>
  <si>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</si>
  <si>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</si>
  <si>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</si>
  <si>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</si>
  <si>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</si>
  <si>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</si>
  <si>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</si>
  <si>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</si>
  <si>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</si>
  <si>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</si>
  <si>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</si>
  <si>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</si>
  <si>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</si>
  <si>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</si>
  <si>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</si>
  <si>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</si>
  <si>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</si>
  <si>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</si>
  <si>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</si>
  <si>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</si>
  <si>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</si>
  <si>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</si>
  <si>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</si>
  <si>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</si>
  <si>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</si>
  <si>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</si>
  <si>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</si>
  <si>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</si>
  <si>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</si>
  <si>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</si>
  <si>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</si>
  <si>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</si>
  <si>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</si>
  <si>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</si>
  <si>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</si>
  <si>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</si>
  <si>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</si>
  <si>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</si>
  <si>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</si>
  <si>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</si>
  <si>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</si>
  <si>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</si>
  <si>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</si>
  <si>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</si>
  <si>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</si>
  <si>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</si>
  <si>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</si>
  <si>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</si>
  <si>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</si>
  <si>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</si>
  <si>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</si>
  <si>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</si>
  <si>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</si>
  <si>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</si>
  <si>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</si>
  <si>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</si>
  <si>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</si>
  <si>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</si>
  <si>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</si>
  <si>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</si>
  <si>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</si>
  <si>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</si>
  <si>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</si>
  <si>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</si>
  <si>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</si>
  <si>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</si>
  <si>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</si>
  <si>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</si>
  <si>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</si>
  <si>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</si>
  <si>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</si>
  <si>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</si>
  <si>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</si>
  <si>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</si>
  <si>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</si>
  <si>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</si>
  <si>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</si>
  <si>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</si>
  <si>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</si>
  <si>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</si>
  <si>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</si>
  <si>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</si>
  <si>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</si>
  <si>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</si>
  <si>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</si>
  <si>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</si>
  <si>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</si>
  <si>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</si>
  <si>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</si>
  <si>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</si>
  <si>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</si>
  <si>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</si>
  <si>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</si>
  <si>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</si>
  <si>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</si>
  <si>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</si>
  <si>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</si>
  <si>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</si>
  <si>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</si>
  <si>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</si>
  <si>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</si>
  <si>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</si>
  <si>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</si>
  <si>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</si>
  <si>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</si>
  <si>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</si>
  <si>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</si>
  <si>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</si>
  <si>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</si>
  <si>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</si>
  <si>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</si>
  <si>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</si>
  <si>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</si>
  <si>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</si>
  <si>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</si>
  <si>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</si>
  <si>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</si>
  <si>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</si>
  <si>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</si>
  <si>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</si>
  <si>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</si>
  <si>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</si>
  <si>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</si>
  <si>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</si>
  <si>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</si>
  <si>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</si>
  <si>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</si>
  <si>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</si>
  <si>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</si>
  <si>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</si>
  <si>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</si>
  <si>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</si>
  <si>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</si>
  <si>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</si>
  <si>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</si>
  <si>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</si>
  <si>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</si>
  <si>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</si>
  <si>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</si>
  <si>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</si>
  <si>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</si>
  <si>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</si>
  <si>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</si>
  <si>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</si>
  <si>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</si>
  <si>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</si>
  <si>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</si>
  <si>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</si>
  <si>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>(FS INVOICE)</t>
  </si>
  <si>
    <t>265K0051</t>
  </si>
  <si>
    <t>265K0052</t>
  </si>
  <si>
    <t>FRANCHISE</t>
  </si>
  <si>
    <t>RED TAPE</t>
  </si>
  <si>
    <t>01</t>
  </si>
  <si>
    <t>BOYS COTTON FIBERS, KNIT SHIRT, WITH NECK CLOSURE, STITCH COUNT EQUAL OR IS GREATER THAN 10/1CM, HEM BOTTOM [60% COTTON 40% POLYESTER]</t>
  </si>
  <si>
    <t>BLACK JACK, FAUX HEATHER GREY</t>
  </si>
  <si>
    <t>03, 00</t>
  </si>
  <si>
    <t>BRIGHT WHITE</t>
  </si>
  <si>
    <t>04</t>
  </si>
  <si>
    <t>INK BLUE</t>
  </si>
  <si>
    <t>02</t>
  </si>
  <si>
    <t>BLACK JACK, INK BLUE</t>
  </si>
  <si>
    <t>04, 02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</si>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</sst>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49</xdr:row>
      <xdr:rowOff>9525</xdr:rowOff>
    </xdr:from>
    <xdr:to>
      <xdr:col>4</xdr:col>
      <xdr:colOff>322160</xdr:colOff>
      <xdr:row>57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94</v>
      </c>
      <c r="D3" t="s">
        <v>93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86</v>
      </c>
      <c r="G5" s="10" t="s">
        <v>97</v>
      </c>
      <c r="H5" s="10" t="s">
        <v>87</v>
      </c>
      <c r="I5" s="10" t="s">
        <v>98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99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100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96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101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95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136</v>
      </c>
      <c r="D11" s="10" t="s">
        <v>116</v>
      </c>
      <c r="F11" s="10" t="s">
        <v>102</v>
      </c>
      <c r="G11" s="10" t="s">
        <v>104</v>
      </c>
      <c r="H11" s="10" t="s">
        <v>108</v>
      </c>
      <c r="I11" s="10" t="s">
        <v>112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137</v>
      </c>
      <c r="D12" s="54" t="s">
        <v>117</v>
      </c>
      <c r="F12" s="54" t="s">
        <v>103</v>
      </c>
      <c r="G12" s="54" t="s">
        <v>105</v>
      </c>
      <c r="H12" s="54" t="s">
        <v>109</v>
      </c>
      <c r="I12" s="54" t="s">
        <v>113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138</v>
      </c>
      <c r="D13" s="54" t="s">
        <v>118</v>
      </c>
      <c r="F13" s="54" t="s">
        <v>100</v>
      </c>
      <c r="G13" s="54" t="s">
        <v>106</v>
      </c>
      <c r="H13" s="54" t="s">
        <v>110</v>
      </c>
      <c r="I13" s="54" t="s">
        <v>114</v>
      </c>
      <c r="L13" t="str">
        <f>F17</f>
        <v>BDC-0015</v>
      </c>
    </row>
    <row r="14" spans="2:12" x14ac:dyDescent="0.2">
      <c r="B14" s="54" t="s">
        <v>140</v>
      </c>
      <c r="D14" s="55" t="s">
        <v>119</v>
      </c>
      <c r="F14" s="55" t="s">
        <v>101</v>
      </c>
      <c r="G14" s="55" t="s">
        <v>107</v>
      </c>
      <c r="H14" s="55" t="s">
        <v>111</v>
      </c>
      <c r="I14" s="55" t="s">
        <v>115</v>
      </c>
      <c r="L14" t="str">
        <f>G17</f>
        <v>CANADA OMNI CAO-0040</v>
      </c>
    </row>
    <row r="15" spans="2:12" x14ac:dyDescent="0.2">
      <c r="B15" s="9" t="s">
        <v>139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125</v>
      </c>
      <c r="G17" s="10" t="s">
        <v>88</v>
      </c>
      <c r="H17" s="10" t="s">
        <v>89</v>
      </c>
      <c r="I17" s="10" t="s">
        <v>120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90</v>
      </c>
      <c r="I18" s="54" t="s">
        <v>121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91</v>
      </c>
      <c r="I19" s="54" t="s">
        <v>122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92</v>
      </c>
      <c r="I20" s="54" t="s">
        <v>123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124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126</v>
      </c>
      <c r="F23" s="10" t="s">
        <v>131</v>
      </c>
      <c r="G23" s="10" t="s">
        <v>144</v>
      </c>
      <c r="H23" s="10" t="s">
        <v>149</v>
      </c>
      <c r="I23" s="10" t="s">
        <v>155</v>
      </c>
      <c r="L23" t="str">
        <f>H29</f>
        <v>NDC-0028</v>
      </c>
    </row>
    <row r="24" spans="2:12" x14ac:dyDescent="0.2">
      <c r="D24" s="54" t="s">
        <v>127</v>
      </c>
      <c r="F24" s="54" t="s">
        <v>134</v>
      </c>
      <c r="G24" s="54" t="s">
        <v>145</v>
      </c>
      <c r="H24" s="54" t="s">
        <v>150</v>
      </c>
      <c r="I24" s="54" t="s">
        <v>156</v>
      </c>
      <c r="L24" t="str">
        <f>I29</f>
        <v>PDC-0014</v>
      </c>
    </row>
    <row r="25" spans="2:12" x14ac:dyDescent="0.2">
      <c r="D25" s="54" t="s">
        <v>128</v>
      </c>
      <c r="F25" s="54" t="s">
        <v>135</v>
      </c>
      <c r="G25" s="54" t="s">
        <v>146</v>
      </c>
      <c r="H25" s="54" t="s">
        <v>151</v>
      </c>
      <c r="I25" s="54" t="s">
        <v>157</v>
      </c>
      <c r="L25" t="str">
        <f>F35</f>
        <v>JPD-0030</v>
      </c>
    </row>
    <row r="26" spans="2:12" x14ac:dyDescent="0.2">
      <c r="D26" s="54" t="s">
        <v>129</v>
      </c>
      <c r="F26" s="54" t="s">
        <v>132</v>
      </c>
      <c r="G26" s="54" t="s">
        <v>147</v>
      </c>
      <c r="H26" s="54" t="s">
        <v>152</v>
      </c>
      <c r="I26" s="55" t="s">
        <v>158</v>
      </c>
    </row>
    <row r="27" spans="2:12" x14ac:dyDescent="0.2">
      <c r="D27" s="9" t="s">
        <v>130</v>
      </c>
      <c r="F27" s="9" t="s">
        <v>133</v>
      </c>
      <c r="G27" s="9" t="s">
        <v>148</v>
      </c>
      <c r="H27" s="9" t="s">
        <v>153</v>
      </c>
      <c r="I27" s="9" t="s">
        <v>67</v>
      </c>
    </row>
    <row r="28" spans="2:12" x14ac:dyDescent="0.2">
      <c r="D28" s="10"/>
    </row>
    <row r="29" spans="2:12" x14ac:dyDescent="0.2">
      <c r="D29" s="10" t="s">
        <v>141</v>
      </c>
      <c r="F29" s="10" t="s">
        <v>159</v>
      </c>
      <c r="G29" s="10" t="s">
        <v>161</v>
      </c>
      <c r="H29" s="10" t="s">
        <v>163</v>
      </c>
      <c r="I29" s="10" t="s">
        <v>164</v>
      </c>
    </row>
    <row r="30" spans="2:12" x14ac:dyDescent="0.2">
      <c r="D30" s="54" t="s">
        <v>142</v>
      </c>
      <c r="F30" s="54" t="s">
        <v>160</v>
      </c>
      <c r="G30" s="54" t="s">
        <v>162</v>
      </c>
      <c r="H30" s="54" t="s">
        <v>162</v>
      </c>
      <c r="I30" s="54" t="s">
        <v>165</v>
      </c>
    </row>
    <row r="31" spans="2:12" x14ac:dyDescent="0.2">
      <c r="D31" s="54" t="s">
        <v>143</v>
      </c>
      <c r="F31" s="54" t="s">
        <v>110</v>
      </c>
      <c r="G31" s="54" t="s">
        <v>69</v>
      </c>
      <c r="H31" s="54" t="s">
        <v>69</v>
      </c>
      <c r="I31" s="54" t="s">
        <v>100</v>
      </c>
    </row>
    <row r="32" spans="2:12" x14ac:dyDescent="0.2">
      <c r="D32" s="54" t="s">
        <v>129</v>
      </c>
      <c r="F32" s="55" t="s">
        <v>111</v>
      </c>
      <c r="G32" s="55" t="s">
        <v>76</v>
      </c>
      <c r="H32" s="55" t="s">
        <v>76</v>
      </c>
      <c r="I32" s="55" t="s">
        <v>101</v>
      </c>
    </row>
    <row r="33" spans="4:9" x14ac:dyDescent="0.2">
      <c r="D33" s="9" t="s">
        <v>130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116</v>
      </c>
      <c r="F35" s="10" t="s">
        <v>171</v>
      </c>
    </row>
    <row r="36" spans="4:9" x14ac:dyDescent="0.2">
      <c r="D36" s="54" t="s">
        <v>117</v>
      </c>
      <c r="F36" s="54" t="s">
        <v>172</v>
      </c>
    </row>
    <row r="37" spans="4:9" x14ac:dyDescent="0.2">
      <c r="D37" s="54" t="s">
        <v>118</v>
      </c>
      <c r="F37" s="54" t="s">
        <v>173</v>
      </c>
    </row>
    <row r="38" spans="4:9" x14ac:dyDescent="0.2">
      <c r="D38" s="55" t="s">
        <v>119</v>
      </c>
      <c r="F38" s="54" t="s">
        <v>174</v>
      </c>
    </row>
    <row r="39" spans="4:9" x14ac:dyDescent="0.2">
      <c r="D39" s="9" t="s">
        <v>67</v>
      </c>
      <c r="F39" s="9" t="s">
        <v>175</v>
      </c>
    </row>
    <row r="41" spans="4:9" x14ac:dyDescent="0.2">
      <c r="D41" s="10" t="s">
        <v>154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166</v>
      </c>
    </row>
    <row r="48" spans="4:9" x14ac:dyDescent="0.2">
      <c r="D48" s="54" t="s">
        <v>167</v>
      </c>
    </row>
    <row r="49" spans="4:4" x14ac:dyDescent="0.2">
      <c r="D49" s="54" t="s">
        <v>168</v>
      </c>
    </row>
    <row r="50" spans="4:4" x14ac:dyDescent="0.2">
      <c r="D50" s="55" t="s">
        <v>169</v>
      </c>
    </row>
    <row r="51" spans="4:4" x14ac:dyDescent="0.2">
      <c r="D51" s="9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9" sqref="J9"/>
    </sheetView>
  </sheetViews>
  <sheetFormatPr defaultRowHeight="12.75" x14ac:dyDescent="0.2"/>
  <sheetData>
    <row r="2" spans="2:9" ht="15" x14ac:dyDescent="0.25">
      <c r="B2" s="56">
        <v>1</v>
      </c>
      <c r="C2" t="s">
        <v>178</v>
      </c>
      <c r="E2" s="56">
        <v>1</v>
      </c>
      <c r="F2">
        <v>416363</v>
      </c>
      <c r="H2" s="56">
        <v>1</v>
      </c>
      <c r="I2" s="57" t="s">
        <v>176</v>
      </c>
    </row>
    <row r="3" spans="2:9" ht="15" x14ac:dyDescent="0.25">
      <c r="B3" s="56">
        <v>2</v>
      </c>
      <c r="C3" t="s">
        <v>178</v>
      </c>
      <c r="E3" s="56">
        <v>2</v>
      </c>
      <c r="F3">
        <v>416363</v>
      </c>
      <c r="H3" s="56">
        <v>2</v>
      </c>
      <c r="I3" s="57" t="s">
        <v>180</v>
      </c>
    </row>
    <row r="4" spans="2:9" ht="15" x14ac:dyDescent="0.25">
      <c r="B4" s="56">
        <v>3</v>
      </c>
      <c r="C4" t="s">
        <v>179</v>
      </c>
      <c r="E4" s="56">
        <v>3</v>
      </c>
      <c r="F4">
        <v>767468</v>
      </c>
      <c r="H4" s="56">
        <v>3</v>
      </c>
      <c r="I4" s="57" t="s">
        <v>180</v>
      </c>
    </row>
    <row r="5" spans="2:9" ht="15" x14ac:dyDescent="0.25">
      <c r="B5" s="56">
        <v>4</v>
      </c>
      <c r="E5" s="56">
        <v>4</v>
      </c>
      <c r="H5" s="56">
        <v>4</v>
      </c>
      <c r="I5" s="57"/>
    </row>
    <row r="6" spans="2:9" ht="15" x14ac:dyDescent="0.25">
      <c r="B6" s="56">
        <v>5</v>
      </c>
      <c r="E6" s="56">
        <v>5</v>
      </c>
      <c r="H6" s="56">
        <v>5</v>
      </c>
      <c r="I6" s="57"/>
    </row>
    <row r="7" spans="2:9" x14ac:dyDescent="0.2">
      <c r="B7" s="56">
        <v>6</v>
      </c>
      <c r="E7" s="56">
        <v>6</v>
      </c>
      <c r="H7" s="56">
        <v>6</v>
      </c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192</v>
      </c>
      <c r="C2" s="64"/>
      <c r="D2" s="64"/>
      <c r="E2" s="64"/>
      <c r="F2" s="64"/>
      <c r="G2" s="64"/>
      <c r="H2" s="64"/>
      <c r="I2" s="65"/>
      <c r="J2" s="43">
        <v>61473112</v>
      </c>
      <c r="K2" s="50">
        <v>6311</v>
      </c>
      <c r="L2" s="44">
        <v>62</v>
      </c>
      <c r="M2" s="44">
        <v>709.63300000000004</v>
      </c>
      <c r="N2" s="44">
        <v>722.255</v>
      </c>
      <c r="O2" s="44">
        <v>782.10500000000002</v>
      </c>
      <c r="P2" s="44" t="s">
        <v>54</v>
      </c>
      <c r="Q2" s="44">
        <v>3.8410000000000002</v>
      </c>
      <c r="R2" s="44" t="s">
        <v>62</v>
      </c>
    </row>
    <row r="3" spans="2:22" x14ac:dyDescent="0.2">
      <c r="B3" s="6" t="s">
        <v>53</v>
      </c>
      <c r="C3" s="60">
        <v>180</v>
      </c>
      <c r="D3" s="5"/>
      <c r="E3" s="5"/>
      <c r="F3" s="5"/>
      <c r="G3" s="5" t="s">
        <v>52</v>
      </c>
      <c r="H3" s="31"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61473112</v>
      </c>
      <c r="C21" s="5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782.10500000000002</v>
      </c>
      <c r="G23" s="23">
        <f>+N2</f>
        <v>722.255</v>
      </c>
      <c r="H23" s="23">
        <f>+M2</f>
        <v>709.63300000000004</v>
      </c>
      <c r="I23" s="58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2" t="s">
        <v>19</v>
      </c>
      <c r="E31" s="72"/>
      <c r="F31" s="72" t="s">
        <v>18</v>
      </c>
      <c r="G31" s="72"/>
      <c r="H31" s="58" t="s">
        <v>17</v>
      </c>
      <c r="I31" s="19" t="s">
        <v>16</v>
      </c>
      <c r="M31"/>
    </row>
    <row r="32" spans="2:13" ht="24.75" customHeight="1" x14ac:dyDescent="0.2">
      <c r="B32" s="41" t="s">
        <v>182</v>
      </c>
      <c r="C32" s="19" t="s">
        <v>181</v>
      </c>
      <c r="D32" s="61"/>
      <c r="E32" s="62"/>
      <c r="F32" s="61">
        <f>+K2</f>
        <v>6311</v>
      </c>
      <c r="G32" s="62"/>
      <c r="H32" s="17">
        <v>0.9</v>
      </c>
      <c r="I32" s="18">
        <f>+H32*F32</f>
        <v>5679.9000000000005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58"/>
    </row>
    <row r="34" spans="2:11" ht="21.75" customHeight="1" x14ac:dyDescent="0.2">
      <c r="B34" s="15" t="s">
        <v>14</v>
      </c>
      <c r="C34" s="15"/>
      <c r="D34" s="73"/>
      <c r="E34" s="74"/>
      <c r="F34" s="61">
        <f>SUM(F31:G33)</f>
        <v>6311</v>
      </c>
      <c r="G34" s="62"/>
      <c r="H34" s="15"/>
      <c r="I34" s="14">
        <f>SUM(I32:I33)</f>
        <v>5679.9000000000005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58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5679.9000000000005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5679.9000000000005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60"/>
  <sheetViews>
    <sheetView view="pageBreakPreview" topLeftCell="A25" zoomScaleNormal="100" zoomScaleSheetLayoutView="100" workbookViewId="0">
      <selection activeCell="H35" sqref="H35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192</v>
      </c>
      <c r="C2" s="64"/>
      <c r="D2" s="64"/>
      <c r="E2" s="64"/>
      <c r="F2" s="64"/>
      <c r="G2" s="64"/>
      <c r="H2" s="64"/>
      <c r="I2" s="65"/>
      <c r="J2" s="43">
        <v>61642491</v>
      </c>
      <c r="K2" s="44">
        <v>120</v>
      </c>
      <c r="L2" s="44">
        <v>20</v>
      </c>
      <c r="M2" s="44">
        <v>13.91</v>
      </c>
      <c r="N2" s="44">
        <v>14.15</v>
      </c>
      <c r="O2" s="44">
        <v>23.15</v>
      </c>
      <c r="P2" s="44" t="s">
        <v>54</v>
      </c>
      <c r="Q2" s="44">
        <v>0.33600000000000002</v>
      </c>
      <c r="R2" s="44" t="s">
        <v>62</v>
      </c>
    </row>
    <row r="3" spans="2:22" x14ac:dyDescent="0.2">
      <c r="B3" s="6" t="s">
        <v>53</v>
      </c>
      <c r="C3" s="60">
        <f>+'180'!C3+1</f>
        <v>181</v>
      </c>
      <c r="D3" s="5"/>
      <c r="E3" s="5"/>
      <c r="F3" s="5"/>
      <c r="G3" s="5" t="s">
        <v>52</v>
      </c>
      <c r="H3" s="31">
        <f>+'180'!H3+0</f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112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61642491</v>
      </c>
      <c r="C21" s="52">
        <f>VLOOKUP($K58,reff!E2:F29,2,0)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23.15</v>
      </c>
      <c r="G23" s="23">
        <f>+N2</f>
        <v>14.15</v>
      </c>
      <c r="H23" s="23">
        <f>+M2</f>
        <v>13.91</v>
      </c>
      <c r="I23" s="51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2" t="s">
        <v>19</v>
      </c>
      <c r="E31" s="72"/>
      <c r="F31" s="72" t="s">
        <v>18</v>
      </c>
      <c r="G31" s="72"/>
      <c r="H31" s="51" t="s">
        <v>17</v>
      </c>
      <c r="I31" s="19" t="s">
        <v>16</v>
      </c>
      <c r="M31"/>
    </row>
    <row r="32" spans="2:13" ht="25.5" x14ac:dyDescent="0.2">
      <c r="B32" s="41" t="s">
        <v>185</v>
      </c>
      <c r="C32" s="19" t="s">
        <v>184</v>
      </c>
      <c r="D32" s="61"/>
      <c r="E32" s="62"/>
      <c r="F32" s="61">
        <v>48</v>
      </c>
      <c r="G32" s="62"/>
      <c r="H32" s="17">
        <v>0.9</v>
      </c>
      <c r="I32" s="18">
        <f>+H32*F32</f>
        <v>43.2</v>
      </c>
      <c r="K32" s="48"/>
      <c r="M32" s="39"/>
    </row>
    <row r="33" spans="2:13" ht="31.5" customHeight="1" x14ac:dyDescent="0.2">
      <c r="B33" s="41" t="s">
        <v>187</v>
      </c>
      <c r="C33" s="19" t="s">
        <v>186</v>
      </c>
      <c r="D33" s="61"/>
      <c r="E33" s="62"/>
      <c r="F33" s="61">
        <v>48</v>
      </c>
      <c r="G33" s="62"/>
      <c r="H33" s="17">
        <v>0.9</v>
      </c>
      <c r="I33" s="18">
        <f>+H33*F33</f>
        <v>43.2</v>
      </c>
      <c r="K33" s="48"/>
      <c r="M33" s="39"/>
    </row>
    <row r="34" spans="2:13" ht="27.75" customHeight="1" x14ac:dyDescent="0.2">
      <c r="B34" s="41" t="s">
        <v>189</v>
      </c>
      <c r="C34" s="19" t="s">
        <v>188</v>
      </c>
      <c r="D34" s="61"/>
      <c r="E34" s="62"/>
      <c r="F34" s="61">
        <v>24</v>
      </c>
      <c r="G34" s="62"/>
      <c r="H34" s="17">
        <v>0.9</v>
      </c>
      <c r="I34" s="18">
        <f>+H34*F34</f>
        <v>21.6</v>
      </c>
      <c r="K34" s="48"/>
      <c r="M34" s="39"/>
    </row>
    <row r="35" spans="2:13" ht="21" customHeight="1" x14ac:dyDescent="0.2">
      <c r="B35" s="15" t="s">
        <v>15</v>
      </c>
      <c r="C35" s="15"/>
      <c r="D35" s="66"/>
      <c r="E35" s="68"/>
      <c r="F35" s="66"/>
      <c r="G35" s="68"/>
      <c r="H35" s="17"/>
      <c r="I35" s="51"/>
    </row>
    <row r="36" spans="2:13" ht="21.75" customHeight="1" x14ac:dyDescent="0.2">
      <c r="B36" s="15" t="s">
        <v>14</v>
      </c>
      <c r="C36" s="15"/>
      <c r="D36" s="73"/>
      <c r="E36" s="74"/>
      <c r="F36" s="61">
        <f>SUM(F30:G35)</f>
        <v>120</v>
      </c>
      <c r="G36" s="62"/>
      <c r="H36" s="15"/>
      <c r="I36" s="14">
        <f>SUM(I32:I35)</f>
        <v>108</v>
      </c>
      <c r="J36" s="40"/>
      <c r="K36" s="40"/>
    </row>
    <row r="37" spans="2:13" ht="21.75" customHeight="1" x14ac:dyDescent="0.2">
      <c r="B37" s="16" t="s">
        <v>13</v>
      </c>
      <c r="C37" s="15"/>
      <c r="D37" s="66"/>
      <c r="E37" s="68"/>
      <c r="F37" s="66"/>
      <c r="G37" s="68"/>
      <c r="H37" s="15"/>
      <c r="I37" s="51"/>
      <c r="J37" s="40"/>
    </row>
    <row r="38" spans="2:13" ht="21.75" customHeight="1" x14ac:dyDescent="0.2">
      <c r="B38" s="16" t="s">
        <v>12</v>
      </c>
      <c r="C38" s="15"/>
      <c r="D38" s="66"/>
      <c r="E38" s="68"/>
      <c r="F38" s="66"/>
      <c r="G38" s="68"/>
      <c r="H38" s="15"/>
      <c r="I38" s="14">
        <f>+I36</f>
        <v>108</v>
      </c>
    </row>
    <row r="39" spans="2:13" ht="20.25" customHeight="1" x14ac:dyDescent="0.2">
      <c r="B39" s="15" t="s">
        <v>80</v>
      </c>
      <c r="C39" s="66" t="s">
        <v>11</v>
      </c>
      <c r="D39" s="67"/>
      <c r="E39" s="67"/>
      <c r="F39" s="67"/>
      <c r="G39" s="67"/>
      <c r="H39" s="68"/>
      <c r="I39" s="47"/>
    </row>
    <row r="40" spans="2:13" ht="21" customHeight="1" x14ac:dyDescent="0.2">
      <c r="B40" s="16" t="s">
        <v>10</v>
      </c>
      <c r="C40" s="15"/>
      <c r="D40" s="15"/>
      <c r="E40" s="15"/>
      <c r="F40" s="15"/>
      <c r="G40" s="15"/>
      <c r="H40" s="15"/>
      <c r="I40" s="14">
        <f>+I38+I39</f>
        <v>108</v>
      </c>
    </row>
    <row r="41" spans="2:13" ht="18.75" customHeight="1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6"/>
      <c r="C42" s="5"/>
      <c r="D42" s="5"/>
      <c r="E42" s="5"/>
      <c r="F42" s="5"/>
      <c r="G42" s="5"/>
      <c r="H42" s="5"/>
      <c r="I42" s="4"/>
    </row>
    <row r="43" spans="2:13" x14ac:dyDescent="0.2">
      <c r="B43" s="13" t="s">
        <v>9</v>
      </c>
      <c r="C43" s="12"/>
      <c r="D43" s="12"/>
      <c r="E43" s="12"/>
      <c r="F43" s="12"/>
      <c r="G43" s="12"/>
      <c r="H43" s="12"/>
      <c r="I43" s="11"/>
    </row>
    <row r="44" spans="2:13" x14ac:dyDescent="0.2">
      <c r="B44" s="2" t="s">
        <v>177</v>
      </c>
      <c r="C44" s="1"/>
      <c r="D44" s="1"/>
      <c r="E44" s="1"/>
      <c r="F44" s="1"/>
      <c r="G44" s="1"/>
      <c r="H44" s="1"/>
      <c r="I44" s="3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6" t="s">
        <v>8</v>
      </c>
      <c r="C46" s="5"/>
      <c r="D46" s="5"/>
      <c r="E46" s="5"/>
      <c r="F46" s="5"/>
      <c r="G46" s="5"/>
      <c r="H46" s="5"/>
      <c r="I46" s="4"/>
    </row>
    <row r="47" spans="2:13" x14ac:dyDescent="0.2">
      <c r="B47" s="6"/>
      <c r="C47" s="5"/>
      <c r="D47" s="5"/>
      <c r="E47" s="5"/>
      <c r="F47" s="5"/>
      <c r="G47" s="5"/>
      <c r="H47" s="5"/>
      <c r="I47" s="4"/>
    </row>
    <row r="48" spans="2:13" x14ac:dyDescent="0.2">
      <c r="B48" s="76" t="s">
        <v>7</v>
      </c>
      <c r="C48" s="76"/>
      <c r="D48" s="76"/>
      <c r="E48" s="10" t="s">
        <v>6</v>
      </c>
      <c r="F48" s="10"/>
      <c r="G48" s="10"/>
      <c r="H48" s="10"/>
      <c r="I48" s="10"/>
    </row>
    <row r="49" spans="2:11" x14ac:dyDescent="0.2">
      <c r="B49" s="2"/>
      <c r="C49" s="1"/>
      <c r="D49" s="3"/>
      <c r="E49" s="9" t="s">
        <v>5</v>
      </c>
      <c r="F49" s="9"/>
      <c r="G49" s="9"/>
      <c r="H49" s="2"/>
      <c r="I49" s="3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4</v>
      </c>
      <c r="C51" s="5"/>
      <c r="D51" s="5"/>
      <c r="E51" s="5"/>
      <c r="F51" s="5"/>
      <c r="G51" s="5"/>
      <c r="H51" s="5"/>
      <c r="I51" s="4"/>
    </row>
    <row r="52" spans="2:11" x14ac:dyDescent="0.2">
      <c r="B52" s="6" t="s">
        <v>3</v>
      </c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5"/>
      <c r="D54" s="5"/>
      <c r="E54" s="5"/>
      <c r="F54" s="5"/>
      <c r="G54" s="5" t="s">
        <v>2</v>
      </c>
      <c r="H54" s="5" t="str">
        <f>VLOOKUP($K54,reff!B2:C29,2,0)</f>
        <v>265K0051</v>
      </c>
      <c r="I54" s="8"/>
      <c r="K54">
        <v>2</v>
      </c>
    </row>
    <row r="55" spans="2:11" x14ac:dyDescent="0.2">
      <c r="B55" s="6"/>
      <c r="C55" s="5"/>
      <c r="D55" s="5"/>
      <c r="E55" s="5"/>
      <c r="F55" s="5"/>
      <c r="G55" s="5"/>
      <c r="H55" s="7"/>
      <c r="I55" s="4"/>
    </row>
    <row r="56" spans="2:11" x14ac:dyDescent="0.2">
      <c r="B56" s="6"/>
      <c r="C56" s="5"/>
      <c r="D56" s="5"/>
      <c r="E56" s="5"/>
      <c r="F56" s="5"/>
      <c r="G56" s="5"/>
      <c r="H56" s="5"/>
      <c r="I56" s="4"/>
    </row>
    <row r="57" spans="2:11" x14ac:dyDescent="0.2">
      <c r="B57" s="6"/>
      <c r="C57" s="77" t="s">
        <v>1</v>
      </c>
      <c r="D57" s="77"/>
      <c r="E57" s="5"/>
      <c r="F57" s="5"/>
      <c r="G57" s="5"/>
      <c r="H57" s="5"/>
      <c r="I57" s="4"/>
    </row>
    <row r="58" spans="2:11" x14ac:dyDescent="0.2">
      <c r="B58" s="6"/>
      <c r="C58" s="78" t="s">
        <v>0</v>
      </c>
      <c r="D58" s="78"/>
      <c r="E58" s="5"/>
      <c r="F58" s="5"/>
      <c r="G58" s="5"/>
      <c r="H58" s="5"/>
      <c r="I58" s="4"/>
      <c r="K58">
        <v>2</v>
      </c>
    </row>
    <row r="59" spans="2:11" x14ac:dyDescent="0.2">
      <c r="B59" s="2"/>
      <c r="C59" s="75"/>
      <c r="D59" s="75"/>
      <c r="E59" s="1"/>
      <c r="F59" s="1"/>
      <c r="G59" s="1"/>
      <c r="H59" s="1"/>
      <c r="I59" s="1"/>
    </row>
    <row r="60" spans="2:11" x14ac:dyDescent="0.2">
      <c r="B60" s="5"/>
      <c r="C60" s="5"/>
      <c r="D60" s="5"/>
      <c r="E60" s="5"/>
      <c r="F60" s="5"/>
      <c r="G60" s="5"/>
      <c r="H60" s="5"/>
      <c r="I60" s="5"/>
    </row>
  </sheetData>
  <mergeCells count="24">
    <mergeCell ref="D33:E33"/>
    <mergeCell ref="F33:G33"/>
    <mergeCell ref="D34:E34"/>
    <mergeCell ref="F34:G34"/>
    <mergeCell ref="D32:E32"/>
    <mergeCell ref="F32:G32"/>
    <mergeCell ref="B2:I2"/>
    <mergeCell ref="B26:I26"/>
    <mergeCell ref="B27:I27"/>
    <mergeCell ref="D31:E31"/>
    <mergeCell ref="F31:G31"/>
    <mergeCell ref="C59:D59"/>
    <mergeCell ref="D38:E38"/>
    <mergeCell ref="F38:G38"/>
    <mergeCell ref="C39:H39"/>
    <mergeCell ref="B48:D48"/>
    <mergeCell ref="C57:D57"/>
    <mergeCell ref="C58:D58"/>
    <mergeCell ref="D35:E35"/>
    <mergeCell ref="F35:G35"/>
    <mergeCell ref="D36:E36"/>
    <mergeCell ref="F36:G36"/>
    <mergeCell ref="D37:E37"/>
    <mergeCell ref="F37:G3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zoomScaleNormal="100" zoomScaleSheetLayoutView="100" workbookViewId="0">
      <selection activeCell="E7" sqref="E7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192</v>
      </c>
      <c r="C2" s="64"/>
      <c r="D2" s="64"/>
      <c r="E2" s="64"/>
      <c r="F2" s="64"/>
      <c r="G2" s="64"/>
      <c r="H2" s="64"/>
      <c r="I2" s="65"/>
      <c r="J2" s="43">
        <v>61642772</v>
      </c>
      <c r="K2" s="44">
        <v>91</v>
      </c>
      <c r="L2" s="44">
        <v>10</v>
      </c>
      <c r="M2" s="44">
        <v>12.46</v>
      </c>
      <c r="N2" s="44">
        <v>14.28</v>
      </c>
      <c r="O2" s="44">
        <v>18.78</v>
      </c>
      <c r="P2" s="44" t="s">
        <v>54</v>
      </c>
      <c r="Q2" s="44">
        <v>0.16800000000000001</v>
      </c>
      <c r="R2" s="44" t="s">
        <v>62</v>
      </c>
    </row>
    <row r="3" spans="2:22" x14ac:dyDescent="0.2">
      <c r="B3" s="6" t="s">
        <v>53</v>
      </c>
      <c r="C3" s="60">
        <f>+'181'!C3+1</f>
        <v>182</v>
      </c>
      <c r="D3" s="5"/>
      <c r="E3" s="5"/>
      <c r="F3" s="5"/>
      <c r="G3" s="5" t="s">
        <v>52</v>
      </c>
      <c r="H3" s="31">
        <f>+'181'!H3+0</f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112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61642772</v>
      </c>
      <c r="C21" s="52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18.78</v>
      </c>
      <c r="G23" s="23">
        <f>+N2</f>
        <v>14.28</v>
      </c>
      <c r="H23" s="23">
        <f>+M2</f>
        <v>12.46</v>
      </c>
      <c r="I23" s="51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2" t="s">
        <v>19</v>
      </c>
      <c r="E31" s="72"/>
      <c r="F31" s="72" t="s">
        <v>18</v>
      </c>
      <c r="G31" s="72"/>
      <c r="H31" s="51" t="s">
        <v>17</v>
      </c>
      <c r="I31" s="19" t="s">
        <v>16</v>
      </c>
      <c r="M31"/>
    </row>
    <row r="32" spans="2:13" ht="31.5" customHeight="1" x14ac:dyDescent="0.2">
      <c r="B32" s="41" t="s">
        <v>191</v>
      </c>
      <c r="C32" s="19" t="s">
        <v>190</v>
      </c>
      <c r="D32" s="61"/>
      <c r="E32" s="62"/>
      <c r="F32" s="61">
        <f>+K2</f>
        <v>91</v>
      </c>
      <c r="G32" s="62"/>
      <c r="H32" s="17">
        <v>1.05</v>
      </c>
      <c r="I32" s="18">
        <f>+H32*F32</f>
        <v>95.55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51"/>
    </row>
    <row r="34" spans="2:11" ht="21.75" customHeight="1" x14ac:dyDescent="0.2">
      <c r="B34" s="15" t="s">
        <v>14</v>
      </c>
      <c r="C34" s="15"/>
      <c r="D34" s="73"/>
      <c r="E34" s="74"/>
      <c r="F34" s="61">
        <f>SUM(F31:G33)</f>
        <v>91</v>
      </c>
      <c r="G34" s="62"/>
      <c r="H34" s="15"/>
      <c r="I34" s="14">
        <f>SUM(I32:I33)</f>
        <v>95.55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95.55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95.55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180</vt:lpstr>
      <vt:lpstr>181</vt:lpstr>
      <vt:lpstr>182</vt:lpstr>
      <vt:lpstr>'180'!Print_Area</vt:lpstr>
      <vt:lpstr>'181'!Print_Area</vt:lpstr>
      <vt:lpstr>'182'!Print_Area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2026-05-04T02:03:50Z</cp:lastPrinted>
  <dcterms:created xsi:type="dcterms:W3CDTF">2024-04-17T09:56:05Z</dcterms:created>
  <dcterms:modified xsi:type="dcterms:W3CDTF">2026-05-12T02:01:37Z</dcterms:modified>
</cp:coreProperties>
</file>