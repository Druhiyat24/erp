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5. MEI\06.05.2026\MOBIL 1\"/>
    </mc:Choice>
  </mc:AlternateContent>
  <xr:revisionPtr revIDLastSave="0" documentId="13_ncr:1_{6F7F7B05-3377-40D2-9F8A-362FC1214B09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Sheet1" sheetId="128" r:id="rId1"/>
    <sheet name="reff" sheetId="162" r:id="rId2"/>
    <sheet name="74" sheetId="177" r:id="rId3"/>
    <sheet name="75" sheetId="178" r:id="rId4"/>
  </sheets>
  <externalReferences>
    <externalReference r:id="rId5"/>
    <externalReference r:id="rId6"/>
    <externalReference r:id="rId7"/>
  </externalReferences>
  <definedNames>
    <definedName name="_box2">[1]参数!$B$3</definedName>
    <definedName name="a" localSheetId="2">[2]xdata!#REF!</definedName>
    <definedName name="a" localSheetId="3">[2]xdata!#REF!</definedName>
    <definedName name="a">[2]xdata!#REF!</definedName>
    <definedName name="b" localSheetId="2">[2]xdata!#REF!</definedName>
    <definedName name="b" localSheetId="3">[2]xdata!#REF!</definedName>
    <definedName name="b">[2]xdata!#REF!</definedName>
    <definedName name="C_O" localSheetId="2">[2]xdata!#REF!</definedName>
    <definedName name="C_O" localSheetId="3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>[2]xdata!#REF!</definedName>
    <definedName name="INVOICE">[2]xdata!$B$2</definedName>
    <definedName name="_xlnm.Print_Area" localSheetId="2">'74'!$B$1:$I$57</definedName>
    <definedName name="_xlnm.Print_Area" localSheetId="3">'75'!$B$1:$I$57</definedName>
    <definedName name="v" localSheetId="2">[2]xdata!#REF!</definedName>
    <definedName name="v" localSheetId="3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1" i="177" l="1"/>
  <c r="C3" i="178"/>
  <c r="H52" i="178"/>
  <c r="F32" i="178"/>
  <c r="I32" i="178" s="1"/>
  <c r="I34" i="178" s="1"/>
  <c r="I36" i="178" s="1"/>
  <c r="I38" i="178" s="1"/>
  <c r="B27" i="178"/>
  <c r="I23" i="178"/>
  <c r="H23" i="178"/>
  <c r="G23" i="178"/>
  <c r="F23" i="178"/>
  <c r="E23" i="178"/>
  <c r="E21" i="178"/>
  <c r="D21" i="178"/>
  <c r="C21" i="178"/>
  <c r="B21" i="178"/>
  <c r="B15" i="178"/>
  <c r="B16" i="178" s="1"/>
  <c r="B17" i="178" s="1"/>
  <c r="B18" i="178" s="1"/>
  <c r="G14" i="178"/>
  <c r="G15" i="178" s="1"/>
  <c r="G16" i="178" s="1"/>
  <c r="G17" i="178" s="1"/>
  <c r="H21" i="178" s="1"/>
  <c r="H52" i="177"/>
  <c r="F32" i="177"/>
  <c r="I32" i="177" s="1"/>
  <c r="I34" i="177" s="1"/>
  <c r="I36" i="177" s="1"/>
  <c r="I38" i="177" s="1"/>
  <c r="B27" i="177"/>
  <c r="I23" i="177"/>
  <c r="H23" i="177"/>
  <c r="G23" i="177"/>
  <c r="F23" i="177"/>
  <c r="E23" i="177"/>
  <c r="E21" i="177"/>
  <c r="C21" i="177"/>
  <c r="B21" i="177"/>
  <c r="B15" i="177"/>
  <c r="B16" i="177" s="1"/>
  <c r="B17" i="177" s="1"/>
  <c r="B18" i="177" s="1"/>
  <c r="G14" i="177"/>
  <c r="G15" i="177" s="1"/>
  <c r="G16" i="177" s="1"/>
  <c r="G17" i="177" s="1"/>
  <c r="F34" i="178" l="1"/>
  <c r="F34" i="177"/>
  <c r="L25" i="128" l="1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<sst xmlns="http://schemas.openxmlformats.org/spreadsheetml/2006/main" count="318" uniqueCount="187">
  <si>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</si>
  <si>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</si>
  <si>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</si>
  <si>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</si>
  <si>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</si>
  <si>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</si>
  <si>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</si>
  <si>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</si>
  <si>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</si>
  <si>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</si>
  <si>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</si>
  <si>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</si>
  <si>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</si>
  <si>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</si>
  <si>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</si>
  <si>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</si>
  <si>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</si>
  <si>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</si>
  <si>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</si>
  <si>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</si>
  <si>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</si>
  <si>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</si>
  <si>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</si>
  <si>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</si>
  <si>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</si>
  <si>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</si>
  <si>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</si>
  <si>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</si>
  <si>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</si>
  <si>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</si>
  <si>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</si>
  <si>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</si>
  <si>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</si>
  <si>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</si>
  <si>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</si>
  <si>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</si>
  <si>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</si>
  <si>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</si>
  <si>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</si>
  <si>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</si>
  <si>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</si>
  <si>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</si>
  <si>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</si>
  <si>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</si>
  <si>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</si>
  <si>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</si>
  <si>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</si>
  <si>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</si>
  <si>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</si>
  <si>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</si>
  <si>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</si>
  <si>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</si>
  <si>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</si>
  <si>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</si>
  <si>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</si>
  <si>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</si>
  <si>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</si>
  <si>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</si>
  <si>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</si>
  <si>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</si>
  <si>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</si>
  <si>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</si>
  <si>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</si>
  <si>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</si>
  <si>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</si>
  <si>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</si>
  <si>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</si>
  <si>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</si>
  <si>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</si>
  <si>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</si>
  <si>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</si>
  <si>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</si>
  <si>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</si>
  <si>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</si>
  <si>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</si>
  <si>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</si>
  <si>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</si>
  <si>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</si>
  <si>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</si>
  <si>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</si>
  <si>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</si>
  <si>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</si>
  <si>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</si>
  <si>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</si>
  <si>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</si>
  <si>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</si>
  <si>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</si>
  <si>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</si>
  <si>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</si>
  <si>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</si>
  <si>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</si>
  <si>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</si>
  <si>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</si>
  <si>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</si>
  <si>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</si>
  <si>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</si>
  <si>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</si>
  <si>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</si>
  <si>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</si>
  <si>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</si>
  <si>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</si>
  <si>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</si>
  <si>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</si>
  <si>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</si>
  <si>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</si>
  <si>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</si>
  <si>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</si>
  <si>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</si>
  <si>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</si>
  <si>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</si>
  <si>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</si>
  <si>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</si>
  <si>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</si>
  <si>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</si>
  <si>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</si>
  <si>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</si>
  <si>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</si>
  <si>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</si>
  <si>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</si>
  <si>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</si>
  <si>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</si>
  <si>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</si>
  <si>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</si>
  <si>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</si>
  <si>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</si>
  <si>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</si>
  <si>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</si>
  <si>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</si>
  <si>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</si>
  <si>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</si>
  <si>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</si>
  <si>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</si>
  <si>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</si>
  <si>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</si>
  <si>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</si>
  <si>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</si>
  <si>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</si>
  <si>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</si>
  <si>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</si>
  <si>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</si>
  <si>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</si>
  <si>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</si>
  <si>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</si>
  <si>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</si>
  <si>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</si>
  <si>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</si>
  <si>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</si>
  <si>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</si>
  <si>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</si>
  <si>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</si>
  <si>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</si>
  <si>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</si>
  <si>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</si>
  <si>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</si>
  <si>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</si>
  <si>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</si>
  <si>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</si>
  <si>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</si>
  <si>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</si>
  <si>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</si>
  <si>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</si>
  <si>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</si>
  <si>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</si>
  <si>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</si>
  <si>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</si>
  <si>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</si>
  <si>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</si>
  <si>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</si>
  <si>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</si>
  <si>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</si>
  <si>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</si>
  <si>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</si>
  <si>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</si>
  <si>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</si>
  <si>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</si>
  <si>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</si>
  <si>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</si>
  <si>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WOMENS COTTON FIBERS, KNIT PULLOVER, WITH NO NECK CLOSURE, STITCH COUNT IS GREATER THAN 9/2CM, REACHES WAIST, SLEEVELESS [95% COTTON 5% ELASTANE]</t>
  </si>
  <si>
    <t>265K0059</t>
  </si>
  <si>
    <t xml:space="preserve"> 265K0075 </t>
  </si>
  <si>
    <t>FRANCHISE</t>
  </si>
  <si>
    <t>PINK LEOPARD HEART</t>
  </si>
  <si>
    <t>Girls Cotton Fibers, Knit Pullover, With No Neck Closure, Stitch Count Is Greater Than 9/2cm, Reaches Waist [100% Cotton]</t>
  </si>
  <si>
    <t>HK</t>
  </si>
  <si>
    <t>BLACK COFFEE, BLACK JACK 3, CALLA LILY 2</t>
  </si>
  <si>
    <t>13, 15, 20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</si>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</sst>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5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sz val="11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7" fillId="0" borderId="0" xfId="0" applyFont="1" applyBorder="1"/>
    <xf numFmtId="0" fontId="8" fillId="0" borderId="0" xfId="0" applyFont="1" applyBorder="1" applyAlignment="1">
      <alignment horizont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3" fillId="0" borderId="13" xfId="0" applyFont="1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quotePrefix="1" applyNumberFormat="1"/>
    <xf numFmtId="0" fontId="14" fillId="0" borderId="0" xfId="0" applyFont="1"/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F10DFF8-2FC6-49E6-8782-46002D5C6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5EE9AB-B8FB-4BE7-8D17-CED9737D5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DF04301C-9A10-4CE9-9793-FE790E577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CC0ECA-67FB-4687-8396-41247581D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topLeftCell="A4" workbookViewId="0">
      <selection activeCell="D27" sqref="D27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J3" sqref="J3"/>
    </sheetView>
  </sheetViews>
  <sheetFormatPr defaultRowHeight="12.75" x14ac:dyDescent="0.2"/>
  <sheetData>
    <row r="2" spans="2:9" ht="15" x14ac:dyDescent="0.25">
      <c r="B2" s="53">
        <v>1</v>
      </c>
      <c r="C2" t="s">
        <v>178</v>
      </c>
      <c r="E2" s="53">
        <v>1</v>
      </c>
      <c r="F2">
        <v>906033</v>
      </c>
      <c r="H2" s="53">
        <v>1</v>
      </c>
      <c r="I2" s="54"/>
    </row>
    <row r="3" spans="2:9" ht="15" x14ac:dyDescent="0.25">
      <c r="B3" s="53">
        <v>2</v>
      </c>
      <c r="C3" t="s">
        <v>179</v>
      </c>
      <c r="E3" s="53">
        <v>2</v>
      </c>
      <c r="F3">
        <v>692926</v>
      </c>
      <c r="H3" s="53">
        <v>2</v>
      </c>
      <c r="I3" s="54" t="s">
        <v>180</v>
      </c>
    </row>
    <row r="4" spans="2:9" ht="15" x14ac:dyDescent="0.25">
      <c r="B4" s="53">
        <v>3</v>
      </c>
      <c r="E4" s="53">
        <v>3</v>
      </c>
      <c r="H4" s="53">
        <v>3</v>
      </c>
      <c r="I4" s="54"/>
    </row>
    <row r="5" spans="2:9" ht="15" x14ac:dyDescent="0.25">
      <c r="B5" s="53">
        <v>4</v>
      </c>
      <c r="E5" s="53">
        <v>4</v>
      </c>
      <c r="H5" s="53">
        <v>4</v>
      </c>
      <c r="I5" s="54"/>
    </row>
    <row r="6" spans="2:9" ht="15" x14ac:dyDescent="0.25">
      <c r="B6" s="53">
        <v>5</v>
      </c>
      <c r="E6" s="53">
        <v>5</v>
      </c>
      <c r="H6" s="53">
        <v>5</v>
      </c>
      <c r="I6" s="54"/>
    </row>
    <row r="7" spans="2:9" ht="15" x14ac:dyDescent="0.25">
      <c r="B7" s="53">
        <v>6</v>
      </c>
      <c r="E7" s="53">
        <v>6</v>
      </c>
      <c r="H7" s="53">
        <v>6</v>
      </c>
      <c r="I7" s="54"/>
    </row>
    <row r="8" spans="2:9" ht="15" x14ac:dyDescent="0.25">
      <c r="B8" s="53">
        <v>7</v>
      </c>
      <c r="E8" s="53">
        <v>7</v>
      </c>
      <c r="H8" s="53">
        <v>7</v>
      </c>
      <c r="I8" s="54"/>
    </row>
    <row r="9" spans="2:9" ht="15" x14ac:dyDescent="0.25">
      <c r="B9" s="53">
        <v>8</v>
      </c>
      <c r="E9" s="53">
        <v>8</v>
      </c>
      <c r="H9" s="53">
        <v>8</v>
      </c>
      <c r="I9" s="54"/>
    </row>
    <row r="10" spans="2:9" ht="15" x14ac:dyDescent="0.25">
      <c r="B10" s="53">
        <v>9</v>
      </c>
      <c r="E10" s="53">
        <v>9</v>
      </c>
      <c r="H10" s="53">
        <v>9</v>
      </c>
      <c r="I10" s="54"/>
    </row>
    <row r="11" spans="2:9" ht="15" x14ac:dyDescent="0.25">
      <c r="B11" s="53">
        <v>10</v>
      </c>
      <c r="E11" s="53">
        <v>10</v>
      </c>
      <c r="H11" s="53">
        <v>10</v>
      </c>
      <c r="I11" s="54"/>
    </row>
    <row r="12" spans="2:9" ht="15" x14ac:dyDescent="0.25">
      <c r="B12" s="53">
        <v>11</v>
      </c>
      <c r="E12" s="53">
        <v>11</v>
      </c>
      <c r="H12" s="53">
        <v>11</v>
      </c>
      <c r="I12" s="54"/>
    </row>
    <row r="13" spans="2:9" ht="15" x14ac:dyDescent="0.25">
      <c r="B13" s="53">
        <v>12</v>
      </c>
      <c r="E13" s="53">
        <v>12</v>
      </c>
      <c r="H13" s="53">
        <v>12</v>
      </c>
      <c r="I13" s="54"/>
    </row>
    <row r="14" spans="2:9" ht="15" x14ac:dyDescent="0.25">
      <c r="B14" s="53">
        <v>13</v>
      </c>
      <c r="E14" s="53">
        <v>13</v>
      </c>
      <c r="H14" s="53">
        <v>13</v>
      </c>
      <c r="I14" s="54"/>
    </row>
    <row r="15" spans="2:9" ht="15" x14ac:dyDescent="0.25">
      <c r="B15" s="53">
        <v>14</v>
      </c>
      <c r="E15" s="53">
        <v>14</v>
      </c>
      <c r="H15" s="53">
        <v>14</v>
      </c>
      <c r="I15" s="54"/>
    </row>
    <row r="16" spans="2:9" ht="15" x14ac:dyDescent="0.25">
      <c r="B16" s="53">
        <v>15</v>
      </c>
      <c r="E16" s="53">
        <v>15</v>
      </c>
      <c r="H16" s="53">
        <v>15</v>
      </c>
      <c r="I16" s="54"/>
    </row>
    <row r="17" spans="2:11" ht="15" x14ac:dyDescent="0.25">
      <c r="B17" s="53">
        <v>16</v>
      </c>
      <c r="E17" s="53">
        <v>16</v>
      </c>
      <c r="H17" s="53">
        <v>16</v>
      </c>
      <c r="I17" s="54"/>
    </row>
    <row r="18" spans="2:11" ht="15" x14ac:dyDescent="0.25">
      <c r="B18" s="53">
        <v>17</v>
      </c>
      <c r="E18" s="53">
        <v>17</v>
      </c>
      <c r="H18" s="53">
        <v>17</v>
      </c>
      <c r="I18" s="54"/>
    </row>
    <row r="19" spans="2:11" ht="15" x14ac:dyDescent="0.25">
      <c r="B19" s="53">
        <v>18</v>
      </c>
      <c r="E19" s="53">
        <v>18</v>
      </c>
      <c r="H19" s="53">
        <v>18</v>
      </c>
      <c r="I19" s="54"/>
    </row>
    <row r="20" spans="2:11" ht="15" x14ac:dyDescent="0.25">
      <c r="B20" s="53">
        <v>19</v>
      </c>
      <c r="E20" s="53">
        <v>19</v>
      </c>
      <c r="H20" s="53">
        <v>19</v>
      </c>
      <c r="I20" s="54"/>
    </row>
    <row r="21" spans="2:11" ht="15" x14ac:dyDescent="0.25">
      <c r="B21" s="53">
        <v>20</v>
      </c>
      <c r="E21" s="53">
        <v>20</v>
      </c>
      <c r="H21" s="53">
        <v>20</v>
      </c>
      <c r="I21" s="54"/>
    </row>
    <row r="22" spans="2:11" ht="15" x14ac:dyDescent="0.25">
      <c r="B22" s="53">
        <v>21</v>
      </c>
      <c r="E22" s="53">
        <v>21</v>
      </c>
      <c r="H22" s="53">
        <v>21</v>
      </c>
      <c r="I22" s="54"/>
      <c r="K22" t="s">
        <v>63</v>
      </c>
    </row>
    <row r="23" spans="2:11" ht="15" x14ac:dyDescent="0.25">
      <c r="B23" s="53">
        <v>22</v>
      </c>
      <c r="E23" s="53">
        <v>22</v>
      </c>
      <c r="H23" s="53">
        <v>22</v>
      </c>
      <c r="I23" s="54"/>
    </row>
    <row r="24" spans="2:11" ht="15" x14ac:dyDescent="0.25">
      <c r="B24" s="53">
        <v>23</v>
      </c>
      <c r="E24" s="53">
        <v>23</v>
      </c>
      <c r="H24" s="53">
        <v>23</v>
      </c>
      <c r="I24" s="54"/>
    </row>
    <row r="25" spans="2:11" x14ac:dyDescent="0.2">
      <c r="B25" s="53">
        <v>24</v>
      </c>
      <c r="E25" s="53">
        <v>24</v>
      </c>
      <c r="H25" s="53">
        <v>24</v>
      </c>
    </row>
    <row r="26" spans="2:11" ht="15" x14ac:dyDescent="0.25">
      <c r="B26" s="53">
        <v>25</v>
      </c>
      <c r="E26" s="53">
        <v>25</v>
      </c>
      <c r="H26" s="53">
        <v>25</v>
      </c>
      <c r="I26" s="54"/>
    </row>
    <row r="27" spans="2:11" ht="15" x14ac:dyDescent="0.25">
      <c r="B27" s="53">
        <v>26</v>
      </c>
      <c r="E27" s="53">
        <v>26</v>
      </c>
      <c r="H27" s="53">
        <v>26</v>
      </c>
      <c r="I27" s="54"/>
    </row>
    <row r="28" spans="2:11" x14ac:dyDescent="0.2">
      <c r="B28" s="53">
        <v>27</v>
      </c>
      <c r="E28" s="53">
        <v>27</v>
      </c>
      <c r="H28" s="53">
        <v>27</v>
      </c>
    </row>
    <row r="29" spans="2:11" x14ac:dyDescent="0.2">
      <c r="B29" s="53">
        <v>28</v>
      </c>
      <c r="E29" s="53">
        <v>28</v>
      </c>
      <c r="H29" s="53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0230F-A0D1-4ADD-B7A3-79AA9FFD6A01}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2" t="s">
        <v>186</v>
      </c>
      <c r="C2" s="63"/>
      <c r="D2" s="63"/>
      <c r="E2" s="63"/>
      <c r="F2" s="63"/>
      <c r="G2" s="63"/>
      <c r="H2" s="63"/>
      <c r="I2" s="64"/>
      <c r="J2" s="43">
        <v>1777992</v>
      </c>
      <c r="K2" s="44">
        <v>35</v>
      </c>
      <c r="L2" s="44">
        <v>5</v>
      </c>
      <c r="M2" s="44">
        <v>3.84</v>
      </c>
      <c r="N2" s="44">
        <v>3.91</v>
      </c>
      <c r="O2" s="44">
        <v>6.16</v>
      </c>
      <c r="P2" s="44" t="s">
        <v>54</v>
      </c>
      <c r="Q2" s="44">
        <v>8.4000000000000005E-2</v>
      </c>
      <c r="R2" s="44" t="s">
        <v>62</v>
      </c>
    </row>
    <row r="3" spans="2:22" x14ac:dyDescent="0.2">
      <c r="B3" s="6" t="s">
        <v>53</v>
      </c>
      <c r="C3" s="59">
        <v>74</v>
      </c>
      <c r="D3" s="5"/>
      <c r="E3" s="5"/>
      <c r="F3" s="5"/>
      <c r="G3" s="5" t="s">
        <v>52</v>
      </c>
      <c r="H3" s="31">
        <v>46151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182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132</v>
      </c>
      <c r="H13" s="5"/>
      <c r="I13" s="4"/>
    </row>
    <row r="14" spans="2:22" x14ac:dyDescent="0.2">
      <c r="B14" s="6" t="s">
        <v>127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 xml:space="preserve">COMPARTMENT 1503, 15/F, 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13TH FLOOR, ONE ANGEL COURT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KERRY CARGO CENTRE,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LONDON, UNITED KINGDOM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55 WING KEI ROAD, KWAI CHUNG, NT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EC2R 7HJ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HONG KONG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KINGDOM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1777992</v>
      </c>
      <c r="C21" s="56">
        <f>VLOOKUP($K56,reff!E2:F29,2,0)</f>
        <v>906033</v>
      </c>
      <c r="D21" s="19" t="str">
        <f>IF(LEFT(B14,2)="OL","OLD NAVY",IF(LEFT(B14,2)="TH","THE GAP",IF(LEFT(B14,2)="GA","GAP",IF(LEFT(B14,2)="GP","OLD NAVY"))))</f>
        <v>GAP</v>
      </c>
      <c r="E21" s="19">
        <f>VLOOKUP($K21,reff!H2:I29,2,0)</f>
        <v>0</v>
      </c>
      <c r="F21" s="55" t="s">
        <v>35</v>
      </c>
      <c r="G21" s="55"/>
      <c r="H21" s="49" t="s">
        <v>183</v>
      </c>
      <c r="I21" s="55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6.16</v>
      </c>
      <c r="G23" s="23">
        <f>+N2</f>
        <v>3.91</v>
      </c>
      <c r="H23" s="23">
        <f>+M2</f>
        <v>3.84</v>
      </c>
      <c r="I23" s="55">
        <f>+L2</f>
        <v>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5" t="s">
        <v>23</v>
      </c>
      <c r="C26" s="66"/>
      <c r="D26" s="66"/>
      <c r="E26" s="66"/>
      <c r="F26" s="66"/>
      <c r="G26" s="66"/>
      <c r="H26" s="66"/>
      <c r="I26" s="67"/>
    </row>
    <row r="27" spans="2:13" ht="24.75" customHeight="1" x14ac:dyDescent="0.2">
      <c r="B27" s="68" t="str">
        <f>+K4</f>
        <v>Girls Cotton Fibers, Knit Pullover, With No Neck Closure, Stitch Count Is Greater Than 9/2cm, Reaches Waist [100% Cotton]</v>
      </c>
      <c r="C27" s="69"/>
      <c r="D27" s="69"/>
      <c r="E27" s="69"/>
      <c r="F27" s="69"/>
      <c r="G27" s="69"/>
      <c r="H27" s="69"/>
      <c r="I27" s="7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71" t="s">
        <v>19</v>
      </c>
      <c r="E31" s="71"/>
      <c r="F31" s="71" t="s">
        <v>18</v>
      </c>
      <c r="G31" s="71"/>
      <c r="H31" s="55" t="s">
        <v>17</v>
      </c>
      <c r="I31" s="19" t="s">
        <v>16</v>
      </c>
      <c r="M31"/>
    </row>
    <row r="32" spans="2:13" ht="39" customHeight="1" x14ac:dyDescent="0.2">
      <c r="B32" s="41"/>
      <c r="C32" s="19" t="s">
        <v>181</v>
      </c>
      <c r="D32" s="60"/>
      <c r="E32" s="61"/>
      <c r="F32" s="60">
        <f>+K2</f>
        <v>35</v>
      </c>
      <c r="G32" s="61"/>
      <c r="H32" s="17">
        <v>0.84</v>
      </c>
      <c r="I32" s="18">
        <f>+H32*F32</f>
        <v>29.4</v>
      </c>
      <c r="K32" s="48"/>
      <c r="M32" s="39"/>
    </row>
    <row r="33" spans="2:11" ht="21" customHeight="1" x14ac:dyDescent="0.2">
      <c r="B33" s="15" t="s">
        <v>15</v>
      </c>
      <c r="C33" s="15"/>
      <c r="D33" s="65"/>
      <c r="E33" s="67"/>
      <c r="F33" s="65"/>
      <c r="G33" s="67"/>
      <c r="H33" s="17"/>
      <c r="I33" s="55"/>
    </row>
    <row r="34" spans="2:11" ht="21.75" customHeight="1" x14ac:dyDescent="0.2">
      <c r="B34" s="15" t="s">
        <v>14</v>
      </c>
      <c r="C34" s="15"/>
      <c r="D34" s="72"/>
      <c r="E34" s="73"/>
      <c r="F34" s="60">
        <f>SUM(F32:G33)</f>
        <v>35</v>
      </c>
      <c r="G34" s="61"/>
      <c r="H34" s="15"/>
      <c r="I34" s="14">
        <f>SUM(I32:I33)</f>
        <v>29.4</v>
      </c>
      <c r="J34" s="40"/>
      <c r="K34" s="40"/>
    </row>
    <row r="35" spans="2:11" ht="21.75" customHeight="1" x14ac:dyDescent="0.2">
      <c r="B35" s="16" t="s">
        <v>13</v>
      </c>
      <c r="C35" s="15"/>
      <c r="D35" s="65"/>
      <c r="E35" s="67"/>
      <c r="F35" s="65"/>
      <c r="G35" s="67"/>
      <c r="H35" s="15"/>
      <c r="I35" s="55"/>
      <c r="J35" s="40"/>
    </row>
    <row r="36" spans="2:11" ht="21.75" customHeight="1" x14ac:dyDescent="0.2">
      <c r="B36" s="16" t="s">
        <v>12</v>
      </c>
      <c r="C36" s="15"/>
      <c r="D36" s="65"/>
      <c r="E36" s="67"/>
      <c r="F36" s="65"/>
      <c r="G36" s="67"/>
      <c r="H36" s="15"/>
      <c r="I36" s="14">
        <f>+I34</f>
        <v>29.4</v>
      </c>
    </row>
    <row r="37" spans="2:11" ht="20.25" customHeight="1" x14ac:dyDescent="0.2">
      <c r="B37" s="15" t="s">
        <v>80</v>
      </c>
      <c r="C37" s="65" t="s">
        <v>11</v>
      </c>
      <c r="D37" s="66"/>
      <c r="E37" s="66"/>
      <c r="F37" s="66"/>
      <c r="G37" s="66"/>
      <c r="H37" s="6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29.4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5" t="s">
        <v>7</v>
      </c>
      <c r="C46" s="75"/>
      <c r="D46" s="7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265K0059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6" t="s">
        <v>1</v>
      </c>
      <c r="D55" s="76"/>
      <c r="E55" s="5"/>
      <c r="F55" s="5"/>
      <c r="G55" s="5"/>
      <c r="H55" s="5"/>
      <c r="I55" s="4"/>
    </row>
    <row r="56" spans="2:11" x14ac:dyDescent="0.2">
      <c r="B56" s="6"/>
      <c r="C56" s="77" t="s">
        <v>0</v>
      </c>
      <c r="D56" s="77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4"/>
      <c r="D57" s="7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59AD21-9E11-4BC9-A9EE-FDC86CDD7EC2}">
          <x14:formula1>
            <xm:f>Sheet1!$K$5:$K$12</xm:f>
          </x14:formula1>
          <xm:sqref>B14</xm:sqref>
        </x14:dataValidation>
        <x14:dataValidation type="list" allowBlank="1" showInputMessage="1" showErrorMessage="1" xr:uid="{18320B29-71CA-4D71-8779-655A14A88023}">
          <x14:formula1>
            <xm:f>Sheet1!$B$17:$B$18</xm:f>
          </x14:formula1>
          <xm:sqref>G5</xm:sqref>
        </x14:dataValidation>
        <x14:dataValidation type="list" allowBlank="1" showInputMessage="1" showErrorMessage="1" xr:uid="{12DA1B77-5967-4589-A839-334A4EEDFA24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1FAC1-8BAC-423B-8C50-AF58901095BA}">
  <sheetPr>
    <pageSetUpPr fitToPage="1"/>
  </sheetPr>
  <dimension ref="B1:V58"/>
  <sheetViews>
    <sheetView tabSelected="1"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2" t="s">
        <v>186</v>
      </c>
      <c r="C2" s="63"/>
      <c r="D2" s="63"/>
      <c r="E2" s="63"/>
      <c r="F2" s="63"/>
      <c r="G2" s="63"/>
      <c r="H2" s="63"/>
      <c r="I2" s="64"/>
      <c r="J2" s="43">
        <v>61740909</v>
      </c>
      <c r="K2" s="44">
        <v>384</v>
      </c>
      <c r="L2" s="44">
        <v>11</v>
      </c>
      <c r="M2" s="44">
        <v>38.85</v>
      </c>
      <c r="N2" s="44">
        <v>49.59</v>
      </c>
      <c r="O2" s="44">
        <v>59.19</v>
      </c>
      <c r="P2" s="44" t="s">
        <v>54</v>
      </c>
      <c r="Q2" s="44">
        <v>0.503</v>
      </c>
      <c r="R2" s="44" t="s">
        <v>62</v>
      </c>
    </row>
    <row r="3" spans="2:22" x14ac:dyDescent="0.2">
      <c r="B3" s="6" t="s">
        <v>53</v>
      </c>
      <c r="C3" s="59">
        <f>+'74'!C3+1</f>
        <v>75</v>
      </c>
      <c r="D3" s="5"/>
      <c r="E3" s="5"/>
      <c r="F3" s="5"/>
      <c r="G3" s="5" t="s">
        <v>52</v>
      </c>
      <c r="H3" s="31">
        <v>46151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177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121</v>
      </c>
      <c r="H13" s="5"/>
      <c r="I13" s="4"/>
    </row>
    <row r="14" spans="2:22" x14ac:dyDescent="0.2">
      <c r="B14" s="6" t="s">
        <v>117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AVENIDA RANDOLPH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55 THOMAS ST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MANZANA 10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NEW YORK, NY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COLON FREE ZONE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10013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PANAMA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7">
        <f>J2</f>
        <v>61740909</v>
      </c>
      <c r="C21" s="58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57" t="s">
        <v>35</v>
      </c>
      <c r="G21" s="57"/>
      <c r="H21" s="49" t="str">
        <f>IF(LEFT(G17,2)="CA","CA",IF(LEFT(G17,2)="UN","US",IF(LEFT(G17,2)="PA","PA",IF(LEFT(G17,2)="JA","JP"))))</f>
        <v>PA</v>
      </c>
      <c r="I21" s="57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7" t="s">
        <v>25</v>
      </c>
      <c r="C23" s="57"/>
      <c r="D23" s="57" t="s">
        <v>24</v>
      </c>
      <c r="E23" s="57" t="str">
        <f>+D23</f>
        <v>JAKARTA,ID</v>
      </c>
      <c r="F23" s="23">
        <f>+O2</f>
        <v>59.19</v>
      </c>
      <c r="G23" s="23">
        <f>+N2</f>
        <v>49.59</v>
      </c>
      <c r="H23" s="23">
        <f>+M2</f>
        <v>38.85</v>
      </c>
      <c r="I23" s="57">
        <f>+L2</f>
        <v>11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5" t="s">
        <v>23</v>
      </c>
      <c r="C26" s="66"/>
      <c r="D26" s="66"/>
      <c r="E26" s="66"/>
      <c r="F26" s="66"/>
      <c r="G26" s="66"/>
      <c r="H26" s="66"/>
      <c r="I26" s="67"/>
    </row>
    <row r="27" spans="2:13" ht="24.75" customHeight="1" x14ac:dyDescent="0.2">
      <c r="B27" s="68" t="str">
        <f>+K4</f>
        <v>WOMENS COTTON FIBERS, KNIT PULLOVER, WITH NO NECK CLOSURE, STITCH COUNT IS GREATER THAN 9/2CM, REACHES WAIST, SLEEVELESS [95% COTTON 5% ELASTANE]</v>
      </c>
      <c r="C27" s="69"/>
      <c r="D27" s="69"/>
      <c r="E27" s="69"/>
      <c r="F27" s="69"/>
      <c r="G27" s="69"/>
      <c r="H27" s="69"/>
      <c r="I27" s="7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7" t="s">
        <v>21</v>
      </c>
      <c r="C31" s="57" t="s">
        <v>20</v>
      </c>
      <c r="D31" s="71" t="s">
        <v>19</v>
      </c>
      <c r="E31" s="71"/>
      <c r="F31" s="71" t="s">
        <v>18</v>
      </c>
      <c r="G31" s="71"/>
      <c r="H31" s="57" t="s">
        <v>17</v>
      </c>
      <c r="I31" s="19" t="s">
        <v>16</v>
      </c>
      <c r="M31"/>
    </row>
    <row r="32" spans="2:13" ht="39" customHeight="1" x14ac:dyDescent="0.2">
      <c r="B32" s="41" t="s">
        <v>185</v>
      </c>
      <c r="C32" s="19" t="s">
        <v>184</v>
      </c>
      <c r="D32" s="60"/>
      <c r="E32" s="61"/>
      <c r="F32" s="60">
        <f>+K2</f>
        <v>384</v>
      </c>
      <c r="G32" s="61"/>
      <c r="H32" s="17">
        <v>0.76</v>
      </c>
      <c r="I32" s="18">
        <f>+H32*F32</f>
        <v>291.84000000000003</v>
      </c>
      <c r="K32" s="48"/>
      <c r="M32" s="39"/>
    </row>
    <row r="33" spans="2:11" ht="21" customHeight="1" x14ac:dyDescent="0.2">
      <c r="B33" s="15" t="s">
        <v>15</v>
      </c>
      <c r="C33" s="15"/>
      <c r="D33" s="65"/>
      <c r="E33" s="67"/>
      <c r="F33" s="65"/>
      <c r="G33" s="67"/>
      <c r="H33" s="17"/>
      <c r="I33" s="57"/>
    </row>
    <row r="34" spans="2:11" ht="21.75" customHeight="1" x14ac:dyDescent="0.2">
      <c r="B34" s="15" t="s">
        <v>14</v>
      </c>
      <c r="C34" s="15"/>
      <c r="D34" s="72"/>
      <c r="E34" s="73"/>
      <c r="F34" s="60">
        <f>SUM(F32:G33)</f>
        <v>384</v>
      </c>
      <c r="G34" s="61"/>
      <c r="H34" s="15"/>
      <c r="I34" s="14">
        <f>SUM(I32:I33)</f>
        <v>291.84000000000003</v>
      </c>
      <c r="J34" s="40"/>
      <c r="K34" s="40"/>
    </row>
    <row r="35" spans="2:11" ht="21.75" customHeight="1" x14ac:dyDescent="0.2">
      <c r="B35" s="16" t="s">
        <v>13</v>
      </c>
      <c r="C35" s="15"/>
      <c r="D35" s="65"/>
      <c r="E35" s="67"/>
      <c r="F35" s="65"/>
      <c r="G35" s="67"/>
      <c r="H35" s="15"/>
      <c r="I35" s="57"/>
      <c r="J35" s="40"/>
    </row>
    <row r="36" spans="2:11" ht="21.75" customHeight="1" x14ac:dyDescent="0.2">
      <c r="B36" s="16" t="s">
        <v>12</v>
      </c>
      <c r="C36" s="15"/>
      <c r="D36" s="65"/>
      <c r="E36" s="67"/>
      <c r="F36" s="65"/>
      <c r="G36" s="67"/>
      <c r="H36" s="15"/>
      <c r="I36" s="14">
        <f>+I34</f>
        <v>291.84000000000003</v>
      </c>
    </row>
    <row r="37" spans="2:11" ht="20.25" customHeight="1" x14ac:dyDescent="0.2">
      <c r="B37" s="15" t="s">
        <v>80</v>
      </c>
      <c r="C37" s="65" t="s">
        <v>11</v>
      </c>
      <c r="D37" s="66"/>
      <c r="E37" s="66"/>
      <c r="F37" s="66"/>
      <c r="G37" s="66"/>
      <c r="H37" s="6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291.84000000000003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5" t="s">
        <v>7</v>
      </c>
      <c r="C46" s="75"/>
      <c r="D46" s="7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6" t="s">
        <v>1</v>
      </c>
      <c r="D55" s="76"/>
      <c r="E55" s="5"/>
      <c r="F55" s="5"/>
      <c r="G55" s="5"/>
      <c r="H55" s="5"/>
      <c r="I55" s="4"/>
    </row>
    <row r="56" spans="2:11" x14ac:dyDescent="0.2">
      <c r="B56" s="6"/>
      <c r="C56" s="77" t="s">
        <v>0</v>
      </c>
      <c r="D56" s="77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4"/>
      <c r="D57" s="7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F8BD4C0-0432-4BBC-A2DD-C7F6321C0316}">
          <x14:formula1>
            <xm:f>Sheet1!$L$5:$L$25</xm:f>
          </x14:formula1>
          <xm:sqref>G13</xm:sqref>
        </x14:dataValidation>
        <x14:dataValidation type="list" allowBlank="1" showInputMessage="1" showErrorMessage="1" xr:uid="{B4A2EBFC-DFCB-45E2-81EB-4A055FC29C5D}">
          <x14:formula1>
            <xm:f>Sheet1!$B$17:$B$18</xm:f>
          </x14:formula1>
          <xm:sqref>G5</xm:sqref>
        </x14:dataValidation>
        <x14:dataValidation type="list" allowBlank="1" showInputMessage="1" showErrorMessage="1" xr:uid="{672C93DC-A49F-4026-A5B5-80FAC46B8A15}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reff</vt:lpstr>
      <vt:lpstr>74</vt:lpstr>
      <vt:lpstr>75</vt:lpstr>
      <vt:lpstr>'74'!Print_Area</vt:lpstr>
      <vt:lpstr>'75'!Print_Area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2026-05-06T01:27:44Z</cp:lastPrinted>
  <dcterms:created xsi:type="dcterms:W3CDTF">2024-04-17T09:56:05Z</dcterms:created>
  <dcterms:modified xsi:type="dcterms:W3CDTF">2026-05-11T00:32:55Z</dcterms:modified>
</cp:coreProperties>
</file>