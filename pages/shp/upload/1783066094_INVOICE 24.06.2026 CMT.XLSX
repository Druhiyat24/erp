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24.06.2026\"/>
    </mc:Choice>
  </mc:AlternateContent>
  <xr:revisionPtr revIDLastSave="0" documentId="13_ncr:1_{9276A5D2-F23F-439E-A9C6-3BABC9E60E2B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28" r:id="rId1"/>
    <sheet name="reff" sheetId="162" r:id="rId2"/>
    <sheet name="347" sheetId="129" r:id="rId3"/>
    <sheet name="348" sheetId="133" r:id="rId4"/>
    <sheet name="349" sheetId="134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'347'!$B$1:$I$57</definedName>
    <definedName name="_xlnm.Print_Area" localSheetId="3">'348'!$B$1:$I$57</definedName>
    <definedName name="_xlnm.Print_Area" localSheetId="4">'349'!$B$1:$I$57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F32" i="133"/>
  <c r="I32" i="133" s="1"/>
  <c r="F32" i="129"/>
  <c r="F34" i="134" l="1"/>
  <c r="I32" i="134"/>
  <c r="I34" i="134" s="1"/>
  <c r="F34" i="133" l="1"/>
  <c r="F34" i="129" l="1"/>
  <c r="C3" i="133"/>
  <c r="H3" i="134"/>
  <c r="H3" i="133"/>
  <c r="I32" i="129" l="1"/>
  <c r="I34" i="129" s="1"/>
  <c r="B27" i="134" l="1"/>
  <c r="E21" i="129" l="1"/>
  <c r="E21" i="133" l="1"/>
  <c r="E21" i="134"/>
  <c r="C21" i="129"/>
  <c r="C21" i="134"/>
  <c r="C21" i="133"/>
  <c r="H52" i="129"/>
  <c r="H52" i="134"/>
  <c r="H52" i="133"/>
  <c r="I36" i="134" l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<sst xmlns="http://schemas.openxmlformats.org/spreadsheetml/2006/main" count="398" uniqueCount="186">
  <si>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</si>
  <si>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</si>
  <si>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</si>
  <si>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</si>
  <si>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</si>
  <si>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</si>
  <si>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</si>
  <si>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</si>
  <si>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</si>
  <si>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</si>
  <si>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</si>
  <si>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</si>
  <si>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</si>
  <si>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</si>
  <si>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</si>
  <si>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</si>
  <si>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</si>
  <si>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</si>
  <si>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</si>
  <si>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</si>
  <si>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</si>
  <si>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</si>
  <si>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</si>
  <si>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</si>
  <si>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</si>
  <si>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</si>
  <si>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</si>
  <si>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</si>
  <si>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</si>
  <si>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</si>
  <si>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</si>
  <si>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</si>
  <si>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</si>
  <si>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</si>
  <si>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</si>
  <si>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</si>
  <si>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</si>
  <si>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</si>
  <si>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</si>
  <si>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</si>
  <si>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</si>
  <si>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</si>
  <si>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</si>
  <si>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</si>
  <si>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</si>
  <si>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</si>
  <si>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</si>
  <si>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</si>
  <si>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</si>
  <si>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</si>
  <si>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</si>
  <si>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</si>
  <si>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</si>
  <si>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</si>
  <si>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</si>
  <si>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</si>
  <si>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</si>
  <si>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</si>
  <si>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</si>
  <si>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</si>
  <si>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</si>
  <si>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</si>
  <si>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</si>
  <si>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</si>
  <si>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</si>
  <si>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</si>
  <si>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</si>
  <si>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</si>
  <si>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</si>
  <si>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</si>
  <si>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</si>
  <si>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</si>
  <si>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</si>
  <si>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</si>
  <si>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</si>
  <si>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</si>
  <si>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</si>
  <si>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</si>
  <si>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</si>
  <si>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</si>
  <si>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</si>
  <si>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</si>
  <si>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</si>
  <si>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</si>
  <si>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</si>
  <si>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</si>
  <si>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</si>
  <si>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</si>
  <si>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</si>
  <si>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</si>
  <si>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</si>
  <si>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</si>
  <si>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</si>
  <si>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</si>
  <si>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</si>
  <si>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</si>
  <si>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</si>
  <si>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</si>
  <si>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</si>
  <si>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</si>
  <si>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</si>
  <si>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</si>
  <si>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</si>
  <si>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</si>
  <si>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</si>
  <si>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</si>
  <si>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</si>
  <si>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</si>
  <si>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</si>
  <si>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</si>
  <si>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</si>
  <si>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</si>
  <si>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</si>
  <si>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</si>
  <si>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</si>
  <si>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</si>
  <si>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</si>
  <si>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</si>
  <si>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</si>
  <si>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</si>
  <si>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</si>
  <si>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</si>
  <si>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</si>
  <si>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</si>
  <si>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</si>
  <si>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</si>
  <si>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</si>
  <si>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</si>
  <si>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</si>
  <si>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</si>
  <si>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</si>
  <si>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</si>
  <si>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</si>
  <si>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</si>
  <si>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</si>
  <si>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</si>
  <si>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</si>
  <si>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</si>
  <si>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</si>
  <si>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</si>
  <si>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</si>
  <si>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</si>
  <si>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</si>
  <si>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</si>
  <si>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</si>
  <si>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</si>
  <si>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</si>
  <si>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</si>
  <si>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</si>
  <si>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</si>
  <si>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</si>
  <si>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</si>
  <si>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</si>
  <si>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</si>
  <si>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</si>
  <si>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</si>
  <si>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</si>
  <si>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</si>
  <si>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</si>
  <si>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</si>
  <si>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</si>
  <si>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</si>
  <si>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</si>
  <si>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</si>
  <si>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</si>
  <si>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</si>
  <si>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</si>
  <si>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</si>
  <si>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</si>
  <si>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</si>
  <si>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</si>
  <si>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</si>
  <si>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</si>
  <si>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</si>
  <si>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</si>
  <si>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</si>
  <si>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</si>
  <si>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</si>
  <si>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265K0075</t>
  </si>
  <si>
    <t>13, 15</t>
  </si>
  <si>
    <t>BLACK COFFEE, BLACK JACK 3</t>
  </si>
  <si>
    <t>WOMENS COTTON FIBERS, KNIT PULLOVER, WITH NO NECK CLOSURE, STITCH COUNT IS GREATER THAN 9/2CM, REACHES WAIST, SLEEVELESS [96% COTTON 4% SPANDEX]</t>
  </si>
  <si>
    <t>BLUSH ON YOU</t>
  </si>
  <si>
    <t>SHOOTING STAR</t>
  </si>
  <si>
    <t>22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</si>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</sst>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b/>
      <sz val="11"/>
      <color rgb="FF161618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0" borderId="0" xfId="0" applyFont="1"/>
    <xf numFmtId="0" fontId="15" fillId="3" borderId="0" xfId="0" applyFont="1" applyFill="1" applyAlignment="1">
      <alignment horizontal="left" vertical="center" wrapText="1"/>
    </xf>
    <xf numFmtId="3" fontId="15" fillId="3" borderId="0" xfId="0" applyNumberFormat="1" applyFont="1" applyFill="1" applyAlignment="1">
      <alignment horizontal="right" vertical="center" wrapText="1"/>
    </xf>
    <xf numFmtId="0" fontId="15" fillId="3" borderId="0" xfId="0" applyFont="1" applyFill="1" applyAlignment="1">
      <alignment horizontal="right" vertical="center" wrapText="1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D4" sqref="D4"/>
    </sheetView>
  </sheetViews>
  <sheetFormatPr defaultRowHeight="12.75" x14ac:dyDescent="0.2"/>
  <sheetData>
    <row r="2" spans="2:9" ht="15" x14ac:dyDescent="0.25">
      <c r="B2" s="55">
        <v>1</v>
      </c>
      <c r="C2" t="s">
        <v>178</v>
      </c>
      <c r="E2" s="55">
        <v>1</v>
      </c>
      <c r="F2">
        <v>692926</v>
      </c>
      <c r="H2" s="55">
        <v>1</v>
      </c>
      <c r="I2" s="58" t="s">
        <v>177</v>
      </c>
    </row>
    <row r="3" spans="2:9" ht="15" x14ac:dyDescent="0.25">
      <c r="B3" s="55">
        <v>2</v>
      </c>
      <c r="C3" t="s">
        <v>178</v>
      </c>
      <c r="E3" s="55">
        <v>2</v>
      </c>
      <c r="F3">
        <v>692926</v>
      </c>
      <c r="H3" s="55">
        <v>2</v>
      </c>
      <c r="I3" s="58" t="s">
        <v>177</v>
      </c>
    </row>
    <row r="4" spans="2:9" ht="15" x14ac:dyDescent="0.25">
      <c r="B4" s="55">
        <v>3</v>
      </c>
      <c r="C4" t="s">
        <v>178</v>
      </c>
      <c r="E4" s="55">
        <v>3</v>
      </c>
      <c r="F4">
        <v>692926</v>
      </c>
      <c r="H4" s="55">
        <v>3</v>
      </c>
      <c r="I4" s="58" t="s">
        <v>177</v>
      </c>
    </row>
    <row r="5" spans="2:9" ht="15" x14ac:dyDescent="0.25">
      <c r="B5" s="55">
        <v>4</v>
      </c>
      <c r="E5" s="55">
        <v>4</v>
      </c>
      <c r="H5" s="55">
        <v>4</v>
      </c>
      <c r="I5" s="58"/>
    </row>
    <row r="6" spans="2:9" ht="15" x14ac:dyDescent="0.25">
      <c r="B6" s="55">
        <v>5</v>
      </c>
      <c r="E6" s="55">
        <v>5</v>
      </c>
      <c r="H6" s="55">
        <v>5</v>
      </c>
      <c r="I6" s="58"/>
    </row>
    <row r="7" spans="2:9" ht="15" x14ac:dyDescent="0.25">
      <c r="B7" s="55">
        <v>6</v>
      </c>
      <c r="E7" s="55">
        <v>6</v>
      </c>
      <c r="H7" s="55">
        <v>6</v>
      </c>
      <c r="I7" s="58"/>
    </row>
    <row r="8" spans="2:9" ht="15" x14ac:dyDescent="0.25">
      <c r="B8" s="55">
        <v>7</v>
      </c>
      <c r="E8" s="55">
        <v>7</v>
      </c>
      <c r="H8" s="55">
        <v>7</v>
      </c>
      <c r="I8" s="56"/>
    </row>
    <row r="9" spans="2:9" ht="15" x14ac:dyDescent="0.25">
      <c r="B9" s="55">
        <v>8</v>
      </c>
      <c r="E9" s="55">
        <v>8</v>
      </c>
      <c r="H9" s="55">
        <v>8</v>
      </c>
      <c r="I9" s="56"/>
    </row>
    <row r="10" spans="2:9" ht="15" x14ac:dyDescent="0.25">
      <c r="B10" s="55">
        <v>9</v>
      </c>
      <c r="E10" s="55">
        <v>9</v>
      </c>
      <c r="H10" s="55">
        <v>9</v>
      </c>
      <c r="I10" s="56"/>
    </row>
    <row r="11" spans="2:9" ht="15" x14ac:dyDescent="0.25">
      <c r="B11" s="55">
        <v>10</v>
      </c>
      <c r="E11" s="55">
        <v>10</v>
      </c>
      <c r="H11" s="55">
        <v>10</v>
      </c>
      <c r="I11" s="56"/>
    </row>
    <row r="12" spans="2:9" ht="15" x14ac:dyDescent="0.25">
      <c r="B12" s="55">
        <v>11</v>
      </c>
      <c r="E12" s="55">
        <v>11</v>
      </c>
      <c r="H12" s="55">
        <v>11</v>
      </c>
      <c r="I12" s="56"/>
    </row>
    <row r="13" spans="2:9" ht="15" x14ac:dyDescent="0.25">
      <c r="B13" s="55">
        <v>12</v>
      </c>
      <c r="E13" s="55">
        <v>12</v>
      </c>
      <c r="H13" s="55">
        <v>12</v>
      </c>
      <c r="I13" s="56"/>
    </row>
    <row r="14" spans="2:9" ht="15" x14ac:dyDescent="0.25">
      <c r="B14" s="55">
        <v>13</v>
      </c>
      <c r="E14" s="55">
        <v>13</v>
      </c>
      <c r="H14" s="55">
        <v>13</v>
      </c>
      <c r="I14" s="56"/>
    </row>
    <row r="15" spans="2:9" ht="15" x14ac:dyDescent="0.25">
      <c r="B15" s="55">
        <v>14</v>
      </c>
      <c r="E15" s="55">
        <v>14</v>
      </c>
      <c r="H15" s="55">
        <v>14</v>
      </c>
      <c r="I15" s="56"/>
    </row>
    <row r="16" spans="2:9" ht="15" x14ac:dyDescent="0.25">
      <c r="B16" s="55">
        <v>15</v>
      </c>
      <c r="E16" s="55">
        <v>15</v>
      </c>
      <c r="H16" s="55">
        <v>15</v>
      </c>
      <c r="I16" s="56"/>
    </row>
    <row r="17" spans="2:11" ht="15" x14ac:dyDescent="0.25">
      <c r="B17" s="55">
        <v>16</v>
      </c>
      <c r="E17" s="55">
        <v>16</v>
      </c>
      <c r="H17" s="55">
        <v>16</v>
      </c>
      <c r="I17" s="56"/>
    </row>
    <row r="18" spans="2:11" ht="15" x14ac:dyDescent="0.25">
      <c r="B18" s="55">
        <v>17</v>
      </c>
      <c r="E18" s="55">
        <v>17</v>
      </c>
      <c r="H18" s="55">
        <v>17</v>
      </c>
      <c r="I18" s="56"/>
    </row>
    <row r="19" spans="2:11" ht="15" x14ac:dyDescent="0.25">
      <c r="B19" s="55">
        <v>18</v>
      </c>
      <c r="E19" s="55">
        <v>18</v>
      </c>
      <c r="H19" s="55">
        <v>18</v>
      </c>
      <c r="I19" s="56"/>
    </row>
    <row r="20" spans="2:11" ht="15" x14ac:dyDescent="0.25">
      <c r="B20" s="55">
        <v>19</v>
      </c>
      <c r="E20" s="55">
        <v>19</v>
      </c>
      <c r="H20" s="55">
        <v>19</v>
      </c>
      <c r="I20" s="56"/>
    </row>
    <row r="21" spans="2:11" ht="15" x14ac:dyDescent="0.25">
      <c r="B21" s="55">
        <v>20</v>
      </c>
      <c r="E21" s="55">
        <v>20</v>
      </c>
      <c r="H21" s="55">
        <v>20</v>
      </c>
      <c r="I21" s="56"/>
    </row>
    <row r="22" spans="2:11" ht="15" x14ac:dyDescent="0.25">
      <c r="B22" s="55">
        <v>21</v>
      </c>
      <c r="E22" s="55">
        <v>21</v>
      </c>
      <c r="H22" s="55">
        <v>21</v>
      </c>
      <c r="I22" s="56"/>
      <c r="K22" t="s">
        <v>63</v>
      </c>
    </row>
    <row r="23" spans="2:11" ht="15" x14ac:dyDescent="0.25">
      <c r="B23" s="55">
        <v>22</v>
      </c>
      <c r="E23" s="55">
        <v>22</v>
      </c>
      <c r="H23" s="55">
        <v>22</v>
      </c>
      <c r="I23" s="56"/>
    </row>
    <row r="24" spans="2:11" ht="15" x14ac:dyDescent="0.25">
      <c r="B24" s="55">
        <v>23</v>
      </c>
      <c r="E24" s="55">
        <v>23</v>
      </c>
      <c r="H24" s="55">
        <v>23</v>
      </c>
      <c r="I24" s="56"/>
    </row>
    <row r="25" spans="2:11" ht="15" x14ac:dyDescent="0.25">
      <c r="B25" s="55">
        <v>24</v>
      </c>
      <c r="E25" s="55">
        <v>24</v>
      </c>
      <c r="H25" s="55">
        <v>24</v>
      </c>
      <c r="I25" s="56"/>
    </row>
    <row r="26" spans="2:11" ht="15" x14ac:dyDescent="0.25">
      <c r="B26" s="55">
        <v>25</v>
      </c>
      <c r="E26" s="55">
        <v>25</v>
      </c>
      <c r="H26" s="55">
        <v>25</v>
      </c>
      <c r="I26" s="56"/>
    </row>
    <row r="27" spans="2:11" ht="15" x14ac:dyDescent="0.25">
      <c r="B27" s="55">
        <v>26</v>
      </c>
      <c r="E27" s="55">
        <v>26</v>
      </c>
      <c r="H27" s="55">
        <v>26</v>
      </c>
      <c r="I27" s="56"/>
    </row>
    <row r="28" spans="2:11" x14ac:dyDescent="0.2">
      <c r="B28" s="55">
        <v>27</v>
      </c>
      <c r="E28" s="55">
        <v>27</v>
      </c>
      <c r="H28" s="55">
        <v>27</v>
      </c>
    </row>
    <row r="29" spans="2:11" x14ac:dyDescent="0.2">
      <c r="B29" s="55">
        <v>28</v>
      </c>
      <c r="E29" s="55">
        <v>28</v>
      </c>
      <c r="H29" s="55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185</v>
      </c>
      <c r="C2" s="74"/>
      <c r="D2" s="74"/>
      <c r="E2" s="74"/>
      <c r="F2" s="74"/>
      <c r="G2" s="74"/>
      <c r="H2" s="74"/>
      <c r="I2" s="75"/>
      <c r="J2" s="59">
        <v>61779304</v>
      </c>
      <c r="K2" s="60">
        <v>2631</v>
      </c>
      <c r="L2" s="61">
        <v>46</v>
      </c>
      <c r="M2" s="61">
        <v>282.41000000000003</v>
      </c>
      <c r="N2" s="61">
        <v>308.72000000000003</v>
      </c>
      <c r="O2" s="61">
        <v>346.12</v>
      </c>
      <c r="P2" s="61" t="s">
        <v>54</v>
      </c>
      <c r="Q2" s="61">
        <v>1.7669999999999999</v>
      </c>
      <c r="R2" s="61" t="s">
        <v>62</v>
      </c>
    </row>
    <row r="3" spans="2:22" x14ac:dyDescent="0.2">
      <c r="B3" s="6" t="s">
        <v>53</v>
      </c>
      <c r="C3" s="57">
        <v>347</v>
      </c>
      <c r="D3" s="5"/>
      <c r="E3" s="5"/>
      <c r="F3" s="5"/>
      <c r="G3" s="5" t="s">
        <v>52</v>
      </c>
      <c r="H3" s="31">
        <v>46197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61779304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346.12</v>
      </c>
      <c r="G23" s="23">
        <f>+N2</f>
        <v>308.72000000000003</v>
      </c>
      <c r="H23" s="23">
        <f>+M2</f>
        <v>282.41000000000003</v>
      </c>
      <c r="I23" s="48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[96% COTTON 4% SPANDEX]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9" t="s">
        <v>19</v>
      </c>
      <c r="E31" s="79"/>
      <c r="F31" s="79" t="s">
        <v>18</v>
      </c>
      <c r="G31" s="79"/>
      <c r="H31" s="48" t="s">
        <v>17</v>
      </c>
      <c r="I31" s="19" t="s">
        <v>16</v>
      </c>
      <c r="M31"/>
    </row>
    <row r="32" spans="2:13" ht="32.25" customHeight="1" x14ac:dyDescent="0.2">
      <c r="B32" s="41" t="s">
        <v>179</v>
      </c>
      <c r="C32" s="19" t="s">
        <v>180</v>
      </c>
      <c r="D32" s="66"/>
      <c r="E32" s="67"/>
      <c r="F32" s="66">
        <f>+K2</f>
        <v>2631</v>
      </c>
      <c r="G32" s="67"/>
      <c r="H32" s="17">
        <v>0.76</v>
      </c>
      <c r="I32" s="18">
        <f>+H32*F32</f>
        <v>1999.56</v>
      </c>
      <c r="K32" s="46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48"/>
    </row>
    <row r="34" spans="2:11" ht="21.75" customHeight="1" x14ac:dyDescent="0.2">
      <c r="B34" s="15" t="s">
        <v>14</v>
      </c>
      <c r="C34" s="15"/>
      <c r="D34" s="64"/>
      <c r="E34" s="65"/>
      <c r="F34" s="66">
        <f>SUM(F31:G33)</f>
        <v>2631</v>
      </c>
      <c r="G34" s="67"/>
      <c r="H34" s="15"/>
      <c r="I34" s="14">
        <f>SUM(I32:I33)</f>
        <v>1999.56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1999.56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1999.56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185</v>
      </c>
      <c r="C2" s="74"/>
      <c r="D2" s="74"/>
      <c r="E2" s="74"/>
      <c r="F2" s="74"/>
      <c r="G2" s="74"/>
      <c r="H2" s="74"/>
      <c r="I2" s="75"/>
      <c r="J2" s="59">
        <v>62023521</v>
      </c>
      <c r="K2" s="61">
        <v>901</v>
      </c>
      <c r="L2" s="61">
        <v>19</v>
      </c>
      <c r="M2" s="61">
        <v>96.72</v>
      </c>
      <c r="N2" s="61">
        <v>105.73</v>
      </c>
      <c r="O2" s="61">
        <v>120.53</v>
      </c>
      <c r="P2" s="61" t="s">
        <v>54</v>
      </c>
      <c r="Q2" s="61">
        <v>0.626</v>
      </c>
      <c r="R2" s="61" t="s">
        <v>62</v>
      </c>
    </row>
    <row r="3" spans="2:22" x14ac:dyDescent="0.2">
      <c r="B3" s="6" t="s">
        <v>53</v>
      </c>
      <c r="C3" s="57">
        <f>+'347'!C3+1</f>
        <v>348</v>
      </c>
      <c r="D3" s="5"/>
      <c r="E3" s="5"/>
      <c r="F3" s="5"/>
      <c r="G3" s="5" t="s">
        <v>52</v>
      </c>
      <c r="H3" s="31">
        <f>+'347'!H3+0</f>
        <v>46197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62023521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120.53</v>
      </c>
      <c r="G23" s="23">
        <f>+N2</f>
        <v>105.73</v>
      </c>
      <c r="H23" s="23">
        <f>+M2</f>
        <v>96.72</v>
      </c>
      <c r="I23" s="48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[96% COTTON 4% SPANDEX]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9" t="s">
        <v>19</v>
      </c>
      <c r="E31" s="79"/>
      <c r="F31" s="79" t="s">
        <v>18</v>
      </c>
      <c r="G31" s="79"/>
      <c r="H31" s="48" t="s">
        <v>17</v>
      </c>
      <c r="I31" s="19" t="s">
        <v>16</v>
      </c>
      <c r="M31"/>
    </row>
    <row r="32" spans="2:13" ht="39.75" customHeight="1" x14ac:dyDescent="0.2">
      <c r="B32" s="41" t="s">
        <v>184</v>
      </c>
      <c r="C32" s="19" t="s">
        <v>182</v>
      </c>
      <c r="D32" s="66"/>
      <c r="E32" s="67"/>
      <c r="F32" s="66">
        <f>+K2</f>
        <v>901</v>
      </c>
      <c r="G32" s="67"/>
      <c r="H32" s="17">
        <v>0.76</v>
      </c>
      <c r="I32" s="18">
        <f>+H32*F32</f>
        <v>684.76</v>
      </c>
      <c r="K32" s="46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48"/>
    </row>
    <row r="34" spans="2:11" ht="21.75" customHeight="1" x14ac:dyDescent="0.2">
      <c r="B34" s="15" t="s">
        <v>14</v>
      </c>
      <c r="C34" s="15"/>
      <c r="D34" s="64"/>
      <c r="E34" s="65"/>
      <c r="F34" s="66">
        <f>SUM(F31:G33)</f>
        <v>901</v>
      </c>
      <c r="G34" s="67"/>
      <c r="H34" s="15"/>
      <c r="I34" s="14">
        <f>SUM(I32:I33)</f>
        <v>684.76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684.76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684.76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tabSelected="1"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185</v>
      </c>
      <c r="C2" s="74"/>
      <c r="D2" s="74"/>
      <c r="E2" s="74"/>
      <c r="F2" s="74"/>
      <c r="G2" s="74"/>
      <c r="H2" s="74"/>
      <c r="I2" s="75"/>
      <c r="J2" s="59">
        <v>62023525</v>
      </c>
      <c r="K2" s="61">
        <v>899</v>
      </c>
      <c r="L2" s="61">
        <v>20</v>
      </c>
      <c r="M2" s="61">
        <v>96.68</v>
      </c>
      <c r="N2" s="61">
        <v>105.67</v>
      </c>
      <c r="O2" s="61">
        <v>121.07</v>
      </c>
      <c r="P2" s="61" t="s">
        <v>54</v>
      </c>
      <c r="Q2" s="61">
        <v>0.63700000000000001</v>
      </c>
      <c r="R2" s="61" t="s">
        <v>62</v>
      </c>
    </row>
    <row r="3" spans="2:22" x14ac:dyDescent="0.2">
      <c r="B3" s="6" t="s">
        <v>53</v>
      </c>
      <c r="C3" s="57">
        <f>+'348'!C3+1</f>
        <v>349</v>
      </c>
      <c r="D3" s="5"/>
      <c r="E3" s="5"/>
      <c r="F3" s="5"/>
      <c r="G3" s="5" t="s">
        <v>52</v>
      </c>
      <c r="H3" s="31">
        <f>+'347'!H3+0</f>
        <v>46197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62023525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121.07</v>
      </c>
      <c r="G23" s="23">
        <f>+N2</f>
        <v>105.67</v>
      </c>
      <c r="H23" s="23">
        <f>+M2</f>
        <v>96.68</v>
      </c>
      <c r="I23" s="54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[96% COTTON 4% SPANDEX]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9" t="s">
        <v>19</v>
      </c>
      <c r="E31" s="79"/>
      <c r="F31" s="79" t="s">
        <v>18</v>
      </c>
      <c r="G31" s="79"/>
      <c r="H31" s="54" t="s">
        <v>17</v>
      </c>
      <c r="I31" s="19" t="s">
        <v>16</v>
      </c>
      <c r="M31"/>
    </row>
    <row r="32" spans="2:13" ht="27.75" customHeight="1" x14ac:dyDescent="0.2">
      <c r="B32" s="41">
        <v>21</v>
      </c>
      <c r="C32" s="19" t="s">
        <v>183</v>
      </c>
      <c r="D32" s="66"/>
      <c r="E32" s="67"/>
      <c r="F32" s="66">
        <f>+K2</f>
        <v>899</v>
      </c>
      <c r="G32" s="67"/>
      <c r="H32" s="17">
        <v>0.76</v>
      </c>
      <c r="I32" s="18">
        <f>+H32*F32</f>
        <v>683.24</v>
      </c>
      <c r="K32" s="46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54"/>
    </row>
    <row r="34" spans="2:11" ht="21.75" customHeight="1" x14ac:dyDescent="0.2">
      <c r="B34" s="15" t="s">
        <v>14</v>
      </c>
      <c r="C34" s="15"/>
      <c r="D34" s="64"/>
      <c r="E34" s="65"/>
      <c r="F34" s="66">
        <f>SUM(F32:G33)</f>
        <v>899</v>
      </c>
      <c r="G34" s="67"/>
      <c r="H34" s="15"/>
      <c r="I34" s="14">
        <f>SUM(I32:I33)</f>
        <v>683.24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683.24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683.24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347</vt:lpstr>
      <vt:lpstr>348</vt:lpstr>
      <vt:lpstr>349</vt:lpstr>
      <vt:lpstr>'347'!Print_Area</vt:lpstr>
      <vt:lpstr>'348'!Print_Area</vt:lpstr>
      <vt:lpstr>'349'!Print_Area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2026-06-24T01:23:25Z</cp:lastPrinted>
  <dcterms:created xsi:type="dcterms:W3CDTF">2024-04-17T09:56:05Z</dcterms:created>
  <dcterms:modified xsi:type="dcterms:W3CDTF">2026-06-24T01:27:57Z</dcterms:modified>
</cp:coreProperties>
</file>