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9.05.2026\"/>
    </mc:Choice>
  </mc:AlternateContent>
  <xr:revisionPtr revIDLastSave="0" documentId="13_ncr:1_{B30B3F24-6CA7-43EF-B9C3-DDF3161899B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458 FOB" sheetId="129" r:id="rId3"/>
    <sheet name="458 CMT" sheetId="167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'458 CMT'!$B$1:$I$57</definedName>
    <definedName name="_xlnm.Print_Area" localSheetId="2">'458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7" l="1"/>
  <c r="F34" i="167"/>
  <c r="F32" i="167"/>
  <c r="I32" i="167" s="1"/>
  <c r="I34" i="167" s="1"/>
  <c r="I36" i="167" s="1"/>
  <c r="I38" i="167" s="1"/>
  <c r="B27" i="167"/>
  <c r="I23" i="167"/>
  <c r="H23" i="167"/>
  <c r="G23" i="167"/>
  <c r="F23" i="167"/>
  <c r="E23" i="167"/>
  <c r="E21" i="167"/>
  <c r="D21" i="167"/>
  <c r="C21" i="167"/>
  <c r="B21" i="167"/>
  <c r="G15" i="167"/>
  <c r="G16" i="167" s="1"/>
  <c r="G17" i="167" s="1"/>
  <c r="H21" i="167" s="1"/>
  <c r="B15" i="167"/>
  <c r="B16" i="167" s="1"/>
  <c r="B17" i="167" s="1"/>
  <c r="B18" i="167" s="1"/>
  <c r="G14" i="167"/>
  <c r="F32" i="129"/>
  <c r="H52" i="129" l="1"/>
  <c r="F34" i="129"/>
  <c r="I32" i="129"/>
  <c r="I34" i="129" s="1"/>
  <c r="I36" i="129" s="1"/>
  <c r="I38" i="129" s="1"/>
  <c r="B27" i="129"/>
  <c r="I23" i="129"/>
  <c r="H23" i="129"/>
  <c r="G23" i="129"/>
  <c r="F23" i="129"/>
  <c r="E23" i="129"/>
  <c r="E21" i="129"/>
  <c r="D21" i="129"/>
  <c r="C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L25" i="128"/>
  <c r="L24" i="128"/>
  <c r="L23" i="128"/>
  <c r="L22" i="128"/>
  <c r="L21" i="128"/>
  <c r="L20" i="128"/>
  <c r="L19" i="128"/>
  <c r="L18" i="128"/>
  <c r="B18" i="128"/>
  <c r="L17" i="128"/>
  <c r="B17" i="128"/>
  <c r="L16" i="128"/>
  <c r="L15" i="128"/>
  <c r="L14" i="128"/>
  <c r="L13" i="128"/>
  <c r="L12" i="128"/>
  <c r="K12" i="128"/>
  <c r="L11" i="128"/>
  <c r="K11" i="128"/>
  <c r="L10" i="128"/>
  <c r="K10" i="128"/>
  <c r="L9" i="128"/>
  <c r="K9" i="128"/>
  <c r="L8" i="128"/>
  <c r="K8" i="128"/>
  <c r="L7" i="128"/>
  <c r="K7" i="128"/>
  <c r="L6" i="128"/>
  <c r="K6" i="128"/>
  <c r="L5" i="128"/>
  <c r="K5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<sst xmlns="http://schemas.openxmlformats.org/spreadsheetml/2006/main" count="317" uniqueCount="184">
  <si>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</si>
  <si>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</si>
  <si>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</si>
  <si>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</si>
  <si>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</si>
  <si>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</si>
  <si>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</si>
  <si>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</si>
  <si>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</si>
  <si>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</si>
  <si>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</si>
  <si>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</si>
  <si>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</si>
  <si>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</si>
  <si>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</si>
  <si>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</si>
  <si>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</si>
  <si>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</si>
  <si>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</si>
  <si>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</si>
  <si>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</si>
  <si>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</si>
  <si>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</si>
  <si>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</si>
  <si>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</si>
  <si>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</si>
  <si>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</si>
  <si>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</si>
  <si>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</si>
  <si>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</si>
  <si>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</si>
  <si>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</si>
  <si>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</si>
  <si>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</si>
  <si>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</si>
  <si>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</si>
  <si>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</si>
  <si>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</si>
  <si>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</si>
  <si>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</si>
  <si>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</si>
  <si>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</si>
  <si>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</si>
  <si>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</si>
  <si>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</si>
  <si>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</si>
  <si>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</si>
  <si>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</si>
  <si>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</si>
  <si>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</si>
  <si>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</si>
  <si>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</si>
  <si>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</si>
  <si>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</si>
  <si>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</si>
  <si>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</si>
  <si>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</si>
  <si>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</si>
  <si>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</si>
  <si>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</si>
  <si>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</si>
  <si>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</si>
  <si>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</si>
  <si>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</si>
  <si>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</si>
  <si>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</si>
  <si>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</si>
  <si>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</si>
  <si>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</si>
  <si>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</si>
  <si>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</si>
  <si>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</si>
  <si>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</si>
  <si>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</si>
  <si>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</si>
  <si>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</si>
  <si>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</si>
  <si>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</si>
  <si>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</si>
  <si>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</si>
  <si>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</si>
  <si>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</si>
  <si>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</si>
  <si>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</si>
  <si>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</si>
  <si>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</si>
  <si>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</si>
  <si>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</si>
  <si>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</si>
  <si>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</si>
  <si>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</si>
  <si>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</si>
  <si>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</si>
  <si>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</si>
  <si>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</si>
  <si>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</si>
  <si>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</si>
  <si>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</si>
  <si>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</si>
  <si>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</si>
  <si>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</si>
  <si>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</si>
  <si>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</si>
  <si>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</si>
  <si>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</si>
  <si>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</si>
  <si>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</si>
  <si>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</si>
  <si>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</si>
  <si>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</si>
  <si>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</si>
  <si>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</si>
  <si>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</si>
  <si>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</si>
  <si>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</si>
  <si>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</si>
  <si>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</si>
  <si>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</si>
  <si>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</si>
  <si>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</si>
  <si>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</si>
  <si>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</si>
  <si>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</si>
  <si>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</si>
  <si>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</si>
  <si>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</si>
  <si>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</si>
  <si>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</si>
  <si>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</si>
  <si>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</si>
  <si>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</si>
  <si>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</si>
  <si>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</si>
  <si>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</si>
  <si>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</si>
  <si>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</si>
  <si>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</si>
  <si>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</si>
  <si>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</si>
  <si>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</si>
  <si>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</si>
  <si>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</si>
  <si>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</si>
  <si>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</si>
  <si>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</si>
  <si>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</si>
  <si>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</si>
  <si>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</si>
  <si>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</si>
  <si>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</si>
  <si>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</si>
  <si>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</si>
  <si>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</si>
  <si>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</si>
  <si>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</si>
  <si>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</si>
  <si>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</si>
  <si>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</si>
  <si>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</si>
  <si>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</si>
  <si>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</si>
  <si>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</si>
  <si>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</si>
  <si>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</si>
  <si>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</si>
  <si>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</si>
  <si>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</si>
  <si>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</si>
  <si>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</si>
  <si>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</si>
  <si>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</si>
  <si>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</si>
  <si>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</si>
  <si>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</si>
  <si>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</si>
  <si>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</si>
  <si>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</si>
  <si>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</si>
  <si>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ONLINE</t>
  </si>
  <si>
    <t xml:space="preserve"> 265K0075 </t>
  </si>
  <si>
    <t>SHOOTING STAR</t>
  </si>
  <si>
    <t>21</t>
  </si>
  <si>
    <t>WOMENS COTTON FIBERS, KNIT PULLOVER, WITH NO NECK CLOSURE, STITCH COUNT IS GREATER THAN 9/2CM, REACHES WAIST, SLEEVELESS [95% COTTON 5% ELASTANE]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</si>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</sst>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right" vertical="center" wrapText="1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25ABB2BA-13BB-4B27-96DF-9BC611A2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B3DCC-DA1A-4587-B90B-909A81CB9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2" sqref="J2"/>
    </sheetView>
  </sheetViews>
  <sheetFormatPr defaultRowHeight="12.75" x14ac:dyDescent="0.2"/>
  <sheetData>
    <row r="2" spans="2:9" ht="15" x14ac:dyDescent="0.25">
      <c r="B2" s="53">
        <v>1</v>
      </c>
      <c r="C2" t="s">
        <v>179</v>
      </c>
      <c r="E2" s="53">
        <v>1</v>
      </c>
      <c r="F2">
        <v>692926</v>
      </c>
      <c r="H2" s="53">
        <v>1</v>
      </c>
      <c r="I2" s="54" t="s">
        <v>178</v>
      </c>
    </row>
    <row r="3" spans="2:9" ht="15" x14ac:dyDescent="0.25">
      <c r="B3" s="53">
        <v>2</v>
      </c>
      <c r="E3" s="53">
        <v>2</v>
      </c>
      <c r="H3" s="53">
        <v>2</v>
      </c>
      <c r="I3" s="54"/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x14ac:dyDescent="0.2">
      <c r="B11" s="53">
        <v>10</v>
      </c>
      <c r="E11" s="53">
        <v>10</v>
      </c>
      <c r="H11" s="53">
        <v>10</v>
      </c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E16" sqref="E1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177</v>
      </c>
      <c r="C2" s="63"/>
      <c r="D2" s="63"/>
      <c r="E2" s="63"/>
      <c r="F2" s="63"/>
      <c r="G2" s="63"/>
      <c r="H2" s="63"/>
      <c r="I2" s="64"/>
      <c r="J2" s="56">
        <v>61811917</v>
      </c>
      <c r="K2" s="57">
        <v>476</v>
      </c>
      <c r="L2" s="57">
        <v>12</v>
      </c>
      <c r="M2" s="57">
        <v>51.29</v>
      </c>
      <c r="N2" s="57">
        <v>56.05</v>
      </c>
      <c r="O2" s="57">
        <v>65.05</v>
      </c>
      <c r="P2" s="57" t="s">
        <v>54</v>
      </c>
      <c r="Q2" s="57">
        <v>0.34699999999999998</v>
      </c>
      <c r="R2" s="57" t="s">
        <v>62</v>
      </c>
    </row>
    <row r="3" spans="2:22" x14ac:dyDescent="0.2">
      <c r="B3" s="6" t="s">
        <v>53</v>
      </c>
      <c r="C3" s="55">
        <v>458</v>
      </c>
      <c r="D3" s="5"/>
      <c r="E3" s="5"/>
      <c r="F3" s="5"/>
      <c r="G3" s="5" t="s">
        <v>52</v>
      </c>
      <c r="H3" s="31">
        <v>46171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61811917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65.05</v>
      </c>
      <c r="G23" s="23">
        <f>+N2</f>
        <v>56.05</v>
      </c>
      <c r="H23" s="23">
        <f>+M2</f>
        <v>51.29</v>
      </c>
      <c r="I23" s="48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30.75" customHeight="1" x14ac:dyDescent="0.2">
      <c r="B32" s="41" t="s">
        <v>181</v>
      </c>
      <c r="C32" s="19" t="s">
        <v>180</v>
      </c>
      <c r="D32" s="60"/>
      <c r="E32" s="61"/>
      <c r="F32" s="60">
        <f>+K2</f>
        <v>476</v>
      </c>
      <c r="G32" s="61"/>
      <c r="H32" s="17">
        <v>2.4500000000000002</v>
      </c>
      <c r="I32" s="18">
        <f>+H32*F32</f>
        <v>1166.2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476</v>
      </c>
      <c r="G34" s="61"/>
      <c r="H34" s="15"/>
      <c r="I34" s="14">
        <f>SUM(I32:I33)</f>
        <v>1166.2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1166.2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1166.2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88EE-0712-4056-BF85-336C9C007A1A}">
  <sheetPr>
    <pageSetUpPr fitToPage="1"/>
  </sheetPr>
  <dimension ref="B1:V58"/>
  <sheetViews>
    <sheetView tabSelected="1" view="pageBreakPreview" topLeftCell="A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183</v>
      </c>
      <c r="C2" s="63"/>
      <c r="D2" s="63"/>
      <c r="E2" s="63"/>
      <c r="F2" s="63"/>
      <c r="G2" s="63"/>
      <c r="H2" s="63"/>
      <c r="I2" s="64"/>
      <c r="J2" s="56">
        <v>61811917</v>
      </c>
      <c r="K2" s="57">
        <v>476</v>
      </c>
      <c r="L2" s="57">
        <v>12</v>
      </c>
      <c r="M2" s="57">
        <v>51.29</v>
      </c>
      <c r="N2" s="57">
        <v>56.05</v>
      </c>
      <c r="O2" s="57">
        <v>65.05</v>
      </c>
      <c r="P2" s="57" t="s">
        <v>54</v>
      </c>
      <c r="Q2" s="57">
        <v>0.34699999999999998</v>
      </c>
      <c r="R2" s="57" t="s">
        <v>62</v>
      </c>
    </row>
    <row r="3" spans="2:22" x14ac:dyDescent="0.2">
      <c r="B3" s="6" t="s">
        <v>53</v>
      </c>
      <c r="C3" s="55">
        <v>458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61811917</v>
      </c>
      <c r="C21" s="5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9" t="s">
        <v>35</v>
      </c>
      <c r="G21" s="59"/>
      <c r="H21" s="47" t="str">
        <f>IF(LEFT(G17,2)="CA","CA",IF(LEFT(G17,2)="UN","US",IF(LEFT(G17,2)="PA","PA",IF(LEFT(G17,2)="JA","JP"))))</f>
        <v>US</v>
      </c>
      <c r="I21" s="59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65.05</v>
      </c>
      <c r="G23" s="23">
        <f>+N2</f>
        <v>56.05</v>
      </c>
      <c r="H23" s="23">
        <f>+M2</f>
        <v>51.29</v>
      </c>
      <c r="I23" s="59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71" t="s">
        <v>19</v>
      </c>
      <c r="E31" s="71"/>
      <c r="F31" s="71" t="s">
        <v>18</v>
      </c>
      <c r="G31" s="71"/>
      <c r="H31" s="59" t="s">
        <v>17</v>
      </c>
      <c r="I31" s="19" t="s">
        <v>16</v>
      </c>
      <c r="M31"/>
    </row>
    <row r="32" spans="2:13" ht="30.75" customHeight="1" x14ac:dyDescent="0.2">
      <c r="B32" s="41" t="s">
        <v>181</v>
      </c>
      <c r="C32" s="19" t="s">
        <v>180</v>
      </c>
      <c r="D32" s="60"/>
      <c r="E32" s="61"/>
      <c r="F32" s="60">
        <f>+K2</f>
        <v>476</v>
      </c>
      <c r="G32" s="61"/>
      <c r="H32" s="17">
        <v>0.76</v>
      </c>
      <c r="I32" s="18">
        <f>+H32*F32</f>
        <v>361.76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9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476</v>
      </c>
      <c r="G34" s="61"/>
      <c r="H34" s="15"/>
      <c r="I34" s="14">
        <f>SUM(I32:I33)</f>
        <v>361.76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9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361.76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361.76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B5AF27-956D-4BD3-A5A0-48AE070ABB87}">
          <x14:formula1>
            <xm:f>Sheet1!$L$5:$L$25</xm:f>
          </x14:formula1>
          <xm:sqref>G13</xm:sqref>
        </x14:dataValidation>
        <x14:dataValidation type="list" allowBlank="1" showInputMessage="1" showErrorMessage="1" xr:uid="{9CC28AA5-D6C9-4DB9-BD25-0D3AC0504CBB}">
          <x14:formula1>
            <xm:f>Sheet1!$B$17:$B$18</xm:f>
          </x14:formula1>
          <xm:sqref>G5</xm:sqref>
        </x14:dataValidation>
        <x14:dataValidation type="list" allowBlank="1" showInputMessage="1" showErrorMessage="1" xr:uid="{2198E73F-40A8-462E-A6EE-1CCA1670273D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458 FOB</vt:lpstr>
      <vt:lpstr>458 CMT</vt:lpstr>
      <vt:lpstr>'458 CMT'!Print_Area</vt:lpstr>
      <vt:lpstr>'458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2026-05-29T00:56:25Z</cp:lastPrinted>
  <dcterms:created xsi:type="dcterms:W3CDTF">2024-04-17T09:56:05Z</dcterms:created>
  <dcterms:modified xsi:type="dcterms:W3CDTF">2026-06-03T08:57:21Z</dcterms:modified>
</cp:coreProperties>
</file>