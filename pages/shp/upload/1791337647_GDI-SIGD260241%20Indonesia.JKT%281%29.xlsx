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KONG\Desktop\"/>
    </mc:Choice>
  </mc:AlternateContent>
  <bookViews>
    <workbookView windowWidth="23040" windowHeight="873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'GDI-CI'!$A$34:$WUK$54</definedName>
    <definedName name="_xlnm._FilterDatabase" localSheetId="1" hidden="1">'GDI-PI'!$A$26:$N$49</definedName>
    <definedName name="_xlnm._FilterDatabase" localSheetId="4" hidden="1">'GDI-DPL'!$A$13:$K$527</definedName>
    <definedName name="_xlnm._FilterDatabase" localSheetId="5" hidden="1">'GDI-Total'!$A$13:$L$39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'GDI-CI'!$B$1:$O$65</definedName>
    <definedName name="_xlnm.Print_Area" localSheetId="1">'GDI-PI'!$A$1:$P$64</definedName>
    <definedName name="_xlnm.Print_Area" localSheetId="2">'GDI-SC'!$A$1:$I$78</definedName>
    <definedName name="_xlnm.Print_Area" localSheetId="5">'GDI-Total'!$B$13:$K$39</definedName>
    <definedName name="_xlnm.Print_Area" localSheetId="3">SC!$A$1:$H$85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<sst xmlns="http://schemas.openxmlformats.org/spreadsheetml/2006/main" count="3389" uniqueCount="217">
  <si>
    <t>COMMERCIAL   INVOICE</t>
  </si>
  <si>
    <t>1.Shipper/Exporter</t>
  </si>
  <si>
    <t>9. No &amp; Date of Invoice</t>
  </si>
  <si>
    <t>GDI TEXTILE CO ., LTD</t>
  </si>
  <si>
    <t>GDI/SIGD-260241</t>
  </si>
  <si>
    <t>Date: 2026/09/22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</si>
  <si>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</si>
  <si>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</si>
  <si>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</si>
  <si>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</si>
  <si>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</si>
  <si>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</si>
  <si>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</si>
  <si>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</si>
  <si>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</si>
  <si>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</si>
  <si>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</si>
  <si>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</si>
  <si>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</si>
  <si>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</si>
  <si>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</si>
  <si>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</si>
  <si>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</si>
  <si>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</si>
  <si>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</si>
  <si>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</si>
  <si>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</si>
  <si>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</si>
  <si>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</si>
  <si>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SC/GDI-SIGD260241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</si>
  <si>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</si>
  <si>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</si>
  <si>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</si>
  <si>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</si>
  <si>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</si>
  <si>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</si>
  <si>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</si>
  <si>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</si>
  <si>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</si>
  <si>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</si>
  <si>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</si>
  <si>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</si>
  <si>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</si>
  <si>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</si>
  <si>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</si>
  <si>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</si>
  <si>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</si>
  <si>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</si>
  <si>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</si>
  <si>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</si>
  <si>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GDI260819008
PO#KD00465
Ref#265K0127(1ST MB), S/769950</t>
  </si>
  <si>
    <t>GDI260819010
PO#KD00468
Ref#265K0125-A~D(1ST MB), S/416363</t>
  </si>
  <si>
    <t>Bale</t>
  </si>
  <si>
    <t>GDI260810010
PO#KD00452
Ref#265K0107-b , S/905994</t>
  </si>
  <si>
    <t>GDI260904001
PO#KD00475
Ref#265K0093-Ba, S/878746</t>
  </si>
  <si>
    <t>GDI260904002
PO#KD00474
Ref#265K0092 -Ba, S/867788</t>
  </si>
  <si>
    <t>SIOB260507007
PO#KD00433
Ref#265K0077-2ND MB  S/767468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</si>
  <si>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</si>
  <si>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</si>
  <si>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</si>
  <si>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</si>
  <si>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</si>
  <si>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</si>
  <si>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</si>
  <si>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</si>
  <si>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</si>
  <si>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</si>
  <si>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</si>
  <si>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</si>
  <si>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</si>
  <si>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</si>
  <si>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</si>
  <si>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</si>
  <si>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</si>
  <si>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</si>
  <si>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</si>
  <si>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</si>
  <si>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</si>
  <si>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</si>
  <si>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</si>
  <si>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</si>
  <si>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</si>
  <si>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</si>
  <si>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</si>
  <si>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</si>
  <si>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</si>
  <si>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</si>
  <si>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</si>
  <si>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</si>
  <si>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</si>
  <si>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</si>
  <si>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</si>
  <si>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</si>
  <si>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</si>
  <si>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</si>
  <si>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</si>
  <si>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</si>
  <si>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</si>
  <si>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</si>
  <si>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</si>
  <si>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</si>
  <si>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</si>
  <si>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</si>
  <si>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</si>
  <si>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</si>
  <si>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</si>
  <si>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</si>
  <si>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</si>
  <si>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</si>
  <si>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</si>
  <si>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</si>
  <si>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</si>
  <si>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</si>
  <si>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</si>
  <si>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</si>
  <si>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</si>
  <si>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</si>
  <si>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</si>
  <si>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</si>
  <si>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</si>
  <si>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</si>
  <si>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</si>
  <si>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</si>
  <si>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</si>
  <si>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</si>
  <si>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</si>
  <si>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</si>
  <si>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</si>
  <si>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</si>
  <si>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</si>
  <si>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</si>
  <si>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</si>
  <si>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</si>
  <si>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GDI260819008</t>
  </si>
  <si>
    <t>260601-036-lot4</t>
  </si>
  <si>
    <t>KD00465/265K0127(1ST MB), S/769950</t>
  </si>
  <si>
    <t>26S/1 60% BCI COTTON  40%POLYESTER  JERSEY (LACOSTE EDGE) 70/72“ 160GSM</t>
  </si>
  <si>
    <t>CALLA LILY DD 451  漂白</t>
  </si>
  <si>
    <t>TOTAL:</t>
  </si>
  <si>
    <t>260709-002-lot3</t>
  </si>
  <si>
    <t>260824-069-lot2</t>
  </si>
  <si>
    <t>260824-068-lot1</t>
  </si>
  <si>
    <t>GDI260819010</t>
  </si>
  <si>
    <t>260824-072-lot3</t>
  </si>
  <si>
    <t>KD00468/265K0125-A~D(1ST MB), S/416363</t>
  </si>
  <si>
    <t>60% BETTER COTTON (BCI) 40% POLYESTER CONVENTIONAL  CVC 26S/1 JERSEY(LACOSTE EDGE) 70/72“ 160GSM</t>
  </si>
  <si>
    <r>
      <rPr>
        <sz val="11"/>
        <rFont val="Calibri"/>
        <charset val="134"/>
      </rPr>
      <t xml:space="preserve">CALLA LILY DD 451  </t>
    </r>
    <r>
      <rPr>
        <sz val="11"/>
        <rFont val="SimSun"/>
        <charset val="134"/>
      </rPr>
      <t>漂白</t>
    </r>
  </si>
  <si>
    <t>260824-071-lot2</t>
  </si>
  <si>
    <t>260824-070-lot1</t>
  </si>
  <si>
    <t>GDI260810010</t>
  </si>
  <si>
    <t>260905-009-lot1</t>
  </si>
  <si>
    <t>KD00452/265K0107-b , S/905994</t>
  </si>
  <si>
    <t>60% BCI COTTON 40% RECYCLED POLYESTER 32S/1 JERSEY 69/71" 125GSM</t>
  </si>
  <si>
    <t>CLOUD COVER PSD 中灰色-单染涤</t>
  </si>
  <si>
    <t>260824-073-lot1</t>
  </si>
  <si>
    <t>260905-008-lot1</t>
  </si>
  <si>
    <t>GDI260904001</t>
  </si>
  <si>
    <t>260905-016-lot1</t>
  </si>
  <si>
    <t>KD00475/265K0093-Ba, S/878746</t>
  </si>
  <si>
    <t>60% BCI COTTON 40% RECYCLED POLYESTER 32S/1 JERSEY 69/71“ 125GSM</t>
  </si>
  <si>
    <t>BLACK JACK 400 黑色</t>
  </si>
  <si>
    <t>GDI260904002</t>
  </si>
  <si>
    <t>260905-015-lot1</t>
  </si>
  <si>
    <t>KD00474/265K0092 -Ba, S/867788</t>
  </si>
  <si>
    <t>260731-015-lot1</t>
  </si>
  <si>
    <t>BLUSH HUE 257 粉红色</t>
  </si>
  <si>
    <t>260521-010-lot1</t>
  </si>
  <si>
    <t>260905-014-lot1</t>
  </si>
  <si>
    <t>260905-013-lot1</t>
  </si>
  <si>
    <t>60% BCI COTTON 40% POLYESTER 32S/1 JERSEY(LACOSTE EDGE) 62/64" 145GSM</t>
  </si>
  <si>
    <t>CALLA LILY 451  漂白</t>
  </si>
  <si>
    <t>260911-012-lot1</t>
  </si>
  <si>
    <t>260824-064-lot1</t>
  </si>
  <si>
    <t>60% BETTER COTTON (BCI) 40% POLYESTER CONVENTIONAL  CVC 30S/1 JERSEY(LACOSTE EDGE) 69/71" 145GSM</t>
  </si>
  <si>
    <t>BLACK JACK DD 400 黑色</t>
  </si>
  <si>
    <t>260910-010-lot4</t>
  </si>
  <si>
    <t>B25 FAUX HEATHER GREY (B25 PSD) B25单染涤</t>
  </si>
  <si>
    <t>260910-009-lot3</t>
  </si>
  <si>
    <t>260824-065-lot1</t>
  </si>
  <si>
    <t>MONET BLUE DD 744 油画蓝</t>
  </si>
  <si>
    <t>260824-066-lot1</t>
  </si>
  <si>
    <t>PLANT LIFE DD 978 翡翠绿</t>
  </si>
  <si>
    <t>SIOB260507007</t>
  </si>
  <si>
    <t>260707-008-lot1</t>
  </si>
  <si>
    <t>KD00433/265K0077-2ND MB  S/767468</t>
  </si>
  <si>
    <t>60% BCI COTTON 40%POLYESTER 26S/1 JERSEY (LACOSTE EDGE) 70/72" 160GSM</t>
  </si>
  <si>
    <t>260824-067-lot1</t>
  </si>
  <si>
    <t>WINE STAIN DD 853 酒红</t>
  </si>
  <si>
    <t>260907-001-lot1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</si>
  <si>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</si>
  <si>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</si>
  <si>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</si>
  <si>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</si>
  <si>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</si>
  <si>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PO</t>
  </si>
  <si>
    <t>TOLERANCE</t>
  </si>
  <si>
    <t>已出</t>
  </si>
  <si>
    <t>C1-C3</t>
  </si>
  <si>
    <t>C12-C13</t>
  </si>
  <si>
    <t>C1-C30</t>
  </si>
  <si>
    <r>
      <rPr>
        <sz val="11"/>
        <rFont val="Calibri"/>
        <charset val="134"/>
      </rPr>
      <t xml:space="preserve">BLACK JACK DD 400 </t>
    </r>
    <r>
      <rPr>
        <sz val="11"/>
        <rFont val="SimSun"/>
        <charset val="134"/>
      </rPr>
      <t>黑色</t>
    </r>
  </si>
  <si>
    <r>
      <rPr>
        <sz val="11"/>
        <rFont val="Calibri"/>
        <charset val="134"/>
      </rPr>
      <t>B25 FAUX HEATHER GREY (B25 PSD) B25</t>
    </r>
    <r>
      <rPr>
        <sz val="11"/>
        <rFont val="SimSun"/>
        <charset val="134"/>
      </rPr>
      <t>单染涤</t>
    </r>
  </si>
  <si>
    <t>C1-C19</t>
  </si>
  <si>
    <r>
      <rPr>
        <sz val="11"/>
        <rFont val="Calibri"/>
        <charset val="134"/>
      </rPr>
      <t xml:space="preserve">MONET BLUE DD 744 </t>
    </r>
    <r>
      <rPr>
        <sz val="11"/>
        <rFont val="SimSun"/>
        <charset val="134"/>
      </rPr>
      <t>油画蓝</t>
    </r>
  </si>
  <si>
    <r>
      <rPr>
        <sz val="11"/>
        <rFont val="Calibri"/>
        <charset val="134"/>
      </rPr>
      <t xml:space="preserve">PLANT LIFE DD 978 </t>
    </r>
    <r>
      <rPr>
        <sz val="11"/>
        <rFont val="SimSun"/>
        <charset val="134"/>
      </rPr>
      <t>翡翠绿</t>
    </r>
  </si>
  <si>
    <t>C1-C40</t>
  </si>
  <si>
    <r>
      <rPr>
        <sz val="11"/>
        <color rgb="FFFF0000"/>
        <rFont val="Calibri"/>
        <charset val="134"/>
      </rPr>
      <t xml:space="preserve">WINE STAIN DD 853 </t>
    </r>
    <r>
      <rPr>
        <sz val="11"/>
        <color rgb="FFFF0000"/>
        <rFont val="SimSun"/>
        <charset val="134"/>
      </rPr>
      <t>酒红</t>
    </r>
  </si>
  <si>
    <t>C1-C7.C9-C30</t>
  </si>
  <si>
    <t>C8-C16</t>
  </si>
  <si>
    <t>C1-C25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</si>
  <si>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</si>
  <si>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C1-C21</t>
  </si>
  <si>
    <r>
      <rPr>
        <sz val="11"/>
        <rFont val="Calibri"/>
        <charset val="134"/>
      </rPr>
      <t xml:space="preserve">BLUSH HUE 257 </t>
    </r>
    <r>
      <rPr>
        <sz val="11"/>
        <rFont val="SimSun"/>
        <charset val="134"/>
      </rPr>
      <t>粉红色</t>
    </r>
  </si>
  <si>
    <t>C23</t>
  </si>
  <si>
    <t>C46</t>
  </si>
  <si>
    <r>
      <rPr>
        <sz val="11"/>
        <rFont val="Calibri"/>
        <charset val="134"/>
      </rPr>
      <t xml:space="preserve">CALLA LILY 451  </t>
    </r>
    <r>
      <rPr>
        <sz val="11"/>
        <rFont val="SimSun"/>
        <charset val="134"/>
      </rPr>
      <t>漂白</t>
    </r>
  </si>
  <si>
    <t>C1-C5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</si>
</sst>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_ "/>
    <numFmt numFmtId="184" formatCode="0.00_ "/>
    <numFmt numFmtId="185" formatCode="0.0_ "/>
    <numFmt numFmtId="186" formatCode="&quot;$&quot;#,##0.00"/>
    <numFmt numFmtId="187" formatCode="_(* #,##0_);_(* \(#,##0\);_(* &quot;-&quot;??_);_(@_)"/>
    <numFmt numFmtId="188" formatCode="0_);[Red]\(0\)"/>
    <numFmt numFmtId="189" formatCode="&quot;US$&quot;###,###.00"/>
    <numFmt numFmtId="190" formatCode="#,##0&quot;CTNS&quot;"/>
    <numFmt numFmtId="191" formatCode="mmm\.\ \ dd\,\ yyyy"/>
    <numFmt numFmtId="192" formatCode="&quot;US$&quot;#,##0.00"/>
    <numFmt numFmtId="193" formatCode="mmm\.\ dd\,yyyy"/>
    <numFmt numFmtId="194" formatCode="[$-409]mmmm\ d\,\ yyyy;@"/>
    <numFmt numFmtId="195" formatCode="mm&quot;월&quot;\ dd&quot;일&quot;"/>
    <numFmt numFmtId="196" formatCode="#,##0\ &quot;YDS&quot;"/>
    <numFmt numFmtId="197" formatCode="0.0000"/>
  </numFmts>
  <fonts count="143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2"/>
      <color rgb="FFFF0000"/>
      <name val="SimSun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2"/>
      <name val="VNI-Times"/>
      <charset val="0"/>
    </font>
    <font>
      <sz val="12"/>
      <color indexed="8"/>
      <name val="宋体"/>
      <charset val="134"/>
    </font>
    <font>
      <sz val="11"/>
      <color rgb="FFFF0000"/>
      <name val="SimSun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43" fontId="105" fillId="0" borderId="0" applyFont="0" applyFill="0" applyBorder="0" applyAlignment="0" applyProtection="0">
      <alignment vertical="center"/>
    </xf>
    <xf numFmtId="44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2" fontId="105" fillId="0" borderId="0" applyFon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9" borderId="39" applyNumberFormat="0" applyFon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0" applyNumberFormat="0" applyFill="0" applyAlignment="0" applyProtection="0">
      <alignment vertical="center"/>
    </xf>
    <xf numFmtId="0" fontId="113" fillId="0" borderId="41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10" borderId="42" applyNumberFormat="0" applyAlignment="0" applyProtection="0">
      <alignment vertical="center"/>
    </xf>
    <xf numFmtId="0" fontId="115" fillId="11" borderId="43" applyNumberFormat="0" applyAlignment="0" applyProtection="0">
      <alignment vertical="center"/>
    </xf>
    <xf numFmtId="0" fontId="116" fillId="11" borderId="42" applyNumberFormat="0" applyAlignment="0" applyProtection="0">
      <alignment vertical="center"/>
    </xf>
    <xf numFmtId="0" fontId="117" fillId="12" borderId="44" applyNumberFormat="0" applyAlignment="0" applyProtection="0">
      <alignment vertical="center"/>
    </xf>
    <xf numFmtId="0" fontId="118" fillId="0" borderId="45" applyNumberFormat="0" applyFill="0" applyAlignment="0" applyProtection="0">
      <alignment vertical="center"/>
    </xf>
    <xf numFmtId="0" fontId="119" fillId="0" borderId="46" applyNumberFormat="0" applyFill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1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4" fillId="17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4" fillId="21" borderId="0" applyNumberFormat="0" applyBorder="0" applyAlignment="0" applyProtection="0">
      <alignment vertical="center"/>
    </xf>
    <xf numFmtId="0" fontId="124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4" fillId="25" borderId="0" applyNumberFormat="0" applyBorder="0" applyAlignment="0" applyProtection="0">
      <alignment vertical="center"/>
    </xf>
    <xf numFmtId="0" fontId="124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4" fillId="29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4" fillId="33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4" fillId="36" borderId="0" applyNumberFormat="0" applyBorder="0" applyAlignment="0" applyProtection="0">
      <alignment vertical="center"/>
    </xf>
    <xf numFmtId="0" fontId="124" fillId="5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40" fontId="125" fillId="0" borderId="0" applyFont="0" applyFill="0" applyBorder="0" applyAlignment="0" applyProtection="0"/>
    <xf numFmtId="176" fontId="105" fillId="0" borderId="0" applyFont="0" applyFill="0" applyBorder="0" applyAlignment="0" applyProtection="0">
      <alignment vertical="center"/>
    </xf>
    <xf numFmtId="177" fontId="126" fillId="0" borderId="0" applyFont="0" applyFill="0" applyBorder="0" applyAlignment="0" applyProtection="0"/>
    <xf numFmtId="40" fontId="125" fillId="0" borderId="0" applyFont="0" applyFill="0" applyBorder="0" applyAlignment="0" applyProtection="0"/>
    <xf numFmtId="178" fontId="127" fillId="0" borderId="0" applyFont="0" applyFill="0" applyBorder="0" applyAlignment="0" applyProtection="0"/>
    <xf numFmtId="179" fontId="105" fillId="0" borderId="0" applyFont="0" applyFill="0" applyBorder="0" applyAlignment="0" applyProtection="0"/>
    <xf numFmtId="180" fontId="125" fillId="0" borderId="0" applyFon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/>
    <xf numFmtId="181" fontId="129" fillId="0" borderId="0"/>
    <xf numFmtId="0" fontId="130" fillId="0" borderId="0">
      <alignment vertical="top"/>
    </xf>
    <xf numFmtId="181" fontId="127" fillId="0" borderId="0"/>
    <xf numFmtId="0" fontId="125" fillId="0" borderId="0" applyNumberFormat="0" applyFont="0"/>
    <xf numFmtId="181" fontId="0" fillId="0" borderId="0"/>
    <xf numFmtId="0" fontId="131" fillId="0" borderId="0"/>
    <xf numFmtId="0" fontId="74" fillId="0" borderId="0"/>
    <xf numFmtId="0" fontId="132" fillId="0" borderId="0">
      <alignment horizontal="center" vertical="center"/>
    </xf>
    <xf numFmtId="0" fontId="133" fillId="0" borderId="0"/>
    <xf numFmtId="0" fontId="62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4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7" fillId="0" borderId="0"/>
    <xf numFmtId="0" fontId="2" fillId="0" borderId="0">
      <alignment vertical="top"/>
      <protection locked="0"/>
    </xf>
    <xf numFmtId="0" fontId="133" fillId="0" borderId="0"/>
    <xf numFmtId="0" fontId="14" fillId="0" borderId="0"/>
    <xf numFmtId="0" fontId="135" fillId="0" borderId="0">
      <alignment vertical="center"/>
    </xf>
    <xf numFmtId="0" fontId="136" fillId="0" borderId="0"/>
  </cellStyleXfs>
  <cellXfs count="6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83" fontId="3" fillId="0" borderId="0" xfId="0" applyNumberFormat="1" applyFont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Font="1" applyFill="1" applyAlignment="1">
      <alignment horizontal="left" vertical="center"/>
    </xf>
    <xf numFmtId="183" fontId="6" fillId="0" borderId="0" xfId="74" applyNumberFormat="1" applyFont="1" applyFill="1" applyAlignment="1">
      <alignment horizontal="center" vertical="center"/>
    </xf>
    <xf numFmtId="184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0" fontId="7" fillId="0" borderId="0" xfId="74" applyFont="1" applyAlignment="1">
      <alignment horizontal="left" vertical="center"/>
    </xf>
    <xf numFmtId="183" fontId="7" fillId="0" borderId="0" xfId="74" applyNumberFormat="1" applyFont="1" applyAlignment="1">
      <alignment horizontal="center" vertical="center"/>
    </xf>
    <xf numFmtId="184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left" vertical="center" wrapText="1"/>
    </xf>
    <xf numFmtId="183" fontId="8" fillId="0" borderId="0" xfId="68" applyNumberFormat="1" applyFont="1" applyFill="1" applyBorder="1" applyAlignment="1">
      <alignment horizontal="center" vertical="center" wrapText="1"/>
    </xf>
    <xf numFmtId="184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83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83" fontId="3" fillId="0" borderId="0" xfId="0" applyNumberFormat="1" applyFont="1" applyBorder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184" fontId="12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183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3" fontId="4" fillId="0" borderId="0" xfId="0" applyNumberFormat="1" applyFont="1" applyAlignment="1">
      <alignment horizontal="left" vertical="center"/>
    </xf>
    <xf numFmtId="184" fontId="4" fillId="0" borderId="0" xfId="0" applyNumberFormat="1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5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2" xfId="80" applyNumberFormat="1" applyFont="1" applyFill="1" applyBorder="1" applyAlignment="1">
      <alignment horizontal="center" vertical="center"/>
    </xf>
    <xf numFmtId="0" fontId="18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left" vertical="center"/>
    </xf>
    <xf numFmtId="183" fontId="18" fillId="0" borderId="1" xfId="71" applyNumberFormat="1" applyFont="1" applyFill="1" applyBorder="1" applyAlignment="1" applyProtection="1">
      <alignment horizontal="center" vertical="center" wrapText="1"/>
    </xf>
    <xf numFmtId="184" fontId="18" fillId="0" borderId="1" xfId="71" applyNumberFormat="1" applyFont="1" applyFill="1" applyBorder="1" applyAlignment="1" applyProtection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8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0" borderId="1" xfId="70" applyFont="1" applyFill="1" applyBorder="1" applyAlignment="1">
      <alignment horizontal="left" vertical="center" wrapText="1"/>
    </xf>
    <xf numFmtId="0" fontId="20" fillId="0" borderId="2" xfId="80" applyNumberFormat="1" applyFont="1" applyFill="1" applyBorder="1" applyAlignment="1">
      <alignment horizontal="center" vertical="center"/>
    </xf>
    <xf numFmtId="0" fontId="20" fillId="0" borderId="3" xfId="70" applyFont="1" applyFill="1" applyBorder="1" applyAlignment="1">
      <alignment horizontal="left" vertical="center" wrapText="1"/>
    </xf>
    <xf numFmtId="0" fontId="20" fillId="0" borderId="1" xfId="70" applyFont="1" applyFill="1" applyBorder="1" applyAlignment="1">
      <alignment horizontal="center" vertical="center" wrapText="1"/>
    </xf>
    <xf numFmtId="0" fontId="20" fillId="0" borderId="1" xfId="70" applyFont="1" applyFill="1" applyBorder="1" applyAlignment="1">
      <alignment horizontal="left" vertical="center" wrapText="1"/>
    </xf>
    <xf numFmtId="183" fontId="20" fillId="0" borderId="1" xfId="71" applyNumberFormat="1" applyFont="1" applyFill="1" applyBorder="1" applyAlignment="1" applyProtection="1">
      <alignment horizontal="center" vertical="center" wrapText="1"/>
    </xf>
    <xf numFmtId="184" fontId="20" fillId="0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67" applyFont="1" applyFill="1" applyBorder="1" applyAlignment="1">
      <alignment horizontal="left" vertical="center" wrapText="1"/>
    </xf>
    <xf numFmtId="183" fontId="15" fillId="4" borderId="1" xfId="70" applyNumberFormat="1" applyFont="1" applyFill="1" applyBorder="1" applyAlignment="1">
      <alignment horizontal="center" vertical="center" wrapText="1"/>
    </xf>
    <xf numFmtId="184" fontId="15" fillId="4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1" fillId="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84" fontId="21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0" fontId="22" fillId="0" borderId="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NumberFormat="1" applyFont="1" applyAlignment="1">
      <alignment horizontal="left" vertical="center" wrapText="1"/>
    </xf>
    <xf numFmtId="184" fontId="21" fillId="0" borderId="0" xfId="0" applyNumberFormat="1" applyFont="1" applyAlignment="1">
      <alignment horizontal="left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184" fontId="21" fillId="0" borderId="0" xfId="0" applyNumberFormat="1" applyFont="1" applyBorder="1" applyAlignment="1">
      <alignment horizontal="center" vertical="center"/>
    </xf>
    <xf numFmtId="184" fontId="23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14" fontId="21" fillId="0" borderId="0" xfId="0" applyNumberFormat="1" applyFont="1" applyBorder="1" applyAlignment="1">
      <alignment horizontal="center" vertical="center"/>
    </xf>
    <xf numFmtId="14" fontId="21" fillId="0" borderId="0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vertical="center"/>
    </xf>
    <xf numFmtId="184" fontId="21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4" fontId="7" fillId="5" borderId="1" xfId="72" applyNumberFormat="1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center" vertical="center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4" fontId="7" fillId="6" borderId="1" xfId="71" applyNumberFormat="1" applyFont="1" applyFill="1" applyBorder="1" applyAlignment="1" applyProtection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4" fontId="7" fillId="3" borderId="1" xfId="71" applyNumberFormat="1" applyFont="1" applyFill="1" applyBorder="1" applyAlignment="1" applyProtection="1">
      <alignment horizontal="center" vertical="center" wrapText="1"/>
    </xf>
    <xf numFmtId="0" fontId="25" fillId="0" borderId="0" xfId="63" applyFont="1"/>
    <xf numFmtId="0" fontId="26" fillId="0" borderId="0" xfId="63" applyFont="1" applyAlignment="1">
      <alignment vertical="center" wrapText="1"/>
    </xf>
    <xf numFmtId="0" fontId="25" fillId="0" borderId="0" xfId="63" applyFont="1" applyAlignment="1">
      <alignment horizontal="center" vertical="center"/>
    </xf>
    <xf numFmtId="0" fontId="27" fillId="0" borderId="0" xfId="63" applyFont="1"/>
    <xf numFmtId="0" fontId="26" fillId="0" borderId="0" xfId="63" applyFont="1"/>
    <xf numFmtId="0" fontId="28" fillId="0" borderId="0" xfId="63" applyFont="1"/>
    <xf numFmtId="0" fontId="29" fillId="0" borderId="0" xfId="63" applyNumberFormat="1" applyFont="1" applyFill="1" applyBorder="1" applyAlignment="1" applyProtection="1">
      <alignment horizontal="center"/>
    </xf>
    <xf numFmtId="0" fontId="30" fillId="0" borderId="0" xfId="63" applyNumberFormat="1" applyFont="1" applyFill="1" applyBorder="1" applyAlignment="1" applyProtection="1">
      <alignment vertical="top"/>
    </xf>
    <xf numFmtId="0" fontId="31" fillId="0" borderId="0" xfId="65" applyFont="1" applyBorder="1" applyAlignment="1">
      <alignment vertical="center"/>
    </xf>
    <xf numFmtId="0" fontId="32" fillId="0" borderId="0" xfId="63" applyNumberFormat="1" applyFont="1" applyFill="1" applyBorder="1" applyAlignment="1" applyProtection="1">
      <alignment horizontal="left" vertical="top"/>
    </xf>
    <xf numFmtId="0" fontId="28" fillId="0" borderId="0" xfId="63" applyFont="1" applyAlignment="1">
      <alignment horizontal="left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3" applyNumberFormat="1" applyFont="1" applyFill="1" applyBorder="1" applyAlignment="1" applyProtection="1">
      <alignment vertical="top"/>
    </xf>
    <xf numFmtId="0" fontId="35" fillId="0" borderId="0" xfId="65" applyFont="1" applyBorder="1" applyAlignment="1">
      <alignment vertical="center"/>
    </xf>
    <xf numFmtId="0" fontId="25" fillId="0" borderId="0" xfId="63" applyFont="1" applyFill="1" applyBorder="1" applyAlignment="1">
      <alignment vertical="center"/>
    </xf>
    <xf numFmtId="0" fontId="36" fillId="0" borderId="0" xfId="63" applyFont="1" applyFill="1"/>
    <xf numFmtId="0" fontId="28" fillId="0" borderId="0" xfId="63" applyFont="1" applyBorder="1"/>
    <xf numFmtId="0" fontId="25" fillId="0" borderId="0" xfId="63" applyFont="1" applyBorder="1" applyAlignment="1">
      <alignment vertical="center"/>
    </xf>
    <xf numFmtId="0" fontId="37" fillId="0" borderId="0" xfId="63" applyFont="1" applyFill="1"/>
    <xf numFmtId="0" fontId="38" fillId="0" borderId="0" xfId="63" applyNumberFormat="1" applyFont="1" applyFill="1" applyBorder="1" applyAlignment="1" applyProtection="1">
      <alignment horizontal="center"/>
    </xf>
    <xf numFmtId="0" fontId="35" fillId="0" borderId="0" xfId="63" applyNumberFormat="1" applyFont="1" applyFill="1" applyBorder="1" applyAlignment="1" applyProtection="1"/>
    <xf numFmtId="0" fontId="39" fillId="0" borderId="0" xfId="63" applyNumberFormat="1" applyFont="1" applyFill="1" applyBorder="1" applyAlignment="1" applyProtection="1">
      <alignment horizontal="right" vertical="top"/>
    </xf>
    <xf numFmtId="0" fontId="40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34" fillId="0" borderId="0" xfId="63" applyNumberFormat="1" applyFont="1" applyFill="1" applyAlignment="1" applyProtection="1">
      <alignment vertical="top"/>
    </xf>
    <xf numFmtId="0" fontId="25" fillId="0" borderId="0" xfId="63" applyFont="1" applyFill="1"/>
    <xf numFmtId="0" fontId="28" fillId="0" borderId="0" xfId="63" applyFont="1" applyBorder="1" applyAlignment="1">
      <alignment vertical="top"/>
    </xf>
    <xf numFmtId="0" fontId="41" fillId="0" borderId="0" xfId="63" applyFont="1"/>
    <xf numFmtId="0" fontId="42" fillId="0" borderId="5" xfId="63" applyFont="1" applyBorder="1"/>
    <xf numFmtId="0" fontId="40" fillId="0" borderId="5" xfId="63" applyNumberFormat="1" applyFont="1" applyFill="1" applyBorder="1" applyAlignment="1" applyProtection="1"/>
    <xf numFmtId="0" fontId="30" fillId="0" borderId="5" xfId="63" applyNumberFormat="1" applyFont="1" applyFill="1" applyBorder="1" applyAlignment="1" applyProtection="1"/>
    <xf numFmtId="0" fontId="32" fillId="0" borderId="5" xfId="63" applyFont="1" applyBorder="1" applyAlignment="1">
      <alignment horizontal="center"/>
    </xf>
    <xf numFmtId="0" fontId="33" fillId="0" borderId="0" xfId="63" applyNumberFormat="1" applyFont="1" applyFill="1" applyBorder="1" applyAlignment="1" applyProtection="1"/>
    <xf numFmtId="0" fontId="33" fillId="0" borderId="6" xfId="63" applyNumberFormat="1" applyFont="1" applyFill="1" applyBorder="1" applyAlignment="1" applyProtection="1">
      <alignment horizontal="left" vertical="top"/>
    </xf>
    <xf numFmtId="0" fontId="33" fillId="0" borderId="6" xfId="63" applyNumberFormat="1" applyFont="1" applyFill="1" applyBorder="1" applyAlignment="1" applyProtection="1">
      <alignment vertical="top"/>
    </xf>
    <xf numFmtId="49" fontId="36" fillId="6" borderId="6" xfId="63" applyNumberFormat="1" applyFont="1" applyFill="1" applyBorder="1" applyAlignment="1" applyProtection="1"/>
    <xf numFmtId="0" fontId="33" fillId="0" borderId="0" xfId="63" applyNumberFormat="1" applyFont="1" applyFill="1" applyBorder="1" applyAlignment="1" applyProtection="1">
      <alignment horizontal="left" vertical="top"/>
    </xf>
    <xf numFmtId="49" fontId="36" fillId="6" borderId="0" xfId="63" applyNumberFormat="1" applyFont="1" applyFill="1" applyBorder="1" applyAlignment="1" applyProtection="1"/>
    <xf numFmtId="0" fontId="33" fillId="0" borderId="0" xfId="63" applyNumberFormat="1" applyFont="1" applyAlignment="1">
      <alignment vertical="top"/>
    </xf>
    <xf numFmtId="0" fontId="33" fillId="0" borderId="0" xfId="63" applyNumberFormat="1" applyFont="1" applyFill="1" applyBorder="1" applyAlignment="1" applyProtection="1">
      <alignment horizontal="right"/>
    </xf>
    <xf numFmtId="0" fontId="33" fillId="0" borderId="0" xfId="63" applyNumberFormat="1" applyFont="1" applyBorder="1" applyAlignment="1">
      <alignment vertical="top"/>
    </xf>
    <xf numFmtId="0" fontId="33" fillId="0" borderId="7" xfId="63" applyNumberFormat="1" applyFont="1" applyFill="1" applyBorder="1" applyAlignment="1" applyProtection="1"/>
    <xf numFmtId="0" fontId="33" fillId="0" borderId="7" xfId="63" applyNumberFormat="1" applyFont="1" applyFill="1" applyBorder="1" applyAlignment="1" applyProtection="1">
      <alignment horizontal="left" vertical="top"/>
    </xf>
    <xf numFmtId="14" fontId="33" fillId="0" borderId="7" xfId="63" applyNumberFormat="1" applyFont="1" applyFill="1" applyBorder="1" applyAlignment="1" applyProtection="1">
      <alignment horizontal="left"/>
    </xf>
    <xf numFmtId="0" fontId="33" fillId="0" borderId="7" xfId="63" applyNumberFormat="1" applyFont="1" applyFill="1" applyBorder="1" applyAlignment="1" applyProtection="1">
      <alignment horizontal="left"/>
    </xf>
    <xf numFmtId="0" fontId="43" fillId="0" borderId="8" xfId="63" applyNumberFormat="1" applyFont="1" applyFill="1" applyBorder="1" applyAlignment="1" applyProtection="1">
      <alignment horizontal="center" vertical="center" wrapText="1"/>
    </xf>
    <xf numFmtId="0" fontId="43" fillId="0" borderId="9" xfId="63" applyNumberFormat="1" applyFont="1" applyFill="1" applyBorder="1" applyAlignment="1" applyProtection="1">
      <alignment horizontal="center" vertical="center" wrapText="1"/>
    </xf>
    <xf numFmtId="0" fontId="43" fillId="0" borderId="10" xfId="63" applyNumberFormat="1" applyFont="1" applyFill="1" applyBorder="1" applyAlignment="1" applyProtection="1">
      <alignment horizontal="center" vertical="center" wrapText="1"/>
    </xf>
    <xf numFmtId="0" fontId="43" fillId="0" borderId="0" xfId="63" applyNumberFormat="1" applyFont="1" applyFill="1" applyBorder="1" applyAlignment="1" applyProtection="1">
      <alignment horizontal="center" vertical="center" wrapText="1"/>
    </xf>
    <xf numFmtId="0" fontId="36" fillId="0" borderId="11" xfId="63" applyFont="1" applyFill="1" applyBorder="1" applyAlignment="1">
      <alignment horizontal="center" vertical="center" wrapText="1"/>
    </xf>
    <xf numFmtId="0" fontId="36" fillId="0" borderId="12" xfId="63" applyFont="1" applyFill="1" applyBorder="1" applyAlignment="1">
      <alignment horizontal="center" vertical="center" wrapText="1"/>
    </xf>
    <xf numFmtId="43" fontId="36" fillId="0" borderId="11" xfId="63" applyNumberFormat="1" applyFont="1" applyFill="1" applyBorder="1" applyAlignment="1">
      <alignment horizontal="center" vertical="center" wrapText="1"/>
    </xf>
    <xf numFmtId="43" fontId="36" fillId="0" borderId="13" xfId="63" applyNumberFormat="1" applyFont="1" applyFill="1" applyBorder="1" applyAlignment="1">
      <alignment horizontal="center" vertical="center" wrapText="1"/>
    </xf>
    <xf numFmtId="40" fontId="36" fillId="0" borderId="12" xfId="49" applyFont="1" applyFill="1" applyBorder="1" applyAlignment="1">
      <alignment horizontal="center" vertical="center" wrapText="1"/>
    </xf>
    <xf numFmtId="186" fontId="36" fillId="0" borderId="13" xfId="52" applyNumberFormat="1" applyFont="1" applyFill="1" applyBorder="1" applyAlignment="1">
      <alignment horizontal="center" vertical="center"/>
    </xf>
    <xf numFmtId="0" fontId="33" fillId="0" borderId="0" xfId="63" applyNumberFormat="1" applyFont="1" applyFill="1" applyBorder="1" applyAlignment="1" applyProtection="1">
      <alignment horizontal="center" vertical="center"/>
    </xf>
    <xf numFmtId="0" fontId="32" fillId="7" borderId="14" xfId="63" applyFont="1" applyFill="1" applyBorder="1" applyAlignment="1">
      <alignment horizontal="center"/>
    </xf>
    <xf numFmtId="0" fontId="32" fillId="7" borderId="15" xfId="63" applyFont="1" applyFill="1" applyBorder="1" applyAlignment="1">
      <alignment horizontal="center"/>
    </xf>
    <xf numFmtId="43" fontId="36" fillId="7" borderId="16" xfId="49" applyNumberFormat="1" applyFont="1" applyFill="1" applyBorder="1" applyAlignment="1">
      <alignment horizontal="center"/>
    </xf>
    <xf numFmtId="186" fontId="36" fillId="7" borderId="13" xfId="52" applyNumberFormat="1" applyFont="1" applyFill="1" applyBorder="1" applyAlignment="1">
      <alignment horizontal="center" vertical="center"/>
    </xf>
    <xf numFmtId="0" fontId="30" fillId="0" borderId="0" xfId="63" applyNumberFormat="1" applyFont="1" applyFill="1" applyBorder="1" applyAlignment="1" applyProtection="1">
      <alignment horizontal="center"/>
    </xf>
    <xf numFmtId="178" fontId="27" fillId="0" borderId="0" xfId="63" applyNumberFormat="1" applyFont="1"/>
    <xf numFmtId="0" fontId="36" fillId="0" borderId="0" xfId="63" applyFont="1" applyBorder="1" applyAlignment="1">
      <alignment horizontal="left"/>
    </xf>
    <xf numFmtId="0" fontId="36" fillId="0" borderId="0" xfId="63" applyFont="1" applyBorder="1" applyAlignment="1">
      <alignment horizontal="center"/>
    </xf>
    <xf numFmtId="3" fontId="33" fillId="0" borderId="0" xfId="63" applyNumberFormat="1" applyFont="1" applyBorder="1" applyAlignment="1">
      <alignment horizontal="right"/>
    </xf>
    <xf numFmtId="4" fontId="36" fillId="0" borderId="0" xfId="63" applyNumberFormat="1" applyFont="1" applyBorder="1" applyAlignment="1">
      <alignment horizontal="right"/>
    </xf>
    <xf numFmtId="0" fontId="33" fillId="0" borderId="0" xfId="63" applyNumberFormat="1" applyFont="1" applyFill="1" applyBorder="1" applyAlignment="1" applyProtection="1">
      <alignment horizontal="center"/>
    </xf>
    <xf numFmtId="0" fontId="36" fillId="0" borderId="0" xfId="63" applyFont="1" applyAlignment="1">
      <alignment horizontal="left"/>
    </xf>
    <xf numFmtId="182" fontId="43" fillId="0" borderId="1" xfId="57" applyNumberFormat="1" applyFont="1" applyFill="1" applyBorder="1" applyAlignment="1">
      <alignment horizontal="center" vertical="center" wrapText="1"/>
    </xf>
    <xf numFmtId="0" fontId="44" fillId="0" borderId="0" xfId="63" applyFont="1" applyBorder="1" applyAlignment="1">
      <alignment horizontal="left"/>
    </xf>
    <xf numFmtId="0" fontId="32" fillId="0" borderId="0" xfId="63" applyFont="1" applyBorder="1" applyAlignment="1">
      <alignment horizontal="center"/>
    </xf>
    <xf numFmtId="3" fontId="30" fillId="0" borderId="0" xfId="63" applyNumberFormat="1" applyFont="1" applyBorder="1" applyAlignment="1">
      <alignment horizontal="right"/>
    </xf>
    <xf numFmtId="4" fontId="32" fillId="0" borderId="0" xfId="63" applyNumberFormat="1" applyFont="1" applyBorder="1" applyAlignment="1">
      <alignment horizontal="right"/>
    </xf>
    <xf numFmtId="4" fontId="41" fillId="0" borderId="0" xfId="63" applyNumberFormat="1" applyFont="1" applyBorder="1" applyAlignment="1">
      <alignment horizontal="right"/>
    </xf>
    <xf numFmtId="0" fontId="45" fillId="0" borderId="0" xfId="63" applyNumberFormat="1" applyFont="1"/>
    <xf numFmtId="0" fontId="46" fillId="0" borderId="0" xfId="63" applyFont="1"/>
    <xf numFmtId="0" fontId="40" fillId="0" borderId="0" xfId="63" applyNumberFormat="1" applyFont="1" applyFill="1" applyBorder="1" applyAlignment="1" applyProtection="1"/>
    <xf numFmtId="0" fontId="47" fillId="0" borderId="0" xfId="63" applyFont="1"/>
    <xf numFmtId="0" fontId="48" fillId="0" borderId="0" xfId="63" applyNumberFormat="1" applyFont="1" applyFill="1" applyBorder="1" applyAlignment="1" applyProtection="1"/>
    <xf numFmtId="0" fontId="48" fillId="0" borderId="0" xfId="63" applyNumberFormat="1" applyFont="1" applyFill="1" applyAlignment="1" applyProtection="1"/>
    <xf numFmtId="187" fontId="28" fillId="0" borderId="0" xfId="63" applyNumberFormat="1" applyFont="1"/>
    <xf numFmtId="180" fontId="40" fillId="0" borderId="0" xfId="55" applyFont="1" applyFill="1" applyBorder="1" applyAlignment="1" applyProtection="1"/>
    <xf numFmtId="187" fontId="46" fillId="0" borderId="0" xfId="63" applyNumberFormat="1" applyFont="1"/>
    <xf numFmtId="0" fontId="46" fillId="0" borderId="0" xfId="63" applyFont="1" applyAlignment="1"/>
    <xf numFmtId="178" fontId="46" fillId="0" borderId="0" xfId="63" applyNumberFormat="1" applyFont="1"/>
    <xf numFmtId="0" fontId="48" fillId="0" borderId="0" xfId="63" applyNumberFormat="1" applyFont="1" applyFill="1" applyBorder="1" applyAlignment="1" applyProtection="1">
      <alignment horizontal="center"/>
    </xf>
    <xf numFmtId="0" fontId="48" fillId="0" borderId="0" xfId="63" applyNumberFormat="1" applyFont="1" applyFill="1" applyAlignment="1" applyProtection="1">
      <alignment horizontal="center"/>
    </xf>
    <xf numFmtId="0" fontId="36" fillId="0" borderId="0" xfId="66" applyFont="1" applyAlignment="1">
      <alignment horizontal="left"/>
    </xf>
    <xf numFmtId="0" fontId="37" fillId="0" borderId="0" xfId="66" applyFont="1"/>
    <xf numFmtId="0" fontId="49" fillId="0" borderId="0" xfId="63" applyFont="1"/>
    <xf numFmtId="15" fontId="28" fillId="0" borderId="0" xfId="63" applyNumberFormat="1" applyFont="1"/>
    <xf numFmtId="0" fontId="41" fillId="0" borderId="0" xfId="66" applyFont="1" applyAlignment="1">
      <alignment horizontal="right"/>
    </xf>
    <xf numFmtId="0" fontId="41" fillId="0" borderId="0" xfId="66" applyFont="1"/>
    <xf numFmtId="0" fontId="26" fillId="0" borderId="0" xfId="66" applyFont="1"/>
    <xf numFmtId="0" fontId="43" fillId="0" borderId="0" xfId="63" applyNumberFormat="1" applyFont="1" applyFill="1" applyBorder="1" applyAlignment="1" applyProtection="1"/>
    <xf numFmtId="0" fontId="26" fillId="0" borderId="0" xfId="63" applyFont="1" applyFill="1"/>
    <xf numFmtId="0" fontId="44" fillId="0" borderId="0" xfId="66" applyFont="1" applyAlignment="1">
      <alignment horizontal="right"/>
    </xf>
    <xf numFmtId="0" fontId="33" fillId="0" borderId="0" xfId="63" applyNumberFormat="1" applyFont="1" applyFill="1" applyBorder="1" applyAlignment="1" applyProtection="1">
      <alignment horizontal="left"/>
    </xf>
    <xf numFmtId="0" fontId="37" fillId="0" borderId="0" xfId="63" applyFont="1" applyAlignment="1">
      <alignment vertical="center"/>
    </xf>
    <xf numFmtId="0" fontId="50" fillId="0" borderId="0" xfId="63" applyFont="1" applyAlignment="1">
      <alignment vertical="center"/>
    </xf>
    <xf numFmtId="0" fontId="50" fillId="0" borderId="0" xfId="63" applyFont="1"/>
    <xf numFmtId="0" fontId="37" fillId="0" borderId="0" xfId="63" applyFont="1"/>
    <xf numFmtId="0" fontId="51" fillId="0" borderId="0" xfId="63" applyNumberFormat="1" applyFont="1" applyFill="1" applyBorder="1" applyAlignment="1" applyProtection="1"/>
    <xf numFmtId="0" fontId="28" fillId="0" borderId="0" xfId="63" applyFont="1" applyAlignment="1">
      <alignment vertical="center"/>
    </xf>
    <xf numFmtId="0" fontId="52" fillId="0" borderId="0" xfId="63" applyNumberFormat="1" applyFont="1" applyFill="1" applyBorder="1" applyAlignment="1" applyProtection="1"/>
    <xf numFmtId="0" fontId="50" fillId="0" borderId="0" xfId="59" applyFont="1"/>
    <xf numFmtId="0" fontId="37" fillId="0" borderId="0" xfId="59" applyFont="1" applyBorder="1"/>
    <xf numFmtId="0" fontId="53" fillId="0" borderId="0" xfId="59" applyFont="1" applyBorder="1" applyAlignment="1"/>
    <xf numFmtId="0" fontId="54" fillId="0" borderId="0" xfId="59" applyFont="1" applyBorder="1"/>
    <xf numFmtId="0" fontId="55" fillId="0" borderId="0" xfId="59" applyFont="1" applyBorder="1" applyAlignment="1">
      <alignment horizontal="center"/>
    </xf>
    <xf numFmtId="0" fontId="56" fillId="0" borderId="0" xfId="59" applyFont="1" applyAlignment="1">
      <alignment horizontal="left"/>
    </xf>
    <xf numFmtId="0" fontId="52" fillId="0" borderId="0" xfId="59" applyFont="1" applyAlignment="1">
      <alignment horizontal="left"/>
    </xf>
    <xf numFmtId="0" fontId="57" fillId="0" borderId="0" xfId="63" applyNumberFormat="1" applyFont="1" applyFill="1" applyBorder="1" applyAlignment="1" applyProtection="1"/>
    <xf numFmtId="0" fontId="35" fillId="0" borderId="0" xfId="63" applyNumberFormat="1" applyFont="1" applyFill="1" applyBorder="1" applyAlignment="1" applyProtection="1">
      <alignment vertical="top"/>
    </xf>
    <xf numFmtId="0" fontId="58" fillId="0" borderId="0" xfId="63" applyNumberFormat="1" applyFont="1" applyFill="1" applyBorder="1" applyAlignment="1" applyProtection="1"/>
    <xf numFmtId="0" fontId="25" fillId="0" borderId="0" xfId="63" applyFont="1" applyFill="1" applyAlignment="1">
      <alignment horizontal="left" wrapText="1"/>
    </xf>
    <xf numFmtId="0" fontId="25" fillId="0" borderId="0" xfId="63" applyNumberFormat="1" applyFont="1" applyFill="1" applyAlignment="1">
      <alignment horizontal="left" wrapText="1"/>
    </xf>
    <xf numFmtId="0" fontId="32" fillId="0" borderId="5" xfId="63" applyFont="1" applyBorder="1" applyAlignment="1"/>
    <xf numFmtId="0" fontId="43" fillId="0" borderId="6" xfId="63" applyNumberFormat="1" applyFont="1" applyFill="1" applyBorder="1" applyAlignment="1" applyProtection="1">
      <alignment horizontal="center" vertical="center" wrapText="1"/>
    </xf>
    <xf numFmtId="0" fontId="32" fillId="0" borderId="11" xfId="63" applyFont="1" applyFill="1" applyBorder="1" applyAlignment="1">
      <alignment horizontal="center" vertical="center" wrapText="1"/>
    </xf>
    <xf numFmtId="0" fontId="36" fillId="0" borderId="13" xfId="63" applyFont="1" applyFill="1" applyBorder="1" applyAlignment="1">
      <alignment horizontal="center" vertical="center" wrapText="1"/>
    </xf>
    <xf numFmtId="0" fontId="36" fillId="0" borderId="0" xfId="63" applyFont="1" applyFill="1" applyAlignment="1">
      <alignment horizontal="center" vertical="center" wrapText="1"/>
    </xf>
    <xf numFmtId="43" fontId="36" fillId="0" borderId="12" xfId="49" applyNumberFormat="1" applyFont="1" applyFill="1" applyBorder="1" applyAlignment="1">
      <alignment horizontal="center" vertical="center" wrapText="1"/>
    </xf>
    <xf numFmtId="40" fontId="36" fillId="0" borderId="11" xfId="49" applyFont="1" applyFill="1" applyBorder="1" applyAlignment="1">
      <alignment horizontal="center" vertical="center" wrapText="1"/>
    </xf>
    <xf numFmtId="0" fontId="32" fillId="0" borderId="14" xfId="63" applyFont="1" applyFill="1" applyBorder="1" applyAlignment="1">
      <alignment horizontal="center"/>
    </xf>
    <xf numFmtId="0" fontId="32" fillId="0" borderId="15" xfId="63" applyFont="1" applyFill="1" applyBorder="1" applyAlignment="1">
      <alignment horizontal="center"/>
    </xf>
    <xf numFmtId="0" fontId="32" fillId="0" borderId="17" xfId="63" applyFont="1" applyFill="1" applyBorder="1" applyAlignment="1">
      <alignment horizontal="center"/>
    </xf>
    <xf numFmtId="43" fontId="32" fillId="0" borderId="16" xfId="49" applyNumberFormat="1" applyFont="1" applyFill="1" applyBorder="1" applyAlignment="1">
      <alignment horizontal="center"/>
    </xf>
    <xf numFmtId="0" fontId="26" fillId="0" borderId="0" xfId="63" applyFont="1" applyAlignment="1">
      <alignment vertical="center"/>
    </xf>
    <xf numFmtId="0" fontId="45" fillId="0" borderId="0" xfId="63" applyNumberFormat="1" applyFont="1" applyAlignment="1">
      <alignment horizontal="center"/>
    </xf>
    <xf numFmtId="0" fontId="59" fillId="0" borderId="0" xfId="59" applyFont="1" applyBorder="1"/>
    <xf numFmtId="0" fontId="37" fillId="0" borderId="0" xfId="59" applyFont="1" applyBorder="1" applyAlignment="1"/>
    <xf numFmtId="0" fontId="60" fillId="0" borderId="0" xfId="59" applyFont="1" applyBorder="1" applyAlignment="1"/>
    <xf numFmtId="0" fontId="61" fillId="0" borderId="0" xfId="59" applyFont="1" applyBorder="1" applyAlignment="1"/>
    <xf numFmtId="0" fontId="62" fillId="0" borderId="0" xfId="59"/>
    <xf numFmtId="0" fontId="62" fillId="0" borderId="0" xfId="59" applyFont="1" applyAlignment="1">
      <alignment vertical="center"/>
    </xf>
    <xf numFmtId="0" fontId="63" fillId="0" borderId="0" xfId="59" applyFont="1"/>
    <xf numFmtId="0" fontId="64" fillId="0" borderId="0" xfId="59" applyFont="1" applyAlignment="1">
      <alignment vertical="top"/>
    </xf>
    <xf numFmtId="0" fontId="65" fillId="0" borderId="0" xfId="59" applyFont="1" applyAlignment="1">
      <alignment vertical="top"/>
    </xf>
    <xf numFmtId="0" fontId="65" fillId="0" borderId="0" xfId="59" applyFont="1"/>
    <xf numFmtId="0" fontId="65" fillId="0" borderId="0" xfId="59" applyFont="1" applyAlignment="1">
      <alignment vertical="center"/>
    </xf>
    <xf numFmtId="0" fontId="65" fillId="0" borderId="0" xfId="59" applyFont="1" applyFill="1"/>
    <xf numFmtId="0" fontId="62" fillId="0" borderId="0" xfId="59" applyFont="1" applyAlignment="1">
      <alignment horizontal="center" vertical="center"/>
    </xf>
    <xf numFmtId="0" fontId="62" fillId="0" borderId="0" xfId="59" applyFont="1"/>
    <xf numFmtId="0" fontId="66" fillId="0" borderId="0" xfId="59" applyFont="1" applyBorder="1" applyAlignment="1">
      <alignment horizontal="center" vertical="center"/>
    </xf>
    <xf numFmtId="0" fontId="36" fillId="0" borderId="0" xfId="59" applyFont="1" applyBorder="1"/>
    <xf numFmtId="0" fontId="62" fillId="0" borderId="0" xfId="59" applyFont="1" applyBorder="1"/>
    <xf numFmtId="0" fontId="64" fillId="0" borderId="18" xfId="59" applyFont="1" applyBorder="1" applyAlignment="1">
      <alignment horizontal="left" vertical="top"/>
    </xf>
    <xf numFmtId="0" fontId="64" fillId="0" borderId="6" xfId="59" applyFont="1" applyBorder="1" applyAlignment="1">
      <alignment horizontal="left" vertical="top"/>
    </xf>
    <xf numFmtId="0" fontId="64" fillId="0" borderId="8" xfId="59" applyFont="1" applyBorder="1" applyAlignment="1">
      <alignment horizontal="left" vertical="top"/>
    </xf>
    <xf numFmtId="0" fontId="63" fillId="0" borderId="6" xfId="59" applyFont="1" applyBorder="1"/>
    <xf numFmtId="0" fontId="62" fillId="0" borderId="6" xfId="59" applyFont="1" applyBorder="1"/>
    <xf numFmtId="0" fontId="62" fillId="0" borderId="19" xfId="59" applyFont="1" applyBorder="1"/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28" fillId="8" borderId="0" xfId="58" applyFont="1" applyFill="1" applyBorder="1" applyAlignment="1">
      <alignment horizontal="left" vertical="center" wrapText="1"/>
    </xf>
    <xf numFmtId="0" fontId="62" fillId="0" borderId="0" xfId="59" applyFont="1" applyBorder="1" applyAlignment="1">
      <alignment vertical="center"/>
    </xf>
    <xf numFmtId="177" fontId="28" fillId="0" borderId="11" xfId="58" applyNumberFormat="1" applyFont="1" applyFill="1" applyBorder="1" applyAlignment="1">
      <alignment horizontal="center" vertical="center" wrapText="1"/>
    </xf>
    <xf numFmtId="177" fontId="28" fillId="0" borderId="21" xfId="58" applyNumberFormat="1" applyFont="1" applyFill="1" applyBorder="1" applyAlignment="1">
      <alignment horizontal="center" vertical="center" wrapText="1"/>
    </xf>
    <xf numFmtId="0" fontId="68" fillId="0" borderId="20" xfId="57" applyFont="1" applyFill="1" applyBorder="1" applyAlignment="1">
      <alignment horizontal="left" vertical="center"/>
    </xf>
    <xf numFmtId="0" fontId="68" fillId="0" borderId="0" xfId="57" applyFont="1" applyFill="1" applyBorder="1" applyAlignment="1">
      <alignment horizontal="left" vertical="center"/>
    </xf>
    <xf numFmtId="0" fontId="68" fillId="0" borderId="11" xfId="57" applyFont="1" applyFill="1" applyBorder="1" applyAlignment="1">
      <alignment horizontal="left" vertical="center"/>
    </xf>
    <xf numFmtId="0" fontId="62" fillId="0" borderId="15" xfId="59" applyFont="1" applyFill="1" applyBorder="1" applyAlignment="1">
      <alignment vertical="center"/>
    </xf>
    <xf numFmtId="0" fontId="62" fillId="0" borderId="17" xfId="59" applyFont="1" applyFill="1" applyBorder="1" applyAlignment="1">
      <alignment vertical="center"/>
    </xf>
    <xf numFmtId="0" fontId="62" fillId="0" borderId="17" xfId="59" applyFont="1" applyBorder="1" applyAlignment="1">
      <alignment horizontal="centerContinuous" vertical="center"/>
    </xf>
    <xf numFmtId="0" fontId="62" fillId="0" borderId="17" xfId="59" applyFont="1" applyBorder="1" applyAlignment="1">
      <alignment vertical="center"/>
    </xf>
    <xf numFmtId="0" fontId="62" fillId="0" borderId="22" xfId="59" applyFont="1" applyBorder="1" applyAlignment="1">
      <alignment horizontal="centerContinuous" vertical="center"/>
    </xf>
    <xf numFmtId="1" fontId="62" fillId="0" borderId="0" xfId="59" applyNumberFormat="1" applyFont="1" applyBorder="1" applyAlignment="1">
      <alignment vertical="center"/>
    </xf>
    <xf numFmtId="0" fontId="64" fillId="0" borderId="23" xfId="59" applyFont="1" applyBorder="1" applyAlignment="1">
      <alignment vertical="top"/>
    </xf>
    <xf numFmtId="0" fontId="64" fillId="0" borderId="0" xfId="59" applyFont="1" applyBorder="1" applyAlignment="1">
      <alignment vertical="top"/>
    </xf>
    <xf numFmtId="0" fontId="63" fillId="0" borderId="0" xfId="59" applyFont="1" applyBorder="1" applyAlignment="1">
      <alignment vertical="center"/>
    </xf>
    <xf numFmtId="0" fontId="62" fillId="0" borderId="21" xfId="59" applyFont="1" applyBorder="1" applyAlignment="1">
      <alignment vertical="center"/>
    </xf>
    <xf numFmtId="1" fontId="62" fillId="0" borderId="17" xfId="59" applyNumberFormat="1" applyBorder="1" applyAlignment="1">
      <alignment horizontal="left" vertical="center"/>
    </xf>
    <xf numFmtId="0" fontId="62" fillId="0" borderId="17" xfId="59" applyNumberFormat="1" applyBorder="1" applyAlignment="1">
      <alignment horizontal="left" vertical="center"/>
    </xf>
    <xf numFmtId="188" fontId="62" fillId="0" borderId="22" xfId="59" applyNumberFormat="1" applyFont="1" applyBorder="1" applyAlignment="1">
      <alignment vertical="center"/>
    </xf>
    <xf numFmtId="0" fontId="64" fillId="0" borderId="24" xfId="59" applyFont="1" applyBorder="1" applyAlignment="1">
      <alignment horizontal="left" vertical="top"/>
    </xf>
    <xf numFmtId="0" fontId="64" fillId="0" borderId="25" xfId="59" applyFont="1" applyBorder="1" applyAlignment="1">
      <alignment horizontal="left" vertical="top"/>
    </xf>
    <xf numFmtId="0" fontId="64" fillId="0" borderId="26" xfId="59" applyFont="1" applyBorder="1" applyAlignment="1">
      <alignment horizontal="left" vertical="top"/>
    </xf>
    <xf numFmtId="0" fontId="64" fillId="0" borderId="0" xfId="59" applyFont="1" applyBorder="1" applyAlignment="1">
      <alignment horizontal="left" vertical="top"/>
    </xf>
    <xf numFmtId="0" fontId="63" fillId="0" borderId="0" xfId="59" applyFont="1" applyBorder="1"/>
    <xf numFmtId="0" fontId="62" fillId="0" borderId="21" xfId="59" applyFont="1" applyBorder="1"/>
    <xf numFmtId="1" fontId="62" fillId="0" borderId="0" xfId="59" applyNumberFormat="1" applyFont="1" applyBorder="1"/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62" fillId="0" borderId="0" xfId="59" applyBorder="1" applyAlignment="1">
      <alignment vertical="center"/>
    </xf>
    <xf numFmtId="0" fontId="63" fillId="0" borderId="17" xfId="59" applyFont="1" applyBorder="1" applyAlignment="1">
      <alignment vertical="center"/>
    </xf>
    <xf numFmtId="0" fontId="62" fillId="0" borderId="22" xfId="59" applyFont="1" applyBorder="1" applyAlignment="1">
      <alignment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Border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5" fillId="0" borderId="20" xfId="58" applyFont="1" applyFill="1" applyBorder="1" applyAlignment="1">
      <alignment horizontal="left" vertical="center" wrapText="1"/>
    </xf>
    <xf numFmtId="0" fontId="35" fillId="0" borderId="0" xfId="58" applyFont="1" applyFill="1" applyBorder="1" applyAlignment="1">
      <alignment horizontal="left" vertical="center" wrapText="1"/>
    </xf>
    <xf numFmtId="0" fontId="35" fillId="0" borderId="11" xfId="58" applyFont="1" applyFill="1" applyBorder="1" applyAlignment="1">
      <alignment horizontal="left" vertical="center" wrapText="1"/>
    </xf>
    <xf numFmtId="0" fontId="51" fillId="0" borderId="13" xfId="58" applyFont="1" applyFill="1" applyBorder="1" applyAlignment="1">
      <alignment horizontal="left" vertical="center" wrapText="1"/>
    </xf>
    <xf numFmtId="0" fontId="51" fillId="0" borderId="0" xfId="58" applyFont="1" applyFill="1" applyBorder="1" applyAlignment="1">
      <alignment horizontal="left" vertical="center" wrapText="1"/>
    </xf>
    <xf numFmtId="0" fontId="62" fillId="0" borderId="0" xfId="59" applyFont="1" applyBorder="1" applyAlignment="1">
      <alignment horizontal="center"/>
    </xf>
    <xf numFmtId="189" fontId="62" fillId="0" borderId="21" xfId="59" applyNumberFormat="1" applyFont="1" applyBorder="1" applyAlignment="1">
      <alignment horizontal="left"/>
    </xf>
    <xf numFmtId="0" fontId="51" fillId="0" borderId="0" xfId="58" applyFont="1" applyFill="1" applyBorder="1" applyAlignment="1">
      <alignment vertical="center" wrapText="1"/>
    </xf>
    <xf numFmtId="0" fontId="63" fillId="0" borderId="0" xfId="59" applyFont="1" applyBorder="1" applyAlignment="1">
      <alignment horizontal="center" vertical="center"/>
    </xf>
    <xf numFmtId="189" fontId="62" fillId="0" borderId="21" xfId="59" applyNumberFormat="1" applyFont="1" applyBorder="1" applyAlignment="1">
      <alignment horizontal="left" vertical="center"/>
    </xf>
    <xf numFmtId="0" fontId="71" fillId="0" borderId="20" xfId="58" applyFont="1" applyFill="1" applyBorder="1" applyAlignment="1">
      <alignment horizontal="left" vertical="center" wrapText="1"/>
    </xf>
    <xf numFmtId="0" fontId="71" fillId="0" borderId="0" xfId="58" applyFont="1" applyFill="1" applyAlignment="1">
      <alignment horizontal="left" vertical="center" wrapText="1"/>
    </xf>
    <xf numFmtId="0" fontId="71" fillId="0" borderId="11" xfId="58" applyFont="1" applyFill="1" applyBorder="1" applyAlignment="1">
      <alignment horizontal="left" vertical="center" wrapText="1"/>
    </xf>
    <xf numFmtId="0" fontId="35" fillId="0" borderId="13" xfId="58" applyFont="1" applyFill="1" applyBorder="1" applyAlignment="1">
      <alignment horizontal="left" vertical="center" wrapText="1"/>
    </xf>
    <xf numFmtId="0" fontId="35" fillId="0" borderId="21" xfId="58" applyFont="1" applyFill="1" applyBorder="1" applyAlignment="1">
      <alignment horizontal="left" vertical="center" wrapText="1"/>
    </xf>
    <xf numFmtId="190" fontId="62" fillId="0" borderId="0" xfId="59" applyNumberFormat="1" applyFont="1" applyBorder="1" applyAlignment="1">
      <alignment horizontal="left" vertical="center"/>
    </xf>
    <xf numFmtId="0" fontId="62" fillId="0" borderId="0" xfId="59" applyFont="1" applyBorder="1" applyAlignment="1">
      <alignment horizontal="left" vertical="center"/>
    </xf>
    <xf numFmtId="0" fontId="35" fillId="0" borderId="27" xfId="58" applyFont="1" applyFill="1" applyBorder="1" applyAlignment="1">
      <alignment horizontal="left" vertical="center" wrapText="1"/>
    </xf>
    <xf numFmtId="0" fontId="35" fillId="0" borderId="17" xfId="58" applyFont="1" applyFill="1" applyBorder="1" applyAlignment="1">
      <alignment horizontal="left" vertical="center" wrapText="1"/>
    </xf>
    <xf numFmtId="0" fontId="35" fillId="0" borderId="14" xfId="58" applyFont="1" applyFill="1" applyBorder="1" applyAlignment="1">
      <alignment horizontal="left" vertical="center" wrapText="1"/>
    </xf>
    <xf numFmtId="0" fontId="64" fillId="0" borderId="25" xfId="59" applyFont="1" applyBorder="1" applyAlignment="1">
      <alignment horizontal="center" vertical="top"/>
    </xf>
    <xf numFmtId="0" fontId="64" fillId="0" borderId="26" xfId="59" applyFont="1" applyBorder="1" applyAlignment="1">
      <alignment vertical="top"/>
    </xf>
    <xf numFmtId="0" fontId="63" fillId="0" borderId="21" xfId="59" applyFont="1" applyBorder="1"/>
    <xf numFmtId="3" fontId="62" fillId="0" borderId="0" xfId="59" applyNumberFormat="1" applyFont="1" applyBorder="1" applyAlignment="1"/>
    <xf numFmtId="0" fontId="28" fillId="0" borderId="27" xfId="59" applyFont="1" applyBorder="1" applyAlignment="1">
      <alignment horizontal="left" vertical="center"/>
    </xf>
    <xf numFmtId="0" fontId="28" fillId="0" borderId="17" xfId="59" applyFont="1" applyBorder="1" applyAlignment="1">
      <alignment horizontal="left" vertical="center"/>
    </xf>
    <xf numFmtId="0" fontId="28" fillId="0" borderId="14" xfId="59" applyFont="1" applyBorder="1" applyAlignment="1">
      <alignment horizontal="left" vertical="center"/>
    </xf>
    <xf numFmtId="0" fontId="64" fillId="0" borderId="17" xfId="59" applyFont="1" applyBorder="1" applyAlignment="1">
      <alignment horizontal="center" vertical="top"/>
    </xf>
    <xf numFmtId="0" fontId="28" fillId="0" borderId="17" xfId="59" applyFont="1" applyBorder="1" applyAlignment="1">
      <alignment vertical="center"/>
    </xf>
    <xf numFmtId="0" fontId="62" fillId="0" borderId="13" xfId="59" applyFont="1" applyBorder="1"/>
    <xf numFmtId="0" fontId="62" fillId="0" borderId="0" xfId="59" applyFont="1" applyFill="1" applyBorder="1"/>
    <xf numFmtId="0" fontId="64" fillId="0" borderId="0" xfId="59" applyFont="1" applyAlignment="1">
      <alignment horizontal="left" vertical="top"/>
    </xf>
    <xf numFmtId="0" fontId="64" fillId="0" borderId="11" xfId="59" applyFont="1" applyBorder="1" applyAlignment="1">
      <alignment horizontal="left" vertical="top"/>
    </xf>
    <xf numFmtId="3" fontId="62" fillId="0" borderId="0" xfId="59" applyNumberFormat="1" applyFont="1" applyAlignment="1"/>
    <xf numFmtId="0" fontId="28" fillId="0" borderId="20" xfId="59" applyFont="1" applyBorder="1" applyAlignment="1">
      <alignment vertical="center"/>
    </xf>
    <xf numFmtId="0" fontId="28" fillId="0" borderId="0" xfId="59" applyFont="1" applyBorder="1" applyAlignment="1">
      <alignment vertical="center"/>
    </xf>
    <xf numFmtId="0" fontId="28" fillId="0" borderId="11" xfId="59" applyFont="1" applyBorder="1" applyAlignment="1">
      <alignment vertical="center"/>
    </xf>
    <xf numFmtId="0" fontId="28" fillId="0" borderId="0" xfId="59" applyFont="1" applyAlignment="1">
      <alignment horizontal="center" vertical="center"/>
    </xf>
    <xf numFmtId="0" fontId="28" fillId="0" borderId="11" xfId="59" applyFont="1" applyBorder="1" applyAlignment="1">
      <alignment horizontal="center" vertical="center"/>
    </xf>
    <xf numFmtId="191" fontId="28" fillId="0" borderId="11" xfId="59" applyNumberFormat="1" applyFont="1" applyBorder="1" applyAlignment="1">
      <alignment horizontal="left"/>
    </xf>
    <xf numFmtId="0" fontId="64" fillId="0" borderId="18" xfId="59" applyFont="1" applyBorder="1" applyAlignment="1">
      <alignment vertical="top"/>
    </xf>
    <xf numFmtId="0" fontId="64" fillId="0" borderId="6" xfId="59" applyFont="1" applyBorder="1" applyAlignment="1">
      <alignment vertical="top"/>
    </xf>
    <xf numFmtId="0" fontId="64" fillId="0" borderId="10" xfId="59" applyFont="1" applyBorder="1" applyAlignment="1">
      <alignment vertical="top"/>
    </xf>
    <xf numFmtId="0" fontId="64" fillId="0" borderId="8" xfId="59" applyFont="1" applyBorder="1" applyAlignment="1">
      <alignment vertical="top"/>
    </xf>
    <xf numFmtId="0" fontId="64" fillId="0" borderId="9" xfId="59" applyFont="1" applyBorder="1" applyAlignment="1">
      <alignment horizontal="left" vertical="top"/>
    </xf>
    <xf numFmtId="0" fontId="64" fillId="0" borderId="9" xfId="59" applyFont="1" applyBorder="1" applyAlignment="1">
      <alignment horizontal="center" vertical="top"/>
    </xf>
    <xf numFmtId="0" fontId="64" fillId="0" borderId="6" xfId="59" applyFont="1" applyBorder="1" applyAlignment="1">
      <alignment horizontal="center" vertical="top"/>
    </xf>
    <xf numFmtId="0" fontId="64" fillId="0" borderId="19" xfId="59" applyFont="1" applyBorder="1" applyAlignment="1">
      <alignment vertical="top"/>
    </xf>
    <xf numFmtId="0" fontId="62" fillId="0" borderId="0" xfId="59" applyFont="1" applyAlignment="1">
      <alignment horizontal="left"/>
    </xf>
    <xf numFmtId="0" fontId="67" fillId="0" borderId="20" xfId="59" applyFont="1" applyBorder="1" applyAlignment="1">
      <alignment horizontal="center" vertical="top"/>
    </xf>
    <xf numFmtId="0" fontId="67" fillId="0" borderId="0" xfId="59" applyFont="1" applyBorder="1" applyAlignment="1">
      <alignment horizontal="center" vertical="top"/>
    </xf>
    <xf numFmtId="0" fontId="67" fillId="0" borderId="11" xfId="59" applyFont="1" applyBorder="1" applyAlignment="1">
      <alignment horizontal="center" vertical="top"/>
    </xf>
    <xf numFmtId="0" fontId="67" fillId="0" borderId="13" xfId="59" applyFont="1" applyBorder="1" applyAlignment="1">
      <alignment horizontal="left"/>
    </xf>
    <xf numFmtId="0" fontId="65" fillId="0" borderId="11" xfId="59" applyFont="1" applyBorder="1" applyAlignment="1">
      <alignment vertical="top"/>
    </xf>
    <xf numFmtId="2" fontId="72" fillId="0" borderId="12" xfId="73" applyNumberFormat="1" applyFont="1" applyFill="1" applyBorder="1" applyAlignment="1">
      <alignment horizontal="center" vertical="center" wrapText="1"/>
    </xf>
    <xf numFmtId="0" fontId="73" fillId="0" borderId="11" xfId="59" applyFont="1" applyBorder="1" applyAlignment="1">
      <alignment horizontal="center" vertical="center"/>
    </xf>
    <xf numFmtId="2" fontId="72" fillId="0" borderId="11" xfId="73" applyNumberFormat="1" applyFont="1" applyFill="1" applyBorder="1" applyAlignment="1">
      <alignment horizontal="center" vertical="center" wrapText="1"/>
    </xf>
    <xf numFmtId="0" fontId="69" fillId="0" borderId="20" xfId="58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67" fillId="0" borderId="13" xfId="58" applyFont="1" applyFill="1" applyBorder="1" applyAlignment="1">
      <alignment vertical="center"/>
    </xf>
    <xf numFmtId="0" fontId="65" fillId="0" borderId="11" xfId="59" applyFont="1" applyBorder="1"/>
    <xf numFmtId="3" fontId="65" fillId="0" borderId="12" xfId="59" applyNumberFormat="1" applyFont="1" applyBorder="1" applyAlignment="1">
      <alignment vertical="center"/>
    </xf>
    <xf numFmtId="3" fontId="65" fillId="0" borderId="11" xfId="59" applyNumberFormat="1" applyFont="1" applyBorder="1" applyAlignment="1">
      <alignment vertical="center"/>
    </xf>
    <xf numFmtId="0" fontId="70" fillId="0" borderId="11" xfId="58" applyFont="1" applyFill="1" applyBorder="1" applyAlignment="1">
      <alignment vertical="center"/>
    </xf>
    <xf numFmtId="40" fontId="70" fillId="0" borderId="11" xfId="51" applyNumberFormat="1" applyFont="1" applyBorder="1" applyAlignment="1">
      <alignment vertical="center" wrapText="1"/>
    </xf>
    <xf numFmtId="0" fontId="65" fillId="0" borderId="11" xfId="59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7" fillId="0" borderId="11" xfId="58" applyFont="1" applyFill="1" applyBorder="1" applyAlignment="1">
      <alignment vertical="center"/>
    </xf>
    <xf numFmtId="4" fontId="67" fillId="0" borderId="12" xfId="59" applyNumberFormat="1" applyFont="1" applyBorder="1" applyAlignment="1">
      <alignment vertical="center"/>
    </xf>
    <xf numFmtId="4" fontId="67" fillId="0" borderId="11" xfId="59" applyNumberFormat="1" applyFont="1" applyBorder="1" applyAlignment="1">
      <alignment vertical="center"/>
    </xf>
    <xf numFmtId="40" fontId="67" fillId="0" borderId="11" xfId="51" applyNumberFormat="1" applyFont="1" applyBorder="1" applyAlignment="1">
      <alignment vertical="center" wrapText="1"/>
    </xf>
    <xf numFmtId="4" fontId="65" fillId="0" borderId="0" xfId="59" applyNumberFormat="1" applyFont="1" applyBorder="1" applyAlignment="1">
      <alignment vertical="center"/>
    </xf>
    <xf numFmtId="3" fontId="70" fillId="0" borderId="20" xfId="58" applyNumberFormat="1" applyFont="1" applyFill="1" applyBorder="1" applyAlignment="1">
      <alignment horizontal="center" vertical="center" wrapText="1"/>
    </xf>
    <xf numFmtId="0" fontId="70" fillId="0" borderId="0" xfId="58" applyFont="1" applyFill="1" applyBorder="1" applyAlignment="1">
      <alignment horizontal="center" vertical="center" wrapText="1"/>
    </xf>
    <xf numFmtId="0" fontId="70" fillId="0" borderId="11" xfId="58" applyFont="1" applyFill="1" applyBorder="1" applyAlignment="1">
      <alignment horizontal="center" vertical="center" wrapText="1"/>
    </xf>
    <xf numFmtId="0" fontId="74" fillId="0" borderId="13" xfId="58" applyFont="1" applyFill="1" applyBorder="1" applyAlignment="1">
      <alignment horizontal="center" vertical="center" wrapText="1"/>
    </xf>
    <xf numFmtId="0" fontId="74" fillId="0" borderId="11" xfId="58" applyFont="1" applyFill="1" applyBorder="1" applyAlignment="1">
      <alignment horizontal="center" vertical="center" wrapText="1"/>
    </xf>
    <xf numFmtId="4" fontId="74" fillId="0" borderId="12" xfId="59" applyNumberFormat="1" applyFont="1" applyBorder="1" applyAlignment="1">
      <alignment vertical="center"/>
    </xf>
    <xf numFmtId="4" fontId="74" fillId="0" borderId="11" xfId="59" applyNumberFormat="1" applyFont="1" applyBorder="1" applyAlignment="1">
      <alignment vertical="center"/>
    </xf>
    <xf numFmtId="40" fontId="74" fillId="0" borderId="11" xfId="51" applyNumberFormat="1" applyFont="1" applyBorder="1" applyAlignment="1">
      <alignment vertical="center" wrapText="1"/>
    </xf>
    <xf numFmtId="4" fontId="74" fillId="0" borderId="11" xfId="59" applyNumberFormat="1" applyFont="1" applyFill="1" applyBorder="1" applyAlignment="1">
      <alignment horizontal="center" vertical="center"/>
    </xf>
    <xf numFmtId="0" fontId="65" fillId="0" borderId="11" xfId="59" applyFont="1" applyFill="1" applyBorder="1"/>
    <xf numFmtId="4" fontId="65" fillId="0" borderId="0" xfId="59" applyNumberFormat="1" applyFont="1" applyFill="1" applyBorder="1"/>
    <xf numFmtId="0" fontId="65" fillId="0" borderId="0" xfId="59" applyFont="1" applyFill="1" applyBorder="1"/>
    <xf numFmtId="1" fontId="40" fillId="0" borderId="28" xfId="58" applyNumberFormat="1" applyFont="1" applyFill="1" applyBorder="1" applyAlignment="1">
      <alignment horizontal="center" vertical="center" wrapText="1"/>
    </xf>
    <xf numFmtId="1" fontId="40" fillId="0" borderId="5" xfId="58" applyNumberFormat="1" applyFont="1" applyFill="1" applyBorder="1" applyAlignment="1">
      <alignment horizontal="center" vertical="center" wrapText="1"/>
    </xf>
    <xf numFmtId="1" fontId="40" fillId="0" borderId="29" xfId="58" applyNumberFormat="1" applyFont="1" applyFill="1" applyBorder="1" applyAlignment="1">
      <alignment horizontal="center" vertical="center" wrapText="1"/>
    </xf>
    <xf numFmtId="0" fontId="44" fillId="0" borderId="30" xfId="59" applyFont="1" applyBorder="1" applyAlignment="1">
      <alignment horizontal="center" vertical="center"/>
    </xf>
    <xf numFmtId="0" fontId="44" fillId="0" borderId="29" xfId="59" applyFont="1" applyBorder="1" applyAlignment="1">
      <alignment horizontal="center" vertical="center"/>
    </xf>
    <xf numFmtId="0" fontId="44" fillId="0" borderId="5" xfId="59" applyFont="1" applyBorder="1" applyAlignment="1">
      <alignment horizontal="center" vertical="center"/>
    </xf>
    <xf numFmtId="43" fontId="44" fillId="0" borderId="30" xfId="58" applyNumberFormat="1" applyFont="1" applyFill="1" applyBorder="1" applyAlignment="1">
      <alignment vertical="center" wrapText="1"/>
    </xf>
    <xf numFmtId="43" fontId="44" fillId="0" borderId="31" xfId="58" applyNumberFormat="1" applyFont="1" applyFill="1" applyBorder="1" applyAlignment="1">
      <alignment vertical="center" wrapText="1"/>
    </xf>
    <xf numFmtId="0" fontId="62" fillId="0" borderId="11" xfId="59" applyFont="1" applyBorder="1" applyAlignment="1">
      <alignment horizontal="center" vertical="center"/>
    </xf>
    <xf numFmtId="4" fontId="62" fillId="0" borderId="0" xfId="59" applyNumberFormat="1" applyFont="1" applyBorder="1" applyAlignment="1">
      <alignment horizontal="center" vertical="center"/>
    </xf>
    <xf numFmtId="0" fontId="62" fillId="0" borderId="0" xfId="59" applyFont="1" applyBorder="1" applyAlignment="1">
      <alignment horizontal="center" vertical="center"/>
    </xf>
    <xf numFmtId="0" fontId="62" fillId="0" borderId="18" xfId="59" applyBorder="1"/>
    <xf numFmtId="0" fontId="69" fillId="0" borderId="6" xfId="58" applyFont="1" applyFill="1" applyBorder="1" applyAlignment="1">
      <alignment horizontal="center" wrapText="1"/>
    </xf>
    <xf numFmtId="0" fontId="44" fillId="0" borderId="6" xfId="59" applyFont="1" applyBorder="1" applyAlignment="1">
      <alignment horizontal="center"/>
    </xf>
    <xf numFmtId="3" fontId="74" fillId="0" borderId="6" xfId="58" applyNumberFormat="1" applyFont="1" applyFill="1" applyBorder="1" applyAlignment="1">
      <alignment horizontal="center" wrapText="1"/>
    </xf>
    <xf numFmtId="3" fontId="67" fillId="0" borderId="6" xfId="58" applyNumberFormat="1" applyFont="1" applyFill="1" applyBorder="1" applyAlignment="1">
      <alignment horizontal="center" wrapText="1"/>
    </xf>
    <xf numFmtId="4" fontId="67" fillId="0" borderId="6" xfId="58" applyNumberFormat="1" applyFont="1" applyFill="1" applyBorder="1" applyAlignment="1">
      <alignment horizontal="center" wrapText="1"/>
    </xf>
    <xf numFmtId="176" fontId="67" fillId="0" borderId="19" xfId="50" applyFont="1" applyBorder="1" applyAlignment="1">
      <alignment horizontal="center"/>
    </xf>
    <xf numFmtId="4" fontId="62" fillId="0" borderId="0" xfId="59" applyNumberFormat="1" applyFont="1" applyBorder="1"/>
    <xf numFmtId="0" fontId="62" fillId="0" borderId="20" xfId="59" applyBorder="1"/>
    <xf numFmtId="0" fontId="69" fillId="0" borderId="0" xfId="58" applyFont="1" applyFill="1" applyBorder="1" applyAlignment="1">
      <alignment horizontal="center" wrapText="1"/>
    </xf>
    <xf numFmtId="0" fontId="44" fillId="0" borderId="0" xfId="59" applyFont="1" applyBorder="1" applyAlignment="1">
      <alignment horizontal="center"/>
    </xf>
    <xf numFmtId="3" fontId="74" fillId="0" borderId="0" xfId="58" applyNumberFormat="1" applyFont="1" applyFill="1" applyBorder="1" applyAlignment="1">
      <alignment horizontal="center" wrapText="1"/>
    </xf>
    <xf numFmtId="3" fontId="67" fillId="0" borderId="0" xfId="58" applyNumberFormat="1" applyFont="1" applyFill="1" applyBorder="1" applyAlignment="1">
      <alignment horizontal="center" wrapText="1"/>
    </xf>
    <xf numFmtId="4" fontId="67" fillId="0" borderId="0" xfId="58" applyNumberFormat="1" applyFont="1" applyFill="1" applyBorder="1" applyAlignment="1">
      <alignment horizontal="center" wrapText="1"/>
    </xf>
    <xf numFmtId="176" fontId="67" fillId="0" borderId="21" xfId="50" applyFont="1" applyBorder="1" applyAlignment="1">
      <alignment horizontal="center"/>
    </xf>
    <xf numFmtId="0" fontId="62" fillId="0" borderId="20" xfId="59" applyFont="1" applyBorder="1"/>
    <xf numFmtId="0" fontId="62" fillId="0" borderId="0" xfId="59" applyBorder="1"/>
    <xf numFmtId="0" fontId="35" fillId="0" borderId="0" xfId="58" applyFont="1" applyFill="1" applyBorder="1" applyAlignment="1">
      <alignment horizontal="left"/>
    </xf>
    <xf numFmtId="0" fontId="75" fillId="0" borderId="0" xfId="59" applyFont="1" applyBorder="1" applyAlignment="1">
      <alignment horizontal="left"/>
    </xf>
    <xf numFmtId="0" fontId="62" fillId="0" borderId="0" xfId="59" applyFont="1" applyBorder="1" applyAlignment="1"/>
    <xf numFmtId="0" fontId="62" fillId="0" borderId="21" xfId="59" applyFont="1" applyBorder="1" applyAlignment="1"/>
    <xf numFmtId="0" fontId="62" fillId="0" borderId="0" xfId="59" applyBorder="1" applyAlignment="1">
      <alignment horizontal="left"/>
    </xf>
    <xf numFmtId="0" fontId="76" fillId="0" borderId="0" xfId="59" applyFont="1" applyBorder="1" applyAlignment="1"/>
    <xf numFmtId="0" fontId="50" fillId="0" borderId="0" xfId="57" applyFont="1" applyFill="1" applyBorder="1" applyAlignment="1"/>
    <xf numFmtId="0" fontId="50" fillId="0" borderId="0" xfId="57" applyFont="1" applyFill="1" applyBorder="1" applyAlignment="1">
      <alignment vertical="center"/>
    </xf>
    <xf numFmtId="0" fontId="77" fillId="0" borderId="0" xfId="59" applyFont="1" applyBorder="1"/>
    <xf numFmtId="0" fontId="78" fillId="0" borderId="0" xfId="69" applyFont="1" applyFill="1" applyBorder="1"/>
    <xf numFmtId="192" fontId="62" fillId="0" borderId="0" xfId="59" applyNumberFormat="1" applyFont="1" applyBorder="1" applyAlignment="1">
      <alignment horizontal="left"/>
    </xf>
    <xf numFmtId="4" fontId="62" fillId="0" borderId="0" xfId="59" applyNumberFormat="1" applyFont="1"/>
    <xf numFmtId="0" fontId="62" fillId="0" borderId="0" xfId="59" applyBorder="1" applyAlignment="1"/>
    <xf numFmtId="0" fontId="79" fillId="0" borderId="0" xfId="59" applyFont="1" applyBorder="1"/>
    <xf numFmtId="0" fontId="80" fillId="0" borderId="0" xfId="59" applyFont="1" applyBorder="1"/>
    <xf numFmtId="0" fontId="77" fillId="0" borderId="21" xfId="59" applyFont="1" applyBorder="1" applyAlignment="1">
      <alignment horizontal="center"/>
    </xf>
    <xf numFmtId="0" fontId="81" fillId="0" borderId="0" xfId="59" applyFont="1" applyBorder="1"/>
    <xf numFmtId="0" fontId="64" fillId="0" borderId="0" xfId="59" applyFont="1" applyBorder="1" applyAlignment="1">
      <alignment vertical="top" wrapText="1"/>
    </xf>
    <xf numFmtId="0" fontId="82" fillId="0" borderId="0" xfId="59" applyFont="1" applyBorder="1"/>
    <xf numFmtId="0" fontId="64" fillId="0" borderId="20" xfId="59" applyFont="1" applyBorder="1"/>
    <xf numFmtId="0" fontId="64" fillId="0" borderId="0" xfId="59" applyFont="1" applyBorder="1"/>
    <xf numFmtId="0" fontId="64" fillId="0" borderId="32" xfId="59" applyFont="1" applyBorder="1"/>
    <xf numFmtId="0" fontId="64" fillId="0" borderId="7" xfId="59" applyFont="1" applyBorder="1"/>
    <xf numFmtId="0" fontId="62" fillId="0" borderId="7" xfId="59" applyFont="1" applyBorder="1"/>
    <xf numFmtId="0" fontId="63" fillId="0" borderId="7" xfId="59" applyFont="1" applyBorder="1"/>
    <xf numFmtId="0" fontId="64" fillId="0" borderId="7" xfId="59" applyFont="1" applyBorder="1" applyAlignment="1"/>
    <xf numFmtId="0" fontId="62" fillId="0" borderId="7" xfId="59" applyFont="1" applyBorder="1" applyAlignment="1"/>
    <xf numFmtId="0" fontId="62" fillId="0" borderId="33" xfId="59" applyFont="1" applyBorder="1"/>
    <xf numFmtId="0" fontId="83" fillId="0" borderId="0" xfId="59" applyFont="1"/>
    <xf numFmtId="0" fontId="83" fillId="0" borderId="0" xfId="59" applyFont="1" applyAlignment="1">
      <alignment vertical="center"/>
    </xf>
    <xf numFmtId="0" fontId="84" fillId="0" borderId="0" xfId="59" applyFont="1"/>
    <xf numFmtId="0" fontId="85" fillId="0" borderId="0" xfId="59" applyFont="1" applyAlignment="1">
      <alignment vertical="top"/>
    </xf>
    <xf numFmtId="0" fontId="86" fillId="0" borderId="0" xfId="59" applyFont="1" applyAlignment="1">
      <alignment vertical="center"/>
    </xf>
    <xf numFmtId="0" fontId="86" fillId="0" borderId="0" xfId="59" applyFont="1" applyFill="1" applyAlignment="1">
      <alignment vertical="center"/>
    </xf>
    <xf numFmtId="0" fontId="83" fillId="0" borderId="0" xfId="59" applyFont="1" applyBorder="1" applyAlignment="1">
      <alignment horizontal="center" vertical="center"/>
    </xf>
    <xf numFmtId="0" fontId="83" fillId="0" borderId="0" xfId="59" applyFont="1" applyBorder="1"/>
    <xf numFmtId="0" fontId="87" fillId="0" borderId="0" xfId="59" applyFont="1" applyBorder="1" applyAlignment="1">
      <alignment vertical="center"/>
    </xf>
    <xf numFmtId="0" fontId="85" fillId="0" borderId="0" xfId="59" applyFont="1" applyBorder="1" applyAlignment="1">
      <alignment vertical="top"/>
    </xf>
    <xf numFmtId="0" fontId="85" fillId="0" borderId="18" xfId="59" applyFont="1" applyBorder="1" applyAlignment="1">
      <alignment vertical="top"/>
    </xf>
    <xf numFmtId="0" fontId="84" fillId="0" borderId="6" xfId="59" applyFont="1" applyBorder="1"/>
    <xf numFmtId="0" fontId="83" fillId="0" borderId="6" xfId="59" applyFont="1" applyBorder="1"/>
    <xf numFmtId="0" fontId="85" fillId="0" borderId="9" xfId="59" applyFont="1" applyBorder="1" applyAlignment="1">
      <alignment vertical="top"/>
    </xf>
    <xf numFmtId="0" fontId="85" fillId="0" borderId="6" xfId="59" applyFont="1" applyBorder="1" applyAlignment="1">
      <alignment vertical="top"/>
    </xf>
    <xf numFmtId="0" fontId="83" fillId="0" borderId="19" xfId="59" applyFont="1" applyBorder="1"/>
    <xf numFmtId="0" fontId="83" fillId="0" borderId="20" xfId="59" applyFont="1" applyBorder="1"/>
    <xf numFmtId="0" fontId="49" fillId="0" borderId="0" xfId="57" applyFont="1" applyFill="1" applyBorder="1" applyAlignment="1">
      <alignment vertical="center"/>
    </xf>
    <xf numFmtId="0" fontId="28" fillId="0" borderId="13" xfId="58" applyFont="1" applyFill="1" applyBorder="1" applyAlignment="1">
      <alignment horizontal="left" vertical="center" wrapText="1"/>
    </xf>
    <xf numFmtId="0" fontId="28" fillId="0" borderId="0" xfId="58" applyFont="1" applyFill="1" applyBorder="1" applyAlignment="1">
      <alignment horizontal="left" vertical="center" wrapText="1"/>
    </xf>
    <xf numFmtId="0" fontId="83" fillId="0" borderId="0" xfId="59" applyFont="1" applyBorder="1" applyAlignment="1">
      <alignment vertical="center"/>
    </xf>
    <xf numFmtId="0" fontId="28" fillId="0" borderId="21" xfId="58" applyFont="1" applyFill="1" applyBorder="1" applyAlignment="1">
      <alignment horizontal="left" vertical="center" wrapText="1"/>
    </xf>
    <xf numFmtId="0" fontId="83" fillId="0" borderId="20" xfId="59" applyFont="1" applyBorder="1" applyAlignment="1">
      <alignment vertical="center"/>
    </xf>
    <xf numFmtId="0" fontId="28" fillId="0" borderId="0" xfId="57" applyFont="1" applyFill="1" applyBorder="1" applyAlignment="1">
      <alignment horizontal="left" vertical="center"/>
    </xf>
    <xf numFmtId="0" fontId="28" fillId="0" borderId="20" xfId="57" applyFont="1" applyFill="1" applyBorder="1" applyAlignment="1">
      <alignment horizontal="left" vertical="center"/>
    </xf>
    <xf numFmtId="0" fontId="83" fillId="0" borderId="15" xfId="59" applyFont="1" applyFill="1" applyBorder="1" applyAlignment="1">
      <alignment vertical="center"/>
    </xf>
    <xf numFmtId="0" fontId="83" fillId="0" borderId="17" xfId="59" applyFont="1" applyFill="1" applyBorder="1" applyAlignment="1">
      <alignment vertical="center"/>
    </xf>
    <xf numFmtId="0" fontId="83" fillId="0" borderId="17" xfId="59" applyFont="1" applyBorder="1" applyAlignment="1">
      <alignment horizontal="center" vertical="center"/>
    </xf>
    <xf numFmtId="0" fontId="83" fillId="0" borderId="17" xfId="59" applyFont="1" applyBorder="1" applyAlignment="1">
      <alignment vertical="center"/>
    </xf>
    <xf numFmtId="193" fontId="83" fillId="0" borderId="17" xfId="59" applyNumberFormat="1" applyFont="1" applyBorder="1" applyAlignment="1">
      <alignment horizontal="center" vertical="center"/>
    </xf>
    <xf numFmtId="193" fontId="83" fillId="0" borderId="22" xfId="59" applyNumberFormat="1" applyFont="1" applyBorder="1" applyAlignment="1">
      <alignment horizontal="center" vertical="center"/>
    </xf>
    <xf numFmtId="0" fontId="28" fillId="0" borderId="0" xfId="57" applyFont="1" applyFill="1" applyBorder="1" applyAlignment="1"/>
    <xf numFmtId="0" fontId="85" fillId="0" borderId="23" xfId="59" applyFont="1" applyBorder="1" applyAlignment="1">
      <alignment vertical="top"/>
    </xf>
    <xf numFmtId="0" fontId="84" fillId="0" borderId="0" xfId="59" applyFont="1" applyBorder="1"/>
    <xf numFmtId="0" fontId="84" fillId="0" borderId="21" xfId="59" applyFont="1" applyBorder="1"/>
    <xf numFmtId="0" fontId="35" fillId="0" borderId="0" xfId="58" applyFont="1" applyFill="1" applyBorder="1" applyAlignment="1">
      <alignment vertical="top" wrapText="1"/>
    </xf>
    <xf numFmtId="1" fontId="83" fillId="0" borderId="15" xfId="59" applyNumberFormat="1" applyFont="1" applyBorder="1" applyAlignment="1">
      <alignment horizontal="left"/>
    </xf>
    <xf numFmtId="1" fontId="83" fillId="0" borderId="17" xfId="59" applyNumberFormat="1" applyFont="1" applyBorder="1" applyAlignment="1">
      <alignment horizontal="left"/>
    </xf>
    <xf numFmtId="0" fontId="83" fillId="0" borderId="17" xfId="59" applyFont="1" applyBorder="1" applyAlignment="1"/>
    <xf numFmtId="0" fontId="83" fillId="0" borderId="17" xfId="59" applyNumberFormat="1" applyFont="1" applyBorder="1" applyAlignment="1">
      <alignment horizontal="right"/>
    </xf>
    <xf numFmtId="0" fontId="83" fillId="0" borderId="22" xfId="59" applyNumberFormat="1" applyFont="1" applyBorder="1" applyAlignment="1">
      <alignment horizontal="right"/>
    </xf>
    <xf numFmtId="0" fontId="85" fillId="0" borderId="20" xfId="59" applyFont="1" applyBorder="1" applyAlignment="1">
      <alignment vertical="top"/>
    </xf>
    <xf numFmtId="0" fontId="85" fillId="0" borderId="13" xfId="59" applyFont="1" applyBorder="1" applyAlignment="1">
      <alignment vertical="top"/>
    </xf>
    <xf numFmtId="0" fontId="51" fillId="0" borderId="0" xfId="58" applyFont="1" applyFill="1" applyBorder="1" applyAlignment="1">
      <alignment vertical="top" wrapText="1"/>
    </xf>
    <xf numFmtId="0" fontId="69" fillId="0" borderId="0" xfId="58" applyFont="1" applyFill="1" applyBorder="1" applyAlignment="1">
      <alignment horizontal="left" vertical="center"/>
    </xf>
    <xf numFmtId="0" fontId="83" fillId="0" borderId="13" xfId="59" applyFont="1" applyBorder="1"/>
    <xf numFmtId="0" fontId="83" fillId="0" borderId="21" xfId="59" applyFont="1" applyBorder="1"/>
    <xf numFmtId="0" fontId="88" fillId="0" borderId="20" xfId="58" applyFont="1" applyFill="1" applyBorder="1" applyAlignment="1">
      <alignment horizontal="left" vertical="center" wrapText="1"/>
    </xf>
    <xf numFmtId="0" fontId="89" fillId="0" borderId="20" xfId="58" applyFont="1" applyFill="1" applyBorder="1" applyAlignment="1">
      <alignment horizontal="left" vertical="center" wrapText="1"/>
    </xf>
    <xf numFmtId="0" fontId="83" fillId="0" borderId="15" xfId="59" applyFont="1" applyBorder="1"/>
    <xf numFmtId="0" fontId="83" fillId="0" borderId="17" xfId="59" applyFont="1" applyBorder="1"/>
    <xf numFmtId="0" fontId="84" fillId="0" borderId="17" xfId="59" applyFont="1" applyBorder="1"/>
    <xf numFmtId="0" fontId="84" fillId="0" borderId="22" xfId="59" applyFont="1" applyBorder="1"/>
    <xf numFmtId="0" fontId="90" fillId="0" borderId="20" xfId="56" applyFont="1" applyBorder="1" applyAlignment="1">
      <alignment horizontal="left" vertical="center" wrapText="1"/>
    </xf>
    <xf numFmtId="0" fontId="91" fillId="0" borderId="13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horizontal="left" vertical="center" wrapText="1"/>
    </xf>
    <xf numFmtId="0" fontId="85" fillId="0" borderId="24" xfId="59" applyFont="1" applyBorder="1" applyAlignment="1">
      <alignment vertical="top"/>
    </xf>
    <xf numFmtId="0" fontId="84" fillId="0" borderId="25" xfId="59" applyFont="1" applyBorder="1"/>
    <xf numFmtId="0" fontId="83" fillId="0" borderId="26" xfId="59" applyFont="1" applyBorder="1"/>
    <xf numFmtId="0" fontId="91" fillId="0" borderId="0" xfId="58" applyFont="1" applyFill="1" applyBorder="1" applyAlignment="1">
      <alignment vertical="top" wrapText="1"/>
    </xf>
    <xf numFmtId="0" fontId="88" fillId="0" borderId="0" xfId="58" applyFont="1" applyFill="1" applyBorder="1" applyAlignment="1">
      <alignment horizontal="left" vertical="center" wrapText="1"/>
    </xf>
    <xf numFmtId="0" fontId="88" fillId="0" borderId="11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vertical="center" wrapText="1"/>
    </xf>
    <xf numFmtId="0" fontId="92" fillId="0" borderId="0" xfId="57" applyFont="1" applyFill="1" applyBorder="1" applyAlignment="1">
      <alignment vertical="center"/>
    </xf>
    <xf numFmtId="0" fontId="92" fillId="0" borderId="21" xfId="57" applyFont="1" applyFill="1" applyBorder="1" applyAlignment="1">
      <alignment vertical="center"/>
    </xf>
    <xf numFmtId="0" fontId="93" fillId="0" borderId="20" xfId="58" applyFont="1" applyFill="1" applyBorder="1" applyAlignment="1">
      <alignment horizontal="left" vertical="center" wrapText="1"/>
    </xf>
    <xf numFmtId="0" fontId="93" fillId="0" borderId="0" xfId="58" applyFont="1" applyFill="1" applyBorder="1" applyAlignment="1">
      <alignment horizontal="left" vertical="center" wrapText="1"/>
    </xf>
    <xf numFmtId="0" fontId="93" fillId="0" borderId="11" xfId="58" applyFont="1" applyFill="1" applyBorder="1" applyAlignment="1">
      <alignment horizontal="left" vertical="center" wrapText="1"/>
    </xf>
    <xf numFmtId="0" fontId="35" fillId="0" borderId="0" xfId="58" applyFont="1" applyFill="1" applyBorder="1" applyAlignment="1">
      <alignment vertical="top"/>
    </xf>
    <xf numFmtId="0" fontId="35" fillId="0" borderId="0" xfId="58" applyFont="1" applyFill="1" applyBorder="1" applyAlignment="1">
      <alignment horizontal="left" vertical="top" wrapText="1"/>
    </xf>
    <xf numFmtId="0" fontId="94" fillId="0" borderId="0" xfId="57" applyFont="1" applyFill="1" applyBorder="1" applyAlignment="1">
      <alignment vertical="center" wrapText="1"/>
    </xf>
    <xf numFmtId="0" fontId="88" fillId="0" borderId="27" xfId="58" applyFont="1" applyFill="1" applyBorder="1" applyAlignment="1">
      <alignment vertical="center" wrapText="1"/>
    </xf>
    <xf numFmtId="0" fontId="88" fillId="0" borderId="17" xfId="58" applyFont="1" applyFill="1" applyBorder="1" applyAlignment="1">
      <alignment vertical="center" wrapText="1"/>
    </xf>
    <xf numFmtId="0" fontId="88" fillId="0" borderId="14" xfId="58" applyFont="1" applyFill="1" applyBorder="1" applyAlignment="1">
      <alignment vertical="center" wrapText="1"/>
    </xf>
    <xf numFmtId="0" fontId="35" fillId="0" borderId="13" xfId="58" applyFont="1" applyFill="1" applyBorder="1" applyAlignment="1">
      <alignment horizontal="left" vertical="top" wrapText="1"/>
    </xf>
    <xf numFmtId="0" fontId="69" fillId="0" borderId="20" xfId="58" applyFont="1" applyFill="1" applyBorder="1" applyAlignment="1">
      <alignment horizontal="left" vertical="center"/>
    </xf>
    <xf numFmtId="0" fontId="35" fillId="0" borderId="21" xfId="58" applyFont="1" applyFill="1" applyBorder="1" applyAlignment="1">
      <alignment horizontal="left" vertical="top" wrapText="1"/>
    </xf>
    <xf numFmtId="0" fontId="95" fillId="0" borderId="13" xfId="58" applyFont="1" applyFill="1" applyBorder="1" applyAlignment="1">
      <alignment horizontal="left" vertical="top" wrapText="1"/>
    </xf>
    <xf numFmtId="0" fontId="95" fillId="0" borderId="0" xfId="58" applyFont="1" applyFill="1" applyBorder="1" applyAlignment="1">
      <alignment horizontal="left" vertical="top" wrapText="1"/>
    </xf>
    <xf numFmtId="0" fontId="35" fillId="0" borderId="13" xfId="58" applyFont="1" applyFill="1" applyBorder="1" applyAlignment="1">
      <alignment vertical="top" wrapText="1"/>
    </xf>
    <xf numFmtId="0" fontId="35" fillId="0" borderId="21" xfId="58" applyFont="1" applyFill="1" applyBorder="1" applyAlignment="1">
      <alignment vertical="top" wrapText="1"/>
    </xf>
    <xf numFmtId="0" fontId="35" fillId="0" borderId="27" xfId="58" applyFont="1" applyFill="1" applyBorder="1" applyAlignment="1">
      <alignment vertical="center" wrapText="1"/>
    </xf>
    <xf numFmtId="0" fontId="35" fillId="0" borderId="17" xfId="58" applyFont="1" applyFill="1" applyBorder="1" applyAlignment="1">
      <alignment vertical="center" wrapText="1"/>
    </xf>
    <xf numFmtId="0" fontId="28" fillId="0" borderId="13" xfId="58" applyFont="1" applyFill="1" applyBorder="1" applyAlignment="1">
      <alignment horizontal="left" vertical="top" wrapText="1"/>
    </xf>
    <xf numFmtId="0" fontId="28" fillId="0" borderId="0" xfId="58" applyFont="1" applyFill="1" applyBorder="1" applyAlignment="1">
      <alignment horizontal="left" vertical="top" wrapText="1"/>
    </xf>
    <xf numFmtId="0" fontId="85" fillId="0" borderId="25" xfId="59" applyFont="1" applyBorder="1" applyAlignment="1">
      <alignment vertical="top"/>
    </xf>
    <xf numFmtId="0" fontId="83" fillId="0" borderId="25" xfId="59" applyFont="1" applyBorder="1"/>
    <xf numFmtId="0" fontId="25" fillId="0" borderId="0" xfId="57" applyFont="1" applyFill="1" applyBorder="1" applyAlignment="1">
      <alignment vertical="center"/>
    </xf>
    <xf numFmtId="0" fontId="25" fillId="0" borderId="21" xfId="57" applyFont="1" applyFill="1" applyBorder="1" applyAlignment="1">
      <alignment vertical="center"/>
    </xf>
    <xf numFmtId="0" fontId="84" fillId="0" borderId="20" xfId="59" applyFont="1" applyBorder="1"/>
    <xf numFmtId="0" fontId="84" fillId="0" borderId="0" xfId="59" applyFont="1" applyBorder="1" applyAlignment="1"/>
    <xf numFmtId="0" fontId="28" fillId="0" borderId="15" xfId="59" applyFont="1" applyBorder="1" applyAlignment="1">
      <alignment horizontal="left" vertical="center"/>
    </xf>
    <xf numFmtId="0" fontId="85" fillId="0" borderId="24" xfId="59" applyFont="1" applyBorder="1" applyAlignment="1">
      <alignment horizontal="left" vertical="top"/>
    </xf>
    <xf numFmtId="0" fontId="85" fillId="0" borderId="26" xfId="59" applyFont="1" applyBorder="1" applyAlignment="1">
      <alignment horizontal="left" vertical="top"/>
    </xf>
    <xf numFmtId="0" fontId="85" fillId="0" borderId="0" xfId="59" applyFont="1" applyBorder="1" applyAlignment="1">
      <alignment horizontal="left" vertical="top"/>
    </xf>
    <xf numFmtId="0" fontId="84" fillId="0" borderId="0" xfId="59" applyFont="1" applyBorder="1" applyAlignment="1">
      <alignment vertical="center"/>
    </xf>
    <xf numFmtId="0" fontId="28" fillId="0" borderId="32" xfId="59" applyFont="1" applyBorder="1" applyAlignment="1">
      <alignment horizontal="left" vertical="center"/>
    </xf>
    <xf numFmtId="0" fontId="28" fillId="0" borderId="34" xfId="59" applyFont="1" applyBorder="1" applyAlignment="1">
      <alignment horizontal="left" vertical="center"/>
    </xf>
    <xf numFmtId="194" fontId="68" fillId="0" borderId="35" xfId="59" applyNumberFormat="1" applyFont="1" applyBorder="1" applyAlignment="1">
      <alignment horizontal="left" vertical="center" wrapText="1"/>
    </xf>
    <xf numFmtId="194" fontId="68" fillId="0" borderId="7" xfId="59" applyNumberFormat="1" applyFont="1" applyBorder="1" applyAlignment="1">
      <alignment horizontal="left" vertical="center" wrapText="1"/>
    </xf>
    <xf numFmtId="194" fontId="28" fillId="0" borderId="35" xfId="59" applyNumberFormat="1" applyFont="1" applyBorder="1" applyAlignment="1">
      <alignment horizontal="left" vertical="center"/>
    </xf>
    <xf numFmtId="0" fontId="83" fillId="0" borderId="35" xfId="59" applyFont="1" applyBorder="1"/>
    <xf numFmtId="0" fontId="83" fillId="0" borderId="7" xfId="59" applyFont="1" applyBorder="1"/>
    <xf numFmtId="0" fontId="83" fillId="0" borderId="33" xfId="59" applyFont="1" applyBorder="1"/>
    <xf numFmtId="0" fontId="85" fillId="0" borderId="11" xfId="59" applyFont="1" applyBorder="1" applyAlignment="1">
      <alignment vertical="top"/>
    </xf>
    <xf numFmtId="0" fontId="85" fillId="0" borderId="12" xfId="59" applyFont="1" applyBorder="1" applyAlignment="1">
      <alignment vertical="top"/>
    </xf>
    <xf numFmtId="0" fontId="85" fillId="0" borderId="11" xfId="59" applyFont="1" applyBorder="1" applyAlignment="1">
      <alignment horizontal="left" vertical="top"/>
    </xf>
    <xf numFmtId="0" fontId="85" fillId="0" borderId="9" xfId="59" applyFont="1" applyBorder="1" applyAlignment="1">
      <alignment horizontal="center" vertical="top"/>
    </xf>
    <xf numFmtId="0" fontId="85" fillId="0" borderId="6" xfId="59" applyFont="1" applyBorder="1" applyAlignment="1">
      <alignment horizontal="center" vertical="top"/>
    </xf>
    <xf numFmtId="0" fontId="85" fillId="0" borderId="0" xfId="59" applyFont="1" applyBorder="1" applyAlignment="1">
      <alignment horizontal="center" vertical="top" wrapText="1"/>
    </xf>
    <xf numFmtId="0" fontId="85" fillId="0" borderId="36" xfId="59" applyFont="1" applyBorder="1" applyAlignment="1">
      <alignment horizontal="center" vertical="top" wrapText="1"/>
    </xf>
    <xf numFmtId="0" fontId="86" fillId="0" borderId="0" xfId="59" applyFont="1" applyBorder="1" applyAlignment="1">
      <alignment vertical="center"/>
    </xf>
    <xf numFmtId="0" fontId="69" fillId="0" borderId="12" xfId="58" applyFont="1" applyFill="1" applyBorder="1" applyAlignment="1">
      <alignment horizontal="center" vertical="center" wrapText="1"/>
    </xf>
    <xf numFmtId="0" fontId="67" fillId="0" borderId="0" xfId="59" applyFont="1" applyBorder="1" applyAlignment="1">
      <alignment horizontal="left"/>
    </xf>
    <xf numFmtId="0" fontId="86" fillId="0" borderId="11" xfId="59" applyFont="1" applyBorder="1" applyAlignment="1">
      <alignment vertical="center"/>
    </xf>
    <xf numFmtId="2" fontId="96" fillId="0" borderId="12" xfId="73" applyNumberFormat="1" applyFont="1" applyFill="1" applyBorder="1" applyAlignment="1">
      <alignment horizontal="center" vertical="center" wrapText="1"/>
    </xf>
    <xf numFmtId="0" fontId="67" fillId="0" borderId="13" xfId="59" applyFont="1" applyBorder="1" applyAlignment="1">
      <alignment horizontal="center" vertical="center"/>
    </xf>
    <xf numFmtId="0" fontId="67" fillId="0" borderId="12" xfId="59" applyFont="1" applyBorder="1" applyAlignment="1">
      <alignment horizontal="center" vertical="center"/>
    </xf>
    <xf numFmtId="0" fontId="86" fillId="0" borderId="37" xfId="59" applyFont="1" applyBorder="1" applyAlignment="1">
      <alignment vertical="center"/>
    </xf>
    <xf numFmtId="0" fontId="86" fillId="0" borderId="20" xfId="59" applyFont="1" applyBorder="1" applyAlignment="1">
      <alignment vertical="center"/>
    </xf>
    <xf numFmtId="195" fontId="67" fillId="0" borderId="20" xfId="59" applyNumberFormat="1" applyFont="1" applyBorder="1" applyAlignment="1">
      <alignment horizontal="center" vertical="center"/>
    </xf>
    <xf numFmtId="195" fontId="67" fillId="0" borderId="11" xfId="59" applyNumberFormat="1" applyFont="1" applyBorder="1" applyAlignment="1">
      <alignment horizontal="center" vertical="center"/>
    </xf>
    <xf numFmtId="195" fontId="67" fillId="0" borderId="0" xfId="59" applyNumberFormat="1" applyFont="1" applyBorder="1" applyAlignment="1">
      <alignment horizontal="center" vertical="center"/>
    </xf>
    <xf numFmtId="195" fontId="67" fillId="0" borderId="12" xfId="59" applyNumberFormat="1" applyFont="1" applyBorder="1" applyAlignment="1">
      <alignment horizontal="center" vertical="center"/>
    </xf>
    <xf numFmtId="4" fontId="86" fillId="0" borderId="13" xfId="59" applyNumberFormat="1" applyFont="1" applyBorder="1" applyAlignment="1">
      <alignment vertical="center"/>
    </xf>
    <xf numFmtId="4" fontId="86" fillId="0" borderId="12" xfId="59" applyNumberFormat="1" applyFont="1" applyBorder="1" applyAlignment="1">
      <alignment vertical="center"/>
    </xf>
    <xf numFmtId="0" fontId="67" fillId="0" borderId="0" xfId="58" applyFont="1" applyFill="1" applyBorder="1" applyAlignment="1">
      <alignment vertical="center"/>
    </xf>
    <xf numFmtId="0" fontId="70" fillId="0" borderId="11" xfId="58" applyFont="1" applyFill="1" applyBorder="1" applyAlignment="1">
      <alignment horizontal="left" vertical="center"/>
    </xf>
    <xf numFmtId="0" fontId="70" fillId="0" borderId="0" xfId="58" applyFont="1" applyFill="1" applyBorder="1" applyAlignment="1">
      <alignment horizontal="left" vertical="center"/>
    </xf>
    <xf numFmtId="4" fontId="67" fillId="0" borderId="13" xfId="59" applyNumberFormat="1" applyFont="1" applyBorder="1" applyAlignment="1">
      <alignment vertical="center"/>
    </xf>
    <xf numFmtId="0" fontId="97" fillId="0" borderId="0" xfId="59" applyFont="1" applyBorder="1" applyAlignment="1">
      <alignment vertical="center"/>
    </xf>
    <xf numFmtId="0" fontId="97" fillId="0" borderId="37" xfId="59" applyFont="1" applyBorder="1" applyAlignment="1">
      <alignment vertical="center"/>
    </xf>
    <xf numFmtId="0" fontId="86" fillId="0" borderId="0" xfId="59" applyFont="1" applyFill="1" applyBorder="1" applyAlignment="1">
      <alignment vertical="center"/>
    </xf>
    <xf numFmtId="3" fontId="74" fillId="0" borderId="20" xfId="59" applyNumberFormat="1" applyFont="1" applyFill="1" applyBorder="1" applyAlignment="1">
      <alignment horizontal="center" vertical="center"/>
    </xf>
    <xf numFmtId="3" fontId="74" fillId="0" borderId="11" xfId="59" applyNumberFormat="1" applyFont="1" applyFill="1" applyBorder="1" applyAlignment="1">
      <alignment horizontal="center" vertical="center"/>
    </xf>
    <xf numFmtId="3" fontId="74" fillId="0" borderId="0" xfId="59" applyNumberFormat="1" applyFont="1" applyFill="1" applyBorder="1" applyAlignment="1">
      <alignment horizontal="center" vertical="center"/>
    </xf>
    <xf numFmtId="3" fontId="74" fillId="0" borderId="12" xfId="59" applyNumberFormat="1" applyFont="1" applyFill="1" applyBorder="1" applyAlignment="1">
      <alignment horizontal="center" vertical="center"/>
    </xf>
    <xf numFmtId="0" fontId="74" fillId="0" borderId="0" xfId="58" applyFont="1" applyFill="1" applyBorder="1" applyAlignment="1">
      <alignment vertical="center"/>
    </xf>
    <xf numFmtId="196" fontId="74" fillId="0" borderId="11" xfId="58" applyNumberFormat="1" applyFont="1" applyFill="1" applyBorder="1" applyAlignment="1">
      <alignment vertical="center"/>
    </xf>
    <xf numFmtId="196" fontId="74" fillId="0" borderId="0" xfId="58" applyNumberFormat="1" applyFont="1" applyFill="1" applyBorder="1" applyAlignment="1">
      <alignment vertical="center"/>
    </xf>
    <xf numFmtId="4" fontId="74" fillId="0" borderId="13" xfId="59" applyNumberFormat="1" applyFont="1" applyFill="1" applyBorder="1" applyAlignment="1">
      <alignment vertical="center"/>
    </xf>
    <xf numFmtId="4" fontId="74" fillId="0" borderId="12" xfId="59" applyNumberFormat="1" applyFont="1" applyFill="1" applyBorder="1" applyAlignment="1">
      <alignment vertical="center"/>
    </xf>
    <xf numFmtId="197" fontId="74" fillId="0" borderId="0" xfId="59" applyNumberFormat="1" applyFont="1" applyFill="1" applyBorder="1" applyAlignment="1">
      <alignment vertical="center"/>
    </xf>
    <xf numFmtId="176" fontId="74" fillId="0" borderId="37" xfId="50" applyFont="1" applyFill="1" applyBorder="1" applyAlignment="1">
      <alignment vertical="center"/>
    </xf>
    <xf numFmtId="0" fontId="86" fillId="0" borderId="20" xfId="59" applyFont="1" applyFill="1" applyBorder="1" applyAlignment="1">
      <alignment vertical="center"/>
    </xf>
    <xf numFmtId="3" fontId="74" fillId="0" borderId="11" xfId="59" applyNumberFormat="1" applyFont="1" applyFill="1" applyBorder="1" applyAlignment="1">
      <alignment horizontal="center" vertical="center" wrapText="1"/>
    </xf>
    <xf numFmtId="3" fontId="74" fillId="0" borderId="0" xfId="59" applyNumberFormat="1" applyFont="1" applyFill="1" applyBorder="1" applyAlignment="1">
      <alignment horizontal="center" vertical="center" wrapText="1"/>
    </xf>
    <xf numFmtId="0" fontId="74" fillId="0" borderId="12" xfId="58" applyFont="1" applyFill="1" applyBorder="1" applyAlignment="1">
      <alignment vertical="center" wrapText="1"/>
    </xf>
    <xf numFmtId="0" fontId="74" fillId="0" borderId="0" xfId="58" applyFont="1" applyFill="1" applyBorder="1" applyAlignment="1">
      <alignment horizontal="center" vertical="center" wrapText="1"/>
    </xf>
    <xf numFmtId="1" fontId="69" fillId="0" borderId="28" xfId="58" applyNumberFormat="1" applyFont="1" applyFill="1" applyBorder="1" applyAlignment="1">
      <alignment horizontal="center" vertical="center" wrapText="1"/>
    </xf>
    <xf numFmtId="1" fontId="69" fillId="0" borderId="29" xfId="58" applyNumberFormat="1" applyFont="1" applyFill="1" applyBorder="1" applyAlignment="1">
      <alignment horizontal="center" vertical="center" wrapText="1"/>
    </xf>
    <xf numFmtId="1" fontId="69" fillId="0" borderId="5" xfId="58" applyNumberFormat="1" applyFont="1" applyFill="1" applyBorder="1" applyAlignment="1">
      <alignment horizontal="center" vertical="center" wrapText="1"/>
    </xf>
    <xf numFmtId="4" fontId="67" fillId="0" borderId="30" xfId="58" applyNumberFormat="1" applyFont="1" applyFill="1" applyBorder="1" applyAlignment="1">
      <alignment vertical="center" wrapText="1"/>
    </xf>
    <xf numFmtId="4" fontId="67" fillId="0" borderId="38" xfId="58" applyNumberFormat="1" applyFont="1" applyFill="1" applyBorder="1" applyAlignment="1">
      <alignment vertical="center" wrapText="1"/>
    </xf>
    <xf numFmtId="0" fontId="83" fillId="0" borderId="20" xfId="59" applyFont="1" applyBorder="1" applyAlignment="1">
      <alignment horizontal="center" vertical="center"/>
    </xf>
    <xf numFmtId="0" fontId="69" fillId="0" borderId="18" xfId="58" applyFont="1" applyFill="1" applyBorder="1" applyAlignment="1">
      <alignment horizontal="center" wrapText="1"/>
    </xf>
    <xf numFmtId="0" fontId="67" fillId="0" borderId="6" xfId="59" applyFont="1" applyBorder="1" applyAlignment="1">
      <alignment horizontal="center"/>
    </xf>
    <xf numFmtId="40" fontId="69" fillId="0" borderId="6" xfId="51" applyNumberFormat="1" applyFont="1" applyBorder="1" applyAlignment="1">
      <alignment horizontal="center" vertical="center" wrapText="1"/>
    </xf>
    <xf numFmtId="40" fontId="69" fillId="0" borderId="19" xfId="51" applyNumberFormat="1" applyFont="1" applyBorder="1" applyAlignment="1">
      <alignment horizontal="center" vertical="center" wrapText="1"/>
    </xf>
    <xf numFmtId="0" fontId="69" fillId="0" borderId="20" xfId="58" applyFont="1" applyFill="1" applyBorder="1" applyAlignment="1">
      <alignment horizontal="center" wrapText="1"/>
    </xf>
    <xf numFmtId="0" fontId="67" fillId="0" borderId="0" xfId="59" applyFont="1" applyBorder="1" applyAlignment="1">
      <alignment horizontal="center"/>
    </xf>
    <xf numFmtId="4" fontId="67" fillId="0" borderId="0" xfId="58" applyNumberFormat="1" applyFont="1" applyFill="1" applyBorder="1" applyAlignment="1">
      <alignment wrapText="1"/>
    </xf>
    <xf numFmtId="40" fontId="69" fillId="0" borderId="0" xfId="51" applyNumberFormat="1" applyFont="1" applyBorder="1" applyAlignment="1">
      <alignment horizontal="center" vertical="center" wrapText="1"/>
    </xf>
    <xf numFmtId="40" fontId="69" fillId="0" borderId="21" xfId="51" applyNumberFormat="1" applyFont="1" applyBorder="1" applyAlignment="1">
      <alignment horizontal="center" vertical="center" wrapText="1"/>
    </xf>
    <xf numFmtId="0" fontId="98" fillId="0" borderId="0" xfId="59" applyFont="1" applyBorder="1" applyAlignment="1">
      <alignment horizontal="center"/>
    </xf>
    <xf numFmtId="4" fontId="99" fillId="0" borderId="0" xfId="58" applyNumberFormat="1" applyFont="1" applyFill="1" applyBorder="1" applyAlignment="1">
      <alignment horizontal="center" wrapText="1"/>
    </xf>
    <xf numFmtId="178" fontId="50" fillId="0" borderId="0" xfId="57" applyNumberFormat="1" applyFont="1" applyFill="1" applyBorder="1" applyAlignment="1"/>
    <xf numFmtId="0" fontId="50" fillId="0" borderId="21" xfId="57" applyFont="1" applyFill="1" applyBorder="1" applyAlignment="1"/>
    <xf numFmtId="0" fontId="83" fillId="0" borderId="0" xfId="59" applyFont="1" applyBorder="1" applyAlignment="1">
      <alignment horizontal="left"/>
    </xf>
    <xf numFmtId="179" fontId="50" fillId="0" borderId="0" xfId="54" applyFont="1" applyFill="1" applyBorder="1" applyAlignment="1">
      <alignment horizontal="left" vertical="center"/>
    </xf>
    <xf numFmtId="0" fontId="83" fillId="0" borderId="0" xfId="59" applyFont="1" applyBorder="1" applyAlignment="1"/>
    <xf numFmtId="0" fontId="50" fillId="0" borderId="0" xfId="57" applyFont="1" applyFill="1" applyBorder="1" applyAlignment="1">
      <alignment vertical="center" wrapText="1"/>
    </xf>
    <xf numFmtId="0" fontId="100" fillId="0" borderId="0" xfId="69" applyFont="1" applyFill="1" applyBorder="1"/>
    <xf numFmtId="0" fontId="83" fillId="0" borderId="20" xfId="59" applyFont="1" applyBorder="1" applyAlignment="1"/>
    <xf numFmtId="0" fontId="101" fillId="0" borderId="0" xfId="59" applyFont="1" applyFill="1" applyBorder="1"/>
    <xf numFmtId="179" fontId="101" fillId="0" borderId="0" xfId="54" applyFont="1" applyFill="1" applyBorder="1"/>
    <xf numFmtId="4" fontId="83" fillId="0" borderId="0" xfId="59" applyNumberFormat="1" applyFont="1" applyBorder="1" applyAlignment="1"/>
    <xf numFmtId="0" fontId="102" fillId="0" borderId="0" xfId="59" applyFont="1" applyFill="1" applyBorder="1"/>
    <xf numFmtId="0" fontId="101" fillId="0" borderId="0" xfId="59" applyFont="1" applyBorder="1"/>
    <xf numFmtId="0" fontId="52" fillId="0" borderId="0" xfId="59" applyFont="1" applyBorder="1"/>
    <xf numFmtId="0" fontId="85" fillId="0" borderId="0" xfId="59" applyFont="1" applyBorder="1" applyAlignment="1">
      <alignment vertical="top" wrapText="1"/>
    </xf>
    <xf numFmtId="0" fontId="103" fillId="0" borderId="0" xfId="59" applyFont="1" applyBorder="1" applyAlignment="1"/>
    <xf numFmtId="0" fontId="103" fillId="0" borderId="21" xfId="59" applyFont="1" applyBorder="1" applyAlignment="1"/>
    <xf numFmtId="0" fontId="83" fillId="0" borderId="0" xfId="59" applyFont="1" applyFill="1" applyBorder="1"/>
    <xf numFmtId="0" fontId="104" fillId="0" borderId="0" xfId="59" applyFont="1" applyBorder="1"/>
    <xf numFmtId="0" fontId="104" fillId="0" borderId="21" xfId="59" applyFont="1" applyBorder="1"/>
    <xf numFmtId="0" fontId="83" fillId="0" borderId="32" xfId="59" applyFont="1" applyBorder="1"/>
    <xf numFmtId="0" fontId="83" fillId="0" borderId="7" xfId="59" applyFont="1" applyFill="1" applyBorder="1"/>
    <xf numFmtId="0" fontId="85" fillId="0" borderId="7" xfId="59" applyFont="1" applyBorder="1" applyAlignment="1">
      <alignment horizontal="center" vertical="top" wrapText="1"/>
    </xf>
    <xf numFmtId="0" fontId="104" fillId="0" borderId="7" xfId="59" applyFont="1" applyBorder="1"/>
    <xf numFmtId="0" fontId="104" fillId="0" borderId="33" xfId="59" applyFont="1" applyBorder="1"/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  <cellStyle name="Normal 4 2" xfId="82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49</xdr:row>
      <xdr:rowOff>55244</xdr:rowOff>
    </xdr:from>
    <xdr:to>
      <xdr:col>14</xdr:col>
      <xdr:colOff>733425</xdr:colOff>
      <xdr:row>64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42190" y="20054570"/>
          <a:ext cx="3197860" cy="3124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50</xdr:row>
      <xdr:rowOff>131885</xdr:rowOff>
    </xdr:from>
    <xdr:to>
      <xdr:col>13</xdr:col>
      <xdr:colOff>143705</xdr:colOff>
      <xdr:row>63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41660" y="17997805"/>
          <a:ext cx="2710815" cy="26346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044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46625" y="17359630"/>
          <a:ext cx="480060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826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  <pageSetUpPr fitToPage="1"/>
  </sheetPr>
  <dimension ref="A1:V65"/>
  <sheetViews>
    <sheetView showGridLines="0" showZeros="0" tabSelected="1" zoomScale="80" zoomScaleNormal="80" zoomScaleSheetLayoutView="115" topLeftCell="B31" workbookViewId="0">
      <selection activeCell="F37" sqref="F37"/>
    </sheetView>
  </sheetViews>
  <sheetFormatPr defaultColWidth="11.5648148148148" defaultRowHeight="15.6"/>
  <cols>
    <col min="1" max="1" width="2.2962962962963" style="453" hidden="1" customWidth="1"/>
    <col min="2" max="2" width="7.71296296296296" style="446" customWidth="1"/>
    <col min="3" max="3" width="16" style="446" customWidth="1"/>
    <col min="4" max="5" width="14.5648148148148" style="446" customWidth="1"/>
    <col min="6" max="6" width="34.6666666666667" style="446" customWidth="1"/>
    <col min="7" max="7" width="31.6666666666667" style="446" customWidth="1"/>
    <col min="8" max="8" width="19" style="446" customWidth="1"/>
    <col min="9" max="9" width="22.2222222222222" style="446" customWidth="1"/>
    <col min="10" max="12" width="11.5648148148148" style="446" customWidth="1"/>
    <col min="13" max="13" width="10.5648148148148" style="446" customWidth="1"/>
    <col min="14" max="14" width="11.7037037037037" style="446" customWidth="1"/>
    <col min="15" max="15" width="11.8611111111111" style="446" customWidth="1"/>
    <col min="16" max="16" width="0.861111111111111" style="446" customWidth="1"/>
    <col min="17" max="19" width="11.5648148148148" style="446"/>
    <col min="20" max="20" width="12.8611111111111" style="446"/>
    <col min="21" max="21" width="12.4259259259259" style="446"/>
    <col min="22" max="221" width="11.5648148148148" style="446"/>
    <col min="222" max="222" width="3" style="446" customWidth="1"/>
    <col min="223" max="223" width="7.71296296296296" style="446" customWidth="1"/>
    <col min="224" max="224" width="24.1388888888889" style="446" customWidth="1"/>
    <col min="225" max="225" width="28.8611111111111" style="446" customWidth="1"/>
    <col min="226" max="226" width="9.42592592592593" style="446" customWidth="1"/>
    <col min="227" max="227" width="13" style="446" customWidth="1"/>
    <col min="228" max="228" width="8.13888888888889" style="446" customWidth="1"/>
    <col min="229" max="229" width="9.56481481481481" style="446" customWidth="1"/>
    <col min="230" max="230" width="6.42592592592593" style="446" customWidth="1"/>
    <col min="231" max="231" width="17" style="446" customWidth="1"/>
    <col min="232" max="233" width="11.5648148148148" style="446" hidden="1" customWidth="1"/>
    <col min="234" max="477" width="11.5648148148148" style="446"/>
    <col min="478" max="478" width="3" style="446" customWidth="1"/>
    <col min="479" max="479" width="7.71296296296296" style="446" customWidth="1"/>
    <col min="480" max="480" width="24.1388888888889" style="446" customWidth="1"/>
    <col min="481" max="481" width="28.8611111111111" style="446" customWidth="1"/>
    <col min="482" max="482" width="9.42592592592593" style="446" customWidth="1"/>
    <col min="483" max="483" width="13" style="446" customWidth="1"/>
    <col min="484" max="484" width="8.13888888888889" style="446" customWidth="1"/>
    <col min="485" max="485" width="9.56481481481481" style="446" customWidth="1"/>
    <col min="486" max="486" width="6.42592592592593" style="446" customWidth="1"/>
    <col min="487" max="487" width="17" style="446" customWidth="1"/>
    <col min="488" max="489" width="11.5648148148148" style="446" hidden="1" customWidth="1"/>
    <col min="490" max="733" width="11.5648148148148" style="446"/>
    <col min="734" max="734" width="3" style="446" customWidth="1"/>
    <col min="735" max="735" width="7.71296296296296" style="446" customWidth="1"/>
    <col min="736" max="736" width="24.1388888888889" style="446" customWidth="1"/>
    <col min="737" max="737" width="28.8611111111111" style="446" customWidth="1"/>
    <col min="738" max="738" width="9.42592592592593" style="446" customWidth="1"/>
    <col min="739" max="739" width="13" style="446" customWidth="1"/>
    <col min="740" max="740" width="8.13888888888889" style="446" customWidth="1"/>
    <col min="741" max="741" width="9.56481481481481" style="446" customWidth="1"/>
    <col min="742" max="742" width="6.42592592592593" style="446" customWidth="1"/>
    <col min="743" max="743" width="17" style="446" customWidth="1"/>
    <col min="744" max="745" width="11.5648148148148" style="446" hidden="1" customWidth="1"/>
    <col min="746" max="989" width="11.5648148148148" style="446"/>
    <col min="990" max="990" width="3" style="446" customWidth="1"/>
    <col min="991" max="991" width="7.71296296296296" style="446" customWidth="1"/>
    <col min="992" max="992" width="24.1388888888889" style="446" customWidth="1"/>
    <col min="993" max="993" width="28.8611111111111" style="446" customWidth="1"/>
    <col min="994" max="994" width="9.42592592592593" style="446" customWidth="1"/>
    <col min="995" max="995" width="13" style="446" customWidth="1"/>
    <col min="996" max="996" width="8.13888888888889" style="446" customWidth="1"/>
    <col min="997" max="997" width="9.56481481481481" style="446" customWidth="1"/>
    <col min="998" max="998" width="6.42592592592593" style="446" customWidth="1"/>
    <col min="999" max="999" width="17" style="446" customWidth="1"/>
    <col min="1000" max="1001" width="11.5648148148148" style="446" hidden="1" customWidth="1"/>
    <col min="1002" max="1245" width="11.5648148148148" style="446"/>
    <col min="1246" max="1246" width="3" style="446" customWidth="1"/>
    <col min="1247" max="1247" width="7.71296296296296" style="446" customWidth="1"/>
    <col min="1248" max="1248" width="24.1388888888889" style="446" customWidth="1"/>
    <col min="1249" max="1249" width="28.8611111111111" style="446" customWidth="1"/>
    <col min="1250" max="1250" width="9.42592592592593" style="446" customWidth="1"/>
    <col min="1251" max="1251" width="13" style="446" customWidth="1"/>
    <col min="1252" max="1252" width="8.13888888888889" style="446" customWidth="1"/>
    <col min="1253" max="1253" width="9.56481481481481" style="446" customWidth="1"/>
    <col min="1254" max="1254" width="6.42592592592593" style="446" customWidth="1"/>
    <col min="1255" max="1255" width="17" style="446" customWidth="1"/>
    <col min="1256" max="1257" width="11.5648148148148" style="446" hidden="1" customWidth="1"/>
    <col min="1258" max="1501" width="11.5648148148148" style="446"/>
    <col min="1502" max="1502" width="3" style="446" customWidth="1"/>
    <col min="1503" max="1503" width="7.71296296296296" style="446" customWidth="1"/>
    <col min="1504" max="1504" width="24.1388888888889" style="446" customWidth="1"/>
    <col min="1505" max="1505" width="28.8611111111111" style="446" customWidth="1"/>
    <col min="1506" max="1506" width="9.42592592592593" style="446" customWidth="1"/>
    <col min="1507" max="1507" width="13" style="446" customWidth="1"/>
    <col min="1508" max="1508" width="8.13888888888889" style="446" customWidth="1"/>
    <col min="1509" max="1509" width="9.56481481481481" style="446" customWidth="1"/>
    <col min="1510" max="1510" width="6.42592592592593" style="446" customWidth="1"/>
    <col min="1511" max="1511" width="17" style="446" customWidth="1"/>
    <col min="1512" max="1513" width="11.5648148148148" style="446" hidden="1" customWidth="1"/>
    <col min="1514" max="1757" width="11.5648148148148" style="446"/>
    <col min="1758" max="1758" width="3" style="446" customWidth="1"/>
    <col min="1759" max="1759" width="7.71296296296296" style="446" customWidth="1"/>
    <col min="1760" max="1760" width="24.1388888888889" style="446" customWidth="1"/>
    <col min="1761" max="1761" width="28.8611111111111" style="446" customWidth="1"/>
    <col min="1762" max="1762" width="9.42592592592593" style="446" customWidth="1"/>
    <col min="1763" max="1763" width="13" style="446" customWidth="1"/>
    <col min="1764" max="1764" width="8.13888888888889" style="446" customWidth="1"/>
    <col min="1765" max="1765" width="9.56481481481481" style="446" customWidth="1"/>
    <col min="1766" max="1766" width="6.42592592592593" style="446" customWidth="1"/>
    <col min="1767" max="1767" width="17" style="446" customWidth="1"/>
    <col min="1768" max="1769" width="11.5648148148148" style="446" hidden="1" customWidth="1"/>
    <col min="1770" max="2013" width="11.5648148148148" style="446"/>
    <col min="2014" max="2014" width="3" style="446" customWidth="1"/>
    <col min="2015" max="2015" width="7.71296296296296" style="446" customWidth="1"/>
    <col min="2016" max="2016" width="24.1388888888889" style="446" customWidth="1"/>
    <col min="2017" max="2017" width="28.8611111111111" style="446" customWidth="1"/>
    <col min="2018" max="2018" width="9.42592592592593" style="446" customWidth="1"/>
    <col min="2019" max="2019" width="13" style="446" customWidth="1"/>
    <col min="2020" max="2020" width="8.13888888888889" style="446" customWidth="1"/>
    <col min="2021" max="2021" width="9.56481481481481" style="446" customWidth="1"/>
    <col min="2022" max="2022" width="6.42592592592593" style="446" customWidth="1"/>
    <col min="2023" max="2023" width="17" style="446" customWidth="1"/>
    <col min="2024" max="2025" width="11.5648148148148" style="446" hidden="1" customWidth="1"/>
    <col min="2026" max="2269" width="11.5648148148148" style="446"/>
    <col min="2270" max="2270" width="3" style="446" customWidth="1"/>
    <col min="2271" max="2271" width="7.71296296296296" style="446" customWidth="1"/>
    <col min="2272" max="2272" width="24.1388888888889" style="446" customWidth="1"/>
    <col min="2273" max="2273" width="28.8611111111111" style="446" customWidth="1"/>
    <col min="2274" max="2274" width="9.42592592592593" style="446" customWidth="1"/>
    <col min="2275" max="2275" width="13" style="446" customWidth="1"/>
    <col min="2276" max="2276" width="8.13888888888889" style="446" customWidth="1"/>
    <col min="2277" max="2277" width="9.56481481481481" style="446" customWidth="1"/>
    <col min="2278" max="2278" width="6.42592592592593" style="446" customWidth="1"/>
    <col min="2279" max="2279" width="17" style="446" customWidth="1"/>
    <col min="2280" max="2281" width="11.5648148148148" style="446" hidden="1" customWidth="1"/>
    <col min="2282" max="2525" width="11.5648148148148" style="446"/>
    <col min="2526" max="2526" width="3" style="446" customWidth="1"/>
    <col min="2527" max="2527" width="7.71296296296296" style="446" customWidth="1"/>
    <col min="2528" max="2528" width="24.1388888888889" style="446" customWidth="1"/>
    <col min="2529" max="2529" width="28.8611111111111" style="446" customWidth="1"/>
    <col min="2530" max="2530" width="9.42592592592593" style="446" customWidth="1"/>
    <col min="2531" max="2531" width="13" style="446" customWidth="1"/>
    <col min="2532" max="2532" width="8.13888888888889" style="446" customWidth="1"/>
    <col min="2533" max="2533" width="9.56481481481481" style="446" customWidth="1"/>
    <col min="2534" max="2534" width="6.42592592592593" style="446" customWidth="1"/>
    <col min="2535" max="2535" width="17" style="446" customWidth="1"/>
    <col min="2536" max="2537" width="11.5648148148148" style="446" hidden="1" customWidth="1"/>
    <col min="2538" max="2781" width="11.5648148148148" style="446"/>
    <col min="2782" max="2782" width="3" style="446" customWidth="1"/>
    <col min="2783" max="2783" width="7.71296296296296" style="446" customWidth="1"/>
    <col min="2784" max="2784" width="24.1388888888889" style="446" customWidth="1"/>
    <col min="2785" max="2785" width="28.8611111111111" style="446" customWidth="1"/>
    <col min="2786" max="2786" width="9.42592592592593" style="446" customWidth="1"/>
    <col min="2787" max="2787" width="13" style="446" customWidth="1"/>
    <col min="2788" max="2788" width="8.13888888888889" style="446" customWidth="1"/>
    <col min="2789" max="2789" width="9.56481481481481" style="446" customWidth="1"/>
    <col min="2790" max="2790" width="6.42592592592593" style="446" customWidth="1"/>
    <col min="2791" max="2791" width="17" style="446" customWidth="1"/>
    <col min="2792" max="2793" width="11.5648148148148" style="446" hidden="1" customWidth="1"/>
    <col min="2794" max="3037" width="11.5648148148148" style="446"/>
    <col min="3038" max="3038" width="3" style="446" customWidth="1"/>
    <col min="3039" max="3039" width="7.71296296296296" style="446" customWidth="1"/>
    <col min="3040" max="3040" width="24.1388888888889" style="446" customWidth="1"/>
    <col min="3041" max="3041" width="28.8611111111111" style="446" customWidth="1"/>
    <col min="3042" max="3042" width="9.42592592592593" style="446" customWidth="1"/>
    <col min="3043" max="3043" width="13" style="446" customWidth="1"/>
    <col min="3044" max="3044" width="8.13888888888889" style="446" customWidth="1"/>
    <col min="3045" max="3045" width="9.56481481481481" style="446" customWidth="1"/>
    <col min="3046" max="3046" width="6.42592592592593" style="446" customWidth="1"/>
    <col min="3047" max="3047" width="17" style="446" customWidth="1"/>
    <col min="3048" max="3049" width="11.5648148148148" style="446" hidden="1" customWidth="1"/>
    <col min="3050" max="3293" width="11.5648148148148" style="446"/>
    <col min="3294" max="3294" width="3" style="446" customWidth="1"/>
    <col min="3295" max="3295" width="7.71296296296296" style="446" customWidth="1"/>
    <col min="3296" max="3296" width="24.1388888888889" style="446" customWidth="1"/>
    <col min="3297" max="3297" width="28.8611111111111" style="446" customWidth="1"/>
    <col min="3298" max="3298" width="9.42592592592593" style="446" customWidth="1"/>
    <col min="3299" max="3299" width="13" style="446" customWidth="1"/>
    <col min="3300" max="3300" width="8.13888888888889" style="446" customWidth="1"/>
    <col min="3301" max="3301" width="9.56481481481481" style="446" customWidth="1"/>
    <col min="3302" max="3302" width="6.42592592592593" style="446" customWidth="1"/>
    <col min="3303" max="3303" width="17" style="446" customWidth="1"/>
    <col min="3304" max="3305" width="11.5648148148148" style="446" hidden="1" customWidth="1"/>
    <col min="3306" max="3549" width="11.5648148148148" style="446"/>
    <col min="3550" max="3550" width="3" style="446" customWidth="1"/>
    <col min="3551" max="3551" width="7.71296296296296" style="446" customWidth="1"/>
    <col min="3552" max="3552" width="24.1388888888889" style="446" customWidth="1"/>
    <col min="3553" max="3553" width="28.8611111111111" style="446" customWidth="1"/>
    <col min="3554" max="3554" width="9.42592592592593" style="446" customWidth="1"/>
    <col min="3555" max="3555" width="13" style="446" customWidth="1"/>
    <col min="3556" max="3556" width="8.13888888888889" style="446" customWidth="1"/>
    <col min="3557" max="3557" width="9.56481481481481" style="446" customWidth="1"/>
    <col min="3558" max="3558" width="6.42592592592593" style="446" customWidth="1"/>
    <col min="3559" max="3559" width="17" style="446" customWidth="1"/>
    <col min="3560" max="3561" width="11.5648148148148" style="446" hidden="1" customWidth="1"/>
    <col min="3562" max="3805" width="11.5648148148148" style="446"/>
    <col min="3806" max="3806" width="3" style="446" customWidth="1"/>
    <col min="3807" max="3807" width="7.71296296296296" style="446" customWidth="1"/>
    <col min="3808" max="3808" width="24.1388888888889" style="446" customWidth="1"/>
    <col min="3809" max="3809" width="28.8611111111111" style="446" customWidth="1"/>
    <col min="3810" max="3810" width="9.42592592592593" style="446" customWidth="1"/>
    <col min="3811" max="3811" width="13" style="446" customWidth="1"/>
    <col min="3812" max="3812" width="8.13888888888889" style="446" customWidth="1"/>
    <col min="3813" max="3813" width="9.56481481481481" style="446" customWidth="1"/>
    <col min="3814" max="3814" width="6.42592592592593" style="446" customWidth="1"/>
    <col min="3815" max="3815" width="17" style="446" customWidth="1"/>
    <col min="3816" max="3817" width="11.5648148148148" style="446" hidden="1" customWidth="1"/>
    <col min="3818" max="4061" width="11.5648148148148" style="446"/>
    <col min="4062" max="4062" width="3" style="446" customWidth="1"/>
    <col min="4063" max="4063" width="7.71296296296296" style="446" customWidth="1"/>
    <col min="4064" max="4064" width="24.1388888888889" style="446" customWidth="1"/>
    <col min="4065" max="4065" width="28.8611111111111" style="446" customWidth="1"/>
    <col min="4066" max="4066" width="9.42592592592593" style="446" customWidth="1"/>
    <col min="4067" max="4067" width="13" style="446" customWidth="1"/>
    <col min="4068" max="4068" width="8.13888888888889" style="446" customWidth="1"/>
    <col min="4069" max="4069" width="9.56481481481481" style="446" customWidth="1"/>
    <col min="4070" max="4070" width="6.42592592592593" style="446" customWidth="1"/>
    <col min="4071" max="4071" width="17" style="446" customWidth="1"/>
    <col min="4072" max="4073" width="11.5648148148148" style="446" hidden="1" customWidth="1"/>
    <col min="4074" max="4317" width="11.5648148148148" style="446"/>
    <col min="4318" max="4318" width="3" style="446" customWidth="1"/>
    <col min="4319" max="4319" width="7.71296296296296" style="446" customWidth="1"/>
    <col min="4320" max="4320" width="24.1388888888889" style="446" customWidth="1"/>
    <col min="4321" max="4321" width="28.8611111111111" style="446" customWidth="1"/>
    <col min="4322" max="4322" width="9.42592592592593" style="446" customWidth="1"/>
    <col min="4323" max="4323" width="13" style="446" customWidth="1"/>
    <col min="4324" max="4324" width="8.13888888888889" style="446" customWidth="1"/>
    <col min="4325" max="4325" width="9.56481481481481" style="446" customWidth="1"/>
    <col min="4326" max="4326" width="6.42592592592593" style="446" customWidth="1"/>
    <col min="4327" max="4327" width="17" style="446" customWidth="1"/>
    <col min="4328" max="4329" width="11.5648148148148" style="446" hidden="1" customWidth="1"/>
    <col min="4330" max="4573" width="11.5648148148148" style="446"/>
    <col min="4574" max="4574" width="3" style="446" customWidth="1"/>
    <col min="4575" max="4575" width="7.71296296296296" style="446" customWidth="1"/>
    <col min="4576" max="4576" width="24.1388888888889" style="446" customWidth="1"/>
    <col min="4577" max="4577" width="28.8611111111111" style="446" customWidth="1"/>
    <col min="4578" max="4578" width="9.42592592592593" style="446" customWidth="1"/>
    <col min="4579" max="4579" width="13" style="446" customWidth="1"/>
    <col min="4580" max="4580" width="8.13888888888889" style="446" customWidth="1"/>
    <col min="4581" max="4581" width="9.56481481481481" style="446" customWidth="1"/>
    <col min="4582" max="4582" width="6.42592592592593" style="446" customWidth="1"/>
    <col min="4583" max="4583" width="17" style="446" customWidth="1"/>
    <col min="4584" max="4585" width="11.5648148148148" style="446" hidden="1" customWidth="1"/>
    <col min="4586" max="4829" width="11.5648148148148" style="446"/>
    <col min="4830" max="4830" width="3" style="446" customWidth="1"/>
    <col min="4831" max="4831" width="7.71296296296296" style="446" customWidth="1"/>
    <col min="4832" max="4832" width="24.1388888888889" style="446" customWidth="1"/>
    <col min="4833" max="4833" width="28.8611111111111" style="446" customWidth="1"/>
    <col min="4834" max="4834" width="9.42592592592593" style="446" customWidth="1"/>
    <col min="4835" max="4835" width="13" style="446" customWidth="1"/>
    <col min="4836" max="4836" width="8.13888888888889" style="446" customWidth="1"/>
    <col min="4837" max="4837" width="9.56481481481481" style="446" customWidth="1"/>
    <col min="4838" max="4838" width="6.42592592592593" style="446" customWidth="1"/>
    <col min="4839" max="4839" width="17" style="446" customWidth="1"/>
    <col min="4840" max="4841" width="11.5648148148148" style="446" hidden="1" customWidth="1"/>
    <col min="4842" max="5085" width="11.5648148148148" style="446"/>
    <col min="5086" max="5086" width="3" style="446" customWidth="1"/>
    <col min="5087" max="5087" width="7.71296296296296" style="446" customWidth="1"/>
    <col min="5088" max="5088" width="24.1388888888889" style="446" customWidth="1"/>
    <col min="5089" max="5089" width="28.8611111111111" style="446" customWidth="1"/>
    <col min="5090" max="5090" width="9.42592592592593" style="446" customWidth="1"/>
    <col min="5091" max="5091" width="13" style="446" customWidth="1"/>
    <col min="5092" max="5092" width="8.13888888888889" style="446" customWidth="1"/>
    <col min="5093" max="5093" width="9.56481481481481" style="446" customWidth="1"/>
    <col min="5094" max="5094" width="6.42592592592593" style="446" customWidth="1"/>
    <col min="5095" max="5095" width="17" style="446" customWidth="1"/>
    <col min="5096" max="5097" width="11.5648148148148" style="446" hidden="1" customWidth="1"/>
    <col min="5098" max="5341" width="11.5648148148148" style="446"/>
    <col min="5342" max="5342" width="3" style="446" customWidth="1"/>
    <col min="5343" max="5343" width="7.71296296296296" style="446" customWidth="1"/>
    <col min="5344" max="5344" width="24.1388888888889" style="446" customWidth="1"/>
    <col min="5345" max="5345" width="28.8611111111111" style="446" customWidth="1"/>
    <col min="5346" max="5346" width="9.42592592592593" style="446" customWidth="1"/>
    <col min="5347" max="5347" width="13" style="446" customWidth="1"/>
    <col min="5348" max="5348" width="8.13888888888889" style="446" customWidth="1"/>
    <col min="5349" max="5349" width="9.56481481481481" style="446" customWidth="1"/>
    <col min="5350" max="5350" width="6.42592592592593" style="446" customWidth="1"/>
    <col min="5351" max="5351" width="17" style="446" customWidth="1"/>
    <col min="5352" max="5353" width="11.5648148148148" style="446" hidden="1" customWidth="1"/>
    <col min="5354" max="5597" width="11.5648148148148" style="446"/>
    <col min="5598" max="5598" width="3" style="446" customWidth="1"/>
    <col min="5599" max="5599" width="7.71296296296296" style="446" customWidth="1"/>
    <col min="5600" max="5600" width="24.1388888888889" style="446" customWidth="1"/>
    <col min="5601" max="5601" width="28.8611111111111" style="446" customWidth="1"/>
    <col min="5602" max="5602" width="9.42592592592593" style="446" customWidth="1"/>
    <col min="5603" max="5603" width="13" style="446" customWidth="1"/>
    <col min="5604" max="5604" width="8.13888888888889" style="446" customWidth="1"/>
    <col min="5605" max="5605" width="9.56481481481481" style="446" customWidth="1"/>
    <col min="5606" max="5606" width="6.42592592592593" style="446" customWidth="1"/>
    <col min="5607" max="5607" width="17" style="446" customWidth="1"/>
    <col min="5608" max="5609" width="11.5648148148148" style="446" hidden="1" customWidth="1"/>
    <col min="5610" max="5853" width="11.5648148148148" style="446"/>
    <col min="5854" max="5854" width="3" style="446" customWidth="1"/>
    <col min="5855" max="5855" width="7.71296296296296" style="446" customWidth="1"/>
    <col min="5856" max="5856" width="24.1388888888889" style="446" customWidth="1"/>
    <col min="5857" max="5857" width="28.8611111111111" style="446" customWidth="1"/>
    <col min="5858" max="5858" width="9.42592592592593" style="446" customWidth="1"/>
    <col min="5859" max="5859" width="13" style="446" customWidth="1"/>
    <col min="5860" max="5860" width="8.13888888888889" style="446" customWidth="1"/>
    <col min="5861" max="5861" width="9.56481481481481" style="446" customWidth="1"/>
    <col min="5862" max="5862" width="6.42592592592593" style="446" customWidth="1"/>
    <col min="5863" max="5863" width="17" style="446" customWidth="1"/>
    <col min="5864" max="5865" width="11.5648148148148" style="446" hidden="1" customWidth="1"/>
    <col min="5866" max="6109" width="11.5648148148148" style="446"/>
    <col min="6110" max="6110" width="3" style="446" customWidth="1"/>
    <col min="6111" max="6111" width="7.71296296296296" style="446" customWidth="1"/>
    <col min="6112" max="6112" width="24.1388888888889" style="446" customWidth="1"/>
    <col min="6113" max="6113" width="28.8611111111111" style="446" customWidth="1"/>
    <col min="6114" max="6114" width="9.42592592592593" style="446" customWidth="1"/>
    <col min="6115" max="6115" width="13" style="446" customWidth="1"/>
    <col min="6116" max="6116" width="8.13888888888889" style="446" customWidth="1"/>
    <col min="6117" max="6117" width="9.56481481481481" style="446" customWidth="1"/>
    <col min="6118" max="6118" width="6.42592592592593" style="446" customWidth="1"/>
    <col min="6119" max="6119" width="17" style="446" customWidth="1"/>
    <col min="6120" max="6121" width="11.5648148148148" style="446" hidden="1" customWidth="1"/>
    <col min="6122" max="6365" width="11.5648148148148" style="446"/>
    <col min="6366" max="6366" width="3" style="446" customWidth="1"/>
    <col min="6367" max="6367" width="7.71296296296296" style="446" customWidth="1"/>
    <col min="6368" max="6368" width="24.1388888888889" style="446" customWidth="1"/>
    <col min="6369" max="6369" width="28.8611111111111" style="446" customWidth="1"/>
    <col min="6370" max="6370" width="9.42592592592593" style="446" customWidth="1"/>
    <col min="6371" max="6371" width="13" style="446" customWidth="1"/>
    <col min="6372" max="6372" width="8.13888888888889" style="446" customWidth="1"/>
    <col min="6373" max="6373" width="9.56481481481481" style="446" customWidth="1"/>
    <col min="6374" max="6374" width="6.42592592592593" style="446" customWidth="1"/>
    <col min="6375" max="6375" width="17" style="446" customWidth="1"/>
    <col min="6376" max="6377" width="11.5648148148148" style="446" hidden="1" customWidth="1"/>
    <col min="6378" max="6621" width="11.5648148148148" style="446"/>
    <col min="6622" max="6622" width="3" style="446" customWidth="1"/>
    <col min="6623" max="6623" width="7.71296296296296" style="446" customWidth="1"/>
    <col min="6624" max="6624" width="24.1388888888889" style="446" customWidth="1"/>
    <col min="6625" max="6625" width="28.8611111111111" style="446" customWidth="1"/>
    <col min="6626" max="6626" width="9.42592592592593" style="446" customWidth="1"/>
    <col min="6627" max="6627" width="13" style="446" customWidth="1"/>
    <col min="6628" max="6628" width="8.13888888888889" style="446" customWidth="1"/>
    <col min="6629" max="6629" width="9.56481481481481" style="446" customWidth="1"/>
    <col min="6630" max="6630" width="6.42592592592593" style="446" customWidth="1"/>
    <col min="6631" max="6631" width="17" style="446" customWidth="1"/>
    <col min="6632" max="6633" width="11.5648148148148" style="446" hidden="1" customWidth="1"/>
    <col min="6634" max="6877" width="11.5648148148148" style="446"/>
    <col min="6878" max="6878" width="3" style="446" customWidth="1"/>
    <col min="6879" max="6879" width="7.71296296296296" style="446" customWidth="1"/>
    <col min="6880" max="6880" width="24.1388888888889" style="446" customWidth="1"/>
    <col min="6881" max="6881" width="28.8611111111111" style="446" customWidth="1"/>
    <col min="6882" max="6882" width="9.42592592592593" style="446" customWidth="1"/>
    <col min="6883" max="6883" width="13" style="446" customWidth="1"/>
    <col min="6884" max="6884" width="8.13888888888889" style="446" customWidth="1"/>
    <col min="6885" max="6885" width="9.56481481481481" style="446" customWidth="1"/>
    <col min="6886" max="6886" width="6.42592592592593" style="446" customWidth="1"/>
    <col min="6887" max="6887" width="17" style="446" customWidth="1"/>
    <col min="6888" max="6889" width="11.5648148148148" style="446" hidden="1" customWidth="1"/>
    <col min="6890" max="7133" width="11.5648148148148" style="446"/>
    <col min="7134" max="7134" width="3" style="446" customWidth="1"/>
    <col min="7135" max="7135" width="7.71296296296296" style="446" customWidth="1"/>
    <col min="7136" max="7136" width="24.1388888888889" style="446" customWidth="1"/>
    <col min="7137" max="7137" width="28.8611111111111" style="446" customWidth="1"/>
    <col min="7138" max="7138" width="9.42592592592593" style="446" customWidth="1"/>
    <col min="7139" max="7139" width="13" style="446" customWidth="1"/>
    <col min="7140" max="7140" width="8.13888888888889" style="446" customWidth="1"/>
    <col min="7141" max="7141" width="9.56481481481481" style="446" customWidth="1"/>
    <col min="7142" max="7142" width="6.42592592592593" style="446" customWidth="1"/>
    <col min="7143" max="7143" width="17" style="446" customWidth="1"/>
    <col min="7144" max="7145" width="11.5648148148148" style="446" hidden="1" customWidth="1"/>
    <col min="7146" max="7389" width="11.5648148148148" style="446"/>
    <col min="7390" max="7390" width="3" style="446" customWidth="1"/>
    <col min="7391" max="7391" width="7.71296296296296" style="446" customWidth="1"/>
    <col min="7392" max="7392" width="24.1388888888889" style="446" customWidth="1"/>
    <col min="7393" max="7393" width="28.8611111111111" style="446" customWidth="1"/>
    <col min="7394" max="7394" width="9.42592592592593" style="446" customWidth="1"/>
    <col min="7395" max="7395" width="13" style="446" customWidth="1"/>
    <col min="7396" max="7396" width="8.13888888888889" style="446" customWidth="1"/>
    <col min="7397" max="7397" width="9.56481481481481" style="446" customWidth="1"/>
    <col min="7398" max="7398" width="6.42592592592593" style="446" customWidth="1"/>
    <col min="7399" max="7399" width="17" style="446" customWidth="1"/>
    <col min="7400" max="7401" width="11.5648148148148" style="446" hidden="1" customWidth="1"/>
    <col min="7402" max="7645" width="11.5648148148148" style="446"/>
    <col min="7646" max="7646" width="3" style="446" customWidth="1"/>
    <col min="7647" max="7647" width="7.71296296296296" style="446" customWidth="1"/>
    <col min="7648" max="7648" width="24.1388888888889" style="446" customWidth="1"/>
    <col min="7649" max="7649" width="28.8611111111111" style="446" customWidth="1"/>
    <col min="7650" max="7650" width="9.42592592592593" style="446" customWidth="1"/>
    <col min="7651" max="7651" width="13" style="446" customWidth="1"/>
    <col min="7652" max="7652" width="8.13888888888889" style="446" customWidth="1"/>
    <col min="7653" max="7653" width="9.56481481481481" style="446" customWidth="1"/>
    <col min="7654" max="7654" width="6.42592592592593" style="446" customWidth="1"/>
    <col min="7655" max="7655" width="17" style="446" customWidth="1"/>
    <col min="7656" max="7657" width="11.5648148148148" style="446" hidden="1" customWidth="1"/>
    <col min="7658" max="7901" width="11.5648148148148" style="446"/>
    <col min="7902" max="7902" width="3" style="446" customWidth="1"/>
    <col min="7903" max="7903" width="7.71296296296296" style="446" customWidth="1"/>
    <col min="7904" max="7904" width="24.1388888888889" style="446" customWidth="1"/>
    <col min="7905" max="7905" width="28.8611111111111" style="446" customWidth="1"/>
    <col min="7906" max="7906" width="9.42592592592593" style="446" customWidth="1"/>
    <col min="7907" max="7907" width="13" style="446" customWidth="1"/>
    <col min="7908" max="7908" width="8.13888888888889" style="446" customWidth="1"/>
    <col min="7909" max="7909" width="9.56481481481481" style="446" customWidth="1"/>
    <col min="7910" max="7910" width="6.42592592592593" style="446" customWidth="1"/>
    <col min="7911" max="7911" width="17" style="446" customWidth="1"/>
    <col min="7912" max="7913" width="11.5648148148148" style="446" hidden="1" customWidth="1"/>
    <col min="7914" max="8157" width="11.5648148148148" style="446"/>
    <col min="8158" max="8158" width="3" style="446" customWidth="1"/>
    <col min="8159" max="8159" width="7.71296296296296" style="446" customWidth="1"/>
    <col min="8160" max="8160" width="24.1388888888889" style="446" customWidth="1"/>
    <col min="8161" max="8161" width="28.8611111111111" style="446" customWidth="1"/>
    <col min="8162" max="8162" width="9.42592592592593" style="446" customWidth="1"/>
    <col min="8163" max="8163" width="13" style="446" customWidth="1"/>
    <col min="8164" max="8164" width="8.13888888888889" style="446" customWidth="1"/>
    <col min="8165" max="8165" width="9.56481481481481" style="446" customWidth="1"/>
    <col min="8166" max="8166" width="6.42592592592593" style="446" customWidth="1"/>
    <col min="8167" max="8167" width="17" style="446" customWidth="1"/>
    <col min="8168" max="8169" width="11.5648148148148" style="446" hidden="1" customWidth="1"/>
    <col min="8170" max="8413" width="11.5648148148148" style="446"/>
    <col min="8414" max="8414" width="3" style="446" customWidth="1"/>
    <col min="8415" max="8415" width="7.71296296296296" style="446" customWidth="1"/>
    <col min="8416" max="8416" width="24.1388888888889" style="446" customWidth="1"/>
    <col min="8417" max="8417" width="28.8611111111111" style="446" customWidth="1"/>
    <col min="8418" max="8418" width="9.42592592592593" style="446" customWidth="1"/>
    <col min="8419" max="8419" width="13" style="446" customWidth="1"/>
    <col min="8420" max="8420" width="8.13888888888889" style="446" customWidth="1"/>
    <col min="8421" max="8421" width="9.56481481481481" style="446" customWidth="1"/>
    <col min="8422" max="8422" width="6.42592592592593" style="446" customWidth="1"/>
    <col min="8423" max="8423" width="17" style="446" customWidth="1"/>
    <col min="8424" max="8425" width="11.5648148148148" style="446" hidden="1" customWidth="1"/>
    <col min="8426" max="8669" width="11.5648148148148" style="446"/>
    <col min="8670" max="8670" width="3" style="446" customWidth="1"/>
    <col min="8671" max="8671" width="7.71296296296296" style="446" customWidth="1"/>
    <col min="8672" max="8672" width="24.1388888888889" style="446" customWidth="1"/>
    <col min="8673" max="8673" width="28.8611111111111" style="446" customWidth="1"/>
    <col min="8674" max="8674" width="9.42592592592593" style="446" customWidth="1"/>
    <col min="8675" max="8675" width="13" style="446" customWidth="1"/>
    <col min="8676" max="8676" width="8.13888888888889" style="446" customWidth="1"/>
    <col min="8677" max="8677" width="9.56481481481481" style="446" customWidth="1"/>
    <col min="8678" max="8678" width="6.42592592592593" style="446" customWidth="1"/>
    <col min="8679" max="8679" width="17" style="446" customWidth="1"/>
    <col min="8680" max="8681" width="11.5648148148148" style="446" hidden="1" customWidth="1"/>
    <col min="8682" max="8925" width="11.5648148148148" style="446"/>
    <col min="8926" max="8926" width="3" style="446" customWidth="1"/>
    <col min="8927" max="8927" width="7.71296296296296" style="446" customWidth="1"/>
    <col min="8928" max="8928" width="24.1388888888889" style="446" customWidth="1"/>
    <col min="8929" max="8929" width="28.8611111111111" style="446" customWidth="1"/>
    <col min="8930" max="8930" width="9.42592592592593" style="446" customWidth="1"/>
    <col min="8931" max="8931" width="13" style="446" customWidth="1"/>
    <col min="8932" max="8932" width="8.13888888888889" style="446" customWidth="1"/>
    <col min="8933" max="8933" width="9.56481481481481" style="446" customWidth="1"/>
    <col min="8934" max="8934" width="6.42592592592593" style="446" customWidth="1"/>
    <col min="8935" max="8935" width="17" style="446" customWidth="1"/>
    <col min="8936" max="8937" width="11.5648148148148" style="446" hidden="1" customWidth="1"/>
    <col min="8938" max="9181" width="11.5648148148148" style="446"/>
    <col min="9182" max="9182" width="3" style="446" customWidth="1"/>
    <col min="9183" max="9183" width="7.71296296296296" style="446" customWidth="1"/>
    <col min="9184" max="9184" width="24.1388888888889" style="446" customWidth="1"/>
    <col min="9185" max="9185" width="28.8611111111111" style="446" customWidth="1"/>
    <col min="9186" max="9186" width="9.42592592592593" style="446" customWidth="1"/>
    <col min="9187" max="9187" width="13" style="446" customWidth="1"/>
    <col min="9188" max="9188" width="8.13888888888889" style="446" customWidth="1"/>
    <col min="9189" max="9189" width="9.56481481481481" style="446" customWidth="1"/>
    <col min="9190" max="9190" width="6.42592592592593" style="446" customWidth="1"/>
    <col min="9191" max="9191" width="17" style="446" customWidth="1"/>
    <col min="9192" max="9193" width="11.5648148148148" style="446" hidden="1" customWidth="1"/>
    <col min="9194" max="9437" width="11.5648148148148" style="446"/>
    <col min="9438" max="9438" width="3" style="446" customWidth="1"/>
    <col min="9439" max="9439" width="7.71296296296296" style="446" customWidth="1"/>
    <col min="9440" max="9440" width="24.1388888888889" style="446" customWidth="1"/>
    <col min="9441" max="9441" width="28.8611111111111" style="446" customWidth="1"/>
    <col min="9442" max="9442" width="9.42592592592593" style="446" customWidth="1"/>
    <col min="9443" max="9443" width="13" style="446" customWidth="1"/>
    <col min="9444" max="9444" width="8.13888888888889" style="446" customWidth="1"/>
    <col min="9445" max="9445" width="9.56481481481481" style="446" customWidth="1"/>
    <col min="9446" max="9446" width="6.42592592592593" style="446" customWidth="1"/>
    <col min="9447" max="9447" width="17" style="446" customWidth="1"/>
    <col min="9448" max="9449" width="11.5648148148148" style="446" hidden="1" customWidth="1"/>
    <col min="9450" max="9693" width="11.5648148148148" style="446"/>
    <col min="9694" max="9694" width="3" style="446" customWidth="1"/>
    <col min="9695" max="9695" width="7.71296296296296" style="446" customWidth="1"/>
    <col min="9696" max="9696" width="24.1388888888889" style="446" customWidth="1"/>
    <col min="9697" max="9697" width="28.8611111111111" style="446" customWidth="1"/>
    <col min="9698" max="9698" width="9.42592592592593" style="446" customWidth="1"/>
    <col min="9699" max="9699" width="13" style="446" customWidth="1"/>
    <col min="9700" max="9700" width="8.13888888888889" style="446" customWidth="1"/>
    <col min="9701" max="9701" width="9.56481481481481" style="446" customWidth="1"/>
    <col min="9702" max="9702" width="6.42592592592593" style="446" customWidth="1"/>
    <col min="9703" max="9703" width="17" style="446" customWidth="1"/>
    <col min="9704" max="9705" width="11.5648148148148" style="446" hidden="1" customWidth="1"/>
    <col min="9706" max="9949" width="11.5648148148148" style="446"/>
    <col min="9950" max="9950" width="3" style="446" customWidth="1"/>
    <col min="9951" max="9951" width="7.71296296296296" style="446" customWidth="1"/>
    <col min="9952" max="9952" width="24.1388888888889" style="446" customWidth="1"/>
    <col min="9953" max="9953" width="28.8611111111111" style="446" customWidth="1"/>
    <col min="9954" max="9954" width="9.42592592592593" style="446" customWidth="1"/>
    <col min="9955" max="9955" width="13" style="446" customWidth="1"/>
    <col min="9956" max="9956" width="8.13888888888889" style="446" customWidth="1"/>
    <col min="9957" max="9957" width="9.56481481481481" style="446" customWidth="1"/>
    <col min="9958" max="9958" width="6.42592592592593" style="446" customWidth="1"/>
    <col min="9959" max="9959" width="17" style="446" customWidth="1"/>
    <col min="9960" max="9961" width="11.5648148148148" style="446" hidden="1" customWidth="1"/>
    <col min="9962" max="10205" width="11.5648148148148" style="446"/>
    <col min="10206" max="10206" width="3" style="446" customWidth="1"/>
    <col min="10207" max="10207" width="7.71296296296296" style="446" customWidth="1"/>
    <col min="10208" max="10208" width="24.1388888888889" style="446" customWidth="1"/>
    <col min="10209" max="10209" width="28.8611111111111" style="446" customWidth="1"/>
    <col min="10210" max="10210" width="9.42592592592593" style="446" customWidth="1"/>
    <col min="10211" max="10211" width="13" style="446" customWidth="1"/>
    <col min="10212" max="10212" width="8.13888888888889" style="446" customWidth="1"/>
    <col min="10213" max="10213" width="9.56481481481481" style="446" customWidth="1"/>
    <col min="10214" max="10214" width="6.42592592592593" style="446" customWidth="1"/>
    <col min="10215" max="10215" width="17" style="446" customWidth="1"/>
    <col min="10216" max="10217" width="11.5648148148148" style="446" hidden="1" customWidth="1"/>
    <col min="10218" max="10461" width="11.5648148148148" style="446"/>
    <col min="10462" max="10462" width="3" style="446" customWidth="1"/>
    <col min="10463" max="10463" width="7.71296296296296" style="446" customWidth="1"/>
    <col min="10464" max="10464" width="24.1388888888889" style="446" customWidth="1"/>
    <col min="10465" max="10465" width="28.8611111111111" style="446" customWidth="1"/>
    <col min="10466" max="10466" width="9.42592592592593" style="446" customWidth="1"/>
    <col min="10467" max="10467" width="13" style="446" customWidth="1"/>
    <col min="10468" max="10468" width="8.13888888888889" style="446" customWidth="1"/>
    <col min="10469" max="10469" width="9.56481481481481" style="446" customWidth="1"/>
    <col min="10470" max="10470" width="6.42592592592593" style="446" customWidth="1"/>
    <col min="10471" max="10471" width="17" style="446" customWidth="1"/>
    <col min="10472" max="10473" width="11.5648148148148" style="446" hidden="1" customWidth="1"/>
    <col min="10474" max="10717" width="11.5648148148148" style="446"/>
    <col min="10718" max="10718" width="3" style="446" customWidth="1"/>
    <col min="10719" max="10719" width="7.71296296296296" style="446" customWidth="1"/>
    <col min="10720" max="10720" width="24.1388888888889" style="446" customWidth="1"/>
    <col min="10721" max="10721" width="28.8611111111111" style="446" customWidth="1"/>
    <col min="10722" max="10722" width="9.42592592592593" style="446" customWidth="1"/>
    <col min="10723" max="10723" width="13" style="446" customWidth="1"/>
    <col min="10724" max="10724" width="8.13888888888889" style="446" customWidth="1"/>
    <col min="10725" max="10725" width="9.56481481481481" style="446" customWidth="1"/>
    <col min="10726" max="10726" width="6.42592592592593" style="446" customWidth="1"/>
    <col min="10727" max="10727" width="17" style="446" customWidth="1"/>
    <col min="10728" max="10729" width="11.5648148148148" style="446" hidden="1" customWidth="1"/>
    <col min="10730" max="10973" width="11.5648148148148" style="446"/>
    <col min="10974" max="10974" width="3" style="446" customWidth="1"/>
    <col min="10975" max="10975" width="7.71296296296296" style="446" customWidth="1"/>
    <col min="10976" max="10976" width="24.1388888888889" style="446" customWidth="1"/>
    <col min="10977" max="10977" width="28.8611111111111" style="446" customWidth="1"/>
    <col min="10978" max="10978" width="9.42592592592593" style="446" customWidth="1"/>
    <col min="10979" max="10979" width="13" style="446" customWidth="1"/>
    <col min="10980" max="10980" width="8.13888888888889" style="446" customWidth="1"/>
    <col min="10981" max="10981" width="9.56481481481481" style="446" customWidth="1"/>
    <col min="10982" max="10982" width="6.42592592592593" style="446" customWidth="1"/>
    <col min="10983" max="10983" width="17" style="446" customWidth="1"/>
    <col min="10984" max="10985" width="11.5648148148148" style="446" hidden="1" customWidth="1"/>
    <col min="10986" max="11229" width="11.5648148148148" style="446"/>
    <col min="11230" max="11230" width="3" style="446" customWidth="1"/>
    <col min="11231" max="11231" width="7.71296296296296" style="446" customWidth="1"/>
    <col min="11232" max="11232" width="24.1388888888889" style="446" customWidth="1"/>
    <col min="11233" max="11233" width="28.8611111111111" style="446" customWidth="1"/>
    <col min="11234" max="11234" width="9.42592592592593" style="446" customWidth="1"/>
    <col min="11235" max="11235" width="13" style="446" customWidth="1"/>
    <col min="11236" max="11236" width="8.13888888888889" style="446" customWidth="1"/>
    <col min="11237" max="11237" width="9.56481481481481" style="446" customWidth="1"/>
    <col min="11238" max="11238" width="6.42592592592593" style="446" customWidth="1"/>
    <col min="11239" max="11239" width="17" style="446" customWidth="1"/>
    <col min="11240" max="11241" width="11.5648148148148" style="446" hidden="1" customWidth="1"/>
    <col min="11242" max="11485" width="11.5648148148148" style="446"/>
    <col min="11486" max="11486" width="3" style="446" customWidth="1"/>
    <col min="11487" max="11487" width="7.71296296296296" style="446" customWidth="1"/>
    <col min="11488" max="11488" width="24.1388888888889" style="446" customWidth="1"/>
    <col min="11489" max="11489" width="28.8611111111111" style="446" customWidth="1"/>
    <col min="11490" max="11490" width="9.42592592592593" style="446" customWidth="1"/>
    <col min="11491" max="11491" width="13" style="446" customWidth="1"/>
    <col min="11492" max="11492" width="8.13888888888889" style="446" customWidth="1"/>
    <col min="11493" max="11493" width="9.56481481481481" style="446" customWidth="1"/>
    <col min="11494" max="11494" width="6.42592592592593" style="446" customWidth="1"/>
    <col min="11495" max="11495" width="17" style="446" customWidth="1"/>
    <col min="11496" max="11497" width="11.5648148148148" style="446" hidden="1" customWidth="1"/>
    <col min="11498" max="11741" width="11.5648148148148" style="446"/>
    <col min="11742" max="11742" width="3" style="446" customWidth="1"/>
    <col min="11743" max="11743" width="7.71296296296296" style="446" customWidth="1"/>
    <col min="11744" max="11744" width="24.1388888888889" style="446" customWidth="1"/>
    <col min="11745" max="11745" width="28.8611111111111" style="446" customWidth="1"/>
    <col min="11746" max="11746" width="9.42592592592593" style="446" customWidth="1"/>
    <col min="11747" max="11747" width="13" style="446" customWidth="1"/>
    <col min="11748" max="11748" width="8.13888888888889" style="446" customWidth="1"/>
    <col min="11749" max="11749" width="9.56481481481481" style="446" customWidth="1"/>
    <col min="11750" max="11750" width="6.42592592592593" style="446" customWidth="1"/>
    <col min="11751" max="11751" width="17" style="446" customWidth="1"/>
    <col min="11752" max="11753" width="11.5648148148148" style="446" hidden="1" customWidth="1"/>
    <col min="11754" max="11997" width="11.5648148148148" style="446"/>
    <col min="11998" max="11998" width="3" style="446" customWidth="1"/>
    <col min="11999" max="11999" width="7.71296296296296" style="446" customWidth="1"/>
    <col min="12000" max="12000" width="24.1388888888889" style="446" customWidth="1"/>
    <col min="12001" max="12001" width="28.8611111111111" style="446" customWidth="1"/>
    <col min="12002" max="12002" width="9.42592592592593" style="446" customWidth="1"/>
    <col min="12003" max="12003" width="13" style="446" customWidth="1"/>
    <col min="12004" max="12004" width="8.13888888888889" style="446" customWidth="1"/>
    <col min="12005" max="12005" width="9.56481481481481" style="446" customWidth="1"/>
    <col min="12006" max="12006" width="6.42592592592593" style="446" customWidth="1"/>
    <col min="12007" max="12007" width="17" style="446" customWidth="1"/>
    <col min="12008" max="12009" width="11.5648148148148" style="446" hidden="1" customWidth="1"/>
    <col min="12010" max="12253" width="11.5648148148148" style="446"/>
    <col min="12254" max="12254" width="3" style="446" customWidth="1"/>
    <col min="12255" max="12255" width="7.71296296296296" style="446" customWidth="1"/>
    <col min="12256" max="12256" width="24.1388888888889" style="446" customWidth="1"/>
    <col min="12257" max="12257" width="28.8611111111111" style="446" customWidth="1"/>
    <col min="12258" max="12258" width="9.42592592592593" style="446" customWidth="1"/>
    <col min="12259" max="12259" width="13" style="446" customWidth="1"/>
    <col min="12260" max="12260" width="8.13888888888889" style="446" customWidth="1"/>
    <col min="12261" max="12261" width="9.56481481481481" style="446" customWidth="1"/>
    <col min="12262" max="12262" width="6.42592592592593" style="446" customWidth="1"/>
    <col min="12263" max="12263" width="17" style="446" customWidth="1"/>
    <col min="12264" max="12265" width="11.5648148148148" style="446" hidden="1" customWidth="1"/>
    <col min="12266" max="12509" width="11.5648148148148" style="446"/>
    <col min="12510" max="12510" width="3" style="446" customWidth="1"/>
    <col min="12511" max="12511" width="7.71296296296296" style="446" customWidth="1"/>
    <col min="12512" max="12512" width="24.1388888888889" style="446" customWidth="1"/>
    <col min="12513" max="12513" width="28.8611111111111" style="446" customWidth="1"/>
    <col min="12514" max="12514" width="9.42592592592593" style="446" customWidth="1"/>
    <col min="12515" max="12515" width="13" style="446" customWidth="1"/>
    <col min="12516" max="12516" width="8.13888888888889" style="446" customWidth="1"/>
    <col min="12517" max="12517" width="9.56481481481481" style="446" customWidth="1"/>
    <col min="12518" max="12518" width="6.42592592592593" style="446" customWidth="1"/>
    <col min="12519" max="12519" width="17" style="446" customWidth="1"/>
    <col min="12520" max="12521" width="11.5648148148148" style="446" hidden="1" customWidth="1"/>
    <col min="12522" max="12765" width="11.5648148148148" style="446"/>
    <col min="12766" max="12766" width="3" style="446" customWidth="1"/>
    <col min="12767" max="12767" width="7.71296296296296" style="446" customWidth="1"/>
    <col min="12768" max="12768" width="24.1388888888889" style="446" customWidth="1"/>
    <col min="12769" max="12769" width="28.8611111111111" style="446" customWidth="1"/>
    <col min="12770" max="12770" width="9.42592592592593" style="446" customWidth="1"/>
    <col min="12771" max="12771" width="13" style="446" customWidth="1"/>
    <col min="12772" max="12772" width="8.13888888888889" style="446" customWidth="1"/>
    <col min="12773" max="12773" width="9.56481481481481" style="446" customWidth="1"/>
    <col min="12774" max="12774" width="6.42592592592593" style="446" customWidth="1"/>
    <col min="12775" max="12775" width="17" style="446" customWidth="1"/>
    <col min="12776" max="12777" width="11.5648148148148" style="446" hidden="1" customWidth="1"/>
    <col min="12778" max="13021" width="11.5648148148148" style="446"/>
    <col min="13022" max="13022" width="3" style="446" customWidth="1"/>
    <col min="13023" max="13023" width="7.71296296296296" style="446" customWidth="1"/>
    <col min="13024" max="13024" width="24.1388888888889" style="446" customWidth="1"/>
    <col min="13025" max="13025" width="28.8611111111111" style="446" customWidth="1"/>
    <col min="13026" max="13026" width="9.42592592592593" style="446" customWidth="1"/>
    <col min="13027" max="13027" width="13" style="446" customWidth="1"/>
    <col min="13028" max="13028" width="8.13888888888889" style="446" customWidth="1"/>
    <col min="13029" max="13029" width="9.56481481481481" style="446" customWidth="1"/>
    <col min="13030" max="13030" width="6.42592592592593" style="446" customWidth="1"/>
    <col min="13031" max="13031" width="17" style="446" customWidth="1"/>
    <col min="13032" max="13033" width="11.5648148148148" style="446" hidden="1" customWidth="1"/>
    <col min="13034" max="13277" width="11.5648148148148" style="446"/>
    <col min="13278" max="13278" width="3" style="446" customWidth="1"/>
    <col min="13279" max="13279" width="7.71296296296296" style="446" customWidth="1"/>
    <col min="13280" max="13280" width="24.1388888888889" style="446" customWidth="1"/>
    <col min="13281" max="13281" width="28.8611111111111" style="446" customWidth="1"/>
    <col min="13282" max="13282" width="9.42592592592593" style="446" customWidth="1"/>
    <col min="13283" max="13283" width="13" style="446" customWidth="1"/>
    <col min="13284" max="13284" width="8.13888888888889" style="446" customWidth="1"/>
    <col min="13285" max="13285" width="9.56481481481481" style="446" customWidth="1"/>
    <col min="13286" max="13286" width="6.42592592592593" style="446" customWidth="1"/>
    <col min="13287" max="13287" width="17" style="446" customWidth="1"/>
    <col min="13288" max="13289" width="11.5648148148148" style="446" hidden="1" customWidth="1"/>
    <col min="13290" max="13533" width="11.5648148148148" style="446"/>
    <col min="13534" max="13534" width="3" style="446" customWidth="1"/>
    <col min="13535" max="13535" width="7.71296296296296" style="446" customWidth="1"/>
    <col min="13536" max="13536" width="24.1388888888889" style="446" customWidth="1"/>
    <col min="13537" max="13537" width="28.8611111111111" style="446" customWidth="1"/>
    <col min="13538" max="13538" width="9.42592592592593" style="446" customWidth="1"/>
    <col min="13539" max="13539" width="13" style="446" customWidth="1"/>
    <col min="13540" max="13540" width="8.13888888888889" style="446" customWidth="1"/>
    <col min="13541" max="13541" width="9.56481481481481" style="446" customWidth="1"/>
    <col min="13542" max="13542" width="6.42592592592593" style="446" customWidth="1"/>
    <col min="13543" max="13543" width="17" style="446" customWidth="1"/>
    <col min="13544" max="13545" width="11.5648148148148" style="446" hidden="1" customWidth="1"/>
    <col min="13546" max="13789" width="11.5648148148148" style="446"/>
    <col min="13790" max="13790" width="3" style="446" customWidth="1"/>
    <col min="13791" max="13791" width="7.71296296296296" style="446" customWidth="1"/>
    <col min="13792" max="13792" width="24.1388888888889" style="446" customWidth="1"/>
    <col min="13793" max="13793" width="28.8611111111111" style="446" customWidth="1"/>
    <col min="13794" max="13794" width="9.42592592592593" style="446" customWidth="1"/>
    <col min="13795" max="13795" width="13" style="446" customWidth="1"/>
    <col min="13796" max="13796" width="8.13888888888889" style="446" customWidth="1"/>
    <col min="13797" max="13797" width="9.56481481481481" style="446" customWidth="1"/>
    <col min="13798" max="13798" width="6.42592592592593" style="446" customWidth="1"/>
    <col min="13799" max="13799" width="17" style="446" customWidth="1"/>
    <col min="13800" max="13801" width="11.5648148148148" style="446" hidden="1" customWidth="1"/>
    <col min="13802" max="14045" width="11.5648148148148" style="446"/>
    <col min="14046" max="14046" width="3" style="446" customWidth="1"/>
    <col min="14047" max="14047" width="7.71296296296296" style="446" customWidth="1"/>
    <col min="14048" max="14048" width="24.1388888888889" style="446" customWidth="1"/>
    <col min="14049" max="14049" width="28.8611111111111" style="446" customWidth="1"/>
    <col min="14050" max="14050" width="9.42592592592593" style="446" customWidth="1"/>
    <col min="14051" max="14051" width="13" style="446" customWidth="1"/>
    <col min="14052" max="14052" width="8.13888888888889" style="446" customWidth="1"/>
    <col min="14053" max="14053" width="9.56481481481481" style="446" customWidth="1"/>
    <col min="14054" max="14054" width="6.42592592592593" style="446" customWidth="1"/>
    <col min="14055" max="14055" width="17" style="446" customWidth="1"/>
    <col min="14056" max="14057" width="11.5648148148148" style="446" hidden="1" customWidth="1"/>
    <col min="14058" max="14301" width="11.5648148148148" style="446"/>
    <col min="14302" max="14302" width="3" style="446" customWidth="1"/>
    <col min="14303" max="14303" width="7.71296296296296" style="446" customWidth="1"/>
    <col min="14304" max="14304" width="24.1388888888889" style="446" customWidth="1"/>
    <col min="14305" max="14305" width="28.8611111111111" style="446" customWidth="1"/>
    <col min="14306" max="14306" width="9.42592592592593" style="446" customWidth="1"/>
    <col min="14307" max="14307" width="13" style="446" customWidth="1"/>
    <col min="14308" max="14308" width="8.13888888888889" style="446" customWidth="1"/>
    <col min="14309" max="14309" width="9.56481481481481" style="446" customWidth="1"/>
    <col min="14310" max="14310" width="6.42592592592593" style="446" customWidth="1"/>
    <col min="14311" max="14311" width="17" style="446" customWidth="1"/>
    <col min="14312" max="14313" width="11.5648148148148" style="446" hidden="1" customWidth="1"/>
    <col min="14314" max="14557" width="11.5648148148148" style="446"/>
    <col min="14558" max="14558" width="3" style="446" customWidth="1"/>
    <col min="14559" max="14559" width="7.71296296296296" style="446" customWidth="1"/>
    <col min="14560" max="14560" width="24.1388888888889" style="446" customWidth="1"/>
    <col min="14561" max="14561" width="28.8611111111111" style="446" customWidth="1"/>
    <col min="14562" max="14562" width="9.42592592592593" style="446" customWidth="1"/>
    <col min="14563" max="14563" width="13" style="446" customWidth="1"/>
    <col min="14564" max="14564" width="8.13888888888889" style="446" customWidth="1"/>
    <col min="14565" max="14565" width="9.56481481481481" style="446" customWidth="1"/>
    <col min="14566" max="14566" width="6.42592592592593" style="446" customWidth="1"/>
    <col min="14567" max="14567" width="17" style="446" customWidth="1"/>
    <col min="14568" max="14569" width="11.5648148148148" style="446" hidden="1" customWidth="1"/>
    <col min="14570" max="14813" width="11.5648148148148" style="446"/>
    <col min="14814" max="14814" width="3" style="446" customWidth="1"/>
    <col min="14815" max="14815" width="7.71296296296296" style="446" customWidth="1"/>
    <col min="14816" max="14816" width="24.1388888888889" style="446" customWidth="1"/>
    <col min="14817" max="14817" width="28.8611111111111" style="446" customWidth="1"/>
    <col min="14818" max="14818" width="9.42592592592593" style="446" customWidth="1"/>
    <col min="14819" max="14819" width="13" style="446" customWidth="1"/>
    <col min="14820" max="14820" width="8.13888888888889" style="446" customWidth="1"/>
    <col min="14821" max="14821" width="9.56481481481481" style="446" customWidth="1"/>
    <col min="14822" max="14822" width="6.42592592592593" style="446" customWidth="1"/>
    <col min="14823" max="14823" width="17" style="446" customWidth="1"/>
    <col min="14824" max="14825" width="11.5648148148148" style="446" hidden="1" customWidth="1"/>
    <col min="14826" max="15069" width="11.5648148148148" style="446"/>
    <col min="15070" max="15070" width="3" style="446" customWidth="1"/>
    <col min="15071" max="15071" width="7.71296296296296" style="446" customWidth="1"/>
    <col min="15072" max="15072" width="24.1388888888889" style="446" customWidth="1"/>
    <col min="15073" max="15073" width="28.8611111111111" style="446" customWidth="1"/>
    <col min="15074" max="15074" width="9.42592592592593" style="446" customWidth="1"/>
    <col min="15075" max="15075" width="13" style="446" customWidth="1"/>
    <col min="15076" max="15076" width="8.13888888888889" style="446" customWidth="1"/>
    <col min="15077" max="15077" width="9.56481481481481" style="446" customWidth="1"/>
    <col min="15078" max="15078" width="6.42592592592593" style="446" customWidth="1"/>
    <col min="15079" max="15079" width="17" style="446" customWidth="1"/>
    <col min="15080" max="15081" width="11.5648148148148" style="446" hidden="1" customWidth="1"/>
    <col min="15082" max="15325" width="11.5648148148148" style="446"/>
    <col min="15326" max="15326" width="3" style="446" customWidth="1"/>
    <col min="15327" max="15327" width="7.71296296296296" style="446" customWidth="1"/>
    <col min="15328" max="15328" width="24.1388888888889" style="446" customWidth="1"/>
    <col min="15329" max="15329" width="28.8611111111111" style="446" customWidth="1"/>
    <col min="15330" max="15330" width="9.42592592592593" style="446" customWidth="1"/>
    <col min="15331" max="15331" width="13" style="446" customWidth="1"/>
    <col min="15332" max="15332" width="8.13888888888889" style="446" customWidth="1"/>
    <col min="15333" max="15333" width="9.56481481481481" style="446" customWidth="1"/>
    <col min="15334" max="15334" width="6.42592592592593" style="446" customWidth="1"/>
    <col min="15335" max="15335" width="17" style="446" customWidth="1"/>
    <col min="15336" max="15337" width="11.5648148148148" style="446" hidden="1" customWidth="1"/>
    <col min="15338" max="15581" width="11.5648148148148" style="446"/>
    <col min="15582" max="15582" width="3" style="446" customWidth="1"/>
    <col min="15583" max="15583" width="7.71296296296296" style="446" customWidth="1"/>
    <col min="15584" max="15584" width="24.1388888888889" style="446" customWidth="1"/>
    <col min="15585" max="15585" width="28.8611111111111" style="446" customWidth="1"/>
    <col min="15586" max="15586" width="9.42592592592593" style="446" customWidth="1"/>
    <col min="15587" max="15587" width="13" style="446" customWidth="1"/>
    <col min="15588" max="15588" width="8.13888888888889" style="446" customWidth="1"/>
    <col min="15589" max="15589" width="9.56481481481481" style="446" customWidth="1"/>
    <col min="15590" max="15590" width="6.42592592592593" style="446" customWidth="1"/>
    <col min="15591" max="15591" width="17" style="446" customWidth="1"/>
    <col min="15592" max="15593" width="11.5648148148148" style="446" hidden="1" customWidth="1"/>
    <col min="15594" max="15837" width="11.5648148148148" style="446"/>
    <col min="15838" max="15838" width="3" style="446" customWidth="1"/>
    <col min="15839" max="15839" width="7.71296296296296" style="446" customWidth="1"/>
    <col min="15840" max="15840" width="24.1388888888889" style="446" customWidth="1"/>
    <col min="15841" max="15841" width="28.8611111111111" style="446" customWidth="1"/>
    <col min="15842" max="15842" width="9.42592592592593" style="446" customWidth="1"/>
    <col min="15843" max="15843" width="13" style="446" customWidth="1"/>
    <col min="15844" max="15844" width="8.13888888888889" style="446" customWidth="1"/>
    <col min="15845" max="15845" width="9.56481481481481" style="446" customWidth="1"/>
    <col min="15846" max="15846" width="6.42592592592593" style="446" customWidth="1"/>
    <col min="15847" max="15847" width="17" style="446" customWidth="1"/>
    <col min="15848" max="15849" width="11.5648148148148" style="446" hidden="1" customWidth="1"/>
    <col min="15850" max="16093" width="11.5648148148148" style="446"/>
    <col min="16094" max="16094" width="3" style="446" customWidth="1"/>
    <col min="16095" max="16095" width="7.71296296296296" style="446" customWidth="1"/>
    <col min="16096" max="16096" width="24.1388888888889" style="446" customWidth="1"/>
    <col min="16097" max="16097" width="28.8611111111111" style="446" customWidth="1"/>
    <col min="16098" max="16098" width="9.42592592592593" style="446" customWidth="1"/>
    <col min="16099" max="16099" width="13" style="446" customWidth="1"/>
    <col min="16100" max="16100" width="8.13888888888889" style="446" customWidth="1"/>
    <col min="16101" max="16101" width="9.56481481481481" style="446" customWidth="1"/>
    <col min="16102" max="16102" width="6.42592592592593" style="446" customWidth="1"/>
    <col min="16103" max="16103" width="17" style="446" customWidth="1"/>
    <col min="16104" max="16105" width="11.5648148148148" style="446" hidden="1" customWidth="1"/>
    <col min="16106" max="16384" width="11.5648148148148" style="446"/>
  </cols>
  <sheetData>
    <row r="1" s="446" customFormat="1" ht="34.5" customHeight="1" spans="1:16">
      <c r="A1" s="454"/>
      <c r="B1" s="257" t="s">
        <v>0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ht="15" customHeight="1" spans="1:16">
      <c r="A2" s="454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</row>
    <row r="3" ht="18" customHeight="1" spans="1:16">
      <c r="A3" s="455"/>
      <c r="B3" s="456" t="s">
        <v>1</v>
      </c>
      <c r="C3" s="457"/>
      <c r="D3" s="457"/>
      <c r="E3" s="457"/>
      <c r="F3" s="457"/>
      <c r="G3" s="458"/>
      <c r="H3" s="459" t="s">
        <v>2</v>
      </c>
      <c r="I3" s="460"/>
      <c r="J3" s="457"/>
      <c r="K3" s="457"/>
      <c r="L3" s="457"/>
      <c r="M3" s="457"/>
      <c r="N3" s="458"/>
      <c r="O3" s="461"/>
      <c r="P3" s="462"/>
    </row>
    <row r="4" s="447" customFormat="1" ht="18" customHeight="1" spans="1:16">
      <c r="A4" s="463"/>
      <c r="B4" s="266" t="s">
        <v>3</v>
      </c>
      <c r="C4" s="267"/>
      <c r="D4" s="267"/>
      <c r="E4" s="267"/>
      <c r="F4" s="267"/>
      <c r="G4" s="267"/>
      <c r="H4" s="464" t="s">
        <v>4</v>
      </c>
      <c r="I4" s="465"/>
      <c r="J4" s="465"/>
      <c r="K4" s="465"/>
      <c r="L4" s="465"/>
      <c r="M4" s="466"/>
      <c r="N4" s="465" t="s">
        <v>5</v>
      </c>
      <c r="O4" s="467">
        <v>45194</v>
      </c>
      <c r="P4" s="468"/>
    </row>
    <row r="5" s="447" customFormat="1" ht="18" customHeight="1" spans="1:16">
      <c r="A5" s="469"/>
      <c r="B5" s="470" t="s">
        <v>6</v>
      </c>
      <c r="C5" s="469"/>
      <c r="D5" s="469"/>
      <c r="E5" s="469"/>
      <c r="F5" s="469"/>
      <c r="G5" s="469"/>
      <c r="H5" s="471" t="s">
        <v>7</v>
      </c>
      <c r="I5" s="472"/>
      <c r="J5" s="473"/>
      <c r="K5" s="473"/>
      <c r="L5" s="473"/>
      <c r="M5" s="474"/>
      <c r="N5" s="475"/>
      <c r="O5" s="476"/>
      <c r="P5" s="468"/>
    </row>
    <row r="6" spans="1:16">
      <c r="A6" s="477"/>
      <c r="B6" s="470" t="s">
        <v>8</v>
      </c>
      <c r="C6" s="469"/>
      <c r="D6" s="469"/>
      <c r="E6" s="469"/>
      <c r="F6" s="469"/>
      <c r="G6" s="469"/>
      <c r="H6" s="478" t="s">
        <v>9</v>
      </c>
      <c r="I6" s="455"/>
      <c r="J6" s="479"/>
      <c r="K6" s="479"/>
      <c r="L6" s="479"/>
      <c r="M6" s="479"/>
      <c r="N6" s="479"/>
      <c r="O6" s="480"/>
      <c r="P6" s="462"/>
    </row>
    <row r="7" ht="24" customHeight="1" spans="1:16">
      <c r="A7" s="481"/>
      <c r="B7" s="322" t="s">
        <v>10</v>
      </c>
      <c r="C7" s="323"/>
      <c r="D7" s="323"/>
      <c r="E7" s="323"/>
      <c r="F7" s="323"/>
      <c r="G7" s="323"/>
      <c r="H7" s="482" t="s">
        <v>7</v>
      </c>
      <c r="I7" s="483"/>
      <c r="J7" s="484"/>
      <c r="K7" s="484"/>
      <c r="L7" s="484"/>
      <c r="M7" s="484"/>
      <c r="N7" s="485"/>
      <c r="O7" s="486"/>
      <c r="P7" s="462"/>
    </row>
    <row r="8" ht="18" customHeight="1" spans="1:16">
      <c r="A8" s="455"/>
      <c r="B8" s="487" t="s">
        <v>11</v>
      </c>
      <c r="C8" s="479"/>
      <c r="D8" s="479"/>
      <c r="E8" s="479"/>
      <c r="F8" s="479"/>
      <c r="G8" s="479"/>
      <c r="H8" s="488" t="s">
        <v>12</v>
      </c>
      <c r="I8" s="455"/>
      <c r="J8" s="479"/>
      <c r="K8" s="479"/>
      <c r="L8" s="479"/>
      <c r="M8" s="479"/>
      <c r="N8" s="479"/>
      <c r="O8" s="480"/>
      <c r="P8" s="462"/>
    </row>
    <row r="9" ht="25.5" customHeight="1" spans="1:16">
      <c r="A9" s="489"/>
      <c r="B9" s="296" t="s">
        <v>13</v>
      </c>
      <c r="C9" s="490"/>
      <c r="D9" s="490"/>
      <c r="E9" s="490"/>
      <c r="F9" s="490"/>
      <c r="G9" s="490"/>
      <c r="H9" s="491" t="s">
        <v>7</v>
      </c>
      <c r="I9" s="453"/>
      <c r="J9" s="453"/>
      <c r="K9" s="453"/>
      <c r="L9" s="453"/>
      <c r="M9" s="453"/>
      <c r="N9" s="453"/>
      <c r="O9" s="492"/>
      <c r="P9" s="462"/>
    </row>
    <row r="10" ht="19" customHeight="1" spans="1:16">
      <c r="A10" s="489"/>
      <c r="B10" s="493" t="s">
        <v>14</v>
      </c>
      <c r="C10" s="490"/>
      <c r="D10" s="490"/>
      <c r="E10" s="490"/>
      <c r="F10" s="490"/>
      <c r="G10" s="490"/>
      <c r="H10" s="491"/>
      <c r="I10" s="453"/>
      <c r="J10" s="453"/>
      <c r="K10" s="453"/>
      <c r="L10" s="453"/>
      <c r="M10" s="453"/>
      <c r="N10" s="453"/>
      <c r="O10" s="492"/>
      <c r="P10" s="462"/>
    </row>
    <row r="11" spans="1:16">
      <c r="A11" s="481"/>
      <c r="B11" s="494" t="s">
        <v>15</v>
      </c>
      <c r="C11" s="306"/>
      <c r="D11" s="306"/>
      <c r="E11" s="306"/>
      <c r="F11" s="306"/>
      <c r="G11" s="306"/>
      <c r="H11" s="495" t="s">
        <v>7</v>
      </c>
      <c r="I11" s="496"/>
      <c r="J11" s="496"/>
      <c r="K11" s="496"/>
      <c r="L11" s="496"/>
      <c r="M11" s="497"/>
      <c r="N11" s="497"/>
      <c r="O11" s="498"/>
      <c r="P11" s="462"/>
    </row>
    <row r="12" ht="21" customHeight="1" spans="1:16">
      <c r="A12" s="481"/>
      <c r="B12" s="305" t="s">
        <v>16</v>
      </c>
      <c r="C12" s="306"/>
      <c r="D12" s="306"/>
      <c r="E12" s="306"/>
      <c r="F12" s="306"/>
      <c r="G12" s="306"/>
      <c r="H12" s="488" t="s">
        <v>17</v>
      </c>
      <c r="I12" s="455"/>
      <c r="J12" s="479"/>
      <c r="K12" s="479"/>
      <c r="L12" s="479"/>
      <c r="M12" s="453"/>
      <c r="N12" s="453"/>
      <c r="O12" s="492"/>
      <c r="P12" s="462"/>
    </row>
    <row r="13" ht="18" customHeight="1" spans="1:16">
      <c r="A13" s="481"/>
      <c r="B13" s="499"/>
      <c r="C13" s="306"/>
      <c r="D13" s="306"/>
      <c r="E13" s="306"/>
      <c r="F13" s="306"/>
      <c r="G13" s="306"/>
      <c r="H13" s="500" t="s">
        <v>18</v>
      </c>
      <c r="I13" s="501"/>
      <c r="J13" s="501"/>
      <c r="K13" s="501"/>
      <c r="L13" s="501"/>
      <c r="M13" s="501"/>
      <c r="N13" s="453"/>
      <c r="O13" s="492"/>
      <c r="P13" s="462"/>
    </row>
    <row r="14" ht="18" customHeight="1" spans="1:16">
      <c r="A14" s="455"/>
      <c r="B14" s="502" t="s">
        <v>19</v>
      </c>
      <c r="C14" s="503"/>
      <c r="D14" s="503"/>
      <c r="E14" s="503"/>
      <c r="F14" s="503"/>
      <c r="G14" s="504"/>
      <c r="H14" s="501" t="s">
        <v>20</v>
      </c>
      <c r="I14" s="501"/>
      <c r="J14" s="501"/>
      <c r="K14" s="501"/>
      <c r="L14" s="501"/>
      <c r="M14" s="505"/>
      <c r="N14" s="479"/>
      <c r="O14" s="480"/>
      <c r="P14" s="462"/>
    </row>
    <row r="15" s="447" customFormat="1" ht="18" customHeight="1" spans="1:16">
      <c r="A15" s="312"/>
      <c r="B15" s="493" t="s">
        <v>21</v>
      </c>
      <c r="C15" s="506"/>
      <c r="D15" s="506"/>
      <c r="E15" s="506"/>
      <c r="F15" s="506"/>
      <c r="G15" s="507"/>
      <c r="H15" s="508" t="s">
        <v>22</v>
      </c>
      <c r="I15" s="508"/>
      <c r="J15" s="508"/>
      <c r="K15" s="508"/>
      <c r="L15" s="508"/>
      <c r="M15" s="508"/>
      <c r="N15" s="509"/>
      <c r="O15" s="510"/>
      <c r="P15" s="468"/>
    </row>
    <row r="16" ht="18" customHeight="1" spans="1:16">
      <c r="A16" s="481"/>
      <c r="B16" s="511" t="s">
        <v>23</v>
      </c>
      <c r="C16" s="512"/>
      <c r="D16" s="512"/>
      <c r="E16" s="512"/>
      <c r="F16" s="512"/>
      <c r="G16" s="513"/>
      <c r="H16" s="514"/>
      <c r="I16" s="514"/>
      <c r="J16" s="514"/>
      <c r="K16" s="514"/>
      <c r="L16" s="514"/>
      <c r="M16" s="514"/>
      <c r="N16" s="509"/>
      <c r="O16" s="510"/>
      <c r="P16" s="462"/>
    </row>
    <row r="17" ht="18" customHeight="1" spans="1:16">
      <c r="A17" s="481"/>
      <c r="B17" s="511" t="s">
        <v>24</v>
      </c>
      <c r="C17" s="512"/>
      <c r="D17" s="512"/>
      <c r="E17" s="512"/>
      <c r="F17" s="512"/>
      <c r="G17" s="513"/>
      <c r="H17" s="515"/>
      <c r="I17" s="515"/>
      <c r="J17" s="516"/>
      <c r="K17" s="516"/>
      <c r="L17" s="516"/>
      <c r="M17" s="515"/>
      <c r="N17" s="509"/>
      <c r="O17" s="510"/>
      <c r="P17" s="462"/>
    </row>
    <row r="18" ht="18" customHeight="1" spans="1:16">
      <c r="A18" s="481"/>
      <c r="B18" s="511" t="s">
        <v>25</v>
      </c>
      <c r="C18" s="512"/>
      <c r="D18" s="512"/>
      <c r="E18" s="512"/>
      <c r="F18" s="512"/>
      <c r="G18" s="513"/>
      <c r="H18" s="515"/>
      <c r="I18" s="515"/>
      <c r="J18" s="516"/>
      <c r="K18" s="516"/>
      <c r="L18" s="516"/>
      <c r="M18" s="515"/>
      <c r="N18" s="509"/>
      <c r="O18" s="510"/>
      <c r="P18" s="462"/>
    </row>
    <row r="19" ht="18" customHeight="1" spans="1:16">
      <c r="A19" s="481"/>
      <c r="B19" s="511"/>
      <c r="C19" s="512"/>
      <c r="D19" s="512"/>
      <c r="E19" s="512"/>
      <c r="F19" s="512"/>
      <c r="G19" s="513"/>
      <c r="H19" s="515"/>
      <c r="I19" s="515"/>
      <c r="J19" s="516"/>
      <c r="K19" s="516"/>
      <c r="L19" s="516"/>
      <c r="M19" s="515"/>
      <c r="N19" s="509"/>
      <c r="O19" s="510"/>
      <c r="P19" s="462"/>
    </row>
    <row r="20" ht="18" customHeight="1" spans="1:16">
      <c r="A20" s="481"/>
      <c r="B20" s="517"/>
      <c r="C20" s="518"/>
      <c r="D20" s="518"/>
      <c r="E20" s="518"/>
      <c r="F20" s="518"/>
      <c r="G20" s="519"/>
      <c r="H20" s="515"/>
      <c r="I20" s="515"/>
      <c r="J20" s="515"/>
      <c r="K20" s="515"/>
      <c r="L20" s="515"/>
      <c r="M20" s="515"/>
      <c r="N20" s="509"/>
      <c r="O20" s="510"/>
      <c r="P20" s="462"/>
    </row>
    <row r="21" ht="18" hidden="1" customHeight="1" spans="1:16">
      <c r="A21" s="481"/>
      <c r="B21" s="487" t="s">
        <v>26</v>
      </c>
      <c r="C21" s="479"/>
      <c r="D21" s="479"/>
      <c r="E21" s="479"/>
      <c r="F21" s="479"/>
      <c r="G21" s="453"/>
      <c r="H21" s="520"/>
      <c r="I21" s="515"/>
      <c r="J21" s="515"/>
      <c r="K21" s="515"/>
      <c r="L21" s="515"/>
      <c r="M21" s="515"/>
      <c r="N21" s="509"/>
      <c r="O21" s="510"/>
      <c r="P21" s="462"/>
    </row>
    <row r="22" ht="18" hidden="1" customHeight="1" spans="1:16">
      <c r="A22" s="481"/>
      <c r="B22" s="521"/>
      <c r="C22" s="490"/>
      <c r="D22" s="490"/>
      <c r="E22" s="490"/>
      <c r="F22" s="490"/>
      <c r="G22" s="490"/>
      <c r="H22" s="520"/>
      <c r="I22" s="515"/>
      <c r="J22" s="515"/>
      <c r="K22" s="515"/>
      <c r="L22" s="515"/>
      <c r="M22" s="515"/>
      <c r="N22" s="515"/>
      <c r="O22" s="522"/>
      <c r="P22" s="462"/>
    </row>
    <row r="23" ht="18" hidden="1" customHeight="1" spans="1:16">
      <c r="A23" s="481"/>
      <c r="B23" s="305"/>
      <c r="C23" s="306"/>
      <c r="D23" s="306"/>
      <c r="E23" s="306"/>
      <c r="F23" s="306"/>
      <c r="G23" s="306"/>
      <c r="H23" s="523"/>
      <c r="I23" s="524"/>
      <c r="J23" s="515"/>
      <c r="K23" s="515"/>
      <c r="L23" s="515"/>
      <c r="M23" s="515"/>
      <c r="N23" s="515"/>
      <c r="O23" s="522"/>
      <c r="P23" s="462"/>
    </row>
    <row r="24" ht="18" hidden="1" customHeight="1" spans="1:16">
      <c r="A24" s="481"/>
      <c r="B24" s="305"/>
      <c r="C24" s="306"/>
      <c r="D24" s="306"/>
      <c r="E24" s="306"/>
      <c r="F24" s="306"/>
      <c r="G24" s="306"/>
      <c r="H24" s="525"/>
      <c r="I24" s="481"/>
      <c r="J24" s="481"/>
      <c r="K24" s="481"/>
      <c r="L24" s="481"/>
      <c r="M24" s="481"/>
      <c r="N24" s="481"/>
      <c r="O24" s="526"/>
      <c r="P24" s="462"/>
    </row>
    <row r="25" ht="18" hidden="1" customHeight="1" spans="1:16">
      <c r="A25" s="481"/>
      <c r="B25" s="527"/>
      <c r="C25" s="528"/>
      <c r="D25" s="528"/>
      <c r="E25" s="528"/>
      <c r="F25" s="528"/>
      <c r="G25" s="528"/>
      <c r="H25" s="529"/>
      <c r="I25" s="530"/>
      <c r="J25" s="515"/>
      <c r="K25" s="515"/>
      <c r="L25" s="515"/>
      <c r="M25" s="515"/>
      <c r="N25" s="515"/>
      <c r="O25" s="522"/>
      <c r="P25" s="462"/>
    </row>
    <row r="26" s="448" customFormat="1" ht="18" customHeight="1" spans="1:16">
      <c r="A26" s="455"/>
      <c r="B26" s="502" t="s">
        <v>27</v>
      </c>
      <c r="C26" s="504"/>
      <c r="D26" s="531"/>
      <c r="E26" s="531"/>
      <c r="F26" s="532"/>
      <c r="G26" s="531" t="s">
        <v>28</v>
      </c>
      <c r="H26" s="491"/>
      <c r="I26" s="453"/>
      <c r="J26" s="533" t="s">
        <v>29</v>
      </c>
      <c r="K26" s="533"/>
      <c r="L26" s="533"/>
      <c r="M26" s="453"/>
      <c r="N26" s="533"/>
      <c r="O26" s="534"/>
      <c r="P26" s="535"/>
    </row>
    <row r="27" ht="18" customHeight="1" spans="1:16">
      <c r="A27" s="536"/>
      <c r="B27" s="329" t="s">
        <v>30</v>
      </c>
      <c r="C27" s="331"/>
      <c r="D27" s="537"/>
      <c r="E27" s="330"/>
      <c r="F27" s="330"/>
      <c r="G27" s="537" t="s">
        <v>31</v>
      </c>
      <c r="H27" s="491"/>
      <c r="I27" s="453"/>
      <c r="J27" s="533" t="str">
        <f>N4</f>
        <v>Date: 2026/09/22</v>
      </c>
      <c r="K27" s="533"/>
      <c r="L27" s="533"/>
      <c r="M27" s="453"/>
      <c r="N27" s="533"/>
      <c r="O27" s="534"/>
      <c r="P27" s="462"/>
    </row>
    <row r="28" s="448" customFormat="1" ht="18" customHeight="1" spans="1:16">
      <c r="A28" s="455"/>
      <c r="B28" s="538" t="s">
        <v>32</v>
      </c>
      <c r="C28" s="539"/>
      <c r="D28" s="455" t="s">
        <v>33</v>
      </c>
      <c r="E28" s="455"/>
      <c r="F28" s="540"/>
      <c r="G28" s="455" t="s">
        <v>34</v>
      </c>
      <c r="H28" s="491"/>
      <c r="I28" s="453"/>
      <c r="J28" s="453"/>
      <c r="K28" s="453"/>
      <c r="L28" s="453"/>
      <c r="M28" s="479"/>
      <c r="N28" s="479"/>
      <c r="O28" s="480"/>
      <c r="P28" s="535"/>
    </row>
    <row r="29" ht="18" customHeight="1" spans="1:16">
      <c r="A29" s="541"/>
      <c r="B29" s="542"/>
      <c r="C29" s="543"/>
      <c r="D29" s="544"/>
      <c r="E29" s="545"/>
      <c r="F29" s="545"/>
      <c r="G29" s="546"/>
      <c r="H29" s="547"/>
      <c r="I29" s="548"/>
      <c r="J29" s="548"/>
      <c r="K29" s="548"/>
      <c r="L29" s="548"/>
      <c r="M29" s="548"/>
      <c r="N29" s="548"/>
      <c r="O29" s="549"/>
      <c r="P29" s="462"/>
    </row>
    <row r="30" s="449" customFormat="1" ht="48.95" customHeight="1" spans="1:16">
      <c r="A30" s="455"/>
      <c r="B30" s="487" t="s">
        <v>35</v>
      </c>
      <c r="C30" s="550"/>
      <c r="D30" s="550" t="s">
        <v>36</v>
      </c>
      <c r="E30" s="455"/>
      <c r="F30" s="551" t="s">
        <v>37</v>
      </c>
      <c r="G30" s="540" t="s">
        <v>38</v>
      </c>
      <c r="H30" s="552"/>
      <c r="I30" s="540"/>
      <c r="J30" s="553" t="s">
        <v>39</v>
      </c>
      <c r="K30" s="554"/>
      <c r="L30" s="554"/>
      <c r="M30" s="554"/>
      <c r="N30" s="555" t="s">
        <v>40</v>
      </c>
      <c r="O30" s="556" t="s">
        <v>41</v>
      </c>
      <c r="P30" s="487"/>
    </row>
    <row r="31" s="450" customFormat="1" ht="53.1" customHeight="1" spans="1:16">
      <c r="A31" s="557"/>
      <c r="B31" s="362"/>
      <c r="C31" s="364"/>
      <c r="D31" s="364"/>
      <c r="E31" s="363"/>
      <c r="F31" s="558"/>
      <c r="G31" s="559"/>
      <c r="H31" s="560"/>
      <c r="I31" s="560"/>
      <c r="J31" s="561" t="s">
        <v>42</v>
      </c>
      <c r="K31" s="562" t="s">
        <v>43</v>
      </c>
      <c r="L31" s="562" t="s">
        <v>44</v>
      </c>
      <c r="M31" s="563" t="s">
        <v>45</v>
      </c>
      <c r="N31" s="560"/>
      <c r="O31" s="564"/>
      <c r="P31" s="565"/>
    </row>
    <row r="32" s="450" customFormat="1" ht="13.8" spans="1:16">
      <c r="A32" s="557"/>
      <c r="B32" s="566" t="s">
        <v>46</v>
      </c>
      <c r="C32" s="567"/>
      <c r="D32" s="567"/>
      <c r="E32" s="568"/>
      <c r="F32" s="569"/>
      <c r="G32" s="559"/>
      <c r="H32" s="560"/>
      <c r="I32" s="557"/>
      <c r="J32" s="570"/>
      <c r="K32" s="570"/>
      <c r="L32" s="570"/>
      <c r="M32" s="571"/>
      <c r="N32" s="557"/>
      <c r="O32" s="564"/>
      <c r="P32" s="565"/>
    </row>
    <row r="33" s="450" customFormat="1" ht="16.5" customHeight="1" spans="1:16">
      <c r="A33" s="557" t="s">
        <v>7</v>
      </c>
      <c r="B33" s="566" t="s">
        <v>47</v>
      </c>
      <c r="C33" s="567"/>
      <c r="D33" s="567"/>
      <c r="E33" s="568"/>
      <c r="F33" s="569"/>
      <c r="G33" s="572"/>
      <c r="H33" s="573"/>
      <c r="I33" s="574"/>
      <c r="J33" s="575"/>
      <c r="K33" s="575"/>
      <c r="L33" s="575"/>
      <c r="M33" s="374"/>
      <c r="N33" s="576"/>
      <c r="O33" s="577"/>
      <c r="P33" s="565"/>
    </row>
    <row r="34" s="451" customFormat="1" ht="16.5" customHeight="1" spans="1:16">
      <c r="A34" s="578"/>
      <c r="B34" s="579"/>
      <c r="C34" s="580"/>
      <c r="D34" s="580"/>
      <c r="E34" s="581"/>
      <c r="F34" s="582"/>
      <c r="G34" s="583"/>
      <c r="H34" s="584"/>
      <c r="I34" s="585"/>
      <c r="J34" s="586"/>
      <c r="K34" s="586"/>
      <c r="L34" s="586"/>
      <c r="M34" s="587"/>
      <c r="N34" s="588"/>
      <c r="O34" s="589"/>
      <c r="P34" s="590"/>
    </row>
    <row r="35" s="451" customFormat="1" ht="67" customHeight="1" spans="1:16">
      <c r="A35" s="578"/>
      <c r="B35" s="579">
        <f>SUM('GDI-Total'!G14:G17)</f>
        <v>56</v>
      </c>
      <c r="C35" s="580"/>
      <c r="D35" s="591" t="s">
        <v>48</v>
      </c>
      <c r="E35" s="592" t="s">
        <v>49</v>
      </c>
      <c r="F35" s="593" t="s">
        <v>50</v>
      </c>
      <c r="G35" s="594" t="str">
        <f>'GDI-Total'!E14</f>
        <v>26S/1 60% BCI COTTON  40%POLYESTER  JERSEY (LACOSTE EDGE) 70/72“ 160GSM</v>
      </c>
      <c r="H35" s="382"/>
      <c r="I35" s="594" t="str">
        <f>'GDI-Total'!F14</f>
        <v>CALLA LILY DD 451  漂白</v>
      </c>
      <c r="J35" s="586">
        <f>SUM('GDI-Total'!H14:H17)</f>
        <v>1225.6</v>
      </c>
      <c r="K35" s="586">
        <f>SUM('GDI-Total'!I14:I17)</f>
        <v>4580.6</v>
      </c>
      <c r="L35" s="586">
        <f>SUM('GDI-Total'!J14:J17)</f>
        <v>2701.9</v>
      </c>
      <c r="M35" s="587">
        <f>K35*0.9144</f>
        <v>4188.50064</v>
      </c>
      <c r="N35" s="588">
        <v>1.99</v>
      </c>
      <c r="O35" s="589">
        <f>ROUND(L35*N35,2)</f>
        <v>5376.78</v>
      </c>
      <c r="P35" s="590"/>
    </row>
    <row r="36" s="451" customFormat="1" ht="67" customHeight="1" spans="1:16">
      <c r="A36" s="578"/>
      <c r="B36" s="579">
        <f>SUM('GDI-Total'!G18:G20)</f>
        <v>93</v>
      </c>
      <c r="C36" s="580"/>
      <c r="D36" s="591" t="s">
        <v>48</v>
      </c>
      <c r="E36" s="592" t="s">
        <v>49</v>
      </c>
      <c r="F36" s="593" t="s">
        <v>51</v>
      </c>
      <c r="G36" s="594" t="str">
        <f>'GDI-Total'!E18</f>
        <v>60% BETTER COTTON (BCI) 40% POLYESTER CONVENTIONAL  CVC 26S/1 JERSEY(LACOSTE EDGE) 70/72“ 160GSM</v>
      </c>
      <c r="H36" s="382"/>
      <c r="I36" s="594" t="str">
        <f>'GDI-Total'!F18</f>
        <v>CALLA LILY DD 451  漂白</v>
      </c>
      <c r="J36" s="586">
        <f>SUM('GDI-Total'!H18:H20)</f>
        <v>2053.1</v>
      </c>
      <c r="K36" s="586">
        <f>SUM('GDI-Total'!I18:I20)</f>
        <v>7673.7</v>
      </c>
      <c r="L36" s="586">
        <f>SUM('GDI-Total'!J18:J20)</f>
        <v>4526.14</v>
      </c>
      <c r="M36" s="587">
        <f t="shared" ref="M36:M47" si="0">K36*0.9144</f>
        <v>7016.83128</v>
      </c>
      <c r="N36" s="588">
        <v>1.99</v>
      </c>
      <c r="O36" s="589">
        <f t="shared" ref="O36:O47" si="1">ROUND(L36*N36,2)</f>
        <v>9007.02</v>
      </c>
      <c r="P36" s="590"/>
    </row>
    <row r="37" s="451" customFormat="1" ht="67" customHeight="1" spans="1:16">
      <c r="A37" s="578"/>
      <c r="B37" s="579">
        <f>'GDI-Total'!G21</f>
        <v>30</v>
      </c>
      <c r="C37" s="580"/>
      <c r="D37" s="591" t="s">
        <v>48</v>
      </c>
      <c r="E37" s="592" t="s">
        <v>49</v>
      </c>
      <c r="F37" s="593" t="s">
        <v>51</v>
      </c>
      <c r="G37" s="594" t="str">
        <f>'GDI-Total'!E21</f>
        <v>60% BETTER COTTON (BCI) 40% POLYESTER CONVENTIONAL  CVC 30S/1 JERSEY(LACOSTE EDGE) 69/71" 145GSM</v>
      </c>
      <c r="H37" s="382"/>
      <c r="I37" s="594" t="str">
        <f>'GDI-Total'!F21</f>
        <v>BLACK JACK DD 400 黑色</v>
      </c>
      <c r="J37" s="586">
        <f>'GDI-Total'!H21</f>
        <v>670.1</v>
      </c>
      <c r="K37" s="586">
        <f>'GDI-Total'!I21</f>
        <v>2802.2</v>
      </c>
      <c r="L37" s="586">
        <f>'GDI-Total'!J21</f>
        <v>1477.22</v>
      </c>
      <c r="M37" s="587">
        <f t="shared" si="0"/>
        <v>2562.33168</v>
      </c>
      <c r="N37" s="588">
        <v>1.99</v>
      </c>
      <c r="O37" s="589">
        <f t="shared" si="1"/>
        <v>2939.67</v>
      </c>
      <c r="P37" s="590"/>
    </row>
    <row r="38" s="451" customFormat="1" ht="67" customHeight="1" spans="1:16">
      <c r="A38" s="578"/>
      <c r="B38" s="579">
        <f>SUM('GDI-Total'!G22:G23)</f>
        <v>56</v>
      </c>
      <c r="C38" s="580"/>
      <c r="D38" s="591" t="s">
        <v>48</v>
      </c>
      <c r="E38" s="592" t="s">
        <v>49</v>
      </c>
      <c r="F38" s="593" t="s">
        <v>51</v>
      </c>
      <c r="G38" s="594" t="str">
        <f>'GDI-Total'!E22</f>
        <v>60% BETTER COTTON (BCI) 40% POLYESTER CONVENTIONAL  CVC 30S/1 JERSEY(LACOSTE EDGE) 69/71" 145GSM</v>
      </c>
      <c r="H38" s="382"/>
      <c r="I38" s="594" t="str">
        <f>'GDI-Total'!F22</f>
        <v>B25 FAUX HEATHER GREY (B25 PSD) B25单染涤</v>
      </c>
      <c r="J38" s="586">
        <f>SUM('GDI-Total'!H22:H23)</f>
        <v>1234.2</v>
      </c>
      <c r="K38" s="586">
        <f>SUM('GDI-Total'!I22:I23)</f>
        <v>5161.8</v>
      </c>
      <c r="L38" s="586">
        <f>SUM('GDI-Total'!J22:J23)</f>
        <v>2720.83</v>
      </c>
      <c r="M38" s="587">
        <f t="shared" si="0"/>
        <v>4719.94992</v>
      </c>
      <c r="N38" s="588">
        <v>1.99</v>
      </c>
      <c r="O38" s="589">
        <f t="shared" si="1"/>
        <v>5414.45</v>
      </c>
      <c r="P38" s="590"/>
    </row>
    <row r="39" s="451" customFormat="1" ht="67" customHeight="1" spans="1:16">
      <c r="A39" s="578"/>
      <c r="B39" s="579">
        <f>'GDI-Total'!G24</f>
        <v>39</v>
      </c>
      <c r="C39" s="580"/>
      <c r="D39" s="591" t="s">
        <v>48</v>
      </c>
      <c r="E39" s="592" t="s">
        <v>49</v>
      </c>
      <c r="F39" s="593" t="s">
        <v>51</v>
      </c>
      <c r="G39" s="594" t="str">
        <f>'GDI-Total'!E23</f>
        <v>60% BETTER COTTON (BCI) 40% POLYESTER CONVENTIONAL  CVC 30S/1 JERSEY(LACOSTE EDGE) 69/71" 145GSM</v>
      </c>
      <c r="H39" s="382"/>
      <c r="I39" s="594" t="str">
        <f>'GDI-Total'!F24</f>
        <v>MONET BLUE DD 744 油画蓝</v>
      </c>
      <c r="J39" s="586">
        <f>'GDI-Total'!H24</f>
        <v>860.3</v>
      </c>
      <c r="K39" s="586">
        <f>'GDI-Total'!I24</f>
        <v>3597.8</v>
      </c>
      <c r="L39" s="586">
        <f>'GDI-Total'!J24</f>
        <v>1896.59</v>
      </c>
      <c r="M39" s="587">
        <f t="shared" si="0"/>
        <v>3289.82832</v>
      </c>
      <c r="N39" s="588">
        <v>1.99</v>
      </c>
      <c r="O39" s="589">
        <f t="shared" si="1"/>
        <v>3774.21</v>
      </c>
      <c r="P39" s="590"/>
    </row>
    <row r="40" s="451" customFormat="1" ht="67" customHeight="1" spans="1:16">
      <c r="A40" s="578"/>
      <c r="B40" s="579">
        <f>'GDI-Total'!G25</f>
        <v>40</v>
      </c>
      <c r="C40" s="580"/>
      <c r="D40" s="591" t="s">
        <v>48</v>
      </c>
      <c r="E40" s="592" t="s">
        <v>49</v>
      </c>
      <c r="F40" s="593" t="s">
        <v>51</v>
      </c>
      <c r="G40" s="594" t="str">
        <f>'GDI-Total'!E24</f>
        <v>60% BETTER COTTON (BCI) 40% POLYESTER CONVENTIONAL  CVC 30S/1 JERSEY(LACOSTE EDGE) 69/71" 145GSM</v>
      </c>
      <c r="H40" s="382"/>
      <c r="I40" s="594" t="str">
        <f>'GDI-Total'!F25</f>
        <v>PLANT LIFE DD 978 翡翠绿</v>
      </c>
      <c r="J40" s="586">
        <f>'GDI-Total'!H25</f>
        <v>880.3</v>
      </c>
      <c r="K40" s="586">
        <f>'GDI-Total'!I25</f>
        <v>3681.8</v>
      </c>
      <c r="L40" s="586">
        <f>'GDI-Total'!J25</f>
        <v>1940.63</v>
      </c>
      <c r="M40" s="587">
        <f t="shared" si="0"/>
        <v>3366.63792</v>
      </c>
      <c r="N40" s="588">
        <v>1.99</v>
      </c>
      <c r="O40" s="589">
        <f t="shared" si="1"/>
        <v>3861.85</v>
      </c>
      <c r="P40" s="590"/>
    </row>
    <row r="41" s="451" customFormat="1" ht="67" customHeight="1" spans="1:16">
      <c r="A41" s="578"/>
      <c r="B41" s="579">
        <f>'GDI-Total'!G26</f>
        <v>29</v>
      </c>
      <c r="C41" s="580"/>
      <c r="D41" s="591" t="s">
        <v>48</v>
      </c>
      <c r="E41" s="592" t="s">
        <v>49</v>
      </c>
      <c r="F41" s="593" t="s">
        <v>51</v>
      </c>
      <c r="G41" s="594" t="str">
        <f>'GDI-Total'!E25</f>
        <v>60% BETTER COTTON (BCI) 40% POLYESTER CONVENTIONAL  CVC 30S/1 JERSEY(LACOSTE EDGE) 69/71" 145GSM</v>
      </c>
      <c r="H41" s="382"/>
      <c r="I41" s="594" t="str">
        <f>'GDI-Total'!F26</f>
        <v>WINE STAIN DD 853 酒红</v>
      </c>
      <c r="J41" s="586">
        <f>'GDI-Total'!H26</f>
        <v>631.9</v>
      </c>
      <c r="K41" s="586">
        <f>'GDI-Total'!I26</f>
        <v>2642.9</v>
      </c>
      <c r="L41" s="586">
        <f>'GDI-Total'!J26</f>
        <v>1393.07</v>
      </c>
      <c r="M41" s="587">
        <f t="shared" si="0"/>
        <v>2416.66776</v>
      </c>
      <c r="N41" s="588">
        <v>1.99</v>
      </c>
      <c r="O41" s="589">
        <f t="shared" si="1"/>
        <v>2772.21</v>
      </c>
      <c r="P41" s="590"/>
    </row>
    <row r="42" s="451" customFormat="1" ht="67" customHeight="1" spans="1:16">
      <c r="A42" s="578"/>
      <c r="B42" s="579">
        <f>SUM('GDI-Total'!G27:G29)</f>
        <v>41</v>
      </c>
      <c r="C42" s="580"/>
      <c r="D42" s="591" t="s">
        <v>48</v>
      </c>
      <c r="E42" s="592" t="s">
        <v>52</v>
      </c>
      <c r="F42" s="593" t="s">
        <v>53</v>
      </c>
      <c r="G42" s="594" t="str">
        <f>'GDI-Total'!E27</f>
        <v>60% BCI COTTON 40% RECYCLED POLYESTER 32S/1 JERSEY 69/71" 125GSM</v>
      </c>
      <c r="H42" s="382"/>
      <c r="I42" s="594" t="str">
        <f>'GDI-Total'!F27</f>
        <v>CLOUD COVER PSD 中灰色-单染涤</v>
      </c>
      <c r="J42" s="586">
        <f>SUM('GDI-Total'!H27:H29)</f>
        <v>897.4</v>
      </c>
      <c r="K42" s="586">
        <f>SUM('GDI-Total'!I27:I29)</f>
        <v>4353</v>
      </c>
      <c r="L42" s="586">
        <f>SUM('GDI-Total'!J27:J29)</f>
        <v>1978.37</v>
      </c>
      <c r="M42" s="587">
        <f t="shared" si="0"/>
        <v>3980.3832</v>
      </c>
      <c r="N42" s="588">
        <v>2.12</v>
      </c>
      <c r="O42" s="589">
        <f t="shared" si="1"/>
        <v>4194.14</v>
      </c>
      <c r="P42" s="590"/>
    </row>
    <row r="43" s="451" customFormat="1" ht="77" customHeight="1" spans="1:16">
      <c r="A43" s="578"/>
      <c r="B43" s="579">
        <f>SUM('GDI-Total'!G30:G31)</f>
        <v>47</v>
      </c>
      <c r="C43" s="580"/>
      <c r="D43" s="591" t="s">
        <v>48</v>
      </c>
      <c r="E43" s="592" t="s">
        <v>52</v>
      </c>
      <c r="F43" s="593" t="s">
        <v>54</v>
      </c>
      <c r="G43" s="594" t="str">
        <f>'GDI-Total'!E30</f>
        <v>60% BCI COTTON 40% RECYCLED POLYESTER 32S/1 JERSEY 69/71“ 125GSM</v>
      </c>
      <c r="H43" s="382"/>
      <c r="I43" s="594" t="str">
        <f>'GDI-Total'!F30</f>
        <v>BLACK JACK 400 黑色</v>
      </c>
      <c r="J43" s="586">
        <f>SUM('GDI-Total'!H30:H31)</f>
        <v>1021.8</v>
      </c>
      <c r="K43" s="586">
        <f>SUM('GDI-Total'!I30:I31)</f>
        <v>4957.1</v>
      </c>
      <c r="L43" s="586">
        <f>SUM('GDI-Total'!J30:J31)</f>
        <v>2252.64</v>
      </c>
      <c r="M43" s="587">
        <f t="shared" si="0"/>
        <v>4532.77224</v>
      </c>
      <c r="N43" s="588">
        <v>2.12</v>
      </c>
      <c r="O43" s="589">
        <f t="shared" si="1"/>
        <v>4775.6</v>
      </c>
      <c r="P43" s="590"/>
    </row>
    <row r="44" s="451" customFormat="1" ht="78" customHeight="1" spans="1:16">
      <c r="A44" s="578"/>
      <c r="B44" s="579">
        <f>SUM('GDI-Total'!G32:G32)</f>
        <v>7</v>
      </c>
      <c r="C44" s="580"/>
      <c r="D44" s="591" t="s">
        <v>48</v>
      </c>
      <c r="E44" s="592" t="s">
        <v>52</v>
      </c>
      <c r="F44" s="593" t="s">
        <v>55</v>
      </c>
      <c r="G44" s="594" t="str">
        <f>'GDI-Total'!E34</f>
        <v>60% BCI COTTON 40% RECYCLED POLYESTER 32S/1 JERSEY 69/71“ 125GSM</v>
      </c>
      <c r="H44" s="382"/>
      <c r="I44" s="594" t="str">
        <f>'GDI-Total'!F31</f>
        <v>BLACK JACK 400 黑色</v>
      </c>
      <c r="J44" s="586">
        <f>SUM('GDI-Total'!H32:H32)</f>
        <v>155.7</v>
      </c>
      <c r="K44" s="586">
        <f>SUM('GDI-Total'!I32:I32)</f>
        <v>755.3</v>
      </c>
      <c r="L44" s="586">
        <f>SUM('GDI-Total'!J32:J32)</f>
        <v>343.26</v>
      </c>
      <c r="M44" s="587">
        <f t="shared" si="0"/>
        <v>690.64632</v>
      </c>
      <c r="N44" s="588">
        <v>2.12</v>
      </c>
      <c r="O44" s="589">
        <f t="shared" si="1"/>
        <v>727.71</v>
      </c>
      <c r="P44" s="590"/>
    </row>
    <row r="45" s="451" customFormat="1" ht="78" customHeight="1" spans="1:16">
      <c r="A45" s="578"/>
      <c r="B45" s="579">
        <f>SUM('GDI-Total'!G33:G35)</f>
        <v>21</v>
      </c>
      <c r="C45" s="580"/>
      <c r="D45" s="591" t="s">
        <v>48</v>
      </c>
      <c r="E45" s="592" t="s">
        <v>52</v>
      </c>
      <c r="F45" s="593" t="s">
        <v>55</v>
      </c>
      <c r="G45" s="594" t="str">
        <f>'GDI-Total'!E33</f>
        <v>60% BCI COTTON 40% RECYCLED POLYESTER 32S/1 JERSEY 69/71“ 125GSM</v>
      </c>
      <c r="H45" s="382"/>
      <c r="I45" s="594" t="str">
        <f>'GDI-Total'!F35</f>
        <v>BLUSH HUE 257 粉红色</v>
      </c>
      <c r="J45" s="586">
        <f>SUM('GDI-Total'!H33:H35)</f>
        <v>452.2</v>
      </c>
      <c r="K45" s="586">
        <f>SUM('GDI-Total'!I33:I35)</f>
        <v>2193.7</v>
      </c>
      <c r="L45" s="586">
        <f>SUM('GDI-Total'!J33:J35)</f>
        <v>996.92</v>
      </c>
      <c r="M45" s="587">
        <f t="shared" si="0"/>
        <v>2005.91928</v>
      </c>
      <c r="N45" s="588">
        <v>2.12</v>
      </c>
      <c r="O45" s="589">
        <f t="shared" si="1"/>
        <v>2113.47</v>
      </c>
      <c r="P45" s="590"/>
    </row>
    <row r="46" s="451" customFormat="1" ht="78" customHeight="1" spans="1:16">
      <c r="A46" s="578"/>
      <c r="B46" s="579">
        <f>SUM('GDI-Total'!G36:G37)</f>
        <v>26</v>
      </c>
      <c r="C46" s="580"/>
      <c r="D46" s="591" t="s">
        <v>48</v>
      </c>
      <c r="E46" s="592" t="s">
        <v>52</v>
      </c>
      <c r="F46" s="593" t="s">
        <v>55</v>
      </c>
      <c r="G46" s="594" t="str">
        <f>'GDI-Total'!E37</f>
        <v>60% BCI COTTON 40% POLYESTER 32S/1 JERSEY(LACOSTE EDGE) 62/64" 145GSM</v>
      </c>
      <c r="H46" s="382"/>
      <c r="I46" s="594" t="str">
        <f>'GDI-Total'!F37</f>
        <v>CALLA LILY 451  漂白</v>
      </c>
      <c r="J46" s="586">
        <f>SUM('GDI-Total'!H36:H37)</f>
        <v>563.3</v>
      </c>
      <c r="K46" s="586">
        <f>SUM('GDI-Total'!I36:I37)</f>
        <v>2613.3</v>
      </c>
      <c r="L46" s="586">
        <f>SUM('GDI-Total'!J36:J37)</f>
        <v>1241.81</v>
      </c>
      <c r="M46" s="587">
        <f t="shared" si="0"/>
        <v>2389.60152</v>
      </c>
      <c r="N46" s="588">
        <v>2.12</v>
      </c>
      <c r="O46" s="589">
        <f t="shared" si="1"/>
        <v>2632.64</v>
      </c>
      <c r="P46" s="590"/>
    </row>
    <row r="47" s="451" customFormat="1" ht="78" customHeight="1" spans="1:16">
      <c r="A47" s="578"/>
      <c r="B47" s="579">
        <f>'GDI-Total'!G38</f>
        <v>4</v>
      </c>
      <c r="C47" s="580"/>
      <c r="D47" s="591" t="s">
        <v>48</v>
      </c>
      <c r="E47" s="592" t="s">
        <v>49</v>
      </c>
      <c r="F47" s="593" t="s">
        <v>56</v>
      </c>
      <c r="G47" s="594" t="str">
        <f>'GDI-Total'!E38</f>
        <v>60% BCI COTTON 40%POLYESTER 26S/1 JERSEY (LACOSTE EDGE) 70/72" 160GSM</v>
      </c>
      <c r="H47" s="382"/>
      <c r="I47" s="594" t="str">
        <f>'GDI-Total'!F38</f>
        <v>BLACK JACK 400 黑色</v>
      </c>
      <c r="J47" s="586">
        <f>'GDI-Total'!H38</f>
        <v>68.1</v>
      </c>
      <c r="K47" s="586">
        <f>'GDI-Total'!I38</f>
        <v>254.5</v>
      </c>
      <c r="L47" s="586">
        <f>'GDI-Total'!J38</f>
        <v>150.14</v>
      </c>
      <c r="M47" s="587">
        <f t="shared" si="0"/>
        <v>232.7148</v>
      </c>
      <c r="N47" s="588">
        <v>1.99</v>
      </c>
      <c r="O47" s="589">
        <f t="shared" si="1"/>
        <v>298.78</v>
      </c>
      <c r="P47" s="590"/>
    </row>
    <row r="48" s="451" customFormat="1" ht="18" customHeight="1" spans="1:16">
      <c r="A48" s="578"/>
      <c r="B48" s="579"/>
      <c r="C48" s="580"/>
      <c r="D48" s="591"/>
      <c r="E48" s="592"/>
      <c r="F48" s="593"/>
      <c r="G48" s="594"/>
      <c r="H48" s="382"/>
      <c r="I48" s="594"/>
      <c r="J48" s="586"/>
      <c r="K48" s="586"/>
      <c r="L48" s="586"/>
      <c r="M48" s="587"/>
      <c r="N48" s="588"/>
      <c r="O48" s="589"/>
      <c r="P48" s="590"/>
    </row>
    <row r="49" s="452" customFormat="1" ht="24.75" customHeight="1" spans="1:22">
      <c r="B49" s="595">
        <f>SUM(B35:C47)</f>
        <v>489</v>
      </c>
      <c r="C49" s="596"/>
      <c r="D49" s="597"/>
      <c r="E49" s="597"/>
      <c r="F49" s="597"/>
      <c r="G49" s="393" t="s">
        <v>57</v>
      </c>
      <c r="H49" s="394"/>
      <c r="I49" s="395"/>
      <c r="J49" s="598">
        <f>SUM(J35:J48)</f>
        <v>10714</v>
      </c>
      <c r="K49" s="598">
        <f>SUM(K35:K48)</f>
        <v>45267.7</v>
      </c>
      <c r="L49" s="598">
        <f>SUM(L35:L48)</f>
        <v>23619.52</v>
      </c>
      <c r="M49" s="598">
        <f>SUM(M35:M48)</f>
        <v>41392.78488</v>
      </c>
      <c r="N49" s="598"/>
      <c r="O49" s="599">
        <f>SUM(O35:O48)</f>
        <v>47888.53</v>
      </c>
      <c r="P49" s="600"/>
    </row>
    <row r="50" s="453" customFormat="1" spans="1:22">
      <c r="B50" s="601"/>
      <c r="C50" s="458"/>
      <c r="D50" s="458"/>
      <c r="E50" s="458"/>
      <c r="F50" s="458"/>
      <c r="G50" s="602"/>
      <c r="H50" s="602"/>
      <c r="I50" s="602"/>
      <c r="J50" s="406"/>
      <c r="K50" s="406"/>
      <c r="L50" s="406"/>
      <c r="M50" s="406"/>
      <c r="N50" s="603"/>
      <c r="O50" s="604"/>
      <c r="P50" s="462"/>
    </row>
    <row r="51" s="453" customFormat="1" ht="15" customHeight="1" spans="1:22">
      <c r="B51" s="605"/>
      <c r="G51" s="606"/>
      <c r="H51" s="606"/>
      <c r="I51" s="606"/>
      <c r="J51" s="607"/>
      <c r="K51" s="607"/>
      <c r="L51" s="607"/>
      <c r="M51" s="414"/>
      <c r="N51" s="608"/>
      <c r="O51" s="609"/>
      <c r="P51" s="462"/>
    </row>
    <row r="52" s="453" customFormat="1" ht="22" customHeight="1" spans="1:22">
      <c r="B52" s="605"/>
      <c r="G52" s="606"/>
      <c r="H52" s="606"/>
      <c r="I52" s="606"/>
      <c r="J52" s="607"/>
      <c r="K52" s="607"/>
      <c r="L52" s="607"/>
      <c r="M52" s="414"/>
      <c r="N52" s="608"/>
      <c r="O52" s="609"/>
      <c r="P52" s="462"/>
      <c r="R52" s="181" t="s">
        <v>58</v>
      </c>
      <c r="S52" s="181" t="s">
        <v>59</v>
      </c>
      <c r="T52" s="181" t="s">
        <v>60</v>
      </c>
      <c r="U52" s="181" t="s">
        <v>61</v>
      </c>
      <c r="V52" s="181" t="s">
        <v>62</v>
      </c>
    </row>
    <row r="53" s="453" customFormat="1" ht="22" customHeight="1" spans="1:22">
      <c r="B53" s="605"/>
      <c r="G53" s="610"/>
      <c r="H53" s="610"/>
      <c r="I53" s="610"/>
      <c r="J53" s="611"/>
      <c r="K53" s="611"/>
      <c r="L53" s="611"/>
      <c r="M53" s="611"/>
      <c r="N53" s="608"/>
      <c r="O53" s="609"/>
      <c r="P53" s="462"/>
      <c r="R53" s="181" t="b">
        <f>B49='GDI-Total'!G39</f>
        <v>1</v>
      </c>
      <c r="S53" s="181" t="b">
        <f>J49='GDI-Total'!H39</f>
        <v>1</v>
      </c>
      <c r="T53" s="181" t="b">
        <f>K49='GDI-Total'!I39</f>
        <v>1</v>
      </c>
      <c r="U53" s="181" t="b">
        <f>L49='GDI-Total'!J39</f>
        <v>1</v>
      </c>
      <c r="V53" s="181" t="b">
        <f>O49=SC!H42</f>
        <v>1</v>
      </c>
    </row>
    <row r="54" s="453" customFormat="1" spans="1:22">
      <c r="A54" s="453" t="s">
        <v>7</v>
      </c>
      <c r="B54" s="462"/>
      <c r="C54" s="453"/>
      <c r="D54" s="453"/>
      <c r="G54" s="418"/>
      <c r="J54" s="424"/>
      <c r="K54" s="424"/>
      <c r="L54" s="424"/>
      <c r="M54" s="612"/>
      <c r="N54" s="424"/>
      <c r="O54" s="613"/>
      <c r="P54" s="462"/>
    </row>
    <row r="55" spans="1:22">
      <c r="B55" s="605"/>
      <c r="C55" s="453"/>
      <c r="D55" s="453"/>
      <c r="E55" s="453"/>
      <c r="F55" s="453"/>
      <c r="G55" s="614"/>
      <c r="H55" s="453"/>
      <c r="I55" s="453"/>
      <c r="J55" s="615"/>
      <c r="K55" s="615"/>
      <c r="L55" s="615"/>
      <c r="M55" s="424"/>
      <c r="N55" s="424"/>
      <c r="O55" s="613"/>
      <c r="P55" s="462"/>
    </row>
    <row r="56" spans="1:22">
      <c r="B56" s="462"/>
      <c r="C56" s="453"/>
      <c r="D56" s="453"/>
      <c r="E56" s="453"/>
      <c r="F56" s="453"/>
      <c r="G56" s="453"/>
      <c r="H56" s="616"/>
      <c r="I56" s="616"/>
      <c r="J56" s="425"/>
      <c r="K56" s="425"/>
      <c r="L56" s="425"/>
      <c r="M56" s="424"/>
      <c r="N56" s="424"/>
      <c r="O56" s="613"/>
      <c r="P56" s="462"/>
    </row>
    <row r="57" spans="1:22">
      <c r="B57" s="462"/>
      <c r="C57" s="453"/>
      <c r="D57" s="453"/>
      <c r="E57" s="453"/>
      <c r="F57" s="453"/>
      <c r="G57" s="453"/>
      <c r="H57" s="616"/>
      <c r="I57" s="616"/>
      <c r="J57" s="617"/>
      <c r="K57" s="617"/>
      <c r="L57" s="617"/>
      <c r="M57" s="424"/>
      <c r="N57" s="424"/>
      <c r="O57" s="613"/>
      <c r="P57" s="462"/>
    </row>
    <row r="58" spans="1:22">
      <c r="B58" s="462"/>
      <c r="C58" s="453"/>
      <c r="D58" s="453"/>
      <c r="E58" s="453"/>
      <c r="F58" s="453"/>
      <c r="G58" s="618"/>
      <c r="H58" s="453"/>
      <c r="I58" s="453"/>
      <c r="J58" s="425"/>
      <c r="K58" s="425"/>
      <c r="L58" s="425"/>
      <c r="M58" s="612"/>
      <c r="N58" s="424"/>
      <c r="O58" s="613"/>
      <c r="P58" s="462"/>
    </row>
    <row r="59" spans="1:22">
      <c r="B59" s="619"/>
      <c r="C59" s="616"/>
      <c r="D59" s="616"/>
      <c r="E59" s="616"/>
      <c r="F59" s="616"/>
      <c r="G59" s="616"/>
      <c r="H59" s="453"/>
      <c r="I59" s="453"/>
      <c r="J59" s="620"/>
      <c r="K59" s="620"/>
      <c r="L59" s="620"/>
      <c r="M59" s="621"/>
      <c r="N59" s="424"/>
      <c r="O59" s="613"/>
      <c r="P59" s="462"/>
    </row>
    <row r="60" spans="1:22">
      <c r="B60" s="619"/>
      <c r="C60" s="616"/>
      <c r="D60" s="616"/>
      <c r="E60" s="616"/>
      <c r="F60" s="616"/>
      <c r="G60" s="453"/>
      <c r="H60" s="622"/>
      <c r="I60" s="622"/>
      <c r="J60" s="620"/>
      <c r="K60" s="620"/>
      <c r="L60" s="620"/>
      <c r="M60" s="623"/>
      <c r="N60" s="424"/>
      <c r="O60" s="613"/>
      <c r="P60" s="462"/>
    </row>
    <row r="61" ht="14.25" customHeight="1" spans="1:22">
      <c r="B61" s="619"/>
      <c r="C61" s="616"/>
      <c r="D61" s="616"/>
      <c r="E61" s="616"/>
      <c r="F61" s="616"/>
      <c r="G61" s="453"/>
      <c r="H61" s="453"/>
      <c r="I61" s="453"/>
      <c r="J61" s="624"/>
      <c r="K61" s="624"/>
      <c r="L61" s="624"/>
      <c r="M61" s="625"/>
      <c r="N61" s="424"/>
      <c r="O61" s="613"/>
      <c r="P61" s="462"/>
    </row>
    <row r="62" spans="1:22">
      <c r="B62" s="619"/>
      <c r="C62" s="616"/>
      <c r="D62" s="616"/>
      <c r="E62" s="616"/>
      <c r="F62" s="616"/>
      <c r="G62" s="453"/>
      <c r="H62" s="453"/>
      <c r="I62" s="453"/>
      <c r="J62" s="626"/>
      <c r="K62" s="626"/>
      <c r="L62" s="626"/>
      <c r="M62" s="246"/>
      <c r="N62" s="627"/>
      <c r="O62" s="628"/>
      <c r="P62" s="462"/>
    </row>
    <row r="63" spans="1:22">
      <c r="B63" s="619"/>
      <c r="C63" s="616"/>
      <c r="D63" s="616"/>
      <c r="E63" s="616"/>
      <c r="F63" s="616"/>
      <c r="G63" s="453"/>
      <c r="H63" s="453"/>
      <c r="I63" s="453"/>
      <c r="J63" s="626"/>
      <c r="K63" s="626"/>
      <c r="L63" s="626"/>
      <c r="M63" s="246"/>
      <c r="N63" s="627"/>
      <c r="O63" s="628"/>
      <c r="P63" s="462"/>
    </row>
    <row r="64" spans="1:22">
      <c r="B64" s="462"/>
      <c r="C64" s="453"/>
      <c r="D64" s="453"/>
      <c r="E64" s="453"/>
      <c r="F64" s="453"/>
      <c r="G64" s="629"/>
      <c r="H64" s="453"/>
      <c r="I64" s="453"/>
      <c r="J64" s="626"/>
      <c r="K64" s="626"/>
      <c r="L64" s="626"/>
      <c r="M64" s="630"/>
      <c r="N64" s="630"/>
      <c r="O64" s="631"/>
      <c r="P64" s="462"/>
    </row>
    <row r="65" ht="16.35" spans="2:16">
      <c r="B65" s="632"/>
      <c r="C65" s="548"/>
      <c r="D65" s="548"/>
      <c r="E65" s="548"/>
      <c r="F65" s="548"/>
      <c r="G65" s="633"/>
      <c r="H65" s="548"/>
      <c r="I65" s="548"/>
      <c r="J65" s="634"/>
      <c r="K65" s="634"/>
      <c r="L65" s="634"/>
      <c r="M65" s="635"/>
      <c r="N65" s="635"/>
      <c r="O65" s="636"/>
      <c r="P65" s="462"/>
    </row>
  </sheetData>
  <autoFilter xmlns:etc="http://www.wps.cn/officeDocument/2017/etCustomData" ref="A34:WUK54" etc:filterBottomFollowUsedRange="0">
    <extLst/>
  </autoFilter>
  <mergeCells count="65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G53:H53"/>
    <mergeCell ref="J53:M53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  <pageSetUpPr fitToPage="1"/>
  </sheetPr>
  <dimension ref="A1:W67"/>
  <sheetViews>
    <sheetView showGridLines="0" showZeros="0" view="pageBreakPreview" zoomScale="90" zoomScaleNormal="100" topLeftCell="A43" workbookViewId="0">
      <selection activeCell="N42" sqref="N42"/>
    </sheetView>
  </sheetViews>
  <sheetFormatPr defaultColWidth="11.5648148148148" defaultRowHeight="15.6"/>
  <cols>
    <col min="1" max="1" width="1" style="256" customWidth="1"/>
    <col min="2" max="2" width="7.71296296296296" style="256" customWidth="1"/>
    <col min="3" max="3" width="22.7037037037037" style="256" customWidth="1"/>
    <col min="4" max="5" width="12.3518518518519" style="256" customWidth="1"/>
    <col min="6" max="6" width="30.5925925925926" style="256" customWidth="1"/>
    <col min="7" max="7" width="30.7037037037037" style="256" customWidth="1"/>
    <col min="8" max="8" width="13.1388888888889" style="256" customWidth="1"/>
    <col min="9" max="9" width="15.962962962963" style="256" customWidth="1"/>
    <col min="10" max="10" width="11.5648148148148" style="256" customWidth="1"/>
    <col min="11" max="11" width="12.8518518518519" style="256" customWidth="1"/>
    <col min="12" max="13" width="11.5648148148148" style="256" customWidth="1"/>
    <col min="14" max="14" width="12.4259259259259" style="256" customWidth="1"/>
    <col min="15" max="15" width="12.1388888888889" style="256" customWidth="1"/>
    <col min="16" max="16" width="0.703703703703704" style="256" customWidth="1"/>
    <col min="17" max="22" width="9.84259259259259" style="256" customWidth="1"/>
    <col min="23" max="257" width="11.5648148148148" style="256"/>
    <col min="258" max="258" width="3" style="256" customWidth="1"/>
    <col min="259" max="259" width="7.71296296296296" style="256" customWidth="1"/>
    <col min="260" max="260" width="24.1388888888889" style="256" customWidth="1"/>
    <col min="261" max="261" width="28.8611111111111" style="256" customWidth="1"/>
    <col min="262" max="262" width="9.42592592592593" style="256" customWidth="1"/>
    <col min="263" max="263" width="13" style="256" customWidth="1"/>
    <col min="264" max="264" width="8.13888888888889" style="256" customWidth="1"/>
    <col min="265" max="265" width="9.56481481481481" style="256" customWidth="1"/>
    <col min="266" max="266" width="6.42592592592593" style="256" customWidth="1"/>
    <col min="267" max="267" width="17" style="256" customWidth="1"/>
    <col min="268" max="269" width="11.5648148148148" style="256" hidden="1" customWidth="1"/>
    <col min="270" max="513" width="11.5648148148148" style="256"/>
    <col min="514" max="514" width="3" style="256" customWidth="1"/>
    <col min="515" max="515" width="7.71296296296296" style="256" customWidth="1"/>
    <col min="516" max="516" width="24.1388888888889" style="256" customWidth="1"/>
    <col min="517" max="517" width="28.8611111111111" style="256" customWidth="1"/>
    <col min="518" max="518" width="9.42592592592593" style="256" customWidth="1"/>
    <col min="519" max="519" width="13" style="256" customWidth="1"/>
    <col min="520" max="520" width="8.13888888888889" style="256" customWidth="1"/>
    <col min="521" max="521" width="9.56481481481481" style="256" customWidth="1"/>
    <col min="522" max="522" width="6.42592592592593" style="256" customWidth="1"/>
    <col min="523" max="523" width="17" style="256" customWidth="1"/>
    <col min="524" max="525" width="11.5648148148148" style="256" hidden="1" customWidth="1"/>
    <col min="526" max="769" width="11.5648148148148" style="256"/>
    <col min="770" max="770" width="3" style="256" customWidth="1"/>
    <col min="771" max="771" width="7.71296296296296" style="256" customWidth="1"/>
    <col min="772" max="772" width="24.1388888888889" style="256" customWidth="1"/>
    <col min="773" max="773" width="28.8611111111111" style="256" customWidth="1"/>
    <col min="774" max="774" width="9.42592592592593" style="256" customWidth="1"/>
    <col min="775" max="775" width="13" style="256" customWidth="1"/>
    <col min="776" max="776" width="8.13888888888889" style="256" customWidth="1"/>
    <col min="777" max="777" width="9.56481481481481" style="256" customWidth="1"/>
    <col min="778" max="778" width="6.42592592592593" style="256" customWidth="1"/>
    <col min="779" max="779" width="17" style="256" customWidth="1"/>
    <col min="780" max="781" width="11.5648148148148" style="256" hidden="1" customWidth="1"/>
    <col min="782" max="1025" width="11.5648148148148" style="256"/>
    <col min="1026" max="1026" width="3" style="256" customWidth="1"/>
    <col min="1027" max="1027" width="7.71296296296296" style="256" customWidth="1"/>
    <col min="1028" max="1028" width="24.1388888888889" style="256" customWidth="1"/>
    <col min="1029" max="1029" width="28.8611111111111" style="256" customWidth="1"/>
    <col min="1030" max="1030" width="9.42592592592593" style="256" customWidth="1"/>
    <col min="1031" max="1031" width="13" style="256" customWidth="1"/>
    <col min="1032" max="1032" width="8.13888888888889" style="256" customWidth="1"/>
    <col min="1033" max="1033" width="9.56481481481481" style="256" customWidth="1"/>
    <col min="1034" max="1034" width="6.42592592592593" style="256" customWidth="1"/>
    <col min="1035" max="1035" width="17" style="256" customWidth="1"/>
    <col min="1036" max="1037" width="11.5648148148148" style="256" hidden="1" customWidth="1"/>
    <col min="1038" max="1281" width="11.5648148148148" style="256"/>
    <col min="1282" max="1282" width="3" style="256" customWidth="1"/>
    <col min="1283" max="1283" width="7.71296296296296" style="256" customWidth="1"/>
    <col min="1284" max="1284" width="24.1388888888889" style="256" customWidth="1"/>
    <col min="1285" max="1285" width="28.8611111111111" style="256" customWidth="1"/>
    <col min="1286" max="1286" width="9.42592592592593" style="256" customWidth="1"/>
    <col min="1287" max="1287" width="13" style="256" customWidth="1"/>
    <col min="1288" max="1288" width="8.13888888888889" style="256" customWidth="1"/>
    <col min="1289" max="1289" width="9.56481481481481" style="256" customWidth="1"/>
    <col min="1290" max="1290" width="6.42592592592593" style="256" customWidth="1"/>
    <col min="1291" max="1291" width="17" style="256" customWidth="1"/>
    <col min="1292" max="1293" width="11.5648148148148" style="256" hidden="1" customWidth="1"/>
    <col min="1294" max="1537" width="11.5648148148148" style="256"/>
    <col min="1538" max="1538" width="3" style="256" customWidth="1"/>
    <col min="1539" max="1539" width="7.71296296296296" style="256" customWidth="1"/>
    <col min="1540" max="1540" width="24.1388888888889" style="256" customWidth="1"/>
    <col min="1541" max="1541" width="28.8611111111111" style="256" customWidth="1"/>
    <col min="1542" max="1542" width="9.42592592592593" style="256" customWidth="1"/>
    <col min="1543" max="1543" width="13" style="256" customWidth="1"/>
    <col min="1544" max="1544" width="8.13888888888889" style="256" customWidth="1"/>
    <col min="1545" max="1545" width="9.56481481481481" style="256" customWidth="1"/>
    <col min="1546" max="1546" width="6.42592592592593" style="256" customWidth="1"/>
    <col min="1547" max="1547" width="17" style="256" customWidth="1"/>
    <col min="1548" max="1549" width="11.5648148148148" style="256" hidden="1" customWidth="1"/>
    <col min="1550" max="1793" width="11.5648148148148" style="256"/>
    <col min="1794" max="1794" width="3" style="256" customWidth="1"/>
    <col min="1795" max="1795" width="7.71296296296296" style="256" customWidth="1"/>
    <col min="1796" max="1796" width="24.1388888888889" style="256" customWidth="1"/>
    <col min="1797" max="1797" width="28.8611111111111" style="256" customWidth="1"/>
    <col min="1798" max="1798" width="9.42592592592593" style="256" customWidth="1"/>
    <col min="1799" max="1799" width="13" style="256" customWidth="1"/>
    <col min="1800" max="1800" width="8.13888888888889" style="256" customWidth="1"/>
    <col min="1801" max="1801" width="9.56481481481481" style="256" customWidth="1"/>
    <col min="1802" max="1802" width="6.42592592592593" style="256" customWidth="1"/>
    <col min="1803" max="1803" width="17" style="256" customWidth="1"/>
    <col min="1804" max="1805" width="11.5648148148148" style="256" hidden="1" customWidth="1"/>
    <col min="1806" max="2049" width="11.5648148148148" style="256"/>
    <col min="2050" max="2050" width="3" style="256" customWidth="1"/>
    <col min="2051" max="2051" width="7.71296296296296" style="256" customWidth="1"/>
    <col min="2052" max="2052" width="24.1388888888889" style="256" customWidth="1"/>
    <col min="2053" max="2053" width="28.8611111111111" style="256" customWidth="1"/>
    <col min="2054" max="2054" width="9.42592592592593" style="256" customWidth="1"/>
    <col min="2055" max="2055" width="13" style="256" customWidth="1"/>
    <col min="2056" max="2056" width="8.13888888888889" style="256" customWidth="1"/>
    <col min="2057" max="2057" width="9.56481481481481" style="256" customWidth="1"/>
    <col min="2058" max="2058" width="6.42592592592593" style="256" customWidth="1"/>
    <col min="2059" max="2059" width="17" style="256" customWidth="1"/>
    <col min="2060" max="2061" width="11.5648148148148" style="256" hidden="1" customWidth="1"/>
    <col min="2062" max="2305" width="11.5648148148148" style="256"/>
    <col min="2306" max="2306" width="3" style="256" customWidth="1"/>
    <col min="2307" max="2307" width="7.71296296296296" style="256" customWidth="1"/>
    <col min="2308" max="2308" width="24.1388888888889" style="256" customWidth="1"/>
    <col min="2309" max="2309" width="28.8611111111111" style="256" customWidth="1"/>
    <col min="2310" max="2310" width="9.42592592592593" style="256" customWidth="1"/>
    <col min="2311" max="2311" width="13" style="256" customWidth="1"/>
    <col min="2312" max="2312" width="8.13888888888889" style="256" customWidth="1"/>
    <col min="2313" max="2313" width="9.56481481481481" style="256" customWidth="1"/>
    <col min="2314" max="2314" width="6.42592592592593" style="256" customWidth="1"/>
    <col min="2315" max="2315" width="17" style="256" customWidth="1"/>
    <col min="2316" max="2317" width="11.5648148148148" style="256" hidden="1" customWidth="1"/>
    <col min="2318" max="2561" width="11.5648148148148" style="256"/>
    <col min="2562" max="2562" width="3" style="256" customWidth="1"/>
    <col min="2563" max="2563" width="7.71296296296296" style="256" customWidth="1"/>
    <col min="2564" max="2564" width="24.1388888888889" style="256" customWidth="1"/>
    <col min="2565" max="2565" width="28.8611111111111" style="256" customWidth="1"/>
    <col min="2566" max="2566" width="9.42592592592593" style="256" customWidth="1"/>
    <col min="2567" max="2567" width="13" style="256" customWidth="1"/>
    <col min="2568" max="2568" width="8.13888888888889" style="256" customWidth="1"/>
    <col min="2569" max="2569" width="9.56481481481481" style="256" customWidth="1"/>
    <col min="2570" max="2570" width="6.42592592592593" style="256" customWidth="1"/>
    <col min="2571" max="2571" width="17" style="256" customWidth="1"/>
    <col min="2572" max="2573" width="11.5648148148148" style="256" hidden="1" customWidth="1"/>
    <col min="2574" max="2817" width="11.5648148148148" style="256"/>
    <col min="2818" max="2818" width="3" style="256" customWidth="1"/>
    <col min="2819" max="2819" width="7.71296296296296" style="256" customWidth="1"/>
    <col min="2820" max="2820" width="24.1388888888889" style="256" customWidth="1"/>
    <col min="2821" max="2821" width="28.8611111111111" style="256" customWidth="1"/>
    <col min="2822" max="2822" width="9.42592592592593" style="256" customWidth="1"/>
    <col min="2823" max="2823" width="13" style="256" customWidth="1"/>
    <col min="2824" max="2824" width="8.13888888888889" style="256" customWidth="1"/>
    <col min="2825" max="2825" width="9.56481481481481" style="256" customWidth="1"/>
    <col min="2826" max="2826" width="6.42592592592593" style="256" customWidth="1"/>
    <col min="2827" max="2827" width="17" style="256" customWidth="1"/>
    <col min="2828" max="2829" width="11.5648148148148" style="256" hidden="1" customWidth="1"/>
    <col min="2830" max="3073" width="11.5648148148148" style="256"/>
    <col min="3074" max="3074" width="3" style="256" customWidth="1"/>
    <col min="3075" max="3075" width="7.71296296296296" style="256" customWidth="1"/>
    <col min="3076" max="3076" width="24.1388888888889" style="256" customWidth="1"/>
    <col min="3077" max="3077" width="28.8611111111111" style="256" customWidth="1"/>
    <col min="3078" max="3078" width="9.42592592592593" style="256" customWidth="1"/>
    <col min="3079" max="3079" width="13" style="256" customWidth="1"/>
    <col min="3080" max="3080" width="8.13888888888889" style="256" customWidth="1"/>
    <col min="3081" max="3081" width="9.56481481481481" style="256" customWidth="1"/>
    <col min="3082" max="3082" width="6.42592592592593" style="256" customWidth="1"/>
    <col min="3083" max="3083" width="17" style="256" customWidth="1"/>
    <col min="3084" max="3085" width="11.5648148148148" style="256" hidden="1" customWidth="1"/>
    <col min="3086" max="3329" width="11.5648148148148" style="256"/>
    <col min="3330" max="3330" width="3" style="256" customWidth="1"/>
    <col min="3331" max="3331" width="7.71296296296296" style="256" customWidth="1"/>
    <col min="3332" max="3332" width="24.1388888888889" style="256" customWidth="1"/>
    <col min="3333" max="3333" width="28.8611111111111" style="256" customWidth="1"/>
    <col min="3334" max="3334" width="9.42592592592593" style="256" customWidth="1"/>
    <col min="3335" max="3335" width="13" style="256" customWidth="1"/>
    <col min="3336" max="3336" width="8.13888888888889" style="256" customWidth="1"/>
    <col min="3337" max="3337" width="9.56481481481481" style="256" customWidth="1"/>
    <col min="3338" max="3338" width="6.42592592592593" style="256" customWidth="1"/>
    <col min="3339" max="3339" width="17" style="256" customWidth="1"/>
    <col min="3340" max="3341" width="11.5648148148148" style="256" hidden="1" customWidth="1"/>
    <col min="3342" max="3585" width="11.5648148148148" style="256"/>
    <col min="3586" max="3586" width="3" style="256" customWidth="1"/>
    <col min="3587" max="3587" width="7.71296296296296" style="256" customWidth="1"/>
    <col min="3588" max="3588" width="24.1388888888889" style="256" customWidth="1"/>
    <col min="3589" max="3589" width="28.8611111111111" style="256" customWidth="1"/>
    <col min="3590" max="3590" width="9.42592592592593" style="256" customWidth="1"/>
    <col min="3591" max="3591" width="13" style="256" customWidth="1"/>
    <col min="3592" max="3592" width="8.13888888888889" style="256" customWidth="1"/>
    <col min="3593" max="3593" width="9.56481481481481" style="256" customWidth="1"/>
    <col min="3594" max="3594" width="6.42592592592593" style="256" customWidth="1"/>
    <col min="3595" max="3595" width="17" style="256" customWidth="1"/>
    <col min="3596" max="3597" width="11.5648148148148" style="256" hidden="1" customWidth="1"/>
    <col min="3598" max="3841" width="11.5648148148148" style="256"/>
    <col min="3842" max="3842" width="3" style="256" customWidth="1"/>
    <col min="3843" max="3843" width="7.71296296296296" style="256" customWidth="1"/>
    <col min="3844" max="3844" width="24.1388888888889" style="256" customWidth="1"/>
    <col min="3845" max="3845" width="28.8611111111111" style="256" customWidth="1"/>
    <col min="3846" max="3846" width="9.42592592592593" style="256" customWidth="1"/>
    <col min="3847" max="3847" width="13" style="256" customWidth="1"/>
    <col min="3848" max="3848" width="8.13888888888889" style="256" customWidth="1"/>
    <col min="3849" max="3849" width="9.56481481481481" style="256" customWidth="1"/>
    <col min="3850" max="3850" width="6.42592592592593" style="256" customWidth="1"/>
    <col min="3851" max="3851" width="17" style="256" customWidth="1"/>
    <col min="3852" max="3853" width="11.5648148148148" style="256" hidden="1" customWidth="1"/>
    <col min="3854" max="4097" width="11.5648148148148" style="256"/>
    <col min="4098" max="4098" width="3" style="256" customWidth="1"/>
    <col min="4099" max="4099" width="7.71296296296296" style="256" customWidth="1"/>
    <col min="4100" max="4100" width="24.1388888888889" style="256" customWidth="1"/>
    <col min="4101" max="4101" width="28.8611111111111" style="256" customWidth="1"/>
    <col min="4102" max="4102" width="9.42592592592593" style="256" customWidth="1"/>
    <col min="4103" max="4103" width="13" style="256" customWidth="1"/>
    <col min="4104" max="4104" width="8.13888888888889" style="256" customWidth="1"/>
    <col min="4105" max="4105" width="9.56481481481481" style="256" customWidth="1"/>
    <col min="4106" max="4106" width="6.42592592592593" style="256" customWidth="1"/>
    <col min="4107" max="4107" width="17" style="256" customWidth="1"/>
    <col min="4108" max="4109" width="11.5648148148148" style="256" hidden="1" customWidth="1"/>
    <col min="4110" max="4353" width="11.5648148148148" style="256"/>
    <col min="4354" max="4354" width="3" style="256" customWidth="1"/>
    <col min="4355" max="4355" width="7.71296296296296" style="256" customWidth="1"/>
    <col min="4356" max="4356" width="24.1388888888889" style="256" customWidth="1"/>
    <col min="4357" max="4357" width="28.8611111111111" style="256" customWidth="1"/>
    <col min="4358" max="4358" width="9.42592592592593" style="256" customWidth="1"/>
    <col min="4359" max="4359" width="13" style="256" customWidth="1"/>
    <col min="4360" max="4360" width="8.13888888888889" style="256" customWidth="1"/>
    <col min="4361" max="4361" width="9.56481481481481" style="256" customWidth="1"/>
    <col min="4362" max="4362" width="6.42592592592593" style="256" customWidth="1"/>
    <col min="4363" max="4363" width="17" style="256" customWidth="1"/>
    <col min="4364" max="4365" width="11.5648148148148" style="256" hidden="1" customWidth="1"/>
    <col min="4366" max="4609" width="11.5648148148148" style="256"/>
    <col min="4610" max="4610" width="3" style="256" customWidth="1"/>
    <col min="4611" max="4611" width="7.71296296296296" style="256" customWidth="1"/>
    <col min="4612" max="4612" width="24.1388888888889" style="256" customWidth="1"/>
    <col min="4613" max="4613" width="28.8611111111111" style="256" customWidth="1"/>
    <col min="4614" max="4614" width="9.42592592592593" style="256" customWidth="1"/>
    <col min="4615" max="4615" width="13" style="256" customWidth="1"/>
    <col min="4616" max="4616" width="8.13888888888889" style="256" customWidth="1"/>
    <col min="4617" max="4617" width="9.56481481481481" style="256" customWidth="1"/>
    <col min="4618" max="4618" width="6.42592592592593" style="256" customWidth="1"/>
    <col min="4619" max="4619" width="17" style="256" customWidth="1"/>
    <col min="4620" max="4621" width="11.5648148148148" style="256" hidden="1" customWidth="1"/>
    <col min="4622" max="4865" width="11.5648148148148" style="256"/>
    <col min="4866" max="4866" width="3" style="256" customWidth="1"/>
    <col min="4867" max="4867" width="7.71296296296296" style="256" customWidth="1"/>
    <col min="4868" max="4868" width="24.1388888888889" style="256" customWidth="1"/>
    <col min="4869" max="4869" width="28.8611111111111" style="256" customWidth="1"/>
    <col min="4870" max="4870" width="9.42592592592593" style="256" customWidth="1"/>
    <col min="4871" max="4871" width="13" style="256" customWidth="1"/>
    <col min="4872" max="4872" width="8.13888888888889" style="256" customWidth="1"/>
    <col min="4873" max="4873" width="9.56481481481481" style="256" customWidth="1"/>
    <col min="4874" max="4874" width="6.42592592592593" style="256" customWidth="1"/>
    <col min="4875" max="4875" width="17" style="256" customWidth="1"/>
    <col min="4876" max="4877" width="11.5648148148148" style="256" hidden="1" customWidth="1"/>
    <col min="4878" max="5121" width="11.5648148148148" style="256"/>
    <col min="5122" max="5122" width="3" style="256" customWidth="1"/>
    <col min="5123" max="5123" width="7.71296296296296" style="256" customWidth="1"/>
    <col min="5124" max="5124" width="24.1388888888889" style="256" customWidth="1"/>
    <col min="5125" max="5125" width="28.8611111111111" style="256" customWidth="1"/>
    <col min="5126" max="5126" width="9.42592592592593" style="256" customWidth="1"/>
    <col min="5127" max="5127" width="13" style="256" customWidth="1"/>
    <col min="5128" max="5128" width="8.13888888888889" style="256" customWidth="1"/>
    <col min="5129" max="5129" width="9.56481481481481" style="256" customWidth="1"/>
    <col min="5130" max="5130" width="6.42592592592593" style="256" customWidth="1"/>
    <col min="5131" max="5131" width="17" style="256" customWidth="1"/>
    <col min="5132" max="5133" width="11.5648148148148" style="256" hidden="1" customWidth="1"/>
    <col min="5134" max="5377" width="11.5648148148148" style="256"/>
    <col min="5378" max="5378" width="3" style="256" customWidth="1"/>
    <col min="5379" max="5379" width="7.71296296296296" style="256" customWidth="1"/>
    <col min="5380" max="5380" width="24.1388888888889" style="256" customWidth="1"/>
    <col min="5381" max="5381" width="28.8611111111111" style="256" customWidth="1"/>
    <col min="5382" max="5382" width="9.42592592592593" style="256" customWidth="1"/>
    <col min="5383" max="5383" width="13" style="256" customWidth="1"/>
    <col min="5384" max="5384" width="8.13888888888889" style="256" customWidth="1"/>
    <col min="5385" max="5385" width="9.56481481481481" style="256" customWidth="1"/>
    <col min="5386" max="5386" width="6.42592592592593" style="256" customWidth="1"/>
    <col min="5387" max="5387" width="17" style="256" customWidth="1"/>
    <col min="5388" max="5389" width="11.5648148148148" style="256" hidden="1" customWidth="1"/>
    <col min="5390" max="5633" width="11.5648148148148" style="256"/>
    <col min="5634" max="5634" width="3" style="256" customWidth="1"/>
    <col min="5635" max="5635" width="7.71296296296296" style="256" customWidth="1"/>
    <col min="5636" max="5636" width="24.1388888888889" style="256" customWidth="1"/>
    <col min="5637" max="5637" width="28.8611111111111" style="256" customWidth="1"/>
    <col min="5638" max="5638" width="9.42592592592593" style="256" customWidth="1"/>
    <col min="5639" max="5639" width="13" style="256" customWidth="1"/>
    <col min="5640" max="5640" width="8.13888888888889" style="256" customWidth="1"/>
    <col min="5641" max="5641" width="9.56481481481481" style="256" customWidth="1"/>
    <col min="5642" max="5642" width="6.42592592592593" style="256" customWidth="1"/>
    <col min="5643" max="5643" width="17" style="256" customWidth="1"/>
    <col min="5644" max="5645" width="11.5648148148148" style="256" hidden="1" customWidth="1"/>
    <col min="5646" max="5889" width="11.5648148148148" style="256"/>
    <col min="5890" max="5890" width="3" style="256" customWidth="1"/>
    <col min="5891" max="5891" width="7.71296296296296" style="256" customWidth="1"/>
    <col min="5892" max="5892" width="24.1388888888889" style="256" customWidth="1"/>
    <col min="5893" max="5893" width="28.8611111111111" style="256" customWidth="1"/>
    <col min="5894" max="5894" width="9.42592592592593" style="256" customWidth="1"/>
    <col min="5895" max="5895" width="13" style="256" customWidth="1"/>
    <col min="5896" max="5896" width="8.13888888888889" style="256" customWidth="1"/>
    <col min="5897" max="5897" width="9.56481481481481" style="256" customWidth="1"/>
    <col min="5898" max="5898" width="6.42592592592593" style="256" customWidth="1"/>
    <col min="5899" max="5899" width="17" style="256" customWidth="1"/>
    <col min="5900" max="5901" width="11.5648148148148" style="256" hidden="1" customWidth="1"/>
    <col min="5902" max="6145" width="11.5648148148148" style="256"/>
    <col min="6146" max="6146" width="3" style="256" customWidth="1"/>
    <col min="6147" max="6147" width="7.71296296296296" style="256" customWidth="1"/>
    <col min="6148" max="6148" width="24.1388888888889" style="256" customWidth="1"/>
    <col min="6149" max="6149" width="28.8611111111111" style="256" customWidth="1"/>
    <col min="6150" max="6150" width="9.42592592592593" style="256" customWidth="1"/>
    <col min="6151" max="6151" width="13" style="256" customWidth="1"/>
    <col min="6152" max="6152" width="8.13888888888889" style="256" customWidth="1"/>
    <col min="6153" max="6153" width="9.56481481481481" style="256" customWidth="1"/>
    <col min="6154" max="6154" width="6.42592592592593" style="256" customWidth="1"/>
    <col min="6155" max="6155" width="17" style="256" customWidth="1"/>
    <col min="6156" max="6157" width="11.5648148148148" style="256" hidden="1" customWidth="1"/>
    <col min="6158" max="6401" width="11.5648148148148" style="256"/>
    <col min="6402" max="6402" width="3" style="256" customWidth="1"/>
    <col min="6403" max="6403" width="7.71296296296296" style="256" customWidth="1"/>
    <col min="6404" max="6404" width="24.1388888888889" style="256" customWidth="1"/>
    <col min="6405" max="6405" width="28.8611111111111" style="256" customWidth="1"/>
    <col min="6406" max="6406" width="9.42592592592593" style="256" customWidth="1"/>
    <col min="6407" max="6407" width="13" style="256" customWidth="1"/>
    <col min="6408" max="6408" width="8.13888888888889" style="256" customWidth="1"/>
    <col min="6409" max="6409" width="9.56481481481481" style="256" customWidth="1"/>
    <col min="6410" max="6410" width="6.42592592592593" style="256" customWidth="1"/>
    <col min="6411" max="6411" width="17" style="256" customWidth="1"/>
    <col min="6412" max="6413" width="11.5648148148148" style="256" hidden="1" customWidth="1"/>
    <col min="6414" max="6657" width="11.5648148148148" style="256"/>
    <col min="6658" max="6658" width="3" style="256" customWidth="1"/>
    <col min="6659" max="6659" width="7.71296296296296" style="256" customWidth="1"/>
    <col min="6660" max="6660" width="24.1388888888889" style="256" customWidth="1"/>
    <col min="6661" max="6661" width="28.8611111111111" style="256" customWidth="1"/>
    <col min="6662" max="6662" width="9.42592592592593" style="256" customWidth="1"/>
    <col min="6663" max="6663" width="13" style="256" customWidth="1"/>
    <col min="6664" max="6664" width="8.13888888888889" style="256" customWidth="1"/>
    <col min="6665" max="6665" width="9.56481481481481" style="256" customWidth="1"/>
    <col min="6666" max="6666" width="6.42592592592593" style="256" customWidth="1"/>
    <col min="6667" max="6667" width="17" style="256" customWidth="1"/>
    <col min="6668" max="6669" width="11.5648148148148" style="256" hidden="1" customWidth="1"/>
    <col min="6670" max="6913" width="11.5648148148148" style="256"/>
    <col min="6914" max="6914" width="3" style="256" customWidth="1"/>
    <col min="6915" max="6915" width="7.71296296296296" style="256" customWidth="1"/>
    <col min="6916" max="6916" width="24.1388888888889" style="256" customWidth="1"/>
    <col min="6917" max="6917" width="28.8611111111111" style="256" customWidth="1"/>
    <col min="6918" max="6918" width="9.42592592592593" style="256" customWidth="1"/>
    <col min="6919" max="6919" width="13" style="256" customWidth="1"/>
    <col min="6920" max="6920" width="8.13888888888889" style="256" customWidth="1"/>
    <col min="6921" max="6921" width="9.56481481481481" style="256" customWidth="1"/>
    <col min="6922" max="6922" width="6.42592592592593" style="256" customWidth="1"/>
    <col min="6923" max="6923" width="17" style="256" customWidth="1"/>
    <col min="6924" max="6925" width="11.5648148148148" style="256" hidden="1" customWidth="1"/>
    <col min="6926" max="7169" width="11.5648148148148" style="256"/>
    <col min="7170" max="7170" width="3" style="256" customWidth="1"/>
    <col min="7171" max="7171" width="7.71296296296296" style="256" customWidth="1"/>
    <col min="7172" max="7172" width="24.1388888888889" style="256" customWidth="1"/>
    <col min="7173" max="7173" width="28.8611111111111" style="256" customWidth="1"/>
    <col min="7174" max="7174" width="9.42592592592593" style="256" customWidth="1"/>
    <col min="7175" max="7175" width="13" style="256" customWidth="1"/>
    <col min="7176" max="7176" width="8.13888888888889" style="256" customWidth="1"/>
    <col min="7177" max="7177" width="9.56481481481481" style="256" customWidth="1"/>
    <col min="7178" max="7178" width="6.42592592592593" style="256" customWidth="1"/>
    <col min="7179" max="7179" width="17" style="256" customWidth="1"/>
    <col min="7180" max="7181" width="11.5648148148148" style="256" hidden="1" customWidth="1"/>
    <col min="7182" max="7425" width="11.5648148148148" style="256"/>
    <col min="7426" max="7426" width="3" style="256" customWidth="1"/>
    <col min="7427" max="7427" width="7.71296296296296" style="256" customWidth="1"/>
    <col min="7428" max="7428" width="24.1388888888889" style="256" customWidth="1"/>
    <col min="7429" max="7429" width="28.8611111111111" style="256" customWidth="1"/>
    <col min="7430" max="7430" width="9.42592592592593" style="256" customWidth="1"/>
    <col min="7431" max="7431" width="13" style="256" customWidth="1"/>
    <col min="7432" max="7432" width="8.13888888888889" style="256" customWidth="1"/>
    <col min="7433" max="7433" width="9.56481481481481" style="256" customWidth="1"/>
    <col min="7434" max="7434" width="6.42592592592593" style="256" customWidth="1"/>
    <col min="7435" max="7435" width="17" style="256" customWidth="1"/>
    <col min="7436" max="7437" width="11.5648148148148" style="256" hidden="1" customWidth="1"/>
    <col min="7438" max="7681" width="11.5648148148148" style="256"/>
    <col min="7682" max="7682" width="3" style="256" customWidth="1"/>
    <col min="7683" max="7683" width="7.71296296296296" style="256" customWidth="1"/>
    <col min="7684" max="7684" width="24.1388888888889" style="256" customWidth="1"/>
    <col min="7685" max="7685" width="28.8611111111111" style="256" customWidth="1"/>
    <col min="7686" max="7686" width="9.42592592592593" style="256" customWidth="1"/>
    <col min="7687" max="7687" width="13" style="256" customWidth="1"/>
    <col min="7688" max="7688" width="8.13888888888889" style="256" customWidth="1"/>
    <col min="7689" max="7689" width="9.56481481481481" style="256" customWidth="1"/>
    <col min="7690" max="7690" width="6.42592592592593" style="256" customWidth="1"/>
    <col min="7691" max="7691" width="17" style="256" customWidth="1"/>
    <col min="7692" max="7693" width="11.5648148148148" style="256" hidden="1" customWidth="1"/>
    <col min="7694" max="7937" width="11.5648148148148" style="256"/>
    <col min="7938" max="7938" width="3" style="256" customWidth="1"/>
    <col min="7939" max="7939" width="7.71296296296296" style="256" customWidth="1"/>
    <col min="7940" max="7940" width="24.1388888888889" style="256" customWidth="1"/>
    <col min="7941" max="7941" width="28.8611111111111" style="256" customWidth="1"/>
    <col min="7942" max="7942" width="9.42592592592593" style="256" customWidth="1"/>
    <col min="7943" max="7943" width="13" style="256" customWidth="1"/>
    <col min="7944" max="7944" width="8.13888888888889" style="256" customWidth="1"/>
    <col min="7945" max="7945" width="9.56481481481481" style="256" customWidth="1"/>
    <col min="7946" max="7946" width="6.42592592592593" style="256" customWidth="1"/>
    <col min="7947" max="7947" width="17" style="256" customWidth="1"/>
    <col min="7948" max="7949" width="11.5648148148148" style="256" hidden="1" customWidth="1"/>
    <col min="7950" max="8193" width="11.5648148148148" style="256"/>
    <col min="8194" max="8194" width="3" style="256" customWidth="1"/>
    <col min="8195" max="8195" width="7.71296296296296" style="256" customWidth="1"/>
    <col min="8196" max="8196" width="24.1388888888889" style="256" customWidth="1"/>
    <col min="8197" max="8197" width="28.8611111111111" style="256" customWidth="1"/>
    <col min="8198" max="8198" width="9.42592592592593" style="256" customWidth="1"/>
    <col min="8199" max="8199" width="13" style="256" customWidth="1"/>
    <col min="8200" max="8200" width="8.13888888888889" style="256" customWidth="1"/>
    <col min="8201" max="8201" width="9.56481481481481" style="256" customWidth="1"/>
    <col min="8202" max="8202" width="6.42592592592593" style="256" customWidth="1"/>
    <col min="8203" max="8203" width="17" style="256" customWidth="1"/>
    <col min="8204" max="8205" width="11.5648148148148" style="256" hidden="1" customWidth="1"/>
    <col min="8206" max="8449" width="11.5648148148148" style="256"/>
    <col min="8450" max="8450" width="3" style="256" customWidth="1"/>
    <col min="8451" max="8451" width="7.71296296296296" style="256" customWidth="1"/>
    <col min="8452" max="8452" width="24.1388888888889" style="256" customWidth="1"/>
    <col min="8453" max="8453" width="28.8611111111111" style="256" customWidth="1"/>
    <col min="8454" max="8454" width="9.42592592592593" style="256" customWidth="1"/>
    <col min="8455" max="8455" width="13" style="256" customWidth="1"/>
    <col min="8456" max="8456" width="8.13888888888889" style="256" customWidth="1"/>
    <col min="8457" max="8457" width="9.56481481481481" style="256" customWidth="1"/>
    <col min="8458" max="8458" width="6.42592592592593" style="256" customWidth="1"/>
    <col min="8459" max="8459" width="17" style="256" customWidth="1"/>
    <col min="8460" max="8461" width="11.5648148148148" style="256" hidden="1" customWidth="1"/>
    <col min="8462" max="8705" width="11.5648148148148" style="256"/>
    <col min="8706" max="8706" width="3" style="256" customWidth="1"/>
    <col min="8707" max="8707" width="7.71296296296296" style="256" customWidth="1"/>
    <col min="8708" max="8708" width="24.1388888888889" style="256" customWidth="1"/>
    <col min="8709" max="8709" width="28.8611111111111" style="256" customWidth="1"/>
    <col min="8710" max="8710" width="9.42592592592593" style="256" customWidth="1"/>
    <col min="8711" max="8711" width="13" style="256" customWidth="1"/>
    <col min="8712" max="8712" width="8.13888888888889" style="256" customWidth="1"/>
    <col min="8713" max="8713" width="9.56481481481481" style="256" customWidth="1"/>
    <col min="8714" max="8714" width="6.42592592592593" style="256" customWidth="1"/>
    <col min="8715" max="8715" width="17" style="256" customWidth="1"/>
    <col min="8716" max="8717" width="11.5648148148148" style="256" hidden="1" customWidth="1"/>
    <col min="8718" max="8961" width="11.5648148148148" style="256"/>
    <col min="8962" max="8962" width="3" style="256" customWidth="1"/>
    <col min="8963" max="8963" width="7.71296296296296" style="256" customWidth="1"/>
    <col min="8964" max="8964" width="24.1388888888889" style="256" customWidth="1"/>
    <col min="8965" max="8965" width="28.8611111111111" style="256" customWidth="1"/>
    <col min="8966" max="8966" width="9.42592592592593" style="256" customWidth="1"/>
    <col min="8967" max="8967" width="13" style="256" customWidth="1"/>
    <col min="8968" max="8968" width="8.13888888888889" style="256" customWidth="1"/>
    <col min="8969" max="8969" width="9.56481481481481" style="256" customWidth="1"/>
    <col min="8970" max="8970" width="6.42592592592593" style="256" customWidth="1"/>
    <col min="8971" max="8971" width="17" style="256" customWidth="1"/>
    <col min="8972" max="8973" width="11.5648148148148" style="256" hidden="1" customWidth="1"/>
    <col min="8974" max="9217" width="11.5648148148148" style="256"/>
    <col min="9218" max="9218" width="3" style="256" customWidth="1"/>
    <col min="9219" max="9219" width="7.71296296296296" style="256" customWidth="1"/>
    <col min="9220" max="9220" width="24.1388888888889" style="256" customWidth="1"/>
    <col min="9221" max="9221" width="28.8611111111111" style="256" customWidth="1"/>
    <col min="9222" max="9222" width="9.42592592592593" style="256" customWidth="1"/>
    <col min="9223" max="9223" width="13" style="256" customWidth="1"/>
    <col min="9224" max="9224" width="8.13888888888889" style="256" customWidth="1"/>
    <col min="9225" max="9225" width="9.56481481481481" style="256" customWidth="1"/>
    <col min="9226" max="9226" width="6.42592592592593" style="256" customWidth="1"/>
    <col min="9227" max="9227" width="17" style="256" customWidth="1"/>
    <col min="9228" max="9229" width="11.5648148148148" style="256" hidden="1" customWidth="1"/>
    <col min="9230" max="9473" width="11.5648148148148" style="256"/>
    <col min="9474" max="9474" width="3" style="256" customWidth="1"/>
    <col min="9475" max="9475" width="7.71296296296296" style="256" customWidth="1"/>
    <col min="9476" max="9476" width="24.1388888888889" style="256" customWidth="1"/>
    <col min="9477" max="9477" width="28.8611111111111" style="256" customWidth="1"/>
    <col min="9478" max="9478" width="9.42592592592593" style="256" customWidth="1"/>
    <col min="9479" max="9479" width="13" style="256" customWidth="1"/>
    <col min="9480" max="9480" width="8.13888888888889" style="256" customWidth="1"/>
    <col min="9481" max="9481" width="9.56481481481481" style="256" customWidth="1"/>
    <col min="9482" max="9482" width="6.42592592592593" style="256" customWidth="1"/>
    <col min="9483" max="9483" width="17" style="256" customWidth="1"/>
    <col min="9484" max="9485" width="11.5648148148148" style="256" hidden="1" customWidth="1"/>
    <col min="9486" max="9729" width="11.5648148148148" style="256"/>
    <col min="9730" max="9730" width="3" style="256" customWidth="1"/>
    <col min="9731" max="9731" width="7.71296296296296" style="256" customWidth="1"/>
    <col min="9732" max="9732" width="24.1388888888889" style="256" customWidth="1"/>
    <col min="9733" max="9733" width="28.8611111111111" style="256" customWidth="1"/>
    <col min="9734" max="9734" width="9.42592592592593" style="256" customWidth="1"/>
    <col min="9735" max="9735" width="13" style="256" customWidth="1"/>
    <col min="9736" max="9736" width="8.13888888888889" style="256" customWidth="1"/>
    <col min="9737" max="9737" width="9.56481481481481" style="256" customWidth="1"/>
    <col min="9738" max="9738" width="6.42592592592593" style="256" customWidth="1"/>
    <col min="9739" max="9739" width="17" style="256" customWidth="1"/>
    <col min="9740" max="9741" width="11.5648148148148" style="256" hidden="1" customWidth="1"/>
    <col min="9742" max="9985" width="11.5648148148148" style="256"/>
    <col min="9986" max="9986" width="3" style="256" customWidth="1"/>
    <col min="9987" max="9987" width="7.71296296296296" style="256" customWidth="1"/>
    <col min="9988" max="9988" width="24.1388888888889" style="256" customWidth="1"/>
    <col min="9989" max="9989" width="28.8611111111111" style="256" customWidth="1"/>
    <col min="9990" max="9990" width="9.42592592592593" style="256" customWidth="1"/>
    <col min="9991" max="9991" width="13" style="256" customWidth="1"/>
    <col min="9992" max="9992" width="8.13888888888889" style="256" customWidth="1"/>
    <col min="9993" max="9993" width="9.56481481481481" style="256" customWidth="1"/>
    <col min="9994" max="9994" width="6.42592592592593" style="256" customWidth="1"/>
    <col min="9995" max="9995" width="17" style="256" customWidth="1"/>
    <col min="9996" max="9997" width="11.5648148148148" style="256" hidden="1" customWidth="1"/>
    <col min="9998" max="10241" width="11.5648148148148" style="256"/>
    <col min="10242" max="10242" width="3" style="256" customWidth="1"/>
    <col min="10243" max="10243" width="7.71296296296296" style="256" customWidth="1"/>
    <col min="10244" max="10244" width="24.1388888888889" style="256" customWidth="1"/>
    <col min="10245" max="10245" width="28.8611111111111" style="256" customWidth="1"/>
    <col min="10246" max="10246" width="9.42592592592593" style="256" customWidth="1"/>
    <col min="10247" max="10247" width="13" style="256" customWidth="1"/>
    <col min="10248" max="10248" width="8.13888888888889" style="256" customWidth="1"/>
    <col min="10249" max="10249" width="9.56481481481481" style="256" customWidth="1"/>
    <col min="10250" max="10250" width="6.42592592592593" style="256" customWidth="1"/>
    <col min="10251" max="10251" width="17" style="256" customWidth="1"/>
    <col min="10252" max="10253" width="11.5648148148148" style="256" hidden="1" customWidth="1"/>
    <col min="10254" max="10497" width="11.5648148148148" style="256"/>
    <col min="10498" max="10498" width="3" style="256" customWidth="1"/>
    <col min="10499" max="10499" width="7.71296296296296" style="256" customWidth="1"/>
    <col min="10500" max="10500" width="24.1388888888889" style="256" customWidth="1"/>
    <col min="10501" max="10501" width="28.8611111111111" style="256" customWidth="1"/>
    <col min="10502" max="10502" width="9.42592592592593" style="256" customWidth="1"/>
    <col min="10503" max="10503" width="13" style="256" customWidth="1"/>
    <col min="10504" max="10504" width="8.13888888888889" style="256" customWidth="1"/>
    <col min="10505" max="10505" width="9.56481481481481" style="256" customWidth="1"/>
    <col min="10506" max="10506" width="6.42592592592593" style="256" customWidth="1"/>
    <col min="10507" max="10507" width="17" style="256" customWidth="1"/>
    <col min="10508" max="10509" width="11.5648148148148" style="256" hidden="1" customWidth="1"/>
    <col min="10510" max="10753" width="11.5648148148148" style="256"/>
    <col min="10754" max="10754" width="3" style="256" customWidth="1"/>
    <col min="10755" max="10755" width="7.71296296296296" style="256" customWidth="1"/>
    <col min="10756" max="10756" width="24.1388888888889" style="256" customWidth="1"/>
    <col min="10757" max="10757" width="28.8611111111111" style="256" customWidth="1"/>
    <col min="10758" max="10758" width="9.42592592592593" style="256" customWidth="1"/>
    <col min="10759" max="10759" width="13" style="256" customWidth="1"/>
    <col min="10760" max="10760" width="8.13888888888889" style="256" customWidth="1"/>
    <col min="10761" max="10761" width="9.56481481481481" style="256" customWidth="1"/>
    <col min="10762" max="10762" width="6.42592592592593" style="256" customWidth="1"/>
    <col min="10763" max="10763" width="17" style="256" customWidth="1"/>
    <col min="10764" max="10765" width="11.5648148148148" style="256" hidden="1" customWidth="1"/>
    <col min="10766" max="11009" width="11.5648148148148" style="256"/>
    <col min="11010" max="11010" width="3" style="256" customWidth="1"/>
    <col min="11011" max="11011" width="7.71296296296296" style="256" customWidth="1"/>
    <col min="11012" max="11012" width="24.1388888888889" style="256" customWidth="1"/>
    <col min="11013" max="11013" width="28.8611111111111" style="256" customWidth="1"/>
    <col min="11014" max="11014" width="9.42592592592593" style="256" customWidth="1"/>
    <col min="11015" max="11015" width="13" style="256" customWidth="1"/>
    <col min="11016" max="11016" width="8.13888888888889" style="256" customWidth="1"/>
    <col min="11017" max="11017" width="9.56481481481481" style="256" customWidth="1"/>
    <col min="11018" max="11018" width="6.42592592592593" style="256" customWidth="1"/>
    <col min="11019" max="11019" width="17" style="256" customWidth="1"/>
    <col min="11020" max="11021" width="11.5648148148148" style="256" hidden="1" customWidth="1"/>
    <col min="11022" max="11265" width="11.5648148148148" style="256"/>
    <col min="11266" max="11266" width="3" style="256" customWidth="1"/>
    <col min="11267" max="11267" width="7.71296296296296" style="256" customWidth="1"/>
    <col min="11268" max="11268" width="24.1388888888889" style="256" customWidth="1"/>
    <col min="11269" max="11269" width="28.8611111111111" style="256" customWidth="1"/>
    <col min="11270" max="11270" width="9.42592592592593" style="256" customWidth="1"/>
    <col min="11271" max="11271" width="13" style="256" customWidth="1"/>
    <col min="11272" max="11272" width="8.13888888888889" style="256" customWidth="1"/>
    <col min="11273" max="11273" width="9.56481481481481" style="256" customWidth="1"/>
    <col min="11274" max="11274" width="6.42592592592593" style="256" customWidth="1"/>
    <col min="11275" max="11275" width="17" style="256" customWidth="1"/>
    <col min="11276" max="11277" width="11.5648148148148" style="256" hidden="1" customWidth="1"/>
    <col min="11278" max="11521" width="11.5648148148148" style="256"/>
    <col min="11522" max="11522" width="3" style="256" customWidth="1"/>
    <col min="11523" max="11523" width="7.71296296296296" style="256" customWidth="1"/>
    <col min="11524" max="11524" width="24.1388888888889" style="256" customWidth="1"/>
    <col min="11525" max="11525" width="28.8611111111111" style="256" customWidth="1"/>
    <col min="11526" max="11526" width="9.42592592592593" style="256" customWidth="1"/>
    <col min="11527" max="11527" width="13" style="256" customWidth="1"/>
    <col min="11528" max="11528" width="8.13888888888889" style="256" customWidth="1"/>
    <col min="11529" max="11529" width="9.56481481481481" style="256" customWidth="1"/>
    <col min="11530" max="11530" width="6.42592592592593" style="256" customWidth="1"/>
    <col min="11531" max="11531" width="17" style="256" customWidth="1"/>
    <col min="11532" max="11533" width="11.5648148148148" style="256" hidden="1" customWidth="1"/>
    <col min="11534" max="11777" width="11.5648148148148" style="256"/>
    <col min="11778" max="11778" width="3" style="256" customWidth="1"/>
    <col min="11779" max="11779" width="7.71296296296296" style="256" customWidth="1"/>
    <col min="11780" max="11780" width="24.1388888888889" style="256" customWidth="1"/>
    <col min="11781" max="11781" width="28.8611111111111" style="256" customWidth="1"/>
    <col min="11782" max="11782" width="9.42592592592593" style="256" customWidth="1"/>
    <col min="11783" max="11783" width="13" style="256" customWidth="1"/>
    <col min="11784" max="11784" width="8.13888888888889" style="256" customWidth="1"/>
    <col min="11785" max="11785" width="9.56481481481481" style="256" customWidth="1"/>
    <col min="11786" max="11786" width="6.42592592592593" style="256" customWidth="1"/>
    <col min="11787" max="11787" width="17" style="256" customWidth="1"/>
    <col min="11788" max="11789" width="11.5648148148148" style="256" hidden="1" customWidth="1"/>
    <col min="11790" max="12033" width="11.5648148148148" style="256"/>
    <col min="12034" max="12034" width="3" style="256" customWidth="1"/>
    <col min="12035" max="12035" width="7.71296296296296" style="256" customWidth="1"/>
    <col min="12036" max="12036" width="24.1388888888889" style="256" customWidth="1"/>
    <col min="12037" max="12037" width="28.8611111111111" style="256" customWidth="1"/>
    <col min="12038" max="12038" width="9.42592592592593" style="256" customWidth="1"/>
    <col min="12039" max="12039" width="13" style="256" customWidth="1"/>
    <col min="12040" max="12040" width="8.13888888888889" style="256" customWidth="1"/>
    <col min="12041" max="12041" width="9.56481481481481" style="256" customWidth="1"/>
    <col min="12042" max="12042" width="6.42592592592593" style="256" customWidth="1"/>
    <col min="12043" max="12043" width="17" style="256" customWidth="1"/>
    <col min="12044" max="12045" width="11.5648148148148" style="256" hidden="1" customWidth="1"/>
    <col min="12046" max="12289" width="11.5648148148148" style="256"/>
    <col min="12290" max="12290" width="3" style="256" customWidth="1"/>
    <col min="12291" max="12291" width="7.71296296296296" style="256" customWidth="1"/>
    <col min="12292" max="12292" width="24.1388888888889" style="256" customWidth="1"/>
    <col min="12293" max="12293" width="28.8611111111111" style="256" customWidth="1"/>
    <col min="12294" max="12294" width="9.42592592592593" style="256" customWidth="1"/>
    <col min="12295" max="12295" width="13" style="256" customWidth="1"/>
    <col min="12296" max="12296" width="8.13888888888889" style="256" customWidth="1"/>
    <col min="12297" max="12297" width="9.56481481481481" style="256" customWidth="1"/>
    <col min="12298" max="12298" width="6.42592592592593" style="256" customWidth="1"/>
    <col min="12299" max="12299" width="17" style="256" customWidth="1"/>
    <col min="12300" max="12301" width="11.5648148148148" style="256" hidden="1" customWidth="1"/>
    <col min="12302" max="12545" width="11.5648148148148" style="256"/>
    <col min="12546" max="12546" width="3" style="256" customWidth="1"/>
    <col min="12547" max="12547" width="7.71296296296296" style="256" customWidth="1"/>
    <col min="12548" max="12548" width="24.1388888888889" style="256" customWidth="1"/>
    <col min="12549" max="12549" width="28.8611111111111" style="256" customWidth="1"/>
    <col min="12550" max="12550" width="9.42592592592593" style="256" customWidth="1"/>
    <col min="12551" max="12551" width="13" style="256" customWidth="1"/>
    <col min="12552" max="12552" width="8.13888888888889" style="256" customWidth="1"/>
    <col min="12553" max="12553" width="9.56481481481481" style="256" customWidth="1"/>
    <col min="12554" max="12554" width="6.42592592592593" style="256" customWidth="1"/>
    <col min="12555" max="12555" width="17" style="256" customWidth="1"/>
    <col min="12556" max="12557" width="11.5648148148148" style="256" hidden="1" customWidth="1"/>
    <col min="12558" max="12801" width="11.5648148148148" style="256"/>
    <col min="12802" max="12802" width="3" style="256" customWidth="1"/>
    <col min="12803" max="12803" width="7.71296296296296" style="256" customWidth="1"/>
    <col min="12804" max="12804" width="24.1388888888889" style="256" customWidth="1"/>
    <col min="12805" max="12805" width="28.8611111111111" style="256" customWidth="1"/>
    <col min="12806" max="12806" width="9.42592592592593" style="256" customWidth="1"/>
    <col min="12807" max="12807" width="13" style="256" customWidth="1"/>
    <col min="12808" max="12808" width="8.13888888888889" style="256" customWidth="1"/>
    <col min="12809" max="12809" width="9.56481481481481" style="256" customWidth="1"/>
    <col min="12810" max="12810" width="6.42592592592593" style="256" customWidth="1"/>
    <col min="12811" max="12811" width="17" style="256" customWidth="1"/>
    <col min="12812" max="12813" width="11.5648148148148" style="256" hidden="1" customWidth="1"/>
    <col min="12814" max="13057" width="11.5648148148148" style="256"/>
    <col min="13058" max="13058" width="3" style="256" customWidth="1"/>
    <col min="13059" max="13059" width="7.71296296296296" style="256" customWidth="1"/>
    <col min="13060" max="13060" width="24.1388888888889" style="256" customWidth="1"/>
    <col min="13061" max="13061" width="28.8611111111111" style="256" customWidth="1"/>
    <col min="13062" max="13062" width="9.42592592592593" style="256" customWidth="1"/>
    <col min="13063" max="13063" width="13" style="256" customWidth="1"/>
    <col min="13064" max="13064" width="8.13888888888889" style="256" customWidth="1"/>
    <col min="13065" max="13065" width="9.56481481481481" style="256" customWidth="1"/>
    <col min="13066" max="13066" width="6.42592592592593" style="256" customWidth="1"/>
    <col min="13067" max="13067" width="17" style="256" customWidth="1"/>
    <col min="13068" max="13069" width="11.5648148148148" style="256" hidden="1" customWidth="1"/>
    <col min="13070" max="13313" width="11.5648148148148" style="256"/>
    <col min="13314" max="13314" width="3" style="256" customWidth="1"/>
    <col min="13315" max="13315" width="7.71296296296296" style="256" customWidth="1"/>
    <col min="13316" max="13316" width="24.1388888888889" style="256" customWidth="1"/>
    <col min="13317" max="13317" width="28.8611111111111" style="256" customWidth="1"/>
    <col min="13318" max="13318" width="9.42592592592593" style="256" customWidth="1"/>
    <col min="13319" max="13319" width="13" style="256" customWidth="1"/>
    <col min="13320" max="13320" width="8.13888888888889" style="256" customWidth="1"/>
    <col min="13321" max="13321" width="9.56481481481481" style="256" customWidth="1"/>
    <col min="13322" max="13322" width="6.42592592592593" style="256" customWidth="1"/>
    <col min="13323" max="13323" width="17" style="256" customWidth="1"/>
    <col min="13324" max="13325" width="11.5648148148148" style="256" hidden="1" customWidth="1"/>
    <col min="13326" max="13569" width="11.5648148148148" style="256"/>
    <col min="13570" max="13570" width="3" style="256" customWidth="1"/>
    <col min="13571" max="13571" width="7.71296296296296" style="256" customWidth="1"/>
    <col min="13572" max="13572" width="24.1388888888889" style="256" customWidth="1"/>
    <col min="13573" max="13573" width="28.8611111111111" style="256" customWidth="1"/>
    <col min="13574" max="13574" width="9.42592592592593" style="256" customWidth="1"/>
    <col min="13575" max="13575" width="13" style="256" customWidth="1"/>
    <col min="13576" max="13576" width="8.13888888888889" style="256" customWidth="1"/>
    <col min="13577" max="13577" width="9.56481481481481" style="256" customWidth="1"/>
    <col min="13578" max="13578" width="6.42592592592593" style="256" customWidth="1"/>
    <col min="13579" max="13579" width="17" style="256" customWidth="1"/>
    <col min="13580" max="13581" width="11.5648148148148" style="256" hidden="1" customWidth="1"/>
    <col min="13582" max="13825" width="11.5648148148148" style="256"/>
    <col min="13826" max="13826" width="3" style="256" customWidth="1"/>
    <col min="13827" max="13827" width="7.71296296296296" style="256" customWidth="1"/>
    <col min="13828" max="13828" width="24.1388888888889" style="256" customWidth="1"/>
    <col min="13829" max="13829" width="28.8611111111111" style="256" customWidth="1"/>
    <col min="13830" max="13830" width="9.42592592592593" style="256" customWidth="1"/>
    <col min="13831" max="13831" width="13" style="256" customWidth="1"/>
    <col min="13832" max="13832" width="8.13888888888889" style="256" customWidth="1"/>
    <col min="13833" max="13833" width="9.56481481481481" style="256" customWidth="1"/>
    <col min="13834" max="13834" width="6.42592592592593" style="256" customWidth="1"/>
    <col min="13835" max="13835" width="17" style="256" customWidth="1"/>
    <col min="13836" max="13837" width="11.5648148148148" style="256" hidden="1" customWidth="1"/>
    <col min="13838" max="14081" width="11.5648148148148" style="256"/>
    <col min="14082" max="14082" width="3" style="256" customWidth="1"/>
    <col min="14083" max="14083" width="7.71296296296296" style="256" customWidth="1"/>
    <col min="14084" max="14084" width="24.1388888888889" style="256" customWidth="1"/>
    <col min="14085" max="14085" width="28.8611111111111" style="256" customWidth="1"/>
    <col min="14086" max="14086" width="9.42592592592593" style="256" customWidth="1"/>
    <col min="14087" max="14087" width="13" style="256" customWidth="1"/>
    <col min="14088" max="14088" width="8.13888888888889" style="256" customWidth="1"/>
    <col min="14089" max="14089" width="9.56481481481481" style="256" customWidth="1"/>
    <col min="14090" max="14090" width="6.42592592592593" style="256" customWidth="1"/>
    <col min="14091" max="14091" width="17" style="256" customWidth="1"/>
    <col min="14092" max="14093" width="11.5648148148148" style="256" hidden="1" customWidth="1"/>
    <col min="14094" max="14337" width="11.5648148148148" style="256"/>
    <col min="14338" max="14338" width="3" style="256" customWidth="1"/>
    <col min="14339" max="14339" width="7.71296296296296" style="256" customWidth="1"/>
    <col min="14340" max="14340" width="24.1388888888889" style="256" customWidth="1"/>
    <col min="14341" max="14341" width="28.8611111111111" style="256" customWidth="1"/>
    <col min="14342" max="14342" width="9.42592592592593" style="256" customWidth="1"/>
    <col min="14343" max="14343" width="13" style="256" customWidth="1"/>
    <col min="14344" max="14344" width="8.13888888888889" style="256" customWidth="1"/>
    <col min="14345" max="14345" width="9.56481481481481" style="256" customWidth="1"/>
    <col min="14346" max="14346" width="6.42592592592593" style="256" customWidth="1"/>
    <col min="14347" max="14347" width="17" style="256" customWidth="1"/>
    <col min="14348" max="14349" width="11.5648148148148" style="256" hidden="1" customWidth="1"/>
    <col min="14350" max="14593" width="11.5648148148148" style="256"/>
    <col min="14594" max="14594" width="3" style="256" customWidth="1"/>
    <col min="14595" max="14595" width="7.71296296296296" style="256" customWidth="1"/>
    <col min="14596" max="14596" width="24.1388888888889" style="256" customWidth="1"/>
    <col min="14597" max="14597" width="28.8611111111111" style="256" customWidth="1"/>
    <col min="14598" max="14598" width="9.42592592592593" style="256" customWidth="1"/>
    <col min="14599" max="14599" width="13" style="256" customWidth="1"/>
    <col min="14600" max="14600" width="8.13888888888889" style="256" customWidth="1"/>
    <col min="14601" max="14601" width="9.56481481481481" style="256" customWidth="1"/>
    <col min="14602" max="14602" width="6.42592592592593" style="256" customWidth="1"/>
    <col min="14603" max="14603" width="17" style="256" customWidth="1"/>
    <col min="14604" max="14605" width="11.5648148148148" style="256" hidden="1" customWidth="1"/>
    <col min="14606" max="14849" width="11.5648148148148" style="256"/>
    <col min="14850" max="14850" width="3" style="256" customWidth="1"/>
    <col min="14851" max="14851" width="7.71296296296296" style="256" customWidth="1"/>
    <col min="14852" max="14852" width="24.1388888888889" style="256" customWidth="1"/>
    <col min="14853" max="14853" width="28.8611111111111" style="256" customWidth="1"/>
    <col min="14854" max="14854" width="9.42592592592593" style="256" customWidth="1"/>
    <col min="14855" max="14855" width="13" style="256" customWidth="1"/>
    <col min="14856" max="14856" width="8.13888888888889" style="256" customWidth="1"/>
    <col min="14857" max="14857" width="9.56481481481481" style="256" customWidth="1"/>
    <col min="14858" max="14858" width="6.42592592592593" style="256" customWidth="1"/>
    <col min="14859" max="14859" width="17" style="256" customWidth="1"/>
    <col min="14860" max="14861" width="11.5648148148148" style="256" hidden="1" customWidth="1"/>
    <col min="14862" max="15105" width="11.5648148148148" style="256"/>
    <col min="15106" max="15106" width="3" style="256" customWidth="1"/>
    <col min="15107" max="15107" width="7.71296296296296" style="256" customWidth="1"/>
    <col min="15108" max="15108" width="24.1388888888889" style="256" customWidth="1"/>
    <col min="15109" max="15109" width="28.8611111111111" style="256" customWidth="1"/>
    <col min="15110" max="15110" width="9.42592592592593" style="256" customWidth="1"/>
    <col min="15111" max="15111" width="13" style="256" customWidth="1"/>
    <col min="15112" max="15112" width="8.13888888888889" style="256" customWidth="1"/>
    <col min="15113" max="15113" width="9.56481481481481" style="256" customWidth="1"/>
    <col min="15114" max="15114" width="6.42592592592593" style="256" customWidth="1"/>
    <col min="15115" max="15115" width="17" style="256" customWidth="1"/>
    <col min="15116" max="15117" width="11.5648148148148" style="256" hidden="1" customWidth="1"/>
    <col min="15118" max="15361" width="11.5648148148148" style="256"/>
    <col min="15362" max="15362" width="3" style="256" customWidth="1"/>
    <col min="15363" max="15363" width="7.71296296296296" style="256" customWidth="1"/>
    <col min="15364" max="15364" width="24.1388888888889" style="256" customWidth="1"/>
    <col min="15365" max="15365" width="28.8611111111111" style="256" customWidth="1"/>
    <col min="15366" max="15366" width="9.42592592592593" style="256" customWidth="1"/>
    <col min="15367" max="15367" width="13" style="256" customWidth="1"/>
    <col min="15368" max="15368" width="8.13888888888889" style="256" customWidth="1"/>
    <col min="15369" max="15369" width="9.56481481481481" style="256" customWidth="1"/>
    <col min="15370" max="15370" width="6.42592592592593" style="256" customWidth="1"/>
    <col min="15371" max="15371" width="17" style="256" customWidth="1"/>
    <col min="15372" max="15373" width="11.5648148148148" style="256" hidden="1" customWidth="1"/>
    <col min="15374" max="15617" width="11.5648148148148" style="256"/>
    <col min="15618" max="15618" width="3" style="256" customWidth="1"/>
    <col min="15619" max="15619" width="7.71296296296296" style="256" customWidth="1"/>
    <col min="15620" max="15620" width="24.1388888888889" style="256" customWidth="1"/>
    <col min="15621" max="15621" width="28.8611111111111" style="256" customWidth="1"/>
    <col min="15622" max="15622" width="9.42592592592593" style="256" customWidth="1"/>
    <col min="15623" max="15623" width="13" style="256" customWidth="1"/>
    <col min="15624" max="15624" width="8.13888888888889" style="256" customWidth="1"/>
    <col min="15625" max="15625" width="9.56481481481481" style="256" customWidth="1"/>
    <col min="15626" max="15626" width="6.42592592592593" style="256" customWidth="1"/>
    <col min="15627" max="15627" width="17" style="256" customWidth="1"/>
    <col min="15628" max="15629" width="11.5648148148148" style="256" hidden="1" customWidth="1"/>
    <col min="15630" max="15873" width="11.5648148148148" style="256"/>
    <col min="15874" max="15874" width="3" style="256" customWidth="1"/>
    <col min="15875" max="15875" width="7.71296296296296" style="256" customWidth="1"/>
    <col min="15876" max="15876" width="24.1388888888889" style="256" customWidth="1"/>
    <col min="15877" max="15877" width="28.8611111111111" style="256" customWidth="1"/>
    <col min="15878" max="15878" width="9.42592592592593" style="256" customWidth="1"/>
    <col min="15879" max="15879" width="13" style="256" customWidth="1"/>
    <col min="15880" max="15880" width="8.13888888888889" style="256" customWidth="1"/>
    <col min="15881" max="15881" width="9.56481481481481" style="256" customWidth="1"/>
    <col min="15882" max="15882" width="6.42592592592593" style="256" customWidth="1"/>
    <col min="15883" max="15883" width="17" style="256" customWidth="1"/>
    <col min="15884" max="15885" width="11.5648148148148" style="256" hidden="1" customWidth="1"/>
    <col min="15886" max="16129" width="11.5648148148148" style="256"/>
    <col min="16130" max="16130" width="3" style="256" customWidth="1"/>
    <col min="16131" max="16131" width="7.71296296296296" style="256" customWidth="1"/>
    <col min="16132" max="16132" width="24.1388888888889" style="256" customWidth="1"/>
    <col min="16133" max="16133" width="28.8611111111111" style="256" customWidth="1"/>
    <col min="16134" max="16134" width="9.42592592592593" style="256" customWidth="1"/>
    <col min="16135" max="16135" width="13" style="256" customWidth="1"/>
    <col min="16136" max="16136" width="8.13888888888889" style="256" customWidth="1"/>
    <col min="16137" max="16137" width="9.56481481481481" style="256" customWidth="1"/>
    <col min="16138" max="16138" width="6.42592592592593" style="256" customWidth="1"/>
    <col min="16139" max="16139" width="17" style="256" customWidth="1"/>
    <col min="16140" max="16141" width="11.5648148148148" style="256" hidden="1" customWidth="1"/>
    <col min="16142" max="16384" width="11.5648148148148" style="256"/>
  </cols>
  <sheetData>
    <row r="1" s="247" customFormat="1" ht="34.5" customHeight="1" spans="1:16">
      <c r="A1" s="257" t="s">
        <v>63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ht="12" customHeight="1" spans="1:16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</row>
    <row r="3" ht="18" customHeight="1" spans="1:16">
      <c r="A3" s="260" t="s">
        <v>1</v>
      </c>
      <c r="B3" s="261"/>
      <c r="C3" s="261"/>
      <c r="D3" s="261"/>
      <c r="E3" s="261"/>
      <c r="F3" s="261"/>
      <c r="G3" s="262"/>
      <c r="H3" s="261" t="s">
        <v>2</v>
      </c>
      <c r="I3" s="261"/>
      <c r="J3" s="263"/>
      <c r="K3" s="263"/>
      <c r="L3" s="263"/>
      <c r="M3" s="263"/>
      <c r="N3" s="264"/>
      <c r="O3" s="265"/>
    </row>
    <row r="4" s="248" customFormat="1" ht="18" customHeight="1" spans="1:16">
      <c r="A4" s="266" t="str">
        <f>[24]CI!B4</f>
        <v>GDI TEXTILE CO ., LTD</v>
      </c>
      <c r="B4" s="267"/>
      <c r="C4" s="267"/>
      <c r="D4" s="267"/>
      <c r="E4" s="267"/>
      <c r="F4" s="267"/>
      <c r="G4" s="268"/>
      <c r="H4" s="269" t="str">
        <f>'GDI-CI'!H4</f>
        <v>GDI/SIGD-260241</v>
      </c>
      <c r="I4" s="269"/>
      <c r="J4" s="269"/>
      <c r="K4" s="269"/>
      <c r="L4" s="269"/>
      <c r="M4" s="270"/>
      <c r="N4" s="271" t="str">
        <f>'GDI-CI'!N4</f>
        <v>Date: 2026/09/22</v>
      </c>
      <c r="O4" s="272"/>
    </row>
    <row r="5" s="248" customFormat="1" ht="18" customHeight="1" spans="1:16">
      <c r="A5" s="273" t="str">
        <f>'GDI-CI'!B5</f>
        <v>LOT C1, C2, C3, C5, C6 C7-2  ROAD N6 TMTC INDUSTRIAL</v>
      </c>
      <c r="B5" s="274"/>
      <c r="C5" s="274"/>
      <c r="D5" s="274"/>
      <c r="E5" s="274"/>
      <c r="F5" s="274"/>
      <c r="G5" s="275"/>
      <c r="H5" s="276" t="s">
        <v>7</v>
      </c>
      <c r="I5" s="277"/>
      <c r="J5" s="278"/>
      <c r="K5" s="278"/>
      <c r="L5" s="278"/>
      <c r="M5" s="279"/>
      <c r="N5" s="278"/>
      <c r="O5" s="280"/>
      <c r="P5" s="281"/>
    </row>
    <row r="6" s="248" customFormat="1" ht="18" customHeight="1" spans="1:16">
      <c r="A6" s="273" t="str">
        <f>'GDI-CI'!B6</f>
        <v>PARK, MOC BAI BORDER GATE ECONOMIC ZONE,</v>
      </c>
      <c r="B6" s="274"/>
      <c r="C6" s="274"/>
      <c r="D6" s="274"/>
      <c r="E6" s="274"/>
      <c r="F6" s="274"/>
      <c r="G6" s="275"/>
      <c r="H6" s="282" t="s">
        <v>9</v>
      </c>
      <c r="I6" s="283"/>
      <c r="J6" s="284"/>
      <c r="K6" s="284"/>
      <c r="L6" s="284"/>
      <c r="M6" s="284"/>
      <c r="N6" s="270"/>
      <c r="O6" s="285"/>
      <c r="P6" s="270"/>
    </row>
    <row r="7" s="248" customFormat="1" ht="18" customHeight="1" spans="1:16">
      <c r="A7" s="273" t="str">
        <f>'GDI-CI'!B7</f>
        <v>THUAN DONG HAMLET, BEN CAU COMMUNE, TAY NINH PROVINCE, VIETNAM</v>
      </c>
      <c r="B7" s="274"/>
      <c r="C7" s="274"/>
      <c r="D7" s="274"/>
      <c r="E7" s="274"/>
      <c r="F7" s="274"/>
      <c r="G7" s="275"/>
      <c r="H7" s="286" t="s">
        <v>7</v>
      </c>
      <c r="I7" s="286"/>
      <c r="J7" s="279"/>
      <c r="K7" s="279"/>
      <c r="L7" s="279"/>
      <c r="M7" s="279"/>
      <c r="N7" s="287" t="s">
        <v>7</v>
      </c>
      <c r="O7" s="288"/>
      <c r="P7" s="270"/>
    </row>
    <row r="8" ht="18" customHeight="1" spans="1:16">
      <c r="A8" s="289" t="str">
        <f>+'GDI-CI'!B8</f>
        <v>2.For account &amp; risk of Messers</v>
      </c>
      <c r="B8" s="290"/>
      <c r="C8" s="290"/>
      <c r="D8" s="290"/>
      <c r="E8" s="290"/>
      <c r="F8" s="290"/>
      <c r="G8" s="291"/>
      <c r="H8" s="292" t="s">
        <v>12</v>
      </c>
      <c r="I8" s="292"/>
      <c r="J8" s="293"/>
      <c r="K8" s="293"/>
      <c r="L8" s="293"/>
      <c r="M8" s="293"/>
      <c r="N8" s="259"/>
      <c r="O8" s="294"/>
      <c r="P8" s="295"/>
    </row>
    <row r="9" s="248" customFormat="1" ht="18" customHeight="1" spans="1:16">
      <c r="A9" s="296" t="str">
        <f>+'GDI-CI'!B9</f>
        <v>GDI HK LIMITED</v>
      </c>
      <c r="B9" s="297"/>
      <c r="C9" s="297"/>
      <c r="D9" s="297"/>
      <c r="E9" s="297"/>
      <c r="F9" s="297"/>
      <c r="G9" s="298"/>
      <c r="H9" s="299" t="s">
        <v>7</v>
      </c>
      <c r="I9" s="299"/>
      <c r="J9" s="270"/>
      <c r="K9" s="270"/>
      <c r="L9" s="270"/>
      <c r="M9" s="270"/>
      <c r="N9" s="270"/>
      <c r="O9" s="285"/>
      <c r="P9" s="281"/>
    </row>
    <row r="10" s="248" customFormat="1" ht="18" customHeight="1" spans="1:16">
      <c r="A10" s="296" t="str">
        <f>+'GDI-CI'!B10</f>
        <v>(Old Company Name: SIGD LIMITED)</v>
      </c>
      <c r="B10" s="297"/>
      <c r="C10" s="297"/>
      <c r="D10" s="297"/>
      <c r="E10" s="297"/>
      <c r="F10" s="297"/>
      <c r="G10" s="298"/>
      <c r="H10" s="279" t="s">
        <v>7</v>
      </c>
      <c r="I10" s="279"/>
      <c r="J10" s="279"/>
      <c r="K10" s="279"/>
      <c r="L10" s="279"/>
      <c r="M10" s="300"/>
      <c r="N10" s="279"/>
      <c r="O10" s="301"/>
      <c r="P10" s="281"/>
    </row>
    <row r="11" s="248" customFormat="1" ht="18" customHeight="1" spans="1:16">
      <c r="A11" s="302" t="str">
        <f>+'GDI-CI'!B11</f>
        <v>FLAT H, 2/F MANSION INDUSTRIAL BUILDING,</v>
      </c>
      <c r="B11" s="303"/>
      <c r="C11" s="303"/>
      <c r="D11" s="303"/>
      <c r="E11" s="303"/>
      <c r="F11" s="303"/>
      <c r="G11" s="304"/>
      <c r="H11" s="270"/>
      <c r="I11" s="270"/>
      <c r="J11" s="270"/>
      <c r="K11" s="270"/>
      <c r="L11" s="270"/>
      <c r="M11" s="284"/>
      <c r="N11" s="270"/>
      <c r="O11" s="285"/>
      <c r="P11" s="281"/>
    </row>
    <row r="12" ht="18" customHeight="1" spans="1:16">
      <c r="A12" s="302" t="str">
        <f>+'GDI-CI'!B12</f>
        <v>8 A KUNG NGAM VILLAGE LANE, SHAU KEI WAN, HONG KONG</v>
      </c>
      <c r="B12" s="303"/>
      <c r="C12" s="303"/>
      <c r="D12" s="303"/>
      <c r="E12" s="303"/>
      <c r="F12" s="303"/>
      <c r="G12" s="304"/>
      <c r="H12" s="283" t="s">
        <v>17</v>
      </c>
      <c r="I12" s="283"/>
      <c r="J12" s="293"/>
      <c r="K12" s="293"/>
      <c r="L12" s="293"/>
      <c r="M12" s="259"/>
      <c r="N12" s="259"/>
      <c r="O12" s="294"/>
      <c r="P12" s="295"/>
    </row>
    <row r="13" ht="18" customHeight="1" spans="1:16">
      <c r="A13" s="305">
        <f>+'GDI-CI'!B13</f>
        <v>0</v>
      </c>
      <c r="B13" s="306"/>
      <c r="C13" s="306"/>
      <c r="D13" s="306"/>
      <c r="E13" s="306"/>
      <c r="F13" s="306"/>
      <c r="G13" s="307"/>
      <c r="H13" s="308" t="str">
        <f>[24]CI!E12</f>
        <v>TT PAYMENT</v>
      </c>
      <c r="I13" s="309"/>
      <c r="J13" s="309"/>
      <c r="K13" s="309"/>
      <c r="L13" s="309"/>
      <c r="M13" s="309"/>
      <c r="N13" s="310"/>
      <c r="O13" s="311"/>
    </row>
    <row r="14" s="248" customFormat="1" ht="18.75" customHeight="1" spans="1:16">
      <c r="A14" s="289" t="str">
        <f>+'GDI-CI'!B14</f>
        <v>3.Notify Party/Ship to</v>
      </c>
      <c r="B14" s="290"/>
      <c r="C14" s="290"/>
      <c r="D14" s="290"/>
      <c r="E14" s="290"/>
      <c r="F14" s="290"/>
      <c r="G14" s="291"/>
      <c r="H14" s="308" t="str">
        <f>+'GDI-CI'!H14</f>
        <v>CIF</v>
      </c>
      <c r="I14" s="309"/>
      <c r="J14" s="309"/>
      <c r="K14" s="309"/>
      <c r="L14" s="309"/>
      <c r="M14" s="312"/>
      <c r="N14" s="313"/>
      <c r="O14" s="314"/>
      <c r="P14" s="270"/>
    </row>
    <row r="15" s="248" customFormat="1" ht="18.75" customHeight="1" spans="1:16">
      <c r="A15" s="315" t="str">
        <f>'GDI-CI'!B15</f>
        <v>PT Nirwana Alabare Garment</v>
      </c>
      <c r="B15" s="316"/>
      <c r="C15" s="316"/>
      <c r="D15" s="316"/>
      <c r="E15" s="316"/>
      <c r="F15" s="316"/>
      <c r="G15" s="317"/>
      <c r="H15" s="318"/>
      <c r="I15" s="306"/>
      <c r="J15" s="306"/>
      <c r="K15" s="306"/>
      <c r="L15" s="306"/>
      <c r="M15" s="306"/>
      <c r="N15" s="306"/>
      <c r="O15" s="319"/>
      <c r="P15" s="320"/>
    </row>
    <row r="16" s="248" customFormat="1" ht="18.75" customHeight="1" spans="1:16">
      <c r="A16" s="315" t="str">
        <f>+'GDI-CI'!B16</f>
        <v>Jl. Raya Rancaekek - Majalaya No.289 Desa Solokan Jeruk ,Kecamatan Solokan Jeruk,</v>
      </c>
      <c r="B16" s="316"/>
      <c r="C16" s="316"/>
      <c r="D16" s="316"/>
      <c r="E16" s="316"/>
      <c r="F16" s="316"/>
      <c r="G16" s="317"/>
      <c r="H16" s="318"/>
      <c r="I16" s="306"/>
      <c r="J16" s="306"/>
      <c r="K16" s="306"/>
      <c r="L16" s="306"/>
      <c r="M16" s="306"/>
      <c r="N16" s="306"/>
      <c r="O16" s="319"/>
      <c r="P16" s="320"/>
    </row>
    <row r="17" s="248" customFormat="1" ht="18.75" customHeight="1" spans="1:16">
      <c r="A17" s="315" t="str">
        <f>+'GDI-CI'!B17</f>
        <v>Kabupaten Bandung Jawa Barat 40382,Indonesia</v>
      </c>
      <c r="B17" s="316"/>
      <c r="C17" s="316"/>
      <c r="D17" s="316"/>
      <c r="E17" s="316"/>
      <c r="F17" s="316"/>
      <c r="G17" s="317"/>
      <c r="H17" s="318"/>
      <c r="I17" s="306"/>
      <c r="J17" s="306"/>
      <c r="K17" s="306"/>
      <c r="L17" s="306"/>
      <c r="M17" s="306"/>
      <c r="N17" s="306"/>
      <c r="O17" s="319"/>
      <c r="P17" s="320"/>
    </row>
    <row r="18" s="248" customFormat="1" ht="18.75" customHeight="1" spans="1:16">
      <c r="A18" s="315" t="str">
        <f>+'GDI-CI'!B18</f>
        <v>Tel: +62 285962076</v>
      </c>
      <c r="B18" s="316"/>
      <c r="C18" s="316"/>
      <c r="D18" s="316"/>
      <c r="E18" s="316"/>
      <c r="F18" s="316"/>
      <c r="G18" s="317"/>
      <c r="H18" s="318"/>
      <c r="I18" s="306"/>
      <c r="J18" s="306"/>
      <c r="K18" s="306"/>
      <c r="L18" s="306"/>
      <c r="M18" s="306"/>
      <c r="N18" s="306"/>
      <c r="O18" s="319"/>
      <c r="P18" s="320"/>
    </row>
    <row r="19" s="248" customFormat="1" ht="18.75" customHeight="1" spans="1:16">
      <c r="A19" s="315">
        <f>+'GDI-CI'!B19</f>
        <v>0</v>
      </c>
      <c r="B19" s="316"/>
      <c r="C19" s="316"/>
      <c r="D19" s="316"/>
      <c r="E19" s="316"/>
      <c r="F19" s="316"/>
      <c r="G19" s="317"/>
      <c r="H19" s="318"/>
      <c r="I19" s="306"/>
      <c r="J19" s="306"/>
      <c r="K19" s="306"/>
      <c r="L19" s="306"/>
      <c r="M19" s="306"/>
      <c r="N19" s="306"/>
      <c r="O19" s="319"/>
      <c r="P19" s="320"/>
    </row>
    <row r="20" s="248" customFormat="1" ht="18.75" hidden="1" customHeight="1" spans="1:16">
      <c r="A20" s="289" t="s">
        <v>64</v>
      </c>
      <c r="B20" s="290"/>
      <c r="C20" s="290"/>
      <c r="D20" s="290"/>
      <c r="E20" s="290"/>
      <c r="F20" s="290"/>
      <c r="G20" s="291"/>
      <c r="H20" s="306"/>
      <c r="I20" s="306"/>
      <c r="J20" s="306"/>
      <c r="K20" s="306"/>
      <c r="L20" s="306"/>
      <c r="M20" s="306"/>
      <c r="N20" s="321"/>
      <c r="O20" s="285"/>
    </row>
    <row r="21" s="248" customFormat="1" ht="18.75" hidden="1" customHeight="1" spans="1:16">
      <c r="A21" s="296">
        <f>[24]CI!B19</f>
        <v>0</v>
      </c>
      <c r="B21" s="297"/>
      <c r="C21" s="297"/>
      <c r="D21" s="297"/>
      <c r="E21" s="297"/>
      <c r="F21" s="297"/>
      <c r="G21" s="298"/>
      <c r="H21" s="306"/>
      <c r="I21" s="306"/>
      <c r="J21" s="306"/>
      <c r="K21" s="306"/>
      <c r="L21" s="306"/>
      <c r="M21" s="306"/>
      <c r="N21" s="321"/>
      <c r="O21" s="285"/>
    </row>
    <row r="22" s="248" customFormat="1" ht="18.75" hidden="1" customHeight="1" spans="1:16">
      <c r="A22" s="305">
        <f>[24]CI!B20</f>
        <v>0</v>
      </c>
      <c r="B22" s="306"/>
      <c r="C22" s="306"/>
      <c r="D22" s="306"/>
      <c r="E22" s="306"/>
      <c r="F22" s="306"/>
      <c r="G22" s="307"/>
      <c r="H22" s="306"/>
      <c r="I22" s="306"/>
      <c r="J22" s="306"/>
      <c r="K22" s="306"/>
      <c r="L22" s="306"/>
      <c r="M22" s="306"/>
      <c r="N22" s="321"/>
      <c r="O22" s="285"/>
    </row>
    <row r="23" s="248" customFormat="1" ht="18.75" hidden="1" customHeight="1" spans="1:16">
      <c r="A23" s="305">
        <f>[24]CI!B21</f>
        <v>0</v>
      </c>
      <c r="B23" s="306"/>
      <c r="C23" s="306"/>
      <c r="D23" s="306"/>
      <c r="E23" s="306"/>
      <c r="F23" s="306"/>
      <c r="G23" s="307"/>
      <c r="H23" s="306"/>
      <c r="I23" s="306"/>
      <c r="J23" s="306"/>
      <c r="K23" s="306"/>
      <c r="L23" s="306"/>
      <c r="M23" s="306"/>
      <c r="N23" s="321"/>
      <c r="O23" s="285"/>
    </row>
    <row r="24" s="248" customFormat="1" ht="18.75" hidden="1" customHeight="1" spans="1:16">
      <c r="A24" s="322"/>
      <c r="B24" s="323"/>
      <c r="C24" s="323"/>
      <c r="D24" s="323"/>
      <c r="E24" s="323"/>
      <c r="F24" s="323"/>
      <c r="G24" s="324"/>
      <c r="H24" s="306"/>
      <c r="I24" s="306"/>
      <c r="J24" s="306"/>
      <c r="K24" s="306"/>
      <c r="L24" s="306"/>
      <c r="M24" s="306"/>
      <c r="N24" s="321"/>
      <c r="O24" s="285"/>
    </row>
    <row r="25" s="249" customFormat="1" ht="18.75" customHeight="1" spans="1:16">
      <c r="A25" s="289" t="s">
        <v>27</v>
      </c>
      <c r="B25" s="290"/>
      <c r="C25" s="291"/>
      <c r="D25" s="325"/>
      <c r="E25" s="325"/>
      <c r="F25" s="325"/>
      <c r="G25" s="326" t="s">
        <v>28</v>
      </c>
      <c r="H25" s="259"/>
      <c r="I25" s="259"/>
      <c r="J25" s="293"/>
      <c r="K25" s="293"/>
      <c r="L25" s="293"/>
      <c r="M25" s="259"/>
      <c r="N25" s="293"/>
      <c r="O25" s="327"/>
      <c r="P25" s="328"/>
    </row>
    <row r="26" ht="18.75" customHeight="1" spans="1:16">
      <c r="A26" s="329" t="str">
        <f>'GDI-CI'!B27</f>
        <v>Hochiminh</v>
      </c>
      <c r="B26" s="330"/>
      <c r="C26" s="331"/>
      <c r="D26" s="332"/>
      <c r="E26" s="332"/>
      <c r="F26" s="332"/>
      <c r="G26" s="333" t="str">
        <f>'GDI-CI'!G27</f>
        <v>Indonesia,Jakarta</v>
      </c>
      <c r="H26" s="334"/>
      <c r="I26" s="259"/>
      <c r="J26" s="335"/>
      <c r="K26" s="335"/>
      <c r="L26" s="335"/>
      <c r="M26" s="259"/>
      <c r="N26" s="259"/>
      <c r="O26" s="294"/>
      <c r="P26" s="328"/>
    </row>
    <row r="27" s="249" customFormat="1" ht="18.75" customHeight="1" spans="1:16">
      <c r="A27" s="289" t="str">
        <f>'GDI-CI'!B28</f>
        <v>7.Container No#</v>
      </c>
      <c r="B27" s="290"/>
      <c r="C27" s="291"/>
      <c r="D27" s="336" t="str">
        <f>'GDI-CI'!D28</f>
        <v>8.Vessel</v>
      </c>
      <c r="E27" s="336"/>
      <c r="F27" s="337"/>
      <c r="G27" s="337" t="str">
        <f>'GDI-CI'!G28</f>
        <v>9.Sailing on or about</v>
      </c>
      <c r="H27" s="259"/>
      <c r="I27" s="259"/>
      <c r="J27" s="259"/>
      <c r="K27" s="259"/>
      <c r="L27" s="259"/>
      <c r="M27" s="293"/>
      <c r="N27" s="293"/>
      <c r="O27" s="327"/>
      <c r="P27" s="338"/>
    </row>
    <row r="28" ht="18.75" customHeight="1" spans="1:16">
      <c r="A28" s="339">
        <f>'GDI-CI'!B29</f>
        <v>0</v>
      </c>
      <c r="B28" s="340"/>
      <c r="C28" s="341"/>
      <c r="D28" s="342">
        <f>'GDI-CI'!D29</f>
        <v>0</v>
      </c>
      <c r="E28" s="342"/>
      <c r="F28" s="343"/>
      <c r="G28" s="344">
        <f>'GDI-CI'!G29</f>
        <v>0</v>
      </c>
      <c r="H28" s="259"/>
      <c r="I28" s="259"/>
      <c r="J28" s="259"/>
      <c r="K28" s="259"/>
      <c r="L28" s="259"/>
      <c r="M28" s="259"/>
      <c r="N28" s="259"/>
      <c r="O28" s="294"/>
      <c r="P28" s="338"/>
    </row>
    <row r="29" s="250" customFormat="1" ht="29.25" customHeight="1" spans="1:16">
      <c r="A29" s="345" t="s">
        <v>35</v>
      </c>
      <c r="B29" s="346"/>
      <c r="C29" s="346"/>
      <c r="D29" s="347" t="s">
        <v>36</v>
      </c>
      <c r="E29" s="348"/>
      <c r="F29" s="346" t="s">
        <v>37</v>
      </c>
      <c r="G29" s="349" t="s">
        <v>65</v>
      </c>
      <c r="H29" s="262"/>
      <c r="I29" s="261"/>
      <c r="J29" s="350" t="s">
        <v>66</v>
      </c>
      <c r="K29" s="351"/>
      <c r="L29" s="351"/>
      <c r="M29" s="351"/>
      <c r="N29" s="351"/>
      <c r="O29" s="352"/>
      <c r="P29" s="353"/>
    </row>
    <row r="30" s="251" customFormat="1" ht="54.95" customHeight="1" spans="1:16">
      <c r="A30" s="354"/>
      <c r="B30" s="355"/>
      <c r="C30" s="356"/>
      <c r="D30" s="356"/>
      <c r="E30" s="356"/>
      <c r="F30" s="355"/>
      <c r="G30" s="357">
        <f>[24]CI!D28</f>
        <v>0</v>
      </c>
      <c r="H30" s="358"/>
      <c r="I30" s="358"/>
      <c r="J30" s="359" t="s">
        <v>42</v>
      </c>
      <c r="K30" s="360" t="s">
        <v>43</v>
      </c>
      <c r="L30" s="360" t="s">
        <v>44</v>
      </c>
      <c r="M30" s="360" t="s">
        <v>45</v>
      </c>
      <c r="N30" s="361" t="s">
        <v>67</v>
      </c>
      <c r="O30" s="358"/>
    </row>
    <row r="31" s="252" customFormat="1" ht="16.5" customHeight="1" spans="1:16">
      <c r="A31" s="362" t="s">
        <v>46</v>
      </c>
      <c r="B31" s="363"/>
      <c r="C31" s="364"/>
      <c r="D31" s="364"/>
      <c r="E31" s="364"/>
      <c r="F31" s="363"/>
      <c r="G31" s="365">
        <f>[24]CI!D29</f>
        <v>0</v>
      </c>
      <c r="H31" s="366"/>
      <c r="I31" s="366"/>
      <c r="J31" s="367"/>
      <c r="K31" s="368"/>
      <c r="L31" s="368"/>
      <c r="M31" s="366"/>
      <c r="N31" s="368"/>
      <c r="O31" s="366"/>
    </row>
    <row r="32" s="253" customFormat="1" ht="16.5" customHeight="1" spans="1:16">
      <c r="A32" s="362" t="s">
        <v>47</v>
      </c>
      <c r="B32" s="363"/>
      <c r="C32" s="364"/>
      <c r="D32" s="364"/>
      <c r="E32" s="364"/>
      <c r="F32" s="363"/>
      <c r="G32" s="365">
        <f>[24]CI!D30</f>
        <v>0</v>
      </c>
      <c r="H32" s="369"/>
      <c r="I32" s="369"/>
      <c r="J32" s="367"/>
      <c r="K32" s="368"/>
      <c r="L32" s="368"/>
      <c r="M32" s="370"/>
      <c r="N32" s="368"/>
      <c r="O32" s="371"/>
    </row>
    <row r="33" s="253" customFormat="1" ht="16.5" customHeight="1" spans="1:23">
      <c r="A33" s="372">
        <f>[24]CI!B32</f>
        <v>0</v>
      </c>
      <c r="B33" s="363"/>
      <c r="C33" s="364"/>
      <c r="D33" s="364"/>
      <c r="E33" s="364"/>
      <c r="F33" s="363"/>
      <c r="G33" s="365">
        <f>[24]CI!D32</f>
        <v>0</v>
      </c>
      <c r="H33" s="373"/>
      <c r="I33" s="373"/>
      <c r="J33" s="374">
        <f>[24]CI!F32</f>
        <v>0</v>
      </c>
      <c r="K33" s="375">
        <f>[24]CI!G32</f>
        <v>0</v>
      </c>
      <c r="L33" s="375"/>
      <c r="M33" s="376">
        <f>J33</f>
        <v>0</v>
      </c>
      <c r="N33" s="375"/>
      <c r="O33" s="371"/>
      <c r="P33" s="377"/>
    </row>
    <row r="34" s="253" customFormat="1" ht="16.5" customHeight="1" spans="1:23">
      <c r="A34" s="372">
        <f>[24]CI!B33</f>
        <v>0</v>
      </c>
      <c r="B34" s="363"/>
      <c r="C34" s="364"/>
      <c r="D34" s="364"/>
      <c r="E34" s="364"/>
      <c r="F34" s="363"/>
      <c r="G34" s="365">
        <f>[24]CI!D33</f>
        <v>0</v>
      </c>
      <c r="H34" s="373"/>
      <c r="I34" s="373"/>
      <c r="J34" s="374">
        <f>[24]CI!F33</f>
        <v>0</v>
      </c>
      <c r="K34" s="375">
        <f>[24]CI!G33</f>
        <v>0</v>
      </c>
      <c r="L34" s="375"/>
      <c r="M34" s="376">
        <f>J34</f>
        <v>0</v>
      </c>
      <c r="N34" s="375"/>
      <c r="O34" s="371"/>
      <c r="P34" s="377"/>
    </row>
    <row r="35" s="253" customFormat="1" ht="59" customHeight="1" spans="1:23">
      <c r="A35" s="378">
        <f>'GDI-CI'!B35</f>
        <v>56</v>
      </c>
      <c r="B35" s="379"/>
      <c r="C35" s="380"/>
      <c r="D35" s="380" t="str">
        <f>'GDI-CI'!D35</f>
        <v>Body</v>
      </c>
      <c r="E35" s="380" t="str">
        <f>'GDI-CI'!E35</f>
        <v>Roll</v>
      </c>
      <c r="F35" s="303" t="str">
        <f>'GDI-CI'!F35</f>
        <v>GDI260819008
PO#KD00465
Ref#265K0127(1ST MB), S/769950</v>
      </c>
      <c r="G35" s="381" t="str">
        <f>'GDI-CI'!G35</f>
        <v>26S/1 60% BCI COTTON  40%POLYESTER  JERSEY (LACOSTE EDGE) 70/72“ 160GSM</v>
      </c>
      <c r="H35" s="382"/>
      <c r="I35" s="382" t="str">
        <f>'GDI-CI'!I35</f>
        <v>CALLA LILY DD 451  漂白</v>
      </c>
      <c r="J35" s="383">
        <f>'GDI-CI'!J35</f>
        <v>1225.6</v>
      </c>
      <c r="K35" s="384">
        <f>'GDI-CI'!K35</f>
        <v>4580.6</v>
      </c>
      <c r="L35" s="384">
        <f>'GDI-CI'!L35</f>
        <v>2701.9</v>
      </c>
      <c r="M35" s="385">
        <f>'GDI-CI'!M35</f>
        <v>4188.50064</v>
      </c>
      <c r="N35" s="384">
        <f>SUM('GDI-Total'!K14:K17)</f>
        <v>1236.8</v>
      </c>
      <c r="O35" s="371"/>
      <c r="P35" s="377"/>
    </row>
    <row r="36" s="253" customFormat="1" ht="59" customHeight="1" spans="1:23">
      <c r="A36" s="378">
        <f>'GDI-CI'!B36</f>
        <v>93</v>
      </c>
      <c r="B36" s="379"/>
      <c r="C36" s="380"/>
      <c r="D36" s="380" t="str">
        <f>'GDI-CI'!D36</f>
        <v>Body</v>
      </c>
      <c r="E36" s="380" t="str">
        <f>'GDI-CI'!E36</f>
        <v>Roll</v>
      </c>
      <c r="F36" s="303" t="str">
        <f>'GDI-CI'!F36</f>
        <v>GDI260819010
PO#KD00468
Ref#265K0125-A~D(1ST MB), S/416363</v>
      </c>
      <c r="G36" s="381" t="str">
        <f>'GDI-CI'!G36</f>
        <v>60% BETTER COTTON (BCI) 40% POLYESTER CONVENTIONAL  CVC 26S/1 JERSEY(LACOSTE EDGE) 70/72“ 160GSM</v>
      </c>
      <c r="H36" s="382"/>
      <c r="I36" s="382" t="str">
        <f>'GDI-CI'!I36</f>
        <v>CALLA LILY DD 451  漂白</v>
      </c>
      <c r="J36" s="383">
        <f>'GDI-CI'!J36</f>
        <v>2053.1</v>
      </c>
      <c r="K36" s="384">
        <f>'GDI-CI'!K36</f>
        <v>7673.7</v>
      </c>
      <c r="L36" s="384">
        <f>'GDI-CI'!L36</f>
        <v>4526.14</v>
      </c>
      <c r="M36" s="385">
        <f>'GDI-CI'!M36</f>
        <v>7016.83128</v>
      </c>
      <c r="N36" s="384">
        <f>SUM('GDI-Total'!K18:K20)</f>
        <v>2071.7</v>
      </c>
      <c r="O36" s="371"/>
      <c r="P36" s="377"/>
    </row>
    <row r="37" s="253" customFormat="1" ht="59" customHeight="1" spans="1:23">
      <c r="A37" s="378">
        <f>'GDI-CI'!B37</f>
        <v>30</v>
      </c>
      <c r="B37" s="379"/>
      <c r="C37" s="380"/>
      <c r="D37" s="380" t="str">
        <f>'GDI-CI'!D37</f>
        <v>Body</v>
      </c>
      <c r="E37" s="380" t="str">
        <f>'GDI-CI'!E37</f>
        <v>Roll</v>
      </c>
      <c r="F37" s="303" t="str">
        <f>'GDI-CI'!F37</f>
        <v>GDI260819010
PO#KD00468
Ref#265K0125-A~D(1ST MB), S/416363</v>
      </c>
      <c r="G37" s="381" t="str">
        <f>'GDI-CI'!G37</f>
        <v>60% BETTER COTTON (BCI) 40% POLYESTER CONVENTIONAL  CVC 30S/1 JERSEY(LACOSTE EDGE) 69/71" 145GSM</v>
      </c>
      <c r="H37" s="382"/>
      <c r="I37" s="382" t="str">
        <f>'GDI-CI'!I37</f>
        <v>BLACK JACK DD 400 黑色</v>
      </c>
      <c r="J37" s="383">
        <f>'GDI-CI'!J37</f>
        <v>670.1</v>
      </c>
      <c r="K37" s="384">
        <f>'GDI-CI'!K37</f>
        <v>2802.2</v>
      </c>
      <c r="L37" s="384">
        <f>'GDI-CI'!L37</f>
        <v>1477.22</v>
      </c>
      <c r="M37" s="385">
        <f>'GDI-CI'!M37</f>
        <v>2562.33168</v>
      </c>
      <c r="N37" s="384">
        <f>'GDI-Total'!K21</f>
        <v>676.1</v>
      </c>
      <c r="O37" s="371"/>
      <c r="P37" s="377"/>
    </row>
    <row r="38" s="253" customFormat="1" ht="59" customHeight="1" spans="1:23">
      <c r="A38" s="378">
        <f>'GDI-CI'!B38</f>
        <v>56</v>
      </c>
      <c r="B38" s="379"/>
      <c r="C38" s="380"/>
      <c r="D38" s="380" t="str">
        <f>'GDI-CI'!D38</f>
        <v>Body</v>
      </c>
      <c r="E38" s="380" t="str">
        <f>'GDI-CI'!E38</f>
        <v>Roll</v>
      </c>
      <c r="F38" s="303" t="str">
        <f>'GDI-CI'!F38</f>
        <v>GDI260819010
PO#KD00468
Ref#265K0125-A~D(1ST MB), S/416363</v>
      </c>
      <c r="G38" s="381" t="str">
        <f>'GDI-CI'!G38</f>
        <v>60% BETTER COTTON (BCI) 40% POLYESTER CONVENTIONAL  CVC 30S/1 JERSEY(LACOSTE EDGE) 69/71" 145GSM</v>
      </c>
      <c r="H38" s="382"/>
      <c r="I38" s="382" t="str">
        <f>'GDI-CI'!I38</f>
        <v>B25 FAUX HEATHER GREY (B25 PSD) B25单染涤</v>
      </c>
      <c r="J38" s="383">
        <f>'GDI-CI'!J38</f>
        <v>1234.2</v>
      </c>
      <c r="K38" s="384">
        <f>'GDI-CI'!K38</f>
        <v>5161.8</v>
      </c>
      <c r="L38" s="384">
        <f>'GDI-CI'!L38</f>
        <v>2720.83</v>
      </c>
      <c r="M38" s="385">
        <f>'GDI-CI'!M38</f>
        <v>4719.94992</v>
      </c>
      <c r="N38" s="384">
        <f>SUM('GDI-Total'!K22:K23)</f>
        <v>1245.4</v>
      </c>
      <c r="O38" s="371"/>
      <c r="P38" s="377"/>
    </row>
    <row r="39" s="253" customFormat="1" ht="59" customHeight="1" spans="1:23">
      <c r="A39" s="378">
        <f>'GDI-CI'!B39</f>
        <v>39</v>
      </c>
      <c r="B39" s="379"/>
      <c r="C39" s="380"/>
      <c r="D39" s="380" t="str">
        <f>'GDI-CI'!D39</f>
        <v>Body</v>
      </c>
      <c r="E39" s="380" t="str">
        <f>'GDI-CI'!E39</f>
        <v>Roll</v>
      </c>
      <c r="F39" s="303" t="str">
        <f>'GDI-CI'!F39</f>
        <v>GDI260819010
PO#KD00468
Ref#265K0125-A~D(1ST MB), S/416363</v>
      </c>
      <c r="G39" s="381" t="str">
        <f>'GDI-CI'!G39</f>
        <v>60% BETTER COTTON (BCI) 40% POLYESTER CONVENTIONAL  CVC 30S/1 JERSEY(LACOSTE EDGE) 69/71" 145GSM</v>
      </c>
      <c r="H39" s="382"/>
      <c r="I39" s="382" t="str">
        <f>'GDI-CI'!I39</f>
        <v>MONET BLUE DD 744 油画蓝</v>
      </c>
      <c r="J39" s="383">
        <f>'GDI-CI'!J39</f>
        <v>860.3</v>
      </c>
      <c r="K39" s="384">
        <f>'GDI-CI'!K39</f>
        <v>3597.8</v>
      </c>
      <c r="L39" s="384">
        <f>'GDI-CI'!L39</f>
        <v>1896.59</v>
      </c>
      <c r="M39" s="385">
        <f>'GDI-CI'!M39</f>
        <v>3289.82832</v>
      </c>
      <c r="N39" s="384">
        <f>'GDI-Total'!K24</f>
        <v>868.1</v>
      </c>
      <c r="O39" s="371"/>
      <c r="P39" s="377"/>
    </row>
    <row r="40" s="253" customFormat="1" ht="59" customHeight="1" spans="1:23">
      <c r="A40" s="378">
        <f>'GDI-CI'!B40</f>
        <v>40</v>
      </c>
      <c r="B40" s="379"/>
      <c r="C40" s="380"/>
      <c r="D40" s="380" t="str">
        <f>'GDI-CI'!D40</f>
        <v>Body</v>
      </c>
      <c r="E40" s="380" t="str">
        <f>'GDI-CI'!E40</f>
        <v>Roll</v>
      </c>
      <c r="F40" s="303" t="str">
        <f>'GDI-CI'!F40</f>
        <v>GDI260819010
PO#KD00468
Ref#265K0125-A~D(1ST MB), S/416363</v>
      </c>
      <c r="G40" s="381" t="str">
        <f>'GDI-CI'!G40</f>
        <v>60% BETTER COTTON (BCI) 40% POLYESTER CONVENTIONAL  CVC 30S/1 JERSEY(LACOSTE EDGE) 69/71" 145GSM</v>
      </c>
      <c r="H40" s="382"/>
      <c r="I40" s="382" t="str">
        <f>'GDI-CI'!I40</f>
        <v>PLANT LIFE DD 978 翡翠绿</v>
      </c>
      <c r="J40" s="383">
        <f>'GDI-CI'!J40</f>
        <v>880.3</v>
      </c>
      <c r="K40" s="384">
        <f>'GDI-CI'!K40</f>
        <v>3681.8</v>
      </c>
      <c r="L40" s="384">
        <f>'GDI-CI'!L40</f>
        <v>1940.63</v>
      </c>
      <c r="M40" s="385">
        <f>'GDI-CI'!M40</f>
        <v>3366.63792</v>
      </c>
      <c r="N40" s="384">
        <f>'GDI-Total'!K25</f>
        <v>888.3</v>
      </c>
      <c r="O40" s="371"/>
      <c r="P40" s="377"/>
    </row>
    <row r="41" s="253" customFormat="1" ht="59" customHeight="1" spans="1:23">
      <c r="A41" s="378">
        <f>'GDI-CI'!B41</f>
        <v>29</v>
      </c>
      <c r="B41" s="379"/>
      <c r="C41" s="380"/>
      <c r="D41" s="380" t="str">
        <f>'GDI-CI'!D41</f>
        <v>Body</v>
      </c>
      <c r="E41" s="380" t="str">
        <f>'GDI-CI'!E41</f>
        <v>Roll</v>
      </c>
      <c r="F41" s="303" t="str">
        <f>'GDI-CI'!F41</f>
        <v>GDI260819010
PO#KD00468
Ref#265K0125-A~D(1ST MB), S/416363</v>
      </c>
      <c r="G41" s="381" t="str">
        <f>'GDI-CI'!G41</f>
        <v>60% BETTER COTTON (BCI) 40% POLYESTER CONVENTIONAL  CVC 30S/1 JERSEY(LACOSTE EDGE) 69/71" 145GSM</v>
      </c>
      <c r="H41" s="382"/>
      <c r="I41" s="382" t="str">
        <f>'GDI-CI'!I41</f>
        <v>WINE STAIN DD 853 酒红</v>
      </c>
      <c r="J41" s="383">
        <f>'GDI-CI'!J41</f>
        <v>631.9</v>
      </c>
      <c r="K41" s="384">
        <f>'GDI-CI'!K41</f>
        <v>2642.9</v>
      </c>
      <c r="L41" s="384">
        <f>'GDI-CI'!L41</f>
        <v>1393.07</v>
      </c>
      <c r="M41" s="385">
        <f>'GDI-CI'!M41</f>
        <v>2416.66776</v>
      </c>
      <c r="N41" s="384">
        <f>'GDI-Total'!K26</f>
        <v>637.7</v>
      </c>
      <c r="O41" s="371"/>
      <c r="P41" s="377"/>
    </row>
    <row r="42" s="253" customFormat="1" ht="59" customHeight="1" spans="1:23">
      <c r="A42" s="378">
        <f>'GDI-CI'!B42</f>
        <v>41</v>
      </c>
      <c r="B42" s="379"/>
      <c r="C42" s="380"/>
      <c r="D42" s="380" t="str">
        <f>'GDI-CI'!D42</f>
        <v>Body</v>
      </c>
      <c r="E42" s="380" t="str">
        <f>'GDI-CI'!E42</f>
        <v>Bale</v>
      </c>
      <c r="F42" s="303" t="str">
        <f>'GDI-CI'!F42</f>
        <v>GDI260810010
PO#KD00452
Ref#265K0107-b , S/905994</v>
      </c>
      <c r="G42" s="381" t="str">
        <f>'GDI-CI'!G42</f>
        <v>60% BCI COTTON 40% RECYCLED POLYESTER 32S/1 JERSEY 69/71" 125GSM</v>
      </c>
      <c r="H42" s="382"/>
      <c r="I42" s="382" t="str">
        <f>'GDI-CI'!I42</f>
        <v>CLOUD COVER PSD 中灰色-单染涤</v>
      </c>
      <c r="J42" s="383">
        <f>'GDI-CI'!J42</f>
        <v>897.4</v>
      </c>
      <c r="K42" s="384">
        <f>'GDI-CI'!K42</f>
        <v>4353</v>
      </c>
      <c r="L42" s="384">
        <f>'GDI-CI'!L42</f>
        <v>1978.37</v>
      </c>
      <c r="M42" s="385">
        <f>'GDI-CI'!M42</f>
        <v>3980.3832</v>
      </c>
      <c r="N42" s="384">
        <f>SUM('GDI-Total'!K27:K29)</f>
        <v>905.6</v>
      </c>
      <c r="O42" s="371"/>
      <c r="P42" s="377"/>
    </row>
    <row r="43" s="253" customFormat="1" ht="59" customHeight="1" spans="1:23">
      <c r="A43" s="378">
        <f>'GDI-CI'!B43</f>
        <v>47</v>
      </c>
      <c r="B43" s="379"/>
      <c r="C43" s="380"/>
      <c r="D43" s="380" t="str">
        <f>'GDI-CI'!D43</f>
        <v>Body</v>
      </c>
      <c r="E43" s="380" t="str">
        <f>'GDI-CI'!E43</f>
        <v>Bale</v>
      </c>
      <c r="F43" s="303" t="str">
        <f>'GDI-CI'!F43</f>
        <v>GDI260904001
PO#KD00475
Ref#265K0093-Ba, S/878746</v>
      </c>
      <c r="G43" s="381" t="str">
        <f>'GDI-CI'!G43</f>
        <v>60% BCI COTTON 40% RECYCLED POLYESTER 32S/1 JERSEY 69/71“ 125GSM</v>
      </c>
      <c r="H43" s="382"/>
      <c r="I43" s="382" t="str">
        <f>'GDI-CI'!I43</f>
        <v>BLACK JACK 400 黑色</v>
      </c>
      <c r="J43" s="383">
        <f>'GDI-CI'!J43</f>
        <v>1021.8</v>
      </c>
      <c r="K43" s="384">
        <f>'GDI-CI'!K43</f>
        <v>4957.1</v>
      </c>
      <c r="L43" s="384">
        <f>'GDI-CI'!L43</f>
        <v>2252.64</v>
      </c>
      <c r="M43" s="385">
        <f>'GDI-CI'!M43</f>
        <v>4532.77224</v>
      </c>
      <c r="N43" s="384">
        <f>SUM('GDI-Total'!K30:K31)</f>
        <v>1031.2</v>
      </c>
      <c r="O43" s="371"/>
      <c r="P43" s="377"/>
    </row>
    <row r="44" s="253" customFormat="1" ht="59" customHeight="1" spans="1:23">
      <c r="A44" s="378">
        <f>'GDI-CI'!B44</f>
        <v>7</v>
      </c>
      <c r="B44" s="379"/>
      <c r="C44" s="380"/>
      <c r="D44" s="380" t="str">
        <f>'GDI-CI'!D44</f>
        <v>Body</v>
      </c>
      <c r="E44" s="380" t="str">
        <f>'GDI-CI'!E44</f>
        <v>Bale</v>
      </c>
      <c r="F44" s="303" t="str">
        <f>'GDI-CI'!F44</f>
        <v>GDI260904002
PO#KD00474
Ref#265K0092 -Ba, S/867788</v>
      </c>
      <c r="G44" s="381" t="str">
        <f>'GDI-CI'!G44</f>
        <v>60% BCI COTTON 40% RECYCLED POLYESTER 32S/1 JERSEY 69/71“ 125GSM</v>
      </c>
      <c r="H44" s="382"/>
      <c r="I44" s="382" t="str">
        <f>'GDI-CI'!I44</f>
        <v>BLACK JACK 400 黑色</v>
      </c>
      <c r="J44" s="383">
        <f>'GDI-CI'!J44</f>
        <v>155.7</v>
      </c>
      <c r="K44" s="384">
        <f>'GDI-CI'!K44</f>
        <v>755.3</v>
      </c>
      <c r="L44" s="384">
        <f>'GDI-CI'!L44</f>
        <v>343.26</v>
      </c>
      <c r="M44" s="385">
        <f>'GDI-CI'!M44</f>
        <v>690.64632</v>
      </c>
      <c r="N44" s="384">
        <f>SUM('GDI-Total'!K32:K32)</f>
        <v>157.1</v>
      </c>
      <c r="O44" s="371"/>
      <c r="P44" s="377"/>
    </row>
    <row r="45" s="253" customFormat="1" ht="59" customHeight="1" spans="1:23">
      <c r="A45" s="378">
        <f>'GDI-CI'!B45</f>
        <v>21</v>
      </c>
      <c r="B45" s="379"/>
      <c r="C45" s="380"/>
      <c r="D45" s="380" t="str">
        <f>'GDI-CI'!D45</f>
        <v>Body</v>
      </c>
      <c r="E45" s="380" t="str">
        <f>'GDI-CI'!E45</f>
        <v>Bale</v>
      </c>
      <c r="F45" s="303" t="str">
        <f>'GDI-CI'!F45</f>
        <v>GDI260904002
PO#KD00474
Ref#265K0092 -Ba, S/867788</v>
      </c>
      <c r="G45" s="381" t="str">
        <f>'GDI-CI'!G45</f>
        <v>60% BCI COTTON 40% RECYCLED POLYESTER 32S/1 JERSEY 69/71“ 125GSM</v>
      </c>
      <c r="H45" s="382"/>
      <c r="I45" s="382" t="str">
        <f>'GDI-CI'!I45</f>
        <v>BLUSH HUE 257 粉红色</v>
      </c>
      <c r="J45" s="383">
        <f>'GDI-CI'!J45</f>
        <v>452.2</v>
      </c>
      <c r="K45" s="384">
        <f>'GDI-CI'!K45</f>
        <v>2193.7</v>
      </c>
      <c r="L45" s="384">
        <f>'GDI-CI'!L45</f>
        <v>996.92</v>
      </c>
      <c r="M45" s="385">
        <f>'GDI-CI'!M45</f>
        <v>2005.91928</v>
      </c>
      <c r="N45" s="384">
        <f>SUM('GDI-Total'!K33:K35)</f>
        <v>456.4</v>
      </c>
      <c r="O45" s="371"/>
      <c r="P45" s="377"/>
    </row>
    <row r="46" s="253" customFormat="1" ht="59" customHeight="1" spans="1:23">
      <c r="A46" s="378">
        <f>'GDI-CI'!B46</f>
        <v>26</v>
      </c>
      <c r="B46" s="379"/>
      <c r="C46" s="380"/>
      <c r="D46" s="380" t="str">
        <f>'GDI-CI'!D46</f>
        <v>Body</v>
      </c>
      <c r="E46" s="380" t="str">
        <f>'GDI-CI'!E46</f>
        <v>Bale</v>
      </c>
      <c r="F46" s="303" t="str">
        <f>'GDI-CI'!F46</f>
        <v>GDI260904002
PO#KD00474
Ref#265K0092 -Ba, S/867788</v>
      </c>
      <c r="G46" s="381" t="str">
        <f>'GDI-CI'!G46</f>
        <v>60% BCI COTTON 40% POLYESTER 32S/1 JERSEY(LACOSTE EDGE) 62/64" 145GSM</v>
      </c>
      <c r="H46" s="382"/>
      <c r="I46" s="382" t="str">
        <f>'GDI-CI'!I46</f>
        <v>CALLA LILY 451  漂白</v>
      </c>
      <c r="J46" s="383">
        <f>'GDI-CI'!J46</f>
        <v>563.3</v>
      </c>
      <c r="K46" s="384">
        <f>'GDI-CI'!K46</f>
        <v>2613.3</v>
      </c>
      <c r="L46" s="384">
        <f>'GDI-CI'!L46</f>
        <v>1241.81</v>
      </c>
      <c r="M46" s="385">
        <f>'GDI-CI'!M46</f>
        <v>2389.60152</v>
      </c>
      <c r="N46" s="384">
        <f>SUM('GDI-Total'!K36:K37)</f>
        <v>568.5</v>
      </c>
      <c r="O46" s="371"/>
      <c r="P46" s="377"/>
    </row>
    <row r="47" s="253" customFormat="1" ht="59" customHeight="1" spans="1:23">
      <c r="A47" s="378">
        <f>'GDI-CI'!B47</f>
        <v>4</v>
      </c>
      <c r="B47" s="379"/>
      <c r="C47" s="380"/>
      <c r="D47" s="380" t="str">
        <f>'GDI-CI'!D47</f>
        <v>Body</v>
      </c>
      <c r="E47" s="380" t="str">
        <f>'GDI-CI'!E47</f>
        <v>Roll</v>
      </c>
      <c r="F47" s="303" t="str">
        <f>'GDI-CI'!F47</f>
        <v>SIOB260507007
PO#KD00433
Ref#265K0077-2ND MB  S/767468</v>
      </c>
      <c r="G47" s="381" t="str">
        <f>'GDI-CI'!G47</f>
        <v>60% BCI COTTON 40%POLYESTER 26S/1 JERSEY (LACOSTE EDGE) 70/72" 160GSM</v>
      </c>
      <c r="H47" s="382"/>
      <c r="I47" s="382" t="str">
        <f>'GDI-CI'!I47</f>
        <v>BLACK JACK 400 黑色</v>
      </c>
      <c r="J47" s="383">
        <f>'GDI-CI'!J47</f>
        <v>68.1</v>
      </c>
      <c r="K47" s="384">
        <f>'GDI-CI'!K47</f>
        <v>254.5</v>
      </c>
      <c r="L47" s="384">
        <f>'GDI-CI'!L47</f>
        <v>150.14</v>
      </c>
      <c r="M47" s="385">
        <f>'GDI-CI'!M47</f>
        <v>232.7148</v>
      </c>
      <c r="N47" s="384">
        <f>'GDI-Total'!K38</f>
        <v>68.9</v>
      </c>
      <c r="O47" s="371"/>
      <c r="P47" s="377"/>
    </row>
    <row r="48" s="254" customFormat="1" ht="16.5" customHeight="1" spans="1:23">
      <c r="A48" s="378">
        <f>'GDI-CI'!B48</f>
        <v>0</v>
      </c>
      <c r="B48" s="379"/>
      <c r="C48" s="380"/>
      <c r="D48" s="380">
        <f>'GDI-CI'!D48</f>
        <v>0</v>
      </c>
      <c r="E48" s="380">
        <f>'GDI-CI'!E48</f>
        <v>0</v>
      </c>
      <c r="F48" s="303">
        <f>'GDI-CI'!F48</f>
        <v>0</v>
      </c>
      <c r="G48" s="381">
        <f>'GDI-CI'!G48</f>
        <v>0</v>
      </c>
      <c r="H48" s="382"/>
      <c r="I48" s="382">
        <f>'GDI-CI'!I48</f>
        <v>0</v>
      </c>
      <c r="J48" s="383">
        <f>'GDI-CI'!J48</f>
        <v>0</v>
      </c>
      <c r="K48" s="384">
        <f>'GDI-CI'!K48</f>
        <v>0</v>
      </c>
      <c r="L48" s="384">
        <f>'GDI-CI'!L48</f>
        <v>0</v>
      </c>
      <c r="M48" s="385">
        <f>'GDI-CI'!M48</f>
        <v>0</v>
      </c>
      <c r="N48" s="386"/>
      <c r="O48" s="387"/>
      <c r="P48" s="388"/>
      <c r="R48" s="389"/>
      <c r="S48" s="389"/>
      <c r="T48" s="389"/>
      <c r="U48" s="389"/>
      <c r="V48" s="389"/>
      <c r="W48" s="389"/>
    </row>
    <row r="49" s="255" customFormat="1" ht="25.5" customHeight="1" spans="1:23">
      <c r="A49" s="390">
        <f>'GDI-CI'!B49</f>
        <v>489</v>
      </c>
      <c r="B49" s="391"/>
      <c r="C49" s="392"/>
      <c r="D49" s="391"/>
      <c r="E49" s="391"/>
      <c r="F49" s="391"/>
      <c r="G49" s="393" t="s">
        <v>57</v>
      </c>
      <c r="H49" s="394"/>
      <c r="I49" s="395"/>
      <c r="J49" s="396">
        <f>SUM(J33:J48)</f>
        <v>10714</v>
      </c>
      <c r="K49" s="396">
        <f>SUM(K33:K48)</f>
        <v>45267.7</v>
      </c>
      <c r="L49" s="396">
        <f>SUM(L33:L48)</f>
        <v>23619.52</v>
      </c>
      <c r="M49" s="396">
        <f>SUM(M33:M48)</f>
        <v>41392.78488</v>
      </c>
      <c r="N49" s="397">
        <f>SUM(N33:N48)</f>
        <v>10811.8</v>
      </c>
      <c r="O49" s="398"/>
      <c r="P49" s="399"/>
      <c r="R49" s="400"/>
      <c r="S49" s="400"/>
      <c r="T49" s="400"/>
      <c r="U49" s="400"/>
      <c r="V49" s="400"/>
      <c r="W49" s="400"/>
    </row>
    <row r="50" spans="1:23">
      <c r="A50" s="401"/>
      <c r="B50" s="402"/>
      <c r="C50" s="264"/>
      <c r="D50" s="264"/>
      <c r="E50" s="264"/>
      <c r="F50" s="264"/>
      <c r="G50" s="403"/>
      <c r="H50" s="403"/>
      <c r="I50" s="403"/>
      <c r="J50" s="404"/>
      <c r="K50" s="404"/>
      <c r="L50" s="404"/>
      <c r="M50" s="405"/>
      <c r="N50" s="406"/>
      <c r="O50" s="407"/>
      <c r="P50" s="408"/>
      <c r="R50" s="259"/>
      <c r="S50" s="259"/>
      <c r="T50" s="259"/>
      <c r="U50" s="259"/>
      <c r="V50" s="259"/>
      <c r="W50" s="259"/>
    </row>
    <row r="51" spans="1:23">
      <c r="A51" s="409"/>
      <c r="B51" s="410"/>
      <c r="C51" s="259"/>
      <c r="D51" s="259"/>
      <c r="E51" s="259"/>
      <c r="F51" s="259"/>
      <c r="G51" s="411"/>
      <c r="H51" s="411"/>
      <c r="I51" s="411"/>
      <c r="J51" s="412"/>
      <c r="K51" s="412"/>
      <c r="L51" s="412"/>
      <c r="M51" s="413"/>
      <c r="N51" s="414"/>
      <c r="O51" s="415"/>
      <c r="P51" s="408"/>
      <c r="R51" s="259"/>
      <c r="S51" s="259"/>
      <c r="T51" s="259"/>
      <c r="U51" s="259"/>
      <c r="V51" s="259"/>
      <c r="W51" s="259"/>
    </row>
    <row r="52" ht="16.8" spans="1:23">
      <c r="A52" s="416"/>
      <c r="B52" s="417"/>
      <c r="C52" s="417"/>
      <c r="D52" s="417"/>
      <c r="E52" s="417"/>
      <c r="F52" s="417"/>
      <c r="G52" s="418"/>
      <c r="H52" s="259"/>
      <c r="I52" s="259"/>
      <c r="J52" s="419"/>
      <c r="K52" s="419"/>
      <c r="L52" s="419"/>
      <c r="M52" s="420"/>
      <c r="N52" s="420"/>
      <c r="O52" s="421"/>
      <c r="P52" s="408"/>
      <c r="Q52" s="181" t="s">
        <v>58</v>
      </c>
      <c r="R52" s="181" t="s">
        <v>59</v>
      </c>
      <c r="S52" s="181" t="s">
        <v>60</v>
      </c>
      <c r="T52" s="181" t="s">
        <v>61</v>
      </c>
      <c r="U52" s="181" t="s">
        <v>68</v>
      </c>
      <c r="V52" s="259"/>
      <c r="W52" s="259"/>
    </row>
    <row r="53" ht="16.8" spans="1:23">
      <c r="A53" s="409"/>
      <c r="B53" s="410"/>
      <c r="C53" s="417"/>
      <c r="D53" s="417"/>
      <c r="E53" s="417"/>
      <c r="F53" s="417"/>
      <c r="G53" s="422"/>
      <c r="H53" s="259"/>
      <c r="I53" s="259"/>
      <c r="J53" s="423"/>
      <c r="K53" s="423"/>
      <c r="L53" s="423"/>
      <c r="M53" s="420"/>
      <c r="N53" s="420"/>
      <c r="O53" s="421"/>
      <c r="P53" s="408"/>
      <c r="Q53" s="181" t="b">
        <f>A49='GDI-Total'!G39</f>
        <v>1</v>
      </c>
      <c r="R53" s="181" t="b">
        <f>J49='GDI-Total'!H39</f>
        <v>1</v>
      </c>
      <c r="S53" s="181" t="b">
        <f>K49='GDI-Total'!I39</f>
        <v>1</v>
      </c>
      <c r="T53" s="181" t="b">
        <f>L49='GDI-Total'!J39</f>
        <v>1</v>
      </c>
      <c r="U53" s="181" t="b">
        <f>N49='GDI-Total'!K39</f>
        <v>1</v>
      </c>
      <c r="V53" s="259"/>
      <c r="W53" s="259"/>
    </row>
    <row r="54" spans="1:23">
      <c r="A54" s="409"/>
      <c r="B54" s="417"/>
      <c r="C54" s="417"/>
      <c r="D54" s="417"/>
      <c r="E54" s="417"/>
      <c r="F54" s="417"/>
      <c r="G54" s="417"/>
      <c r="H54" s="259"/>
      <c r="I54" s="259"/>
      <c r="J54" s="424"/>
      <c r="K54" s="424"/>
      <c r="L54" s="424"/>
      <c r="M54" s="424"/>
      <c r="N54" s="259"/>
      <c r="O54" s="421"/>
      <c r="P54" s="408"/>
      <c r="R54" s="259"/>
      <c r="S54" s="259"/>
      <c r="T54" s="259"/>
      <c r="U54" s="259"/>
      <c r="V54" s="259"/>
      <c r="W54" s="259"/>
    </row>
    <row r="55" spans="1:23">
      <c r="A55" s="409"/>
      <c r="B55" s="417"/>
      <c r="C55" s="417"/>
      <c r="D55" s="417"/>
      <c r="E55" s="417"/>
      <c r="F55" s="417"/>
      <c r="G55" s="417"/>
      <c r="H55" s="259"/>
      <c r="I55" s="259"/>
      <c r="J55" s="425"/>
      <c r="K55" s="425"/>
      <c r="L55" s="425"/>
      <c r="M55" s="424"/>
      <c r="N55" s="426"/>
      <c r="O55" s="421"/>
      <c r="P55" s="408"/>
      <c r="R55" s="259"/>
      <c r="S55" s="259"/>
      <c r="T55" s="259"/>
      <c r="U55" s="259"/>
      <c r="V55" s="259"/>
      <c r="W55" s="259"/>
    </row>
    <row r="56" spans="1:23">
      <c r="A56" s="409"/>
      <c r="B56" s="417"/>
      <c r="C56" s="417"/>
      <c r="D56" s="417"/>
      <c r="E56" s="417"/>
      <c r="F56" s="417"/>
      <c r="G56" s="417"/>
      <c r="H56" s="259"/>
      <c r="I56" s="259"/>
      <c r="J56" s="425"/>
      <c r="K56" s="425"/>
      <c r="L56" s="425"/>
      <c r="M56" s="424"/>
      <c r="N56" s="426"/>
      <c r="O56" s="421"/>
      <c r="P56" s="408"/>
      <c r="R56" s="259"/>
      <c r="S56" s="259"/>
      <c r="T56" s="259"/>
      <c r="U56" s="259"/>
      <c r="V56" s="259"/>
      <c r="W56" s="259"/>
    </row>
    <row r="57" spans="1:23">
      <c r="A57" s="409"/>
      <c r="B57" s="417"/>
      <c r="C57" s="417"/>
      <c r="D57" s="417"/>
      <c r="E57" s="417"/>
      <c r="F57" s="417"/>
      <c r="G57" s="427"/>
      <c r="H57" s="428"/>
      <c r="I57" s="428"/>
      <c r="J57" s="425"/>
      <c r="K57" s="425"/>
      <c r="L57" s="425"/>
      <c r="M57" s="424"/>
      <c r="N57" s="426"/>
      <c r="O57" s="421"/>
      <c r="P57" s="429"/>
      <c r="R57" s="259"/>
      <c r="S57" s="259"/>
      <c r="T57" s="259"/>
      <c r="U57" s="259"/>
      <c r="V57" s="259"/>
      <c r="W57" s="259"/>
    </row>
    <row r="58" spans="1:23">
      <c r="A58" s="409"/>
      <c r="B58" s="430"/>
      <c r="C58" s="430"/>
      <c r="D58" s="430"/>
      <c r="E58" s="430"/>
      <c r="F58" s="430"/>
      <c r="G58" s="420"/>
      <c r="H58" s="428"/>
      <c r="I58" s="428"/>
      <c r="J58" s="425"/>
      <c r="K58" s="425"/>
      <c r="L58" s="425"/>
      <c r="M58" s="424"/>
      <c r="N58" s="259"/>
      <c r="O58" s="421"/>
      <c r="P58" s="429"/>
      <c r="Q58" s="259"/>
      <c r="R58" s="419"/>
      <c r="S58" s="426"/>
      <c r="T58" s="426"/>
      <c r="U58" s="426"/>
      <c r="V58" s="259"/>
      <c r="W58" s="259"/>
    </row>
    <row r="59" spans="1:23">
      <c r="A59" s="409"/>
      <c r="B59" s="430"/>
      <c r="C59" s="420"/>
      <c r="D59" s="420"/>
      <c r="E59" s="420"/>
      <c r="F59" s="420"/>
      <c r="G59" s="259"/>
      <c r="H59" s="259"/>
      <c r="I59" s="259"/>
      <c r="J59" s="431"/>
      <c r="K59" s="431"/>
      <c r="L59" s="431"/>
      <c r="M59" s="431"/>
      <c r="N59" s="259"/>
      <c r="O59" s="421"/>
      <c r="P59" s="429"/>
      <c r="Q59" s="430"/>
      <c r="R59" s="423"/>
      <c r="S59" s="426"/>
      <c r="T59" s="426"/>
      <c r="U59" s="426"/>
      <c r="V59" s="259"/>
      <c r="W59" s="259"/>
    </row>
    <row r="60" ht="18" customHeight="1" spans="1:23">
      <c r="A60" s="409"/>
      <c r="B60" s="430"/>
      <c r="C60" s="430"/>
      <c r="D60" s="430"/>
      <c r="E60" s="430"/>
      <c r="F60" s="430"/>
      <c r="G60" s="259"/>
      <c r="H60" s="259"/>
      <c r="I60" s="259"/>
      <c r="J60" s="431"/>
      <c r="K60" s="431"/>
      <c r="L60" s="431"/>
      <c r="M60" s="432"/>
      <c r="N60" s="259"/>
      <c r="O60" s="433"/>
      <c r="Q60" s="417"/>
      <c r="R60" s="417"/>
      <c r="S60" s="417"/>
      <c r="T60" s="417"/>
      <c r="U60" s="259"/>
      <c r="V60" s="259"/>
      <c r="W60" s="259"/>
    </row>
    <row r="61" ht="18" customHeight="1" spans="1:23">
      <c r="A61" s="409"/>
      <c r="B61" s="430"/>
      <c r="C61" s="430"/>
      <c r="D61" s="430"/>
      <c r="E61" s="430"/>
      <c r="F61" s="430"/>
      <c r="G61" s="259"/>
      <c r="H61" s="259"/>
      <c r="I61" s="259"/>
      <c r="J61" s="431"/>
      <c r="K61" s="431"/>
      <c r="L61" s="431"/>
      <c r="M61" s="434"/>
      <c r="N61" s="259"/>
      <c r="O61" s="433"/>
      <c r="Q61" s="417"/>
      <c r="R61" s="417"/>
      <c r="S61" s="417"/>
      <c r="T61" s="417"/>
      <c r="U61" s="259"/>
      <c r="V61" s="259"/>
      <c r="W61" s="259"/>
    </row>
    <row r="62" ht="18" customHeight="1" spans="1:23">
      <c r="A62" s="409"/>
      <c r="B62" s="430"/>
      <c r="C62" s="430"/>
      <c r="D62" s="430"/>
      <c r="E62" s="430"/>
      <c r="F62" s="430"/>
      <c r="G62" s="259"/>
      <c r="H62" s="259"/>
      <c r="I62" s="259"/>
      <c r="J62" s="435"/>
      <c r="K62" s="435"/>
      <c r="L62" s="435"/>
      <c r="M62" s="423"/>
      <c r="N62" s="436"/>
      <c r="O62" s="433"/>
      <c r="Q62" s="417"/>
      <c r="R62" s="417"/>
      <c r="S62" s="417"/>
      <c r="T62" s="417"/>
      <c r="U62" s="259"/>
      <c r="V62" s="259"/>
      <c r="W62" s="259"/>
    </row>
    <row r="63" spans="1:23">
      <c r="A63" s="437"/>
      <c r="B63" s="438" t="s">
        <v>7</v>
      </c>
      <c r="C63" s="293"/>
      <c r="D63" s="293"/>
      <c r="E63" s="293"/>
      <c r="F63" s="293"/>
      <c r="G63" s="335"/>
      <c r="H63" s="259"/>
      <c r="I63" s="259"/>
      <c r="J63" s="259"/>
      <c r="K63" s="259"/>
      <c r="L63" s="259"/>
      <c r="M63" s="420"/>
      <c r="N63" s="259"/>
      <c r="O63" s="294"/>
      <c r="R63" s="259"/>
      <c r="S63" s="259"/>
      <c r="T63" s="259"/>
      <c r="U63" s="259"/>
      <c r="V63" s="259"/>
      <c r="W63" s="259"/>
    </row>
    <row r="64" ht="16.35" spans="1:23">
      <c r="A64" s="439" t="s">
        <v>69</v>
      </c>
      <c r="B64" s="440"/>
      <c r="C64" s="441"/>
      <c r="D64" s="441"/>
      <c r="E64" s="441"/>
      <c r="F64" s="441"/>
      <c r="G64" s="442"/>
      <c r="H64" s="441"/>
      <c r="I64" s="441"/>
      <c r="J64" s="443"/>
      <c r="K64" s="443"/>
      <c r="L64" s="443"/>
      <c r="M64" s="444"/>
      <c r="N64" s="441"/>
      <c r="O64" s="445"/>
      <c r="R64" s="259"/>
      <c r="S64" s="259"/>
      <c r="T64" s="259"/>
      <c r="U64" s="259"/>
      <c r="V64" s="259"/>
      <c r="W64" s="259"/>
    </row>
    <row r="65" ht="13.5" customHeight="1" spans="1:23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R65" s="259"/>
      <c r="S65" s="259"/>
      <c r="T65" s="259"/>
      <c r="U65" s="259"/>
      <c r="V65" s="259"/>
      <c r="W65" s="259"/>
    </row>
    <row r="66" spans="1:23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R66" s="259"/>
      <c r="S66" s="259"/>
      <c r="T66" s="259"/>
      <c r="U66" s="259"/>
      <c r="V66" s="259"/>
      <c r="W66" s="259"/>
    </row>
    <row r="67" spans="1:23">
      <c r="R67" s="259"/>
      <c r="S67" s="259"/>
      <c r="T67" s="259"/>
      <c r="U67" s="259"/>
      <c r="V67" s="259"/>
      <c r="W67" s="259"/>
    </row>
  </sheetData>
  <autoFilter xmlns:etc="http://www.wps.cn/officeDocument/2017/etCustomData" ref="A26:N49" etc:filterBottomFollowUsedRange="0">
    <extLst/>
  </autoFilter>
  <mergeCells count="75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G45:H45"/>
    <mergeCell ref="A46:C46"/>
    <mergeCell ref="G46:H46"/>
    <mergeCell ref="A47:C47"/>
    <mergeCell ref="G47:H47"/>
    <mergeCell ref="A48:C48"/>
    <mergeCell ref="G48:H48"/>
    <mergeCell ref="A49:C49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.2"/>
  <cols>
    <col min="1" max="1" width="32.5648148148148" style="118" customWidth="1"/>
    <col min="2" max="2" width="13.1388888888889" style="118" customWidth="1"/>
    <col min="3" max="3" width="15.5648148148148" style="118" customWidth="1"/>
    <col min="4" max="4" width="5.86111111111111" style="118" customWidth="1"/>
    <col min="5" max="5" width="15.8611111111111" style="118" customWidth="1"/>
    <col min="6" max="6" width="22.1388888888889" style="118" customWidth="1"/>
    <col min="7" max="7" width="22.5648148148148" style="118" customWidth="1"/>
    <col min="8" max="8" width="21.1388888888889" style="118" customWidth="1"/>
    <col min="9" max="9" width="0.564814814814815" style="118" customWidth="1"/>
    <col min="10" max="10" width="9.13888888888889" style="118"/>
    <col min="11" max="11" width="15.4259259259259" style="118" customWidth="1"/>
    <col min="12" max="254" width="9.13888888888889" style="118"/>
    <col min="255" max="255" width="32.5648148148148" style="118" customWidth="1"/>
    <col min="256" max="256" width="13.1388888888889" style="118" customWidth="1"/>
    <col min="257" max="257" width="15.5648148148148" style="118" customWidth="1"/>
    <col min="258" max="258" width="5.86111111111111" style="118" customWidth="1"/>
    <col min="259" max="259" width="15.8611111111111" style="118" customWidth="1"/>
    <col min="260" max="260" width="14.5648148148148" style="118" customWidth="1"/>
    <col min="261" max="261" width="17.8611111111111" style="118" customWidth="1"/>
    <col min="262" max="262" width="18.1388888888889" style="118" customWidth="1"/>
    <col min="263" max="263" width="22.5648148148148" style="118" customWidth="1"/>
    <col min="264" max="264" width="21.1388888888889" style="118" customWidth="1"/>
    <col min="265" max="265" width="0.564814814814815" style="118" customWidth="1"/>
    <col min="266" max="266" width="9.13888888888889" style="118"/>
    <col min="267" max="267" width="15.4259259259259" style="118" customWidth="1"/>
    <col min="268" max="510" width="9.13888888888889" style="118"/>
    <col min="511" max="511" width="32.5648148148148" style="118" customWidth="1"/>
    <col min="512" max="512" width="13.1388888888889" style="118" customWidth="1"/>
    <col min="513" max="513" width="15.5648148148148" style="118" customWidth="1"/>
    <col min="514" max="514" width="5.86111111111111" style="118" customWidth="1"/>
    <col min="515" max="515" width="15.8611111111111" style="118" customWidth="1"/>
    <col min="516" max="516" width="14.5648148148148" style="118" customWidth="1"/>
    <col min="517" max="517" width="17.8611111111111" style="118" customWidth="1"/>
    <col min="518" max="518" width="18.1388888888889" style="118" customWidth="1"/>
    <col min="519" max="519" width="22.5648148148148" style="118" customWidth="1"/>
    <col min="520" max="520" width="21.1388888888889" style="118" customWidth="1"/>
    <col min="521" max="521" width="0.564814814814815" style="118" customWidth="1"/>
    <col min="522" max="522" width="9.13888888888889" style="118"/>
    <col min="523" max="523" width="15.4259259259259" style="118" customWidth="1"/>
    <col min="524" max="766" width="9.13888888888889" style="118"/>
    <col min="767" max="767" width="32.5648148148148" style="118" customWidth="1"/>
    <col min="768" max="768" width="13.1388888888889" style="118" customWidth="1"/>
    <col min="769" max="769" width="15.5648148148148" style="118" customWidth="1"/>
    <col min="770" max="770" width="5.86111111111111" style="118" customWidth="1"/>
    <col min="771" max="771" width="15.8611111111111" style="118" customWidth="1"/>
    <col min="772" max="772" width="14.5648148148148" style="118" customWidth="1"/>
    <col min="773" max="773" width="17.8611111111111" style="118" customWidth="1"/>
    <col min="774" max="774" width="18.1388888888889" style="118" customWidth="1"/>
    <col min="775" max="775" width="22.5648148148148" style="118" customWidth="1"/>
    <col min="776" max="776" width="21.1388888888889" style="118" customWidth="1"/>
    <col min="777" max="777" width="0.564814814814815" style="118" customWidth="1"/>
    <col min="778" max="778" width="9.13888888888889" style="118"/>
    <col min="779" max="779" width="15.4259259259259" style="118" customWidth="1"/>
    <col min="780" max="1022" width="9.13888888888889" style="118"/>
    <col min="1023" max="1023" width="32.5648148148148" style="118" customWidth="1"/>
    <col min="1024" max="1024" width="13.1388888888889" style="118" customWidth="1"/>
    <col min="1025" max="1025" width="15.5648148148148" style="118" customWidth="1"/>
    <col min="1026" max="1026" width="5.86111111111111" style="118" customWidth="1"/>
    <col min="1027" max="1027" width="15.8611111111111" style="118" customWidth="1"/>
    <col min="1028" max="1028" width="14.5648148148148" style="118" customWidth="1"/>
    <col min="1029" max="1029" width="17.8611111111111" style="118" customWidth="1"/>
    <col min="1030" max="1030" width="18.1388888888889" style="118" customWidth="1"/>
    <col min="1031" max="1031" width="22.5648148148148" style="118" customWidth="1"/>
    <col min="1032" max="1032" width="21.1388888888889" style="118" customWidth="1"/>
    <col min="1033" max="1033" width="0.564814814814815" style="118" customWidth="1"/>
    <col min="1034" max="1034" width="9.13888888888889" style="118"/>
    <col min="1035" max="1035" width="15.4259259259259" style="118" customWidth="1"/>
    <col min="1036" max="1278" width="9.13888888888889" style="118"/>
    <col min="1279" max="1279" width="32.5648148148148" style="118" customWidth="1"/>
    <col min="1280" max="1280" width="13.1388888888889" style="118" customWidth="1"/>
    <col min="1281" max="1281" width="15.5648148148148" style="118" customWidth="1"/>
    <col min="1282" max="1282" width="5.86111111111111" style="118" customWidth="1"/>
    <col min="1283" max="1283" width="15.8611111111111" style="118" customWidth="1"/>
    <col min="1284" max="1284" width="14.5648148148148" style="118" customWidth="1"/>
    <col min="1285" max="1285" width="17.8611111111111" style="118" customWidth="1"/>
    <col min="1286" max="1286" width="18.1388888888889" style="118" customWidth="1"/>
    <col min="1287" max="1287" width="22.5648148148148" style="118" customWidth="1"/>
    <col min="1288" max="1288" width="21.1388888888889" style="118" customWidth="1"/>
    <col min="1289" max="1289" width="0.564814814814815" style="118" customWidth="1"/>
    <col min="1290" max="1290" width="9.13888888888889" style="118"/>
    <col min="1291" max="1291" width="15.4259259259259" style="118" customWidth="1"/>
    <col min="1292" max="1534" width="9.13888888888889" style="118"/>
    <col min="1535" max="1535" width="32.5648148148148" style="118" customWidth="1"/>
    <col min="1536" max="1536" width="13.1388888888889" style="118" customWidth="1"/>
    <col min="1537" max="1537" width="15.5648148148148" style="118" customWidth="1"/>
    <col min="1538" max="1538" width="5.86111111111111" style="118" customWidth="1"/>
    <col min="1539" max="1539" width="15.8611111111111" style="118" customWidth="1"/>
    <col min="1540" max="1540" width="14.5648148148148" style="118" customWidth="1"/>
    <col min="1541" max="1541" width="17.8611111111111" style="118" customWidth="1"/>
    <col min="1542" max="1542" width="18.1388888888889" style="118" customWidth="1"/>
    <col min="1543" max="1543" width="22.5648148148148" style="118" customWidth="1"/>
    <col min="1544" max="1544" width="21.1388888888889" style="118" customWidth="1"/>
    <col min="1545" max="1545" width="0.564814814814815" style="118" customWidth="1"/>
    <col min="1546" max="1546" width="9.13888888888889" style="118"/>
    <col min="1547" max="1547" width="15.4259259259259" style="118" customWidth="1"/>
    <col min="1548" max="1790" width="9.13888888888889" style="118"/>
    <col min="1791" max="1791" width="32.5648148148148" style="118" customWidth="1"/>
    <col min="1792" max="1792" width="13.1388888888889" style="118" customWidth="1"/>
    <col min="1793" max="1793" width="15.5648148148148" style="118" customWidth="1"/>
    <col min="1794" max="1794" width="5.86111111111111" style="118" customWidth="1"/>
    <col min="1795" max="1795" width="15.8611111111111" style="118" customWidth="1"/>
    <col min="1796" max="1796" width="14.5648148148148" style="118" customWidth="1"/>
    <col min="1797" max="1797" width="17.8611111111111" style="118" customWidth="1"/>
    <col min="1798" max="1798" width="18.1388888888889" style="118" customWidth="1"/>
    <col min="1799" max="1799" width="22.5648148148148" style="118" customWidth="1"/>
    <col min="1800" max="1800" width="21.1388888888889" style="118" customWidth="1"/>
    <col min="1801" max="1801" width="0.564814814814815" style="118" customWidth="1"/>
    <col min="1802" max="1802" width="9.13888888888889" style="118"/>
    <col min="1803" max="1803" width="15.4259259259259" style="118" customWidth="1"/>
    <col min="1804" max="2046" width="9.13888888888889" style="118"/>
    <col min="2047" max="2047" width="32.5648148148148" style="118" customWidth="1"/>
    <col min="2048" max="2048" width="13.1388888888889" style="118" customWidth="1"/>
    <col min="2049" max="2049" width="15.5648148148148" style="118" customWidth="1"/>
    <col min="2050" max="2050" width="5.86111111111111" style="118" customWidth="1"/>
    <col min="2051" max="2051" width="15.8611111111111" style="118" customWidth="1"/>
    <col min="2052" max="2052" width="14.5648148148148" style="118" customWidth="1"/>
    <col min="2053" max="2053" width="17.8611111111111" style="118" customWidth="1"/>
    <col min="2054" max="2054" width="18.1388888888889" style="118" customWidth="1"/>
    <col min="2055" max="2055" width="22.5648148148148" style="118" customWidth="1"/>
    <col min="2056" max="2056" width="21.1388888888889" style="118" customWidth="1"/>
    <col min="2057" max="2057" width="0.564814814814815" style="118" customWidth="1"/>
    <col min="2058" max="2058" width="9.13888888888889" style="118"/>
    <col min="2059" max="2059" width="15.4259259259259" style="118" customWidth="1"/>
    <col min="2060" max="2302" width="9.13888888888889" style="118"/>
    <col min="2303" max="2303" width="32.5648148148148" style="118" customWidth="1"/>
    <col min="2304" max="2304" width="13.1388888888889" style="118" customWidth="1"/>
    <col min="2305" max="2305" width="15.5648148148148" style="118" customWidth="1"/>
    <col min="2306" max="2306" width="5.86111111111111" style="118" customWidth="1"/>
    <col min="2307" max="2307" width="15.8611111111111" style="118" customWidth="1"/>
    <col min="2308" max="2308" width="14.5648148148148" style="118" customWidth="1"/>
    <col min="2309" max="2309" width="17.8611111111111" style="118" customWidth="1"/>
    <col min="2310" max="2310" width="18.1388888888889" style="118" customWidth="1"/>
    <col min="2311" max="2311" width="22.5648148148148" style="118" customWidth="1"/>
    <col min="2312" max="2312" width="21.1388888888889" style="118" customWidth="1"/>
    <col min="2313" max="2313" width="0.564814814814815" style="118" customWidth="1"/>
    <col min="2314" max="2314" width="9.13888888888889" style="118"/>
    <col min="2315" max="2315" width="15.4259259259259" style="118" customWidth="1"/>
    <col min="2316" max="2558" width="9.13888888888889" style="118"/>
    <col min="2559" max="2559" width="32.5648148148148" style="118" customWidth="1"/>
    <col min="2560" max="2560" width="13.1388888888889" style="118" customWidth="1"/>
    <col min="2561" max="2561" width="15.5648148148148" style="118" customWidth="1"/>
    <col min="2562" max="2562" width="5.86111111111111" style="118" customWidth="1"/>
    <col min="2563" max="2563" width="15.8611111111111" style="118" customWidth="1"/>
    <col min="2564" max="2564" width="14.5648148148148" style="118" customWidth="1"/>
    <col min="2565" max="2565" width="17.8611111111111" style="118" customWidth="1"/>
    <col min="2566" max="2566" width="18.1388888888889" style="118" customWidth="1"/>
    <col min="2567" max="2567" width="22.5648148148148" style="118" customWidth="1"/>
    <col min="2568" max="2568" width="21.1388888888889" style="118" customWidth="1"/>
    <col min="2569" max="2569" width="0.564814814814815" style="118" customWidth="1"/>
    <col min="2570" max="2570" width="9.13888888888889" style="118"/>
    <col min="2571" max="2571" width="15.4259259259259" style="118" customWidth="1"/>
    <col min="2572" max="2814" width="9.13888888888889" style="118"/>
    <col min="2815" max="2815" width="32.5648148148148" style="118" customWidth="1"/>
    <col min="2816" max="2816" width="13.1388888888889" style="118" customWidth="1"/>
    <col min="2817" max="2817" width="15.5648148148148" style="118" customWidth="1"/>
    <col min="2818" max="2818" width="5.86111111111111" style="118" customWidth="1"/>
    <col min="2819" max="2819" width="15.8611111111111" style="118" customWidth="1"/>
    <col min="2820" max="2820" width="14.5648148148148" style="118" customWidth="1"/>
    <col min="2821" max="2821" width="17.8611111111111" style="118" customWidth="1"/>
    <col min="2822" max="2822" width="18.1388888888889" style="118" customWidth="1"/>
    <col min="2823" max="2823" width="22.5648148148148" style="118" customWidth="1"/>
    <col min="2824" max="2824" width="21.1388888888889" style="118" customWidth="1"/>
    <col min="2825" max="2825" width="0.564814814814815" style="118" customWidth="1"/>
    <col min="2826" max="2826" width="9.13888888888889" style="118"/>
    <col min="2827" max="2827" width="15.4259259259259" style="118" customWidth="1"/>
    <col min="2828" max="3070" width="9.13888888888889" style="118"/>
    <col min="3071" max="3071" width="32.5648148148148" style="118" customWidth="1"/>
    <col min="3072" max="3072" width="13.1388888888889" style="118" customWidth="1"/>
    <col min="3073" max="3073" width="15.5648148148148" style="118" customWidth="1"/>
    <col min="3074" max="3074" width="5.86111111111111" style="118" customWidth="1"/>
    <col min="3075" max="3075" width="15.8611111111111" style="118" customWidth="1"/>
    <col min="3076" max="3076" width="14.5648148148148" style="118" customWidth="1"/>
    <col min="3077" max="3077" width="17.8611111111111" style="118" customWidth="1"/>
    <col min="3078" max="3078" width="18.1388888888889" style="118" customWidth="1"/>
    <col min="3079" max="3079" width="22.5648148148148" style="118" customWidth="1"/>
    <col min="3080" max="3080" width="21.1388888888889" style="118" customWidth="1"/>
    <col min="3081" max="3081" width="0.564814814814815" style="118" customWidth="1"/>
    <col min="3082" max="3082" width="9.13888888888889" style="118"/>
    <col min="3083" max="3083" width="15.4259259259259" style="118" customWidth="1"/>
    <col min="3084" max="3326" width="9.13888888888889" style="118"/>
    <col min="3327" max="3327" width="32.5648148148148" style="118" customWidth="1"/>
    <col min="3328" max="3328" width="13.1388888888889" style="118" customWidth="1"/>
    <col min="3329" max="3329" width="15.5648148148148" style="118" customWidth="1"/>
    <col min="3330" max="3330" width="5.86111111111111" style="118" customWidth="1"/>
    <col min="3331" max="3331" width="15.8611111111111" style="118" customWidth="1"/>
    <col min="3332" max="3332" width="14.5648148148148" style="118" customWidth="1"/>
    <col min="3333" max="3333" width="17.8611111111111" style="118" customWidth="1"/>
    <col min="3334" max="3334" width="18.1388888888889" style="118" customWidth="1"/>
    <col min="3335" max="3335" width="22.5648148148148" style="118" customWidth="1"/>
    <col min="3336" max="3336" width="21.1388888888889" style="118" customWidth="1"/>
    <col min="3337" max="3337" width="0.564814814814815" style="118" customWidth="1"/>
    <col min="3338" max="3338" width="9.13888888888889" style="118"/>
    <col min="3339" max="3339" width="15.4259259259259" style="118" customWidth="1"/>
    <col min="3340" max="3582" width="9.13888888888889" style="118"/>
    <col min="3583" max="3583" width="32.5648148148148" style="118" customWidth="1"/>
    <col min="3584" max="3584" width="13.1388888888889" style="118" customWidth="1"/>
    <col min="3585" max="3585" width="15.5648148148148" style="118" customWidth="1"/>
    <col min="3586" max="3586" width="5.86111111111111" style="118" customWidth="1"/>
    <col min="3587" max="3587" width="15.8611111111111" style="118" customWidth="1"/>
    <col min="3588" max="3588" width="14.5648148148148" style="118" customWidth="1"/>
    <col min="3589" max="3589" width="17.8611111111111" style="118" customWidth="1"/>
    <col min="3590" max="3590" width="18.1388888888889" style="118" customWidth="1"/>
    <col min="3591" max="3591" width="22.5648148148148" style="118" customWidth="1"/>
    <col min="3592" max="3592" width="21.1388888888889" style="118" customWidth="1"/>
    <col min="3593" max="3593" width="0.564814814814815" style="118" customWidth="1"/>
    <col min="3594" max="3594" width="9.13888888888889" style="118"/>
    <col min="3595" max="3595" width="15.4259259259259" style="118" customWidth="1"/>
    <col min="3596" max="3838" width="9.13888888888889" style="118"/>
    <col min="3839" max="3839" width="32.5648148148148" style="118" customWidth="1"/>
    <col min="3840" max="3840" width="13.1388888888889" style="118" customWidth="1"/>
    <col min="3841" max="3841" width="15.5648148148148" style="118" customWidth="1"/>
    <col min="3842" max="3842" width="5.86111111111111" style="118" customWidth="1"/>
    <col min="3843" max="3843" width="15.8611111111111" style="118" customWidth="1"/>
    <col min="3844" max="3844" width="14.5648148148148" style="118" customWidth="1"/>
    <col min="3845" max="3845" width="17.8611111111111" style="118" customWidth="1"/>
    <col min="3846" max="3846" width="18.1388888888889" style="118" customWidth="1"/>
    <col min="3847" max="3847" width="22.5648148148148" style="118" customWidth="1"/>
    <col min="3848" max="3848" width="21.1388888888889" style="118" customWidth="1"/>
    <col min="3849" max="3849" width="0.564814814814815" style="118" customWidth="1"/>
    <col min="3850" max="3850" width="9.13888888888889" style="118"/>
    <col min="3851" max="3851" width="15.4259259259259" style="118" customWidth="1"/>
    <col min="3852" max="4094" width="9.13888888888889" style="118"/>
    <col min="4095" max="4095" width="32.5648148148148" style="118" customWidth="1"/>
    <col min="4096" max="4096" width="13.1388888888889" style="118" customWidth="1"/>
    <col min="4097" max="4097" width="15.5648148148148" style="118" customWidth="1"/>
    <col min="4098" max="4098" width="5.86111111111111" style="118" customWidth="1"/>
    <col min="4099" max="4099" width="15.8611111111111" style="118" customWidth="1"/>
    <col min="4100" max="4100" width="14.5648148148148" style="118" customWidth="1"/>
    <col min="4101" max="4101" width="17.8611111111111" style="118" customWidth="1"/>
    <col min="4102" max="4102" width="18.1388888888889" style="118" customWidth="1"/>
    <col min="4103" max="4103" width="22.5648148148148" style="118" customWidth="1"/>
    <col min="4104" max="4104" width="21.1388888888889" style="118" customWidth="1"/>
    <col min="4105" max="4105" width="0.564814814814815" style="118" customWidth="1"/>
    <col min="4106" max="4106" width="9.13888888888889" style="118"/>
    <col min="4107" max="4107" width="15.4259259259259" style="118" customWidth="1"/>
    <col min="4108" max="4350" width="9.13888888888889" style="118"/>
    <col min="4351" max="4351" width="32.5648148148148" style="118" customWidth="1"/>
    <col min="4352" max="4352" width="13.1388888888889" style="118" customWidth="1"/>
    <col min="4353" max="4353" width="15.5648148148148" style="118" customWidth="1"/>
    <col min="4354" max="4354" width="5.86111111111111" style="118" customWidth="1"/>
    <col min="4355" max="4355" width="15.8611111111111" style="118" customWidth="1"/>
    <col min="4356" max="4356" width="14.5648148148148" style="118" customWidth="1"/>
    <col min="4357" max="4357" width="17.8611111111111" style="118" customWidth="1"/>
    <col min="4358" max="4358" width="18.1388888888889" style="118" customWidth="1"/>
    <col min="4359" max="4359" width="22.5648148148148" style="118" customWidth="1"/>
    <col min="4360" max="4360" width="21.1388888888889" style="118" customWidth="1"/>
    <col min="4361" max="4361" width="0.564814814814815" style="118" customWidth="1"/>
    <col min="4362" max="4362" width="9.13888888888889" style="118"/>
    <col min="4363" max="4363" width="15.4259259259259" style="118" customWidth="1"/>
    <col min="4364" max="4606" width="9.13888888888889" style="118"/>
    <col min="4607" max="4607" width="32.5648148148148" style="118" customWidth="1"/>
    <col min="4608" max="4608" width="13.1388888888889" style="118" customWidth="1"/>
    <col min="4609" max="4609" width="15.5648148148148" style="118" customWidth="1"/>
    <col min="4610" max="4610" width="5.86111111111111" style="118" customWidth="1"/>
    <col min="4611" max="4611" width="15.8611111111111" style="118" customWidth="1"/>
    <col min="4612" max="4612" width="14.5648148148148" style="118" customWidth="1"/>
    <col min="4613" max="4613" width="17.8611111111111" style="118" customWidth="1"/>
    <col min="4614" max="4614" width="18.1388888888889" style="118" customWidth="1"/>
    <col min="4615" max="4615" width="22.5648148148148" style="118" customWidth="1"/>
    <col min="4616" max="4616" width="21.1388888888889" style="118" customWidth="1"/>
    <col min="4617" max="4617" width="0.564814814814815" style="118" customWidth="1"/>
    <col min="4618" max="4618" width="9.13888888888889" style="118"/>
    <col min="4619" max="4619" width="15.4259259259259" style="118" customWidth="1"/>
    <col min="4620" max="4862" width="9.13888888888889" style="118"/>
    <col min="4863" max="4863" width="32.5648148148148" style="118" customWidth="1"/>
    <col min="4864" max="4864" width="13.1388888888889" style="118" customWidth="1"/>
    <col min="4865" max="4865" width="15.5648148148148" style="118" customWidth="1"/>
    <col min="4866" max="4866" width="5.86111111111111" style="118" customWidth="1"/>
    <col min="4867" max="4867" width="15.8611111111111" style="118" customWidth="1"/>
    <col min="4868" max="4868" width="14.5648148148148" style="118" customWidth="1"/>
    <col min="4869" max="4869" width="17.8611111111111" style="118" customWidth="1"/>
    <col min="4870" max="4870" width="18.1388888888889" style="118" customWidth="1"/>
    <col min="4871" max="4871" width="22.5648148148148" style="118" customWidth="1"/>
    <col min="4872" max="4872" width="21.1388888888889" style="118" customWidth="1"/>
    <col min="4873" max="4873" width="0.564814814814815" style="118" customWidth="1"/>
    <col min="4874" max="4874" width="9.13888888888889" style="118"/>
    <col min="4875" max="4875" width="15.4259259259259" style="118" customWidth="1"/>
    <col min="4876" max="5118" width="9.13888888888889" style="118"/>
    <col min="5119" max="5119" width="32.5648148148148" style="118" customWidth="1"/>
    <col min="5120" max="5120" width="13.1388888888889" style="118" customWidth="1"/>
    <col min="5121" max="5121" width="15.5648148148148" style="118" customWidth="1"/>
    <col min="5122" max="5122" width="5.86111111111111" style="118" customWidth="1"/>
    <col min="5123" max="5123" width="15.8611111111111" style="118" customWidth="1"/>
    <col min="5124" max="5124" width="14.5648148148148" style="118" customWidth="1"/>
    <col min="5125" max="5125" width="17.8611111111111" style="118" customWidth="1"/>
    <col min="5126" max="5126" width="18.1388888888889" style="118" customWidth="1"/>
    <col min="5127" max="5127" width="22.5648148148148" style="118" customWidth="1"/>
    <col min="5128" max="5128" width="21.1388888888889" style="118" customWidth="1"/>
    <col min="5129" max="5129" width="0.564814814814815" style="118" customWidth="1"/>
    <col min="5130" max="5130" width="9.13888888888889" style="118"/>
    <col min="5131" max="5131" width="15.4259259259259" style="118" customWidth="1"/>
    <col min="5132" max="5374" width="9.13888888888889" style="118"/>
    <col min="5375" max="5375" width="32.5648148148148" style="118" customWidth="1"/>
    <col min="5376" max="5376" width="13.1388888888889" style="118" customWidth="1"/>
    <col min="5377" max="5377" width="15.5648148148148" style="118" customWidth="1"/>
    <col min="5378" max="5378" width="5.86111111111111" style="118" customWidth="1"/>
    <col min="5379" max="5379" width="15.8611111111111" style="118" customWidth="1"/>
    <col min="5380" max="5380" width="14.5648148148148" style="118" customWidth="1"/>
    <col min="5381" max="5381" width="17.8611111111111" style="118" customWidth="1"/>
    <col min="5382" max="5382" width="18.1388888888889" style="118" customWidth="1"/>
    <col min="5383" max="5383" width="22.5648148148148" style="118" customWidth="1"/>
    <col min="5384" max="5384" width="21.1388888888889" style="118" customWidth="1"/>
    <col min="5385" max="5385" width="0.564814814814815" style="118" customWidth="1"/>
    <col min="5386" max="5386" width="9.13888888888889" style="118"/>
    <col min="5387" max="5387" width="15.4259259259259" style="118" customWidth="1"/>
    <col min="5388" max="5630" width="9.13888888888889" style="118"/>
    <col min="5631" max="5631" width="32.5648148148148" style="118" customWidth="1"/>
    <col min="5632" max="5632" width="13.1388888888889" style="118" customWidth="1"/>
    <col min="5633" max="5633" width="15.5648148148148" style="118" customWidth="1"/>
    <col min="5634" max="5634" width="5.86111111111111" style="118" customWidth="1"/>
    <col min="5635" max="5635" width="15.8611111111111" style="118" customWidth="1"/>
    <col min="5636" max="5636" width="14.5648148148148" style="118" customWidth="1"/>
    <col min="5637" max="5637" width="17.8611111111111" style="118" customWidth="1"/>
    <col min="5638" max="5638" width="18.1388888888889" style="118" customWidth="1"/>
    <col min="5639" max="5639" width="22.5648148148148" style="118" customWidth="1"/>
    <col min="5640" max="5640" width="21.1388888888889" style="118" customWidth="1"/>
    <col min="5641" max="5641" width="0.564814814814815" style="118" customWidth="1"/>
    <col min="5642" max="5642" width="9.13888888888889" style="118"/>
    <col min="5643" max="5643" width="15.4259259259259" style="118" customWidth="1"/>
    <col min="5644" max="5886" width="9.13888888888889" style="118"/>
    <col min="5887" max="5887" width="32.5648148148148" style="118" customWidth="1"/>
    <col min="5888" max="5888" width="13.1388888888889" style="118" customWidth="1"/>
    <col min="5889" max="5889" width="15.5648148148148" style="118" customWidth="1"/>
    <col min="5890" max="5890" width="5.86111111111111" style="118" customWidth="1"/>
    <col min="5891" max="5891" width="15.8611111111111" style="118" customWidth="1"/>
    <col min="5892" max="5892" width="14.5648148148148" style="118" customWidth="1"/>
    <col min="5893" max="5893" width="17.8611111111111" style="118" customWidth="1"/>
    <col min="5894" max="5894" width="18.1388888888889" style="118" customWidth="1"/>
    <col min="5895" max="5895" width="22.5648148148148" style="118" customWidth="1"/>
    <col min="5896" max="5896" width="21.1388888888889" style="118" customWidth="1"/>
    <col min="5897" max="5897" width="0.564814814814815" style="118" customWidth="1"/>
    <col min="5898" max="5898" width="9.13888888888889" style="118"/>
    <col min="5899" max="5899" width="15.4259259259259" style="118" customWidth="1"/>
    <col min="5900" max="6142" width="9.13888888888889" style="118"/>
    <col min="6143" max="6143" width="32.5648148148148" style="118" customWidth="1"/>
    <col min="6144" max="6144" width="13.1388888888889" style="118" customWidth="1"/>
    <col min="6145" max="6145" width="15.5648148148148" style="118" customWidth="1"/>
    <col min="6146" max="6146" width="5.86111111111111" style="118" customWidth="1"/>
    <col min="6147" max="6147" width="15.8611111111111" style="118" customWidth="1"/>
    <col min="6148" max="6148" width="14.5648148148148" style="118" customWidth="1"/>
    <col min="6149" max="6149" width="17.8611111111111" style="118" customWidth="1"/>
    <col min="6150" max="6150" width="18.1388888888889" style="118" customWidth="1"/>
    <col min="6151" max="6151" width="22.5648148148148" style="118" customWidth="1"/>
    <col min="6152" max="6152" width="21.1388888888889" style="118" customWidth="1"/>
    <col min="6153" max="6153" width="0.564814814814815" style="118" customWidth="1"/>
    <col min="6154" max="6154" width="9.13888888888889" style="118"/>
    <col min="6155" max="6155" width="15.4259259259259" style="118" customWidth="1"/>
    <col min="6156" max="6398" width="9.13888888888889" style="118"/>
    <col min="6399" max="6399" width="32.5648148148148" style="118" customWidth="1"/>
    <col min="6400" max="6400" width="13.1388888888889" style="118" customWidth="1"/>
    <col min="6401" max="6401" width="15.5648148148148" style="118" customWidth="1"/>
    <col min="6402" max="6402" width="5.86111111111111" style="118" customWidth="1"/>
    <col min="6403" max="6403" width="15.8611111111111" style="118" customWidth="1"/>
    <col min="6404" max="6404" width="14.5648148148148" style="118" customWidth="1"/>
    <col min="6405" max="6405" width="17.8611111111111" style="118" customWidth="1"/>
    <col min="6406" max="6406" width="18.1388888888889" style="118" customWidth="1"/>
    <col min="6407" max="6407" width="22.5648148148148" style="118" customWidth="1"/>
    <col min="6408" max="6408" width="21.1388888888889" style="118" customWidth="1"/>
    <col min="6409" max="6409" width="0.564814814814815" style="118" customWidth="1"/>
    <col min="6410" max="6410" width="9.13888888888889" style="118"/>
    <col min="6411" max="6411" width="15.4259259259259" style="118" customWidth="1"/>
    <col min="6412" max="6654" width="9.13888888888889" style="118"/>
    <col min="6655" max="6655" width="32.5648148148148" style="118" customWidth="1"/>
    <col min="6656" max="6656" width="13.1388888888889" style="118" customWidth="1"/>
    <col min="6657" max="6657" width="15.5648148148148" style="118" customWidth="1"/>
    <col min="6658" max="6658" width="5.86111111111111" style="118" customWidth="1"/>
    <col min="6659" max="6659" width="15.8611111111111" style="118" customWidth="1"/>
    <col min="6660" max="6660" width="14.5648148148148" style="118" customWidth="1"/>
    <col min="6661" max="6661" width="17.8611111111111" style="118" customWidth="1"/>
    <col min="6662" max="6662" width="18.1388888888889" style="118" customWidth="1"/>
    <col min="6663" max="6663" width="22.5648148148148" style="118" customWidth="1"/>
    <col min="6664" max="6664" width="21.1388888888889" style="118" customWidth="1"/>
    <col min="6665" max="6665" width="0.564814814814815" style="118" customWidth="1"/>
    <col min="6666" max="6666" width="9.13888888888889" style="118"/>
    <col min="6667" max="6667" width="15.4259259259259" style="118" customWidth="1"/>
    <col min="6668" max="6910" width="9.13888888888889" style="118"/>
    <col min="6911" max="6911" width="32.5648148148148" style="118" customWidth="1"/>
    <col min="6912" max="6912" width="13.1388888888889" style="118" customWidth="1"/>
    <col min="6913" max="6913" width="15.5648148148148" style="118" customWidth="1"/>
    <col min="6914" max="6914" width="5.86111111111111" style="118" customWidth="1"/>
    <col min="6915" max="6915" width="15.8611111111111" style="118" customWidth="1"/>
    <col min="6916" max="6916" width="14.5648148148148" style="118" customWidth="1"/>
    <col min="6917" max="6917" width="17.8611111111111" style="118" customWidth="1"/>
    <col min="6918" max="6918" width="18.1388888888889" style="118" customWidth="1"/>
    <col min="6919" max="6919" width="22.5648148148148" style="118" customWidth="1"/>
    <col min="6920" max="6920" width="21.1388888888889" style="118" customWidth="1"/>
    <col min="6921" max="6921" width="0.564814814814815" style="118" customWidth="1"/>
    <col min="6922" max="6922" width="9.13888888888889" style="118"/>
    <col min="6923" max="6923" width="15.4259259259259" style="118" customWidth="1"/>
    <col min="6924" max="7166" width="9.13888888888889" style="118"/>
    <col min="7167" max="7167" width="32.5648148148148" style="118" customWidth="1"/>
    <col min="7168" max="7168" width="13.1388888888889" style="118" customWidth="1"/>
    <col min="7169" max="7169" width="15.5648148148148" style="118" customWidth="1"/>
    <col min="7170" max="7170" width="5.86111111111111" style="118" customWidth="1"/>
    <col min="7171" max="7171" width="15.8611111111111" style="118" customWidth="1"/>
    <col min="7172" max="7172" width="14.5648148148148" style="118" customWidth="1"/>
    <col min="7173" max="7173" width="17.8611111111111" style="118" customWidth="1"/>
    <col min="7174" max="7174" width="18.1388888888889" style="118" customWidth="1"/>
    <col min="7175" max="7175" width="22.5648148148148" style="118" customWidth="1"/>
    <col min="7176" max="7176" width="21.1388888888889" style="118" customWidth="1"/>
    <col min="7177" max="7177" width="0.564814814814815" style="118" customWidth="1"/>
    <col min="7178" max="7178" width="9.13888888888889" style="118"/>
    <col min="7179" max="7179" width="15.4259259259259" style="118" customWidth="1"/>
    <col min="7180" max="7422" width="9.13888888888889" style="118"/>
    <col min="7423" max="7423" width="32.5648148148148" style="118" customWidth="1"/>
    <col min="7424" max="7424" width="13.1388888888889" style="118" customWidth="1"/>
    <col min="7425" max="7425" width="15.5648148148148" style="118" customWidth="1"/>
    <col min="7426" max="7426" width="5.86111111111111" style="118" customWidth="1"/>
    <col min="7427" max="7427" width="15.8611111111111" style="118" customWidth="1"/>
    <col min="7428" max="7428" width="14.5648148148148" style="118" customWidth="1"/>
    <col min="7429" max="7429" width="17.8611111111111" style="118" customWidth="1"/>
    <col min="7430" max="7430" width="18.1388888888889" style="118" customWidth="1"/>
    <col min="7431" max="7431" width="22.5648148148148" style="118" customWidth="1"/>
    <col min="7432" max="7432" width="21.1388888888889" style="118" customWidth="1"/>
    <col min="7433" max="7433" width="0.564814814814815" style="118" customWidth="1"/>
    <col min="7434" max="7434" width="9.13888888888889" style="118"/>
    <col min="7435" max="7435" width="15.4259259259259" style="118" customWidth="1"/>
    <col min="7436" max="7678" width="9.13888888888889" style="118"/>
    <col min="7679" max="7679" width="32.5648148148148" style="118" customWidth="1"/>
    <col min="7680" max="7680" width="13.1388888888889" style="118" customWidth="1"/>
    <col min="7681" max="7681" width="15.5648148148148" style="118" customWidth="1"/>
    <col min="7682" max="7682" width="5.86111111111111" style="118" customWidth="1"/>
    <col min="7683" max="7683" width="15.8611111111111" style="118" customWidth="1"/>
    <col min="7684" max="7684" width="14.5648148148148" style="118" customWidth="1"/>
    <col min="7685" max="7685" width="17.8611111111111" style="118" customWidth="1"/>
    <col min="7686" max="7686" width="18.1388888888889" style="118" customWidth="1"/>
    <col min="7687" max="7687" width="22.5648148148148" style="118" customWidth="1"/>
    <col min="7688" max="7688" width="21.1388888888889" style="118" customWidth="1"/>
    <col min="7689" max="7689" width="0.564814814814815" style="118" customWidth="1"/>
    <col min="7690" max="7690" width="9.13888888888889" style="118"/>
    <col min="7691" max="7691" width="15.4259259259259" style="118" customWidth="1"/>
    <col min="7692" max="7934" width="9.13888888888889" style="118"/>
    <col min="7935" max="7935" width="32.5648148148148" style="118" customWidth="1"/>
    <col min="7936" max="7936" width="13.1388888888889" style="118" customWidth="1"/>
    <col min="7937" max="7937" width="15.5648148148148" style="118" customWidth="1"/>
    <col min="7938" max="7938" width="5.86111111111111" style="118" customWidth="1"/>
    <col min="7939" max="7939" width="15.8611111111111" style="118" customWidth="1"/>
    <col min="7940" max="7940" width="14.5648148148148" style="118" customWidth="1"/>
    <col min="7941" max="7941" width="17.8611111111111" style="118" customWidth="1"/>
    <col min="7942" max="7942" width="18.1388888888889" style="118" customWidth="1"/>
    <col min="7943" max="7943" width="22.5648148148148" style="118" customWidth="1"/>
    <col min="7944" max="7944" width="21.1388888888889" style="118" customWidth="1"/>
    <col min="7945" max="7945" width="0.564814814814815" style="118" customWidth="1"/>
    <col min="7946" max="7946" width="9.13888888888889" style="118"/>
    <col min="7947" max="7947" width="15.4259259259259" style="118" customWidth="1"/>
    <col min="7948" max="8190" width="9.13888888888889" style="118"/>
    <col min="8191" max="8191" width="32.5648148148148" style="118" customWidth="1"/>
    <col min="8192" max="8192" width="13.1388888888889" style="118" customWidth="1"/>
    <col min="8193" max="8193" width="15.5648148148148" style="118" customWidth="1"/>
    <col min="8194" max="8194" width="5.86111111111111" style="118" customWidth="1"/>
    <col min="8195" max="8195" width="15.8611111111111" style="118" customWidth="1"/>
    <col min="8196" max="8196" width="14.5648148148148" style="118" customWidth="1"/>
    <col min="8197" max="8197" width="17.8611111111111" style="118" customWidth="1"/>
    <col min="8198" max="8198" width="18.1388888888889" style="118" customWidth="1"/>
    <col min="8199" max="8199" width="22.5648148148148" style="118" customWidth="1"/>
    <col min="8200" max="8200" width="21.1388888888889" style="118" customWidth="1"/>
    <col min="8201" max="8201" width="0.564814814814815" style="118" customWidth="1"/>
    <col min="8202" max="8202" width="9.13888888888889" style="118"/>
    <col min="8203" max="8203" width="15.4259259259259" style="118" customWidth="1"/>
    <col min="8204" max="8446" width="9.13888888888889" style="118"/>
    <col min="8447" max="8447" width="32.5648148148148" style="118" customWidth="1"/>
    <col min="8448" max="8448" width="13.1388888888889" style="118" customWidth="1"/>
    <col min="8449" max="8449" width="15.5648148148148" style="118" customWidth="1"/>
    <col min="8450" max="8450" width="5.86111111111111" style="118" customWidth="1"/>
    <col min="8451" max="8451" width="15.8611111111111" style="118" customWidth="1"/>
    <col min="8452" max="8452" width="14.5648148148148" style="118" customWidth="1"/>
    <col min="8453" max="8453" width="17.8611111111111" style="118" customWidth="1"/>
    <col min="8454" max="8454" width="18.1388888888889" style="118" customWidth="1"/>
    <col min="8455" max="8455" width="22.5648148148148" style="118" customWidth="1"/>
    <col min="8456" max="8456" width="21.1388888888889" style="118" customWidth="1"/>
    <col min="8457" max="8457" width="0.564814814814815" style="118" customWidth="1"/>
    <col min="8458" max="8458" width="9.13888888888889" style="118"/>
    <col min="8459" max="8459" width="15.4259259259259" style="118" customWidth="1"/>
    <col min="8460" max="8702" width="9.13888888888889" style="118"/>
    <col min="8703" max="8703" width="32.5648148148148" style="118" customWidth="1"/>
    <col min="8704" max="8704" width="13.1388888888889" style="118" customWidth="1"/>
    <col min="8705" max="8705" width="15.5648148148148" style="118" customWidth="1"/>
    <col min="8706" max="8706" width="5.86111111111111" style="118" customWidth="1"/>
    <col min="8707" max="8707" width="15.8611111111111" style="118" customWidth="1"/>
    <col min="8708" max="8708" width="14.5648148148148" style="118" customWidth="1"/>
    <col min="8709" max="8709" width="17.8611111111111" style="118" customWidth="1"/>
    <col min="8710" max="8710" width="18.1388888888889" style="118" customWidth="1"/>
    <col min="8711" max="8711" width="22.5648148148148" style="118" customWidth="1"/>
    <col min="8712" max="8712" width="21.1388888888889" style="118" customWidth="1"/>
    <col min="8713" max="8713" width="0.564814814814815" style="118" customWidth="1"/>
    <col min="8714" max="8714" width="9.13888888888889" style="118"/>
    <col min="8715" max="8715" width="15.4259259259259" style="118" customWidth="1"/>
    <col min="8716" max="8958" width="9.13888888888889" style="118"/>
    <col min="8959" max="8959" width="32.5648148148148" style="118" customWidth="1"/>
    <col min="8960" max="8960" width="13.1388888888889" style="118" customWidth="1"/>
    <col min="8961" max="8961" width="15.5648148148148" style="118" customWidth="1"/>
    <col min="8962" max="8962" width="5.86111111111111" style="118" customWidth="1"/>
    <col min="8963" max="8963" width="15.8611111111111" style="118" customWidth="1"/>
    <col min="8964" max="8964" width="14.5648148148148" style="118" customWidth="1"/>
    <col min="8965" max="8965" width="17.8611111111111" style="118" customWidth="1"/>
    <col min="8966" max="8966" width="18.1388888888889" style="118" customWidth="1"/>
    <col min="8967" max="8967" width="22.5648148148148" style="118" customWidth="1"/>
    <col min="8968" max="8968" width="21.1388888888889" style="118" customWidth="1"/>
    <col min="8969" max="8969" width="0.564814814814815" style="118" customWidth="1"/>
    <col min="8970" max="8970" width="9.13888888888889" style="118"/>
    <col min="8971" max="8971" width="15.4259259259259" style="118" customWidth="1"/>
    <col min="8972" max="9214" width="9.13888888888889" style="118"/>
    <col min="9215" max="9215" width="32.5648148148148" style="118" customWidth="1"/>
    <col min="9216" max="9216" width="13.1388888888889" style="118" customWidth="1"/>
    <col min="9217" max="9217" width="15.5648148148148" style="118" customWidth="1"/>
    <col min="9218" max="9218" width="5.86111111111111" style="118" customWidth="1"/>
    <col min="9219" max="9219" width="15.8611111111111" style="118" customWidth="1"/>
    <col min="9220" max="9220" width="14.5648148148148" style="118" customWidth="1"/>
    <col min="9221" max="9221" width="17.8611111111111" style="118" customWidth="1"/>
    <col min="9222" max="9222" width="18.1388888888889" style="118" customWidth="1"/>
    <col min="9223" max="9223" width="22.5648148148148" style="118" customWidth="1"/>
    <col min="9224" max="9224" width="21.1388888888889" style="118" customWidth="1"/>
    <col min="9225" max="9225" width="0.564814814814815" style="118" customWidth="1"/>
    <col min="9226" max="9226" width="9.13888888888889" style="118"/>
    <col min="9227" max="9227" width="15.4259259259259" style="118" customWidth="1"/>
    <col min="9228" max="9470" width="9.13888888888889" style="118"/>
    <col min="9471" max="9471" width="32.5648148148148" style="118" customWidth="1"/>
    <col min="9472" max="9472" width="13.1388888888889" style="118" customWidth="1"/>
    <col min="9473" max="9473" width="15.5648148148148" style="118" customWidth="1"/>
    <col min="9474" max="9474" width="5.86111111111111" style="118" customWidth="1"/>
    <col min="9475" max="9475" width="15.8611111111111" style="118" customWidth="1"/>
    <col min="9476" max="9476" width="14.5648148148148" style="118" customWidth="1"/>
    <col min="9477" max="9477" width="17.8611111111111" style="118" customWidth="1"/>
    <col min="9478" max="9478" width="18.1388888888889" style="118" customWidth="1"/>
    <col min="9479" max="9479" width="22.5648148148148" style="118" customWidth="1"/>
    <col min="9480" max="9480" width="21.1388888888889" style="118" customWidth="1"/>
    <col min="9481" max="9481" width="0.564814814814815" style="118" customWidth="1"/>
    <col min="9482" max="9482" width="9.13888888888889" style="118"/>
    <col min="9483" max="9483" width="15.4259259259259" style="118" customWidth="1"/>
    <col min="9484" max="9726" width="9.13888888888889" style="118"/>
    <col min="9727" max="9727" width="32.5648148148148" style="118" customWidth="1"/>
    <col min="9728" max="9728" width="13.1388888888889" style="118" customWidth="1"/>
    <col min="9729" max="9729" width="15.5648148148148" style="118" customWidth="1"/>
    <col min="9730" max="9730" width="5.86111111111111" style="118" customWidth="1"/>
    <col min="9731" max="9731" width="15.8611111111111" style="118" customWidth="1"/>
    <col min="9732" max="9732" width="14.5648148148148" style="118" customWidth="1"/>
    <col min="9733" max="9733" width="17.8611111111111" style="118" customWidth="1"/>
    <col min="9734" max="9734" width="18.1388888888889" style="118" customWidth="1"/>
    <col min="9735" max="9735" width="22.5648148148148" style="118" customWidth="1"/>
    <col min="9736" max="9736" width="21.1388888888889" style="118" customWidth="1"/>
    <col min="9737" max="9737" width="0.564814814814815" style="118" customWidth="1"/>
    <col min="9738" max="9738" width="9.13888888888889" style="118"/>
    <col min="9739" max="9739" width="15.4259259259259" style="118" customWidth="1"/>
    <col min="9740" max="9982" width="9.13888888888889" style="118"/>
    <col min="9983" max="9983" width="32.5648148148148" style="118" customWidth="1"/>
    <col min="9984" max="9984" width="13.1388888888889" style="118" customWidth="1"/>
    <col min="9985" max="9985" width="15.5648148148148" style="118" customWidth="1"/>
    <col min="9986" max="9986" width="5.86111111111111" style="118" customWidth="1"/>
    <col min="9987" max="9987" width="15.8611111111111" style="118" customWidth="1"/>
    <col min="9988" max="9988" width="14.5648148148148" style="118" customWidth="1"/>
    <col min="9989" max="9989" width="17.8611111111111" style="118" customWidth="1"/>
    <col min="9990" max="9990" width="18.1388888888889" style="118" customWidth="1"/>
    <col min="9991" max="9991" width="22.5648148148148" style="118" customWidth="1"/>
    <col min="9992" max="9992" width="21.1388888888889" style="118" customWidth="1"/>
    <col min="9993" max="9993" width="0.564814814814815" style="118" customWidth="1"/>
    <col min="9994" max="9994" width="9.13888888888889" style="118"/>
    <col min="9995" max="9995" width="15.4259259259259" style="118" customWidth="1"/>
    <col min="9996" max="10238" width="9.13888888888889" style="118"/>
    <col min="10239" max="10239" width="32.5648148148148" style="118" customWidth="1"/>
    <col min="10240" max="10240" width="13.1388888888889" style="118" customWidth="1"/>
    <col min="10241" max="10241" width="15.5648148148148" style="118" customWidth="1"/>
    <col min="10242" max="10242" width="5.86111111111111" style="118" customWidth="1"/>
    <col min="10243" max="10243" width="15.8611111111111" style="118" customWidth="1"/>
    <col min="10244" max="10244" width="14.5648148148148" style="118" customWidth="1"/>
    <col min="10245" max="10245" width="17.8611111111111" style="118" customWidth="1"/>
    <col min="10246" max="10246" width="18.1388888888889" style="118" customWidth="1"/>
    <col min="10247" max="10247" width="22.5648148148148" style="118" customWidth="1"/>
    <col min="10248" max="10248" width="21.1388888888889" style="118" customWidth="1"/>
    <col min="10249" max="10249" width="0.564814814814815" style="118" customWidth="1"/>
    <col min="10250" max="10250" width="9.13888888888889" style="118"/>
    <col min="10251" max="10251" width="15.4259259259259" style="118" customWidth="1"/>
    <col min="10252" max="10494" width="9.13888888888889" style="118"/>
    <col min="10495" max="10495" width="32.5648148148148" style="118" customWidth="1"/>
    <col min="10496" max="10496" width="13.1388888888889" style="118" customWidth="1"/>
    <col min="10497" max="10497" width="15.5648148148148" style="118" customWidth="1"/>
    <col min="10498" max="10498" width="5.86111111111111" style="118" customWidth="1"/>
    <col min="10499" max="10499" width="15.8611111111111" style="118" customWidth="1"/>
    <col min="10500" max="10500" width="14.5648148148148" style="118" customWidth="1"/>
    <col min="10501" max="10501" width="17.8611111111111" style="118" customWidth="1"/>
    <col min="10502" max="10502" width="18.1388888888889" style="118" customWidth="1"/>
    <col min="10503" max="10503" width="22.5648148148148" style="118" customWidth="1"/>
    <col min="10504" max="10504" width="21.1388888888889" style="118" customWidth="1"/>
    <col min="10505" max="10505" width="0.564814814814815" style="118" customWidth="1"/>
    <col min="10506" max="10506" width="9.13888888888889" style="118"/>
    <col min="10507" max="10507" width="15.4259259259259" style="118" customWidth="1"/>
    <col min="10508" max="10750" width="9.13888888888889" style="118"/>
    <col min="10751" max="10751" width="32.5648148148148" style="118" customWidth="1"/>
    <col min="10752" max="10752" width="13.1388888888889" style="118" customWidth="1"/>
    <col min="10753" max="10753" width="15.5648148148148" style="118" customWidth="1"/>
    <col min="10754" max="10754" width="5.86111111111111" style="118" customWidth="1"/>
    <col min="10755" max="10755" width="15.8611111111111" style="118" customWidth="1"/>
    <col min="10756" max="10756" width="14.5648148148148" style="118" customWidth="1"/>
    <col min="10757" max="10757" width="17.8611111111111" style="118" customWidth="1"/>
    <col min="10758" max="10758" width="18.1388888888889" style="118" customWidth="1"/>
    <col min="10759" max="10759" width="22.5648148148148" style="118" customWidth="1"/>
    <col min="10760" max="10760" width="21.1388888888889" style="118" customWidth="1"/>
    <col min="10761" max="10761" width="0.564814814814815" style="118" customWidth="1"/>
    <col min="10762" max="10762" width="9.13888888888889" style="118"/>
    <col min="10763" max="10763" width="15.4259259259259" style="118" customWidth="1"/>
    <col min="10764" max="11006" width="9.13888888888889" style="118"/>
    <col min="11007" max="11007" width="32.5648148148148" style="118" customWidth="1"/>
    <col min="11008" max="11008" width="13.1388888888889" style="118" customWidth="1"/>
    <col min="11009" max="11009" width="15.5648148148148" style="118" customWidth="1"/>
    <col min="11010" max="11010" width="5.86111111111111" style="118" customWidth="1"/>
    <col min="11011" max="11011" width="15.8611111111111" style="118" customWidth="1"/>
    <col min="11012" max="11012" width="14.5648148148148" style="118" customWidth="1"/>
    <col min="11013" max="11013" width="17.8611111111111" style="118" customWidth="1"/>
    <col min="11014" max="11014" width="18.1388888888889" style="118" customWidth="1"/>
    <col min="11015" max="11015" width="22.5648148148148" style="118" customWidth="1"/>
    <col min="11016" max="11016" width="21.1388888888889" style="118" customWidth="1"/>
    <col min="11017" max="11017" width="0.564814814814815" style="118" customWidth="1"/>
    <col min="11018" max="11018" width="9.13888888888889" style="118"/>
    <col min="11019" max="11019" width="15.4259259259259" style="118" customWidth="1"/>
    <col min="11020" max="11262" width="9.13888888888889" style="118"/>
    <col min="11263" max="11263" width="32.5648148148148" style="118" customWidth="1"/>
    <col min="11264" max="11264" width="13.1388888888889" style="118" customWidth="1"/>
    <col min="11265" max="11265" width="15.5648148148148" style="118" customWidth="1"/>
    <col min="11266" max="11266" width="5.86111111111111" style="118" customWidth="1"/>
    <col min="11267" max="11267" width="15.8611111111111" style="118" customWidth="1"/>
    <col min="11268" max="11268" width="14.5648148148148" style="118" customWidth="1"/>
    <col min="11269" max="11269" width="17.8611111111111" style="118" customWidth="1"/>
    <col min="11270" max="11270" width="18.1388888888889" style="118" customWidth="1"/>
    <col min="11271" max="11271" width="22.5648148148148" style="118" customWidth="1"/>
    <col min="11272" max="11272" width="21.1388888888889" style="118" customWidth="1"/>
    <col min="11273" max="11273" width="0.564814814814815" style="118" customWidth="1"/>
    <col min="11274" max="11274" width="9.13888888888889" style="118"/>
    <col min="11275" max="11275" width="15.4259259259259" style="118" customWidth="1"/>
    <col min="11276" max="11518" width="9.13888888888889" style="118"/>
    <col min="11519" max="11519" width="32.5648148148148" style="118" customWidth="1"/>
    <col min="11520" max="11520" width="13.1388888888889" style="118" customWidth="1"/>
    <col min="11521" max="11521" width="15.5648148148148" style="118" customWidth="1"/>
    <col min="11522" max="11522" width="5.86111111111111" style="118" customWidth="1"/>
    <col min="11523" max="11523" width="15.8611111111111" style="118" customWidth="1"/>
    <col min="11524" max="11524" width="14.5648148148148" style="118" customWidth="1"/>
    <col min="11525" max="11525" width="17.8611111111111" style="118" customWidth="1"/>
    <col min="11526" max="11526" width="18.1388888888889" style="118" customWidth="1"/>
    <col min="11527" max="11527" width="22.5648148148148" style="118" customWidth="1"/>
    <col min="11528" max="11528" width="21.1388888888889" style="118" customWidth="1"/>
    <col min="11529" max="11529" width="0.564814814814815" style="118" customWidth="1"/>
    <col min="11530" max="11530" width="9.13888888888889" style="118"/>
    <col min="11531" max="11531" width="15.4259259259259" style="118" customWidth="1"/>
    <col min="11532" max="11774" width="9.13888888888889" style="118"/>
    <col min="11775" max="11775" width="32.5648148148148" style="118" customWidth="1"/>
    <col min="11776" max="11776" width="13.1388888888889" style="118" customWidth="1"/>
    <col min="11777" max="11777" width="15.5648148148148" style="118" customWidth="1"/>
    <col min="11778" max="11778" width="5.86111111111111" style="118" customWidth="1"/>
    <col min="11779" max="11779" width="15.8611111111111" style="118" customWidth="1"/>
    <col min="11780" max="11780" width="14.5648148148148" style="118" customWidth="1"/>
    <col min="11781" max="11781" width="17.8611111111111" style="118" customWidth="1"/>
    <col min="11782" max="11782" width="18.1388888888889" style="118" customWidth="1"/>
    <col min="11783" max="11783" width="22.5648148148148" style="118" customWidth="1"/>
    <col min="11784" max="11784" width="21.1388888888889" style="118" customWidth="1"/>
    <col min="11785" max="11785" width="0.564814814814815" style="118" customWidth="1"/>
    <col min="11786" max="11786" width="9.13888888888889" style="118"/>
    <col min="11787" max="11787" width="15.4259259259259" style="118" customWidth="1"/>
    <col min="11788" max="12030" width="9.13888888888889" style="118"/>
    <col min="12031" max="12031" width="32.5648148148148" style="118" customWidth="1"/>
    <col min="12032" max="12032" width="13.1388888888889" style="118" customWidth="1"/>
    <col min="12033" max="12033" width="15.5648148148148" style="118" customWidth="1"/>
    <col min="12034" max="12034" width="5.86111111111111" style="118" customWidth="1"/>
    <col min="12035" max="12035" width="15.8611111111111" style="118" customWidth="1"/>
    <col min="12036" max="12036" width="14.5648148148148" style="118" customWidth="1"/>
    <col min="12037" max="12037" width="17.8611111111111" style="118" customWidth="1"/>
    <col min="12038" max="12038" width="18.1388888888889" style="118" customWidth="1"/>
    <col min="12039" max="12039" width="22.5648148148148" style="118" customWidth="1"/>
    <col min="12040" max="12040" width="21.1388888888889" style="118" customWidth="1"/>
    <col min="12041" max="12041" width="0.564814814814815" style="118" customWidth="1"/>
    <col min="12042" max="12042" width="9.13888888888889" style="118"/>
    <col min="12043" max="12043" width="15.4259259259259" style="118" customWidth="1"/>
    <col min="12044" max="12286" width="9.13888888888889" style="118"/>
    <col min="12287" max="12287" width="32.5648148148148" style="118" customWidth="1"/>
    <col min="12288" max="12288" width="13.1388888888889" style="118" customWidth="1"/>
    <col min="12289" max="12289" width="15.5648148148148" style="118" customWidth="1"/>
    <col min="12290" max="12290" width="5.86111111111111" style="118" customWidth="1"/>
    <col min="12291" max="12291" width="15.8611111111111" style="118" customWidth="1"/>
    <col min="12292" max="12292" width="14.5648148148148" style="118" customWidth="1"/>
    <col min="12293" max="12293" width="17.8611111111111" style="118" customWidth="1"/>
    <col min="12294" max="12294" width="18.1388888888889" style="118" customWidth="1"/>
    <col min="12295" max="12295" width="22.5648148148148" style="118" customWidth="1"/>
    <col min="12296" max="12296" width="21.1388888888889" style="118" customWidth="1"/>
    <col min="12297" max="12297" width="0.564814814814815" style="118" customWidth="1"/>
    <col min="12298" max="12298" width="9.13888888888889" style="118"/>
    <col min="12299" max="12299" width="15.4259259259259" style="118" customWidth="1"/>
    <col min="12300" max="12542" width="9.13888888888889" style="118"/>
    <col min="12543" max="12543" width="32.5648148148148" style="118" customWidth="1"/>
    <col min="12544" max="12544" width="13.1388888888889" style="118" customWidth="1"/>
    <col min="12545" max="12545" width="15.5648148148148" style="118" customWidth="1"/>
    <col min="12546" max="12546" width="5.86111111111111" style="118" customWidth="1"/>
    <col min="12547" max="12547" width="15.8611111111111" style="118" customWidth="1"/>
    <col min="12548" max="12548" width="14.5648148148148" style="118" customWidth="1"/>
    <col min="12549" max="12549" width="17.8611111111111" style="118" customWidth="1"/>
    <col min="12550" max="12550" width="18.1388888888889" style="118" customWidth="1"/>
    <col min="12551" max="12551" width="22.5648148148148" style="118" customWidth="1"/>
    <col min="12552" max="12552" width="21.1388888888889" style="118" customWidth="1"/>
    <col min="12553" max="12553" width="0.564814814814815" style="118" customWidth="1"/>
    <col min="12554" max="12554" width="9.13888888888889" style="118"/>
    <col min="12555" max="12555" width="15.4259259259259" style="118" customWidth="1"/>
    <col min="12556" max="12798" width="9.13888888888889" style="118"/>
    <col min="12799" max="12799" width="32.5648148148148" style="118" customWidth="1"/>
    <col min="12800" max="12800" width="13.1388888888889" style="118" customWidth="1"/>
    <col min="12801" max="12801" width="15.5648148148148" style="118" customWidth="1"/>
    <col min="12802" max="12802" width="5.86111111111111" style="118" customWidth="1"/>
    <col min="12803" max="12803" width="15.8611111111111" style="118" customWidth="1"/>
    <col min="12804" max="12804" width="14.5648148148148" style="118" customWidth="1"/>
    <col min="12805" max="12805" width="17.8611111111111" style="118" customWidth="1"/>
    <col min="12806" max="12806" width="18.1388888888889" style="118" customWidth="1"/>
    <col min="12807" max="12807" width="22.5648148148148" style="118" customWidth="1"/>
    <col min="12808" max="12808" width="21.1388888888889" style="118" customWidth="1"/>
    <col min="12809" max="12809" width="0.564814814814815" style="118" customWidth="1"/>
    <col min="12810" max="12810" width="9.13888888888889" style="118"/>
    <col min="12811" max="12811" width="15.4259259259259" style="118" customWidth="1"/>
    <col min="12812" max="13054" width="9.13888888888889" style="118"/>
    <col min="13055" max="13055" width="32.5648148148148" style="118" customWidth="1"/>
    <col min="13056" max="13056" width="13.1388888888889" style="118" customWidth="1"/>
    <col min="13057" max="13057" width="15.5648148148148" style="118" customWidth="1"/>
    <col min="13058" max="13058" width="5.86111111111111" style="118" customWidth="1"/>
    <col min="13059" max="13059" width="15.8611111111111" style="118" customWidth="1"/>
    <col min="13060" max="13060" width="14.5648148148148" style="118" customWidth="1"/>
    <col min="13061" max="13061" width="17.8611111111111" style="118" customWidth="1"/>
    <col min="13062" max="13062" width="18.1388888888889" style="118" customWidth="1"/>
    <col min="13063" max="13063" width="22.5648148148148" style="118" customWidth="1"/>
    <col min="13064" max="13064" width="21.1388888888889" style="118" customWidth="1"/>
    <col min="13065" max="13065" width="0.564814814814815" style="118" customWidth="1"/>
    <col min="13066" max="13066" width="9.13888888888889" style="118"/>
    <col min="13067" max="13067" width="15.4259259259259" style="118" customWidth="1"/>
    <col min="13068" max="13310" width="9.13888888888889" style="118"/>
    <col min="13311" max="13311" width="32.5648148148148" style="118" customWidth="1"/>
    <col min="13312" max="13312" width="13.1388888888889" style="118" customWidth="1"/>
    <col min="13313" max="13313" width="15.5648148148148" style="118" customWidth="1"/>
    <col min="13314" max="13314" width="5.86111111111111" style="118" customWidth="1"/>
    <col min="13315" max="13315" width="15.8611111111111" style="118" customWidth="1"/>
    <col min="13316" max="13316" width="14.5648148148148" style="118" customWidth="1"/>
    <col min="13317" max="13317" width="17.8611111111111" style="118" customWidth="1"/>
    <col min="13318" max="13318" width="18.1388888888889" style="118" customWidth="1"/>
    <col min="13319" max="13319" width="22.5648148148148" style="118" customWidth="1"/>
    <col min="13320" max="13320" width="21.1388888888889" style="118" customWidth="1"/>
    <col min="13321" max="13321" width="0.564814814814815" style="118" customWidth="1"/>
    <col min="13322" max="13322" width="9.13888888888889" style="118"/>
    <col min="13323" max="13323" width="15.4259259259259" style="118" customWidth="1"/>
    <col min="13324" max="13566" width="9.13888888888889" style="118"/>
    <col min="13567" max="13567" width="32.5648148148148" style="118" customWidth="1"/>
    <col min="13568" max="13568" width="13.1388888888889" style="118" customWidth="1"/>
    <col min="13569" max="13569" width="15.5648148148148" style="118" customWidth="1"/>
    <col min="13570" max="13570" width="5.86111111111111" style="118" customWidth="1"/>
    <col min="13571" max="13571" width="15.8611111111111" style="118" customWidth="1"/>
    <col min="13572" max="13572" width="14.5648148148148" style="118" customWidth="1"/>
    <col min="13573" max="13573" width="17.8611111111111" style="118" customWidth="1"/>
    <col min="13574" max="13574" width="18.1388888888889" style="118" customWidth="1"/>
    <col min="13575" max="13575" width="22.5648148148148" style="118" customWidth="1"/>
    <col min="13576" max="13576" width="21.1388888888889" style="118" customWidth="1"/>
    <col min="13577" max="13577" width="0.564814814814815" style="118" customWidth="1"/>
    <col min="13578" max="13578" width="9.13888888888889" style="118"/>
    <col min="13579" max="13579" width="15.4259259259259" style="118" customWidth="1"/>
    <col min="13580" max="13822" width="9.13888888888889" style="118"/>
    <col min="13823" max="13823" width="32.5648148148148" style="118" customWidth="1"/>
    <col min="13824" max="13824" width="13.1388888888889" style="118" customWidth="1"/>
    <col min="13825" max="13825" width="15.5648148148148" style="118" customWidth="1"/>
    <col min="13826" max="13826" width="5.86111111111111" style="118" customWidth="1"/>
    <col min="13827" max="13827" width="15.8611111111111" style="118" customWidth="1"/>
    <col min="13828" max="13828" width="14.5648148148148" style="118" customWidth="1"/>
    <col min="13829" max="13829" width="17.8611111111111" style="118" customWidth="1"/>
    <col min="13830" max="13830" width="18.1388888888889" style="118" customWidth="1"/>
    <col min="13831" max="13831" width="22.5648148148148" style="118" customWidth="1"/>
    <col min="13832" max="13832" width="21.1388888888889" style="118" customWidth="1"/>
    <col min="13833" max="13833" width="0.564814814814815" style="118" customWidth="1"/>
    <col min="13834" max="13834" width="9.13888888888889" style="118"/>
    <col min="13835" max="13835" width="15.4259259259259" style="118" customWidth="1"/>
    <col min="13836" max="14078" width="9.13888888888889" style="118"/>
    <col min="14079" max="14079" width="32.5648148148148" style="118" customWidth="1"/>
    <col min="14080" max="14080" width="13.1388888888889" style="118" customWidth="1"/>
    <col min="14081" max="14081" width="15.5648148148148" style="118" customWidth="1"/>
    <col min="14082" max="14082" width="5.86111111111111" style="118" customWidth="1"/>
    <col min="14083" max="14083" width="15.8611111111111" style="118" customWidth="1"/>
    <col min="14084" max="14084" width="14.5648148148148" style="118" customWidth="1"/>
    <col min="14085" max="14085" width="17.8611111111111" style="118" customWidth="1"/>
    <col min="14086" max="14086" width="18.1388888888889" style="118" customWidth="1"/>
    <col min="14087" max="14087" width="22.5648148148148" style="118" customWidth="1"/>
    <col min="14088" max="14088" width="21.1388888888889" style="118" customWidth="1"/>
    <col min="14089" max="14089" width="0.564814814814815" style="118" customWidth="1"/>
    <col min="14090" max="14090" width="9.13888888888889" style="118"/>
    <col min="14091" max="14091" width="15.4259259259259" style="118" customWidth="1"/>
    <col min="14092" max="14334" width="9.13888888888889" style="118"/>
    <col min="14335" max="14335" width="32.5648148148148" style="118" customWidth="1"/>
    <col min="14336" max="14336" width="13.1388888888889" style="118" customWidth="1"/>
    <col min="14337" max="14337" width="15.5648148148148" style="118" customWidth="1"/>
    <col min="14338" max="14338" width="5.86111111111111" style="118" customWidth="1"/>
    <col min="14339" max="14339" width="15.8611111111111" style="118" customWidth="1"/>
    <col min="14340" max="14340" width="14.5648148148148" style="118" customWidth="1"/>
    <col min="14341" max="14341" width="17.8611111111111" style="118" customWidth="1"/>
    <col min="14342" max="14342" width="18.1388888888889" style="118" customWidth="1"/>
    <col min="14343" max="14343" width="22.5648148148148" style="118" customWidth="1"/>
    <col min="14344" max="14344" width="21.1388888888889" style="118" customWidth="1"/>
    <col min="14345" max="14345" width="0.564814814814815" style="118" customWidth="1"/>
    <col min="14346" max="14346" width="9.13888888888889" style="118"/>
    <col min="14347" max="14347" width="15.4259259259259" style="118" customWidth="1"/>
    <col min="14348" max="14590" width="9.13888888888889" style="118"/>
    <col min="14591" max="14591" width="32.5648148148148" style="118" customWidth="1"/>
    <col min="14592" max="14592" width="13.1388888888889" style="118" customWidth="1"/>
    <col min="14593" max="14593" width="15.5648148148148" style="118" customWidth="1"/>
    <col min="14594" max="14594" width="5.86111111111111" style="118" customWidth="1"/>
    <col min="14595" max="14595" width="15.8611111111111" style="118" customWidth="1"/>
    <col min="14596" max="14596" width="14.5648148148148" style="118" customWidth="1"/>
    <col min="14597" max="14597" width="17.8611111111111" style="118" customWidth="1"/>
    <col min="14598" max="14598" width="18.1388888888889" style="118" customWidth="1"/>
    <col min="14599" max="14599" width="22.5648148148148" style="118" customWidth="1"/>
    <col min="14600" max="14600" width="21.1388888888889" style="118" customWidth="1"/>
    <col min="14601" max="14601" width="0.564814814814815" style="118" customWidth="1"/>
    <col min="14602" max="14602" width="9.13888888888889" style="118"/>
    <col min="14603" max="14603" width="15.4259259259259" style="118" customWidth="1"/>
    <col min="14604" max="14846" width="9.13888888888889" style="118"/>
    <col min="14847" max="14847" width="32.5648148148148" style="118" customWidth="1"/>
    <col min="14848" max="14848" width="13.1388888888889" style="118" customWidth="1"/>
    <col min="14849" max="14849" width="15.5648148148148" style="118" customWidth="1"/>
    <col min="14850" max="14850" width="5.86111111111111" style="118" customWidth="1"/>
    <col min="14851" max="14851" width="15.8611111111111" style="118" customWidth="1"/>
    <col min="14852" max="14852" width="14.5648148148148" style="118" customWidth="1"/>
    <col min="14853" max="14853" width="17.8611111111111" style="118" customWidth="1"/>
    <col min="14854" max="14854" width="18.1388888888889" style="118" customWidth="1"/>
    <col min="14855" max="14855" width="22.5648148148148" style="118" customWidth="1"/>
    <col min="14856" max="14856" width="21.1388888888889" style="118" customWidth="1"/>
    <col min="14857" max="14857" width="0.564814814814815" style="118" customWidth="1"/>
    <col min="14858" max="14858" width="9.13888888888889" style="118"/>
    <col min="14859" max="14859" width="15.4259259259259" style="118" customWidth="1"/>
    <col min="14860" max="15102" width="9.13888888888889" style="118"/>
    <col min="15103" max="15103" width="32.5648148148148" style="118" customWidth="1"/>
    <col min="15104" max="15104" width="13.1388888888889" style="118" customWidth="1"/>
    <col min="15105" max="15105" width="15.5648148148148" style="118" customWidth="1"/>
    <col min="15106" max="15106" width="5.86111111111111" style="118" customWidth="1"/>
    <col min="15107" max="15107" width="15.8611111111111" style="118" customWidth="1"/>
    <col min="15108" max="15108" width="14.5648148148148" style="118" customWidth="1"/>
    <col min="15109" max="15109" width="17.8611111111111" style="118" customWidth="1"/>
    <col min="15110" max="15110" width="18.1388888888889" style="118" customWidth="1"/>
    <col min="15111" max="15111" width="22.5648148148148" style="118" customWidth="1"/>
    <col min="15112" max="15112" width="21.1388888888889" style="118" customWidth="1"/>
    <col min="15113" max="15113" width="0.564814814814815" style="118" customWidth="1"/>
    <col min="15114" max="15114" width="9.13888888888889" style="118"/>
    <col min="15115" max="15115" width="15.4259259259259" style="118" customWidth="1"/>
    <col min="15116" max="15358" width="9.13888888888889" style="118"/>
    <col min="15359" max="15359" width="32.5648148148148" style="118" customWidth="1"/>
    <col min="15360" max="15360" width="13.1388888888889" style="118" customWidth="1"/>
    <col min="15361" max="15361" width="15.5648148148148" style="118" customWidth="1"/>
    <col min="15362" max="15362" width="5.86111111111111" style="118" customWidth="1"/>
    <col min="15363" max="15363" width="15.8611111111111" style="118" customWidth="1"/>
    <col min="15364" max="15364" width="14.5648148148148" style="118" customWidth="1"/>
    <col min="15365" max="15365" width="17.8611111111111" style="118" customWidth="1"/>
    <col min="15366" max="15366" width="18.1388888888889" style="118" customWidth="1"/>
    <col min="15367" max="15367" width="22.5648148148148" style="118" customWidth="1"/>
    <col min="15368" max="15368" width="21.1388888888889" style="118" customWidth="1"/>
    <col min="15369" max="15369" width="0.564814814814815" style="118" customWidth="1"/>
    <col min="15370" max="15370" width="9.13888888888889" style="118"/>
    <col min="15371" max="15371" width="15.4259259259259" style="118" customWidth="1"/>
    <col min="15372" max="15614" width="9.13888888888889" style="118"/>
    <col min="15615" max="15615" width="32.5648148148148" style="118" customWidth="1"/>
    <col min="15616" max="15616" width="13.1388888888889" style="118" customWidth="1"/>
    <col min="15617" max="15617" width="15.5648148148148" style="118" customWidth="1"/>
    <col min="15618" max="15618" width="5.86111111111111" style="118" customWidth="1"/>
    <col min="15619" max="15619" width="15.8611111111111" style="118" customWidth="1"/>
    <col min="15620" max="15620" width="14.5648148148148" style="118" customWidth="1"/>
    <col min="15621" max="15621" width="17.8611111111111" style="118" customWidth="1"/>
    <col min="15622" max="15622" width="18.1388888888889" style="118" customWidth="1"/>
    <col min="15623" max="15623" width="22.5648148148148" style="118" customWidth="1"/>
    <col min="15624" max="15624" width="21.1388888888889" style="118" customWidth="1"/>
    <col min="15625" max="15625" width="0.564814814814815" style="118" customWidth="1"/>
    <col min="15626" max="15626" width="9.13888888888889" style="118"/>
    <col min="15627" max="15627" width="15.4259259259259" style="118" customWidth="1"/>
    <col min="15628" max="15870" width="9.13888888888889" style="118"/>
    <col min="15871" max="15871" width="32.5648148148148" style="118" customWidth="1"/>
    <col min="15872" max="15872" width="13.1388888888889" style="118" customWidth="1"/>
    <col min="15873" max="15873" width="15.5648148148148" style="118" customWidth="1"/>
    <col min="15874" max="15874" width="5.86111111111111" style="118" customWidth="1"/>
    <col min="15875" max="15875" width="15.8611111111111" style="118" customWidth="1"/>
    <col min="15876" max="15876" width="14.5648148148148" style="118" customWidth="1"/>
    <col min="15877" max="15877" width="17.8611111111111" style="118" customWidth="1"/>
    <col min="15878" max="15878" width="18.1388888888889" style="118" customWidth="1"/>
    <col min="15879" max="15879" width="22.5648148148148" style="118" customWidth="1"/>
    <col min="15880" max="15880" width="21.1388888888889" style="118" customWidth="1"/>
    <col min="15881" max="15881" width="0.564814814814815" style="118" customWidth="1"/>
    <col min="15882" max="15882" width="9.13888888888889" style="118"/>
    <col min="15883" max="15883" width="15.4259259259259" style="118" customWidth="1"/>
    <col min="15884" max="16126" width="9.13888888888889" style="118"/>
    <col min="16127" max="16127" width="32.5648148148148" style="118" customWidth="1"/>
    <col min="16128" max="16128" width="13.1388888888889" style="118" customWidth="1"/>
    <col min="16129" max="16129" width="15.5648148148148" style="118" customWidth="1"/>
    <col min="16130" max="16130" width="5.86111111111111" style="118" customWidth="1"/>
    <col min="16131" max="16131" width="15.8611111111111" style="118" customWidth="1"/>
    <col min="16132" max="16132" width="14.5648148148148" style="118" customWidth="1"/>
    <col min="16133" max="16133" width="17.8611111111111" style="118" customWidth="1"/>
    <col min="16134" max="16134" width="18.1388888888889" style="118" customWidth="1"/>
    <col min="16135" max="16135" width="22.5648148148148" style="118" customWidth="1"/>
    <col min="16136" max="16136" width="21.1388888888889" style="118" customWidth="1"/>
    <col min="16137" max="16137" width="0.564814814814815" style="118" customWidth="1"/>
    <col min="16138" max="16138" width="9.13888888888889" style="118"/>
    <col min="16139" max="16139" width="15.4259259259259" style="118" customWidth="1"/>
    <col min="16140" max="16382" width="9.13888888888889" style="118"/>
    <col min="16383" max="16384" width="9" style="118"/>
  </cols>
  <sheetData>
    <row r="1" ht="6.6" customHeight="1"/>
    <row r="2" ht="44.45" customHeight="1" spans="1:9">
      <c r="A2" s="119" t="s">
        <v>70</v>
      </c>
      <c r="B2" s="119"/>
      <c r="C2" s="119"/>
      <c r="D2" s="119"/>
      <c r="E2" s="119"/>
      <c r="F2" s="119"/>
      <c r="G2" s="119"/>
      <c r="H2" s="119"/>
    </row>
    <row r="3" ht="21.6" customHeight="1" spans="1:9">
      <c r="A3" s="120"/>
      <c r="B3" s="120"/>
      <c r="C3" s="225"/>
      <c r="E3" s="121"/>
      <c r="G3" s="122"/>
      <c r="H3" s="123"/>
    </row>
    <row r="4" ht="18" spans="1:9">
      <c r="A4" s="124" t="s">
        <v>71</v>
      </c>
      <c r="B4" s="125"/>
      <c r="C4" s="135"/>
      <c r="E4" s="126"/>
      <c r="G4" s="127" t="str">
        <f>'GDI-CI'!J26</f>
        <v>No.:  SC/GDI-SIGD260241</v>
      </c>
    </row>
    <row r="5" ht="20.25" customHeight="1" spans="1:9">
      <c r="A5" s="128" t="s">
        <v>72</v>
      </c>
      <c r="B5" s="128"/>
      <c r="C5" s="226"/>
      <c r="D5" s="129"/>
      <c r="E5" s="126"/>
      <c r="F5" s="129"/>
      <c r="G5" s="130" t="str">
        <f>'GDI-CI'!J27</f>
        <v>Date: 2026/09/22</v>
      </c>
      <c r="H5" s="129"/>
    </row>
    <row r="6" ht="23.45" customHeight="1" spans="1:9">
      <c r="A6" s="131" t="s">
        <v>73</v>
      </c>
      <c r="B6" s="131"/>
      <c r="C6" s="139"/>
      <c r="D6" s="227"/>
      <c r="E6" s="132"/>
      <c r="F6" s="133"/>
      <c r="G6" s="130"/>
      <c r="H6" s="133"/>
      <c r="I6" s="133"/>
    </row>
    <row r="7" ht="21" customHeight="1" spans="1:9">
      <c r="A7" s="131" t="s">
        <v>74</v>
      </c>
      <c r="B7" s="131"/>
      <c r="C7" s="139"/>
      <c r="D7" s="124"/>
      <c r="E7" s="134"/>
      <c r="F7" s="120"/>
      <c r="G7" s="127"/>
      <c r="H7" s="135"/>
      <c r="I7" s="135"/>
    </row>
    <row r="8" ht="11.1" customHeight="1" spans="1:9">
      <c r="A8" s="139"/>
      <c r="B8" s="139"/>
      <c r="C8" s="139"/>
      <c r="D8" s="124"/>
      <c r="E8" s="134"/>
      <c r="F8" s="120"/>
      <c r="G8" s="130"/>
      <c r="H8" s="135"/>
      <c r="I8" s="135"/>
    </row>
    <row r="9" ht="18" spans="1:9">
      <c r="A9" s="124" t="s">
        <v>75</v>
      </c>
      <c r="B9" s="125"/>
      <c r="C9" s="135"/>
      <c r="E9" s="126"/>
      <c r="G9" s="127"/>
    </row>
    <row r="10" ht="20.25" customHeight="1" spans="1:9">
      <c r="A10" s="128" t="str">
        <f>'GDI-CI'!B9</f>
        <v>GDI HK LIMITED</v>
      </c>
      <c r="B10" s="128"/>
      <c r="C10" s="128"/>
      <c r="D10" s="129"/>
      <c r="E10" s="126"/>
      <c r="F10" s="129"/>
      <c r="G10" s="130"/>
      <c r="H10" s="129"/>
    </row>
    <row r="11" ht="24" customHeight="1" spans="1:9">
      <c r="A11" s="138" t="str">
        <f>'GDI-CI'!B11</f>
        <v>FLAT H, 2/F MANSION INDUSTRIAL BUILDING,</v>
      </c>
      <c r="B11" s="131"/>
      <c r="C11" s="131"/>
      <c r="D11" s="227"/>
      <c r="E11" s="132"/>
      <c r="F11" s="133"/>
      <c r="G11" s="130"/>
      <c r="H11" s="133"/>
      <c r="I11" s="133"/>
    </row>
    <row r="12" ht="21" customHeight="1" spans="1:9">
      <c r="A12" s="138" t="str">
        <f>'GDI-CI'!B12</f>
        <v>8 A KUNG NGAM VILLAGE LANE, SHAU KEI WAN, HONG KONG</v>
      </c>
      <c r="B12" s="131"/>
      <c r="C12" s="131"/>
      <c r="D12" s="124"/>
      <c r="E12" s="134"/>
      <c r="F12" s="120"/>
      <c r="G12" s="127"/>
      <c r="H12" s="135"/>
      <c r="I12" s="135"/>
    </row>
    <row r="13" ht="22.8" spans="1:9">
      <c r="A13" s="128"/>
      <c r="B13" s="139"/>
      <c r="C13" s="139"/>
      <c r="D13" s="124"/>
      <c r="E13" s="134"/>
      <c r="F13" s="120"/>
      <c r="G13" s="130"/>
      <c r="H13" s="135"/>
      <c r="I13" s="135"/>
    </row>
    <row r="14" ht="18" spans="1:9">
      <c r="A14" s="124" t="s">
        <v>76</v>
      </c>
      <c r="B14" s="125"/>
      <c r="C14" s="135"/>
      <c r="E14" s="124"/>
      <c r="G14" s="127"/>
    </row>
    <row r="15" ht="20.25" customHeight="1" spans="1:9">
      <c r="A15" s="228" t="str">
        <f>'GDI-CI'!B15</f>
        <v>PT Nirwana Alabare Garment</v>
      </c>
      <c r="B15" s="228"/>
      <c r="C15" s="228"/>
      <c r="D15" s="228"/>
      <c r="E15" s="228"/>
      <c r="F15" s="228"/>
      <c r="G15" s="228"/>
      <c r="H15" s="228"/>
    </row>
    <row r="16" ht="24" customHeight="1" spans="1:9">
      <c r="A16" s="228"/>
      <c r="B16" s="228"/>
      <c r="C16" s="228"/>
      <c r="D16" s="229"/>
      <c r="E16" s="228"/>
      <c r="F16" s="228"/>
      <c r="G16" s="228"/>
      <c r="H16" s="229"/>
      <c r="I16" s="133"/>
    </row>
    <row r="17" ht="24" customHeight="1" spans="1:9">
      <c r="A17" s="228"/>
      <c r="B17" s="228"/>
      <c r="C17" s="228"/>
      <c r="D17" s="229"/>
      <c r="E17" s="228"/>
      <c r="F17" s="228"/>
      <c r="G17" s="228"/>
      <c r="H17" s="229"/>
      <c r="I17" s="133"/>
    </row>
    <row r="18" ht="24" customHeight="1" spans="1:9">
      <c r="A18" s="228"/>
      <c r="B18" s="228"/>
      <c r="C18" s="228"/>
      <c r="D18" s="229"/>
      <c r="E18" s="228"/>
      <c r="F18" s="228"/>
      <c r="G18" s="228"/>
      <c r="H18" s="229"/>
      <c r="I18" s="133"/>
    </row>
    <row r="19" ht="21" customHeight="1" spans="1:9">
      <c r="A19" s="228"/>
      <c r="B19" s="228"/>
      <c r="C19" s="228"/>
      <c r="D19" s="229"/>
      <c r="E19" s="228"/>
      <c r="F19" s="228"/>
      <c r="G19" s="228"/>
      <c r="H19" s="229"/>
      <c r="I19" s="135"/>
    </row>
    <row r="20" ht="14.45" customHeight="1" spans="1:9">
      <c r="A20" s="228"/>
      <c r="B20" s="228"/>
      <c r="C20" s="229"/>
      <c r="D20" s="229"/>
      <c r="E20" s="229"/>
      <c r="F20" s="228"/>
      <c r="G20" s="228"/>
      <c r="H20" s="229"/>
      <c r="I20" s="135"/>
    </row>
    <row r="21" ht="3" customHeight="1" spans="1:9">
      <c r="A21" s="141"/>
      <c r="B21" s="141"/>
      <c r="C21" s="143"/>
      <c r="D21" s="230"/>
      <c r="E21" s="142"/>
      <c r="F21" s="142"/>
      <c r="G21" s="143" t="s">
        <v>7</v>
      </c>
      <c r="H21" s="144" t="s">
        <v>7</v>
      </c>
      <c r="I21" s="135"/>
    </row>
    <row r="22" s="113" customFormat="1" ht="22.5" customHeight="1" spans="1:9">
      <c r="A22" s="145" t="s">
        <v>77</v>
      </c>
      <c r="B22" s="145"/>
      <c r="C22" s="145"/>
      <c r="D22" s="145"/>
      <c r="E22" s="146" t="s">
        <v>78</v>
      </c>
      <c r="F22" s="147"/>
      <c r="G22" s="148"/>
      <c r="H22" s="148"/>
      <c r="I22" s="145"/>
    </row>
    <row r="23" s="113" customFormat="1" ht="22.5" customHeight="1" spans="1:9">
      <c r="A23" s="145"/>
      <c r="B23" s="145"/>
      <c r="C23" s="145"/>
      <c r="D23" s="145"/>
      <c r="E23" s="149" t="s">
        <v>79</v>
      </c>
      <c r="F23" s="124"/>
      <c r="G23" s="150"/>
      <c r="H23" s="150"/>
      <c r="I23" s="145"/>
    </row>
    <row r="24" s="113" customFormat="1" ht="22.5" customHeight="1" spans="1:9">
      <c r="A24" s="145"/>
      <c r="B24" s="145"/>
      <c r="C24" s="145"/>
      <c r="D24" s="145"/>
      <c r="E24" s="151" t="s">
        <v>80</v>
      </c>
      <c r="F24" s="152"/>
      <c r="G24" s="153"/>
      <c r="H24" s="153"/>
      <c r="I24" s="145"/>
    </row>
    <row r="25" s="113" customFormat="1" ht="22.5" customHeight="1" spans="1:9">
      <c r="A25" s="154"/>
      <c r="B25" s="154"/>
      <c r="C25" s="154"/>
      <c r="D25" s="154"/>
      <c r="E25" s="155" t="s">
        <v>81</v>
      </c>
      <c r="F25" s="156"/>
      <c r="G25" s="157"/>
      <c r="H25" s="157"/>
      <c r="I25" s="145"/>
    </row>
    <row r="26" s="114" customFormat="1" ht="39.6" customHeight="1" spans="1:9">
      <c r="A26" s="158" t="s">
        <v>82</v>
      </c>
      <c r="B26" s="159" t="s">
        <v>83</v>
      </c>
      <c r="C26" s="231"/>
      <c r="D26" s="231"/>
      <c r="E26" s="160" t="s">
        <v>84</v>
      </c>
      <c r="F26" s="160" t="s">
        <v>85</v>
      </c>
      <c r="G26" s="160" t="s">
        <v>86</v>
      </c>
      <c r="H26" s="159" t="s">
        <v>87</v>
      </c>
      <c r="I26" s="161"/>
    </row>
    <row r="27" s="115" customFormat="1" ht="47.25" customHeight="1" spans="1:9">
      <c r="A27" s="232" t="e">
        <f>'GDI-CI'!#REF!</f>
        <v>#REF!</v>
      </c>
      <c r="B27" s="233" t="e">
        <f>'GDI-CI'!#REF!</f>
        <v>#REF!</v>
      </c>
      <c r="C27" s="234"/>
      <c r="D27" s="234"/>
      <c r="E27" s="235" t="e">
        <f>'GDI-CI'!#REF!</f>
        <v>#REF!</v>
      </c>
      <c r="F27" s="166" t="e">
        <f>'GDI-CI'!#REF!</f>
        <v>#REF!</v>
      </c>
      <c r="G27" s="166" t="e">
        <f>'GDI-CI'!#REF!</f>
        <v>#REF!</v>
      </c>
      <c r="H27" s="167" t="e">
        <f>'GDI-CI'!#REF!</f>
        <v>#REF!</v>
      </c>
      <c r="I27" s="168"/>
    </row>
    <row r="28" s="115" customFormat="1" ht="47.25" customHeight="1" spans="1:9">
      <c r="A28" s="232" t="e">
        <f>'GDI-CI'!#REF!</f>
        <v>#REF!</v>
      </c>
      <c r="B28" s="233"/>
      <c r="C28" s="234"/>
      <c r="D28" s="234"/>
      <c r="E28" s="235" t="e">
        <f>'GDI-CI'!#REF!</f>
        <v>#REF!</v>
      </c>
      <c r="F28" s="166" t="e">
        <f>'GDI-CI'!#REF!</f>
        <v>#REF!</v>
      </c>
      <c r="G28" s="166" t="e">
        <f>'GDI-CI'!#REF!</f>
        <v>#REF!</v>
      </c>
      <c r="H28" s="167" t="e">
        <f>'GDI-CI'!#REF!</f>
        <v>#REF!</v>
      </c>
      <c r="I28" s="168"/>
    </row>
    <row r="29" s="115" customFormat="1" ht="47.25" customHeight="1" spans="1:9">
      <c r="A29" s="232" t="e">
        <f>'GDI-CI'!#REF!</f>
        <v>#REF!</v>
      </c>
      <c r="B29" s="233" t="e">
        <f>'GDI-CI'!#REF!</f>
        <v>#REF!</v>
      </c>
      <c r="C29" s="234"/>
      <c r="D29" s="234"/>
      <c r="E29" s="235" t="e">
        <f>'GDI-CI'!#REF!</f>
        <v>#REF!</v>
      </c>
      <c r="F29" s="166" t="e">
        <f>'GDI-CI'!#REF!</f>
        <v>#REF!</v>
      </c>
      <c r="G29" s="166" t="e">
        <f>'GDI-CI'!#REF!</f>
        <v>#REF!</v>
      </c>
      <c r="H29" s="167" t="e">
        <f>'GDI-CI'!#REF!</f>
        <v>#REF!</v>
      </c>
      <c r="I29" s="168"/>
    </row>
    <row r="30" s="115" customFormat="1" ht="47.25" customHeight="1" spans="1:9">
      <c r="A30" s="232" t="e">
        <f>'GDI-CI'!#REF!</f>
        <v>#REF!</v>
      </c>
      <c r="B30" s="233" t="e">
        <f>'GDI-CI'!#REF!</f>
        <v>#REF!</v>
      </c>
      <c r="C30" s="234"/>
      <c r="D30" s="234"/>
      <c r="E30" s="235" t="e">
        <f>'GDI-CI'!#REF!</f>
        <v>#REF!</v>
      </c>
      <c r="F30" s="166" t="e">
        <f>'GDI-CI'!#REF!</f>
        <v>#REF!</v>
      </c>
      <c r="G30" s="166" t="e">
        <f>'GDI-CI'!#REF!</f>
        <v>#REF!</v>
      </c>
      <c r="H30" s="167" t="e">
        <f>'GDI-CI'!#REF!</f>
        <v>#REF!</v>
      </c>
      <c r="I30" s="168"/>
    </row>
    <row r="31" s="115" customFormat="1" ht="47.25" customHeight="1" spans="1:9">
      <c r="A31" s="232" t="e">
        <f>'GDI-CI'!#REF!</f>
        <v>#REF!</v>
      </c>
      <c r="B31" s="233"/>
      <c r="C31" s="234"/>
      <c r="D31" s="234"/>
      <c r="E31" s="235" t="e">
        <f>'GDI-CI'!#REF!</f>
        <v>#REF!</v>
      </c>
      <c r="F31" s="166" t="e">
        <f>'GDI-CI'!#REF!</f>
        <v>#REF!</v>
      </c>
      <c r="G31" s="166" t="e">
        <f>'GDI-CI'!#REF!</f>
        <v>#REF!</v>
      </c>
      <c r="H31" s="167" t="e">
        <f>'GDI-CI'!#REF!</f>
        <v>#REF!</v>
      </c>
      <c r="I31" s="168"/>
    </row>
    <row r="32" s="115" customFormat="1" ht="47.25" customHeight="1" spans="1:9">
      <c r="A32" s="232" t="e">
        <f>'GDI-CI'!#REF!</f>
        <v>#REF!</v>
      </c>
      <c r="B32" s="233" t="e">
        <f>'GDI-CI'!#REF!</f>
        <v>#REF!</v>
      </c>
      <c r="C32" s="234"/>
      <c r="D32" s="234"/>
      <c r="E32" s="235" t="e">
        <f>'GDI-CI'!#REF!</f>
        <v>#REF!</v>
      </c>
      <c r="F32" s="166" t="e">
        <f>'GDI-CI'!#REF!</f>
        <v>#REF!</v>
      </c>
      <c r="G32" s="166" t="e">
        <f>'GDI-CI'!#REF!</f>
        <v>#REF!</v>
      </c>
      <c r="H32" s="167" t="e">
        <f>'GDI-CI'!#REF!</f>
        <v>#REF!</v>
      </c>
      <c r="I32" s="168"/>
    </row>
    <row r="33" s="115" customFormat="1" ht="47.25" customHeight="1" spans="1:13">
      <c r="A33" s="232" t="e">
        <f>'GDI-CI'!#REF!</f>
        <v>#REF!</v>
      </c>
      <c r="B33" s="233"/>
      <c r="C33" s="234"/>
      <c r="D33" s="234"/>
      <c r="E33" s="235" t="e">
        <f>'GDI-CI'!#REF!</f>
        <v>#REF!</v>
      </c>
      <c r="F33" s="166" t="e">
        <f>'GDI-CI'!#REF!</f>
        <v>#REF!</v>
      </c>
      <c r="G33" s="166" t="e">
        <f>'GDI-CI'!#REF!</f>
        <v>#REF!</v>
      </c>
      <c r="H33" s="167" t="e">
        <f>'GDI-CI'!#REF!</f>
        <v>#REF!</v>
      </c>
      <c r="I33" s="168"/>
    </row>
    <row r="34" s="115" customFormat="1" ht="47.25" customHeight="1" spans="1:13">
      <c r="A34" s="232"/>
      <c r="B34" s="233"/>
      <c r="C34" s="234"/>
      <c r="D34" s="234"/>
      <c r="E34" s="235"/>
      <c r="F34" s="166"/>
      <c r="G34" s="236"/>
      <c r="H34" s="167"/>
      <c r="I34" s="168"/>
    </row>
    <row r="35" s="116" customFormat="1" ht="36.6" customHeight="1" spans="1:13">
      <c r="A35" s="237"/>
      <c r="B35" s="238" t="s">
        <v>57</v>
      </c>
      <c r="C35" s="239"/>
      <c r="D35" s="239"/>
      <c r="E35" s="240" t="e">
        <f>SUM(E27:E34)</f>
        <v>#REF!</v>
      </c>
      <c r="F35" s="240" t="e">
        <f>SUM(F27:F34)</f>
        <v>#REF!</v>
      </c>
      <c r="G35" s="240"/>
      <c r="H35" s="240">
        <f>'GDI-CI'!O49</f>
        <v>47888.53</v>
      </c>
      <c r="I35" s="173"/>
      <c r="K35" s="174"/>
    </row>
    <row r="36" s="113" customFormat="1" ht="8.45" customHeight="1" spans="1:13">
      <c r="A36" s="175"/>
      <c r="B36" s="175"/>
      <c r="C36" s="176"/>
      <c r="D36" s="176"/>
      <c r="E36" s="176"/>
      <c r="F36" s="177"/>
      <c r="G36" s="178"/>
      <c r="H36" s="178"/>
      <c r="I36" s="179"/>
    </row>
    <row r="37" s="113" customFormat="1" ht="25.5" customHeight="1" spans="1:13">
      <c r="A37" s="180" t="s">
        <v>88</v>
      </c>
      <c r="B37" s="175"/>
      <c r="C37" s="176"/>
      <c r="D37" s="176"/>
      <c r="E37" s="176"/>
      <c r="F37" s="177"/>
      <c r="G37" s="178"/>
      <c r="H37" s="178"/>
      <c r="I37" s="179"/>
    </row>
    <row r="38" s="113" customFormat="1" ht="25.5" customHeight="1" spans="1:13">
      <c r="A38" s="175" t="s">
        <v>89</v>
      </c>
      <c r="B38" s="175"/>
      <c r="C38" s="176"/>
      <c r="D38" s="176"/>
      <c r="E38" s="176"/>
      <c r="F38" s="177"/>
      <c r="G38" s="178"/>
      <c r="H38" s="178"/>
      <c r="I38" s="179"/>
    </row>
    <row r="39" ht="3" customHeight="1" spans="1:13">
      <c r="A39" s="182"/>
      <c r="B39" s="182"/>
      <c r="C39" s="183"/>
      <c r="D39" s="183"/>
      <c r="E39" s="183"/>
      <c r="F39" s="184"/>
      <c r="G39" s="185"/>
      <c r="H39" s="186"/>
      <c r="I39" s="173"/>
    </row>
    <row r="40" ht="24" customHeight="1" spans="1:13">
      <c r="A40" s="187" t="s">
        <v>90</v>
      </c>
      <c r="B40" s="187"/>
      <c r="D40" s="188"/>
      <c r="E40" s="188"/>
      <c r="F40" s="188"/>
      <c r="G40" s="193"/>
      <c r="H40" s="186"/>
      <c r="I40" s="189"/>
    </row>
    <row r="41" ht="24" customHeight="1" spans="1:13">
      <c r="A41" s="190" t="s">
        <v>91</v>
      </c>
      <c r="B41" s="190"/>
      <c r="D41" s="191"/>
      <c r="E41" s="191"/>
      <c r="F41" s="191"/>
      <c r="G41" s="197"/>
      <c r="H41" s="194"/>
      <c r="I41" s="189"/>
    </row>
    <row r="42" ht="24" customHeight="1" spans="1:13">
      <c r="A42" s="187" t="s">
        <v>92</v>
      </c>
      <c r="B42" s="187"/>
      <c r="D42" s="191"/>
      <c r="E42" s="191"/>
      <c r="F42" s="191"/>
      <c r="G42" s="195"/>
      <c r="H42" s="196"/>
      <c r="I42" s="189"/>
    </row>
    <row r="43" ht="24" customHeight="1" spans="1:13">
      <c r="A43" s="187" t="s">
        <v>93</v>
      </c>
      <c r="B43" s="187"/>
      <c r="D43" s="191"/>
      <c r="E43" s="191"/>
      <c r="F43" s="191"/>
      <c r="G43" s="195"/>
      <c r="H43" s="196"/>
      <c r="I43" s="189"/>
    </row>
    <row r="44" ht="8.1" customHeight="1" spans="1:13">
      <c r="A44" s="191"/>
      <c r="B44" s="191"/>
      <c r="D44" s="191"/>
      <c r="E44" s="191"/>
      <c r="F44" s="191"/>
      <c r="G44" s="197"/>
      <c r="H44" s="196"/>
      <c r="I44" s="189"/>
    </row>
    <row r="45" ht="3.95" customHeight="1" spans="1:13">
      <c r="A45" s="191"/>
      <c r="B45" s="191"/>
      <c r="C45" s="191"/>
      <c r="D45" s="182"/>
      <c r="E45" s="191"/>
      <c r="F45" s="198"/>
      <c r="G45" s="188"/>
      <c r="H45" s="196"/>
      <c r="I45" s="189"/>
    </row>
    <row r="46" ht="29.25" customHeight="1" spans="1:13">
      <c r="A46" s="200" t="s">
        <v>94</v>
      </c>
      <c r="B46" s="200"/>
      <c r="C46" s="123"/>
      <c r="D46" s="201"/>
      <c r="E46" s="201"/>
      <c r="F46" s="201"/>
      <c r="G46" s="202"/>
      <c r="H46" s="196"/>
      <c r="I46" s="189"/>
      <c r="M46" s="203"/>
    </row>
    <row r="47" s="117" customFormat="1" ht="22.5" customHeight="1" spans="1:13">
      <c r="A47" s="204" t="s">
        <v>95</v>
      </c>
      <c r="B47" s="205" t="s">
        <v>96</v>
      </c>
      <c r="C47" s="206"/>
      <c r="D47" s="241"/>
      <c r="E47" s="206"/>
      <c r="F47" s="206"/>
      <c r="G47" s="140"/>
      <c r="H47" s="207"/>
      <c r="I47" s="207"/>
    </row>
    <row r="48" s="117" customFormat="1" ht="22.5" customHeight="1" spans="1:13">
      <c r="A48" s="204"/>
      <c r="B48" s="208" t="s">
        <v>73</v>
      </c>
      <c r="C48" s="206"/>
      <c r="D48" s="241"/>
      <c r="E48" s="206"/>
      <c r="F48" s="206"/>
      <c r="G48" s="207"/>
      <c r="H48" s="207"/>
      <c r="I48" s="207"/>
    </row>
    <row r="49" s="117" customFormat="1" ht="22.5" customHeight="1" spans="1:254">
      <c r="A49" s="204"/>
      <c r="B49" s="208" t="s">
        <v>74</v>
      </c>
      <c r="C49" s="206"/>
      <c r="D49" s="241"/>
      <c r="E49" s="206"/>
      <c r="F49" s="206"/>
      <c r="G49" s="207"/>
      <c r="H49" s="207"/>
      <c r="I49" s="207"/>
    </row>
    <row r="50" s="117" customFormat="1" ht="22.5" customHeight="1" spans="1:254">
      <c r="A50" s="204" t="s">
        <v>97</v>
      </c>
      <c r="B50" s="205" t="s">
        <v>98</v>
      </c>
      <c r="C50" s="206"/>
      <c r="D50" s="241"/>
      <c r="E50" s="206"/>
      <c r="F50" s="206"/>
      <c r="G50" s="140"/>
      <c r="H50" s="140"/>
      <c r="I50" s="207"/>
    </row>
    <row r="51" s="117" customFormat="1" ht="22.5" customHeight="1" spans="1:254">
      <c r="A51" s="204" t="s">
        <v>99</v>
      </c>
      <c r="B51" s="205" t="s">
        <v>100</v>
      </c>
      <c r="C51" s="206"/>
      <c r="D51" s="241"/>
      <c r="E51" s="140"/>
      <c r="F51" s="140"/>
      <c r="I51" s="207"/>
    </row>
    <row r="52" s="117" customFormat="1" ht="22.5" customHeight="1" spans="1:254">
      <c r="A52" s="204" t="s">
        <v>101</v>
      </c>
      <c r="B52" s="206" t="s">
        <v>102</v>
      </c>
      <c r="C52" s="206"/>
      <c r="D52" s="206"/>
      <c r="E52" s="140"/>
      <c r="F52" s="140"/>
      <c r="I52" s="207"/>
    </row>
    <row r="53" s="117" customFormat="1" ht="22.5" customHeight="1" spans="1:254">
      <c r="A53" s="204" t="s">
        <v>103</v>
      </c>
      <c r="B53" s="205" t="s">
        <v>104</v>
      </c>
      <c r="C53" s="206"/>
      <c r="D53" s="206"/>
      <c r="E53" s="140"/>
      <c r="F53" s="140"/>
      <c r="I53" s="140"/>
    </row>
    <row r="54" ht="22.5" customHeight="1" spans="1:254">
      <c r="A54" s="209"/>
      <c r="B54" s="209"/>
      <c r="C54" s="201"/>
      <c r="D54" s="201"/>
      <c r="E54" s="188"/>
      <c r="F54" s="188"/>
      <c r="I54" s="188"/>
    </row>
    <row r="55" s="113" customFormat="1" ht="17.25" customHeight="1" spans="1:254">
      <c r="A55" s="210"/>
      <c r="B55" s="179" t="s">
        <v>3</v>
      </c>
      <c r="C55" s="210"/>
      <c r="E55" s="152"/>
      <c r="F55" s="152"/>
      <c r="G55" s="152" t="s">
        <v>105</v>
      </c>
      <c r="H55" s="145"/>
      <c r="I55" s="145"/>
    </row>
    <row r="56" ht="17.25" customHeight="1" spans="1:254">
      <c r="A56" s="189"/>
      <c r="B56" s="189"/>
      <c r="C56" s="189"/>
      <c r="D56" s="242"/>
      <c r="E56" s="211"/>
      <c r="F56" s="212"/>
      <c r="G56" s="213"/>
      <c r="H56" s="213"/>
      <c r="I56" s="189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  <c r="CO56" s="214"/>
      <c r="CP56" s="214"/>
      <c r="CQ56" s="214"/>
      <c r="CR56" s="214"/>
      <c r="CS56" s="214"/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4"/>
      <c r="DG56" s="214"/>
      <c r="DH56" s="214"/>
      <c r="DI56" s="214"/>
      <c r="DJ56" s="214"/>
      <c r="DK56" s="214"/>
      <c r="DL56" s="214"/>
      <c r="DM56" s="214"/>
      <c r="DN56" s="214"/>
      <c r="DO56" s="214"/>
      <c r="DP56" s="214"/>
      <c r="DQ56" s="214"/>
      <c r="DR56" s="214"/>
      <c r="DS56" s="214"/>
      <c r="DT56" s="214"/>
      <c r="DU56" s="214"/>
      <c r="DV56" s="214"/>
      <c r="DW56" s="214"/>
      <c r="DX56" s="214"/>
      <c r="DY56" s="214"/>
      <c r="DZ56" s="214"/>
      <c r="EA56" s="214"/>
      <c r="EB56" s="214"/>
      <c r="EC56" s="214"/>
      <c r="ED56" s="214"/>
      <c r="EE56" s="214"/>
      <c r="EF56" s="214"/>
      <c r="EG56" s="214"/>
      <c r="EH56" s="214"/>
      <c r="EI56" s="214"/>
      <c r="EJ56" s="214"/>
      <c r="EK56" s="214"/>
      <c r="EL56" s="214"/>
      <c r="EM56" s="214"/>
      <c r="EN56" s="214"/>
      <c r="EO56" s="214"/>
      <c r="EP56" s="214"/>
      <c r="EQ56" s="214"/>
      <c r="ER56" s="214"/>
      <c r="ES56" s="214"/>
      <c r="ET56" s="214"/>
      <c r="EU56" s="214"/>
      <c r="EV56" s="214"/>
      <c r="EW56" s="214"/>
      <c r="EX56" s="214"/>
      <c r="EY56" s="214"/>
      <c r="EZ56" s="214"/>
      <c r="FA56" s="214"/>
      <c r="FB56" s="214"/>
      <c r="FC56" s="214"/>
      <c r="FD56" s="214"/>
      <c r="FE56" s="214"/>
      <c r="FF56" s="214"/>
      <c r="FG56" s="214"/>
      <c r="FH56" s="214"/>
      <c r="FI56" s="214"/>
      <c r="FJ56" s="214"/>
      <c r="FK56" s="214"/>
      <c r="FL56" s="214"/>
      <c r="FM56" s="214"/>
      <c r="FN56" s="214"/>
      <c r="FO56" s="214"/>
      <c r="FP56" s="214"/>
      <c r="FQ56" s="214"/>
      <c r="FR56" s="214"/>
      <c r="FS56" s="214"/>
      <c r="FT56" s="214"/>
      <c r="FU56" s="214"/>
      <c r="FV56" s="214"/>
      <c r="FW56" s="214"/>
      <c r="FX56" s="214"/>
      <c r="FY56" s="214"/>
      <c r="FZ56" s="214"/>
      <c r="GA56" s="214"/>
      <c r="GB56" s="214"/>
      <c r="GC56" s="214"/>
      <c r="GD56" s="214"/>
      <c r="GE56" s="214"/>
      <c r="GF56" s="214"/>
      <c r="GG56" s="214"/>
      <c r="GH56" s="214"/>
      <c r="GI56" s="214"/>
      <c r="GJ56" s="214"/>
      <c r="GK56" s="214"/>
      <c r="GL56" s="214"/>
      <c r="GM56" s="214"/>
      <c r="GN56" s="214"/>
      <c r="GO56" s="214"/>
      <c r="GP56" s="214"/>
      <c r="GQ56" s="214"/>
      <c r="GR56" s="214"/>
      <c r="GS56" s="214"/>
      <c r="GT56" s="214"/>
      <c r="GU56" s="214"/>
      <c r="GV56" s="214"/>
      <c r="GW56" s="214"/>
      <c r="GX56" s="214"/>
      <c r="GY56" s="214"/>
      <c r="GZ56" s="214"/>
      <c r="HA56" s="214"/>
      <c r="HB56" s="214"/>
      <c r="HC56" s="214"/>
      <c r="HD56" s="214"/>
      <c r="HE56" s="214"/>
      <c r="HF56" s="214"/>
      <c r="HG56" s="214"/>
      <c r="HH56" s="214"/>
      <c r="HI56" s="214"/>
      <c r="HJ56" s="214"/>
      <c r="HK56" s="214"/>
      <c r="HL56" s="214"/>
      <c r="HM56" s="214"/>
      <c r="HN56" s="214"/>
      <c r="HO56" s="214"/>
      <c r="HP56" s="214"/>
      <c r="HQ56" s="214"/>
      <c r="HR56" s="214"/>
      <c r="HS56" s="214"/>
      <c r="HT56" s="214"/>
      <c r="HU56" s="214"/>
      <c r="HV56" s="214"/>
      <c r="HW56" s="214"/>
      <c r="HX56" s="214"/>
      <c r="HY56" s="214"/>
      <c r="HZ56" s="214"/>
      <c r="IA56" s="214"/>
      <c r="IB56" s="214"/>
      <c r="IC56" s="214"/>
      <c r="ID56" s="214"/>
      <c r="IE56" s="214"/>
      <c r="IF56" s="214"/>
      <c r="IG56" s="214"/>
      <c r="IH56" s="214"/>
      <c r="II56" s="214"/>
      <c r="IJ56" s="214"/>
      <c r="IK56" s="214"/>
      <c r="IL56" s="214"/>
      <c r="IM56" s="214"/>
      <c r="IN56" s="214"/>
      <c r="IO56" s="214"/>
      <c r="IP56" s="214"/>
      <c r="IQ56" s="214"/>
      <c r="IR56" s="214"/>
      <c r="IS56" s="214"/>
      <c r="IT56" s="214"/>
    </row>
    <row r="57" ht="17.25" customHeight="1" spans="1:254">
      <c r="A57" s="189"/>
      <c r="B57" s="189"/>
      <c r="C57" s="189"/>
      <c r="D57" s="243"/>
      <c r="E57" s="211"/>
      <c r="F57" s="212"/>
      <c r="G57" s="213"/>
      <c r="H57" s="213"/>
      <c r="I57" s="189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  <c r="CO57" s="214"/>
      <c r="CP57" s="214"/>
      <c r="CQ57" s="214"/>
      <c r="CR57" s="214"/>
      <c r="CS57" s="214"/>
      <c r="CT57" s="214"/>
      <c r="CU57" s="214"/>
      <c r="CV57" s="214"/>
      <c r="CW57" s="214"/>
      <c r="CX57" s="214"/>
      <c r="CY57" s="214"/>
      <c r="CZ57" s="214"/>
      <c r="DA57" s="214"/>
      <c r="DB57" s="214"/>
      <c r="DC57" s="214"/>
      <c r="DD57" s="214"/>
      <c r="DE57" s="214"/>
      <c r="DF57" s="214"/>
      <c r="DG57" s="214"/>
      <c r="DH57" s="214"/>
      <c r="DI57" s="214"/>
      <c r="DJ57" s="214"/>
      <c r="DK57" s="214"/>
      <c r="DL57" s="214"/>
      <c r="DM57" s="214"/>
      <c r="DN57" s="214"/>
      <c r="DO57" s="214"/>
      <c r="DP57" s="214"/>
      <c r="DQ57" s="214"/>
      <c r="DR57" s="214"/>
      <c r="DS57" s="214"/>
      <c r="DT57" s="214"/>
      <c r="DU57" s="214"/>
      <c r="DV57" s="214"/>
      <c r="DW57" s="214"/>
      <c r="DX57" s="214"/>
      <c r="DY57" s="214"/>
      <c r="DZ57" s="214"/>
      <c r="EA57" s="214"/>
      <c r="EB57" s="214"/>
      <c r="EC57" s="214"/>
      <c r="ED57" s="214"/>
      <c r="EE57" s="214"/>
      <c r="EF57" s="214"/>
      <c r="EG57" s="214"/>
      <c r="EH57" s="214"/>
      <c r="EI57" s="214"/>
      <c r="EJ57" s="214"/>
      <c r="EK57" s="214"/>
      <c r="EL57" s="214"/>
      <c r="EM57" s="214"/>
      <c r="EN57" s="214"/>
      <c r="EO57" s="214"/>
      <c r="EP57" s="214"/>
      <c r="EQ57" s="214"/>
      <c r="ER57" s="214"/>
      <c r="ES57" s="214"/>
      <c r="ET57" s="214"/>
      <c r="EU57" s="214"/>
      <c r="EV57" s="214"/>
      <c r="EW57" s="214"/>
      <c r="EX57" s="214"/>
      <c r="EY57" s="214"/>
      <c r="EZ57" s="214"/>
      <c r="FA57" s="214"/>
      <c r="FB57" s="214"/>
      <c r="FC57" s="214"/>
      <c r="FD57" s="214"/>
      <c r="FE57" s="214"/>
      <c r="FF57" s="214"/>
      <c r="FG57" s="214"/>
      <c r="FH57" s="214"/>
      <c r="FI57" s="214"/>
      <c r="FJ57" s="214"/>
      <c r="FK57" s="214"/>
      <c r="FL57" s="214"/>
      <c r="FM57" s="214"/>
      <c r="FN57" s="214"/>
      <c r="FO57" s="214"/>
      <c r="FP57" s="214"/>
      <c r="FQ57" s="214"/>
      <c r="FR57" s="214"/>
      <c r="FS57" s="214"/>
      <c r="FT57" s="214"/>
      <c r="FU57" s="214"/>
      <c r="FV57" s="214"/>
      <c r="FW57" s="214"/>
      <c r="FX57" s="214"/>
      <c r="FY57" s="214"/>
      <c r="FZ57" s="214"/>
      <c r="GA57" s="214"/>
      <c r="GB57" s="214"/>
      <c r="GC57" s="214"/>
      <c r="GD57" s="214"/>
      <c r="GE57" s="214"/>
      <c r="GF57" s="214"/>
      <c r="GG57" s="214"/>
      <c r="GH57" s="214"/>
      <c r="GI57" s="214"/>
      <c r="GJ57" s="214"/>
      <c r="GK57" s="214"/>
      <c r="GL57" s="214"/>
      <c r="GM57" s="214"/>
      <c r="GN57" s="214"/>
      <c r="GO57" s="214"/>
      <c r="GP57" s="214"/>
      <c r="GQ57" s="214"/>
      <c r="GR57" s="214"/>
      <c r="GS57" s="214"/>
      <c r="GT57" s="214"/>
      <c r="GU57" s="214"/>
      <c r="GV57" s="214"/>
      <c r="GW57" s="214"/>
      <c r="GX57" s="214"/>
      <c r="GY57" s="214"/>
      <c r="GZ57" s="214"/>
      <c r="HA57" s="214"/>
      <c r="HB57" s="214"/>
      <c r="HC57" s="214"/>
      <c r="HD57" s="214"/>
      <c r="HE57" s="214"/>
      <c r="HF57" s="214"/>
      <c r="HG57" s="214"/>
      <c r="HH57" s="214"/>
      <c r="HI57" s="214"/>
      <c r="HJ57" s="214"/>
      <c r="HK57" s="214"/>
      <c r="HL57" s="214"/>
      <c r="HM57" s="214"/>
      <c r="HN57" s="214"/>
      <c r="HO57" s="214"/>
      <c r="HP57" s="214"/>
      <c r="HQ57" s="214"/>
      <c r="HR57" s="214"/>
      <c r="HS57" s="214"/>
      <c r="HT57" s="214"/>
      <c r="HU57" s="214"/>
      <c r="HV57" s="214"/>
      <c r="HW57" s="214"/>
      <c r="HX57" s="214"/>
      <c r="HY57" s="214"/>
      <c r="HZ57" s="214"/>
      <c r="IA57" s="214"/>
      <c r="IB57" s="214"/>
      <c r="IC57" s="214"/>
      <c r="ID57" s="214"/>
      <c r="IE57" s="214"/>
      <c r="IF57" s="214"/>
      <c r="IG57" s="214"/>
      <c r="IH57" s="214"/>
      <c r="II57" s="214"/>
      <c r="IJ57" s="214"/>
      <c r="IK57" s="214"/>
      <c r="IL57" s="214"/>
      <c r="IM57" s="214"/>
      <c r="IN57" s="214"/>
      <c r="IO57" s="214"/>
      <c r="IP57" s="214"/>
      <c r="IQ57" s="214"/>
      <c r="IR57" s="214"/>
      <c r="IS57" s="214"/>
      <c r="IT57" s="214"/>
    </row>
    <row r="58" ht="17.25" customHeight="1" spans="1:254">
      <c r="A58" s="215"/>
      <c r="B58" s="215"/>
      <c r="C58" s="215"/>
      <c r="D58" s="243"/>
      <c r="E58" s="216"/>
      <c r="F58" s="212"/>
      <c r="G58" s="213"/>
      <c r="H58" s="217"/>
      <c r="I58" s="215"/>
    </row>
    <row r="59" ht="40.5" customHeight="1" spans="1:254">
      <c r="A59" s="215"/>
      <c r="B59" s="215"/>
      <c r="C59" s="215"/>
      <c r="D59" s="219"/>
      <c r="E59" s="216"/>
      <c r="F59" s="212"/>
      <c r="G59" s="213"/>
      <c r="H59" s="213"/>
      <c r="I59" s="215"/>
    </row>
    <row r="60" ht="40.5" customHeight="1" spans="1:254">
      <c r="A60" s="215"/>
      <c r="B60" s="215"/>
      <c r="C60" s="215"/>
      <c r="D60" s="219"/>
      <c r="E60" s="216"/>
      <c r="F60" s="218"/>
      <c r="G60" s="213"/>
      <c r="H60" s="213"/>
      <c r="I60" s="215"/>
    </row>
    <row r="61" ht="40.5" customHeight="1" spans="1:254">
      <c r="A61" s="215"/>
      <c r="B61" s="215"/>
      <c r="C61" s="215"/>
      <c r="D61" s="244"/>
      <c r="E61" s="216"/>
      <c r="F61" s="218"/>
      <c r="G61" s="213"/>
      <c r="H61" s="213"/>
      <c r="I61" s="215"/>
    </row>
    <row r="62" ht="40.5" customHeight="1" spans="1:254">
      <c r="A62" s="215"/>
      <c r="B62" s="215"/>
      <c r="C62" s="215"/>
      <c r="D62" s="245"/>
      <c r="E62" s="216"/>
      <c r="F62" s="218"/>
      <c r="G62" s="213"/>
      <c r="H62" s="213"/>
      <c r="I62" s="215"/>
    </row>
    <row r="63" ht="15.6" spans="1:254">
      <c r="A63" s="215"/>
      <c r="B63" s="215"/>
      <c r="C63" s="215"/>
      <c r="D63" s="246"/>
      <c r="E63" s="216"/>
      <c r="F63" s="216"/>
      <c r="G63" s="219"/>
      <c r="H63" s="219"/>
      <c r="I63" s="215"/>
    </row>
    <row r="64" ht="17.4" spans="1:254">
      <c r="A64" s="215"/>
      <c r="B64" s="179"/>
      <c r="C64" s="128"/>
      <c r="D64" s="179" t="e">
        <f>+#REF!</f>
        <v>#REF!</v>
      </c>
      <c r="E64" s="216"/>
      <c r="F64" s="216"/>
      <c r="G64" s="219"/>
      <c r="H64" s="219"/>
      <c r="I64" s="215"/>
    </row>
    <row r="65" ht="15.6" spans="1:9">
      <c r="A65" s="215"/>
      <c r="B65" s="215"/>
      <c r="C65" s="215"/>
      <c r="E65" s="220"/>
      <c r="G65" s="221"/>
      <c r="H65" s="221"/>
      <c r="I65" s="215"/>
    </row>
    <row r="66" ht="18" spans="1:9">
      <c r="A66" s="215"/>
      <c r="B66" s="215"/>
      <c r="C66" s="215"/>
      <c r="E66" s="215"/>
      <c r="G66" s="220"/>
      <c r="H66" s="222"/>
      <c r="I66" s="215"/>
    </row>
    <row r="67" ht="15.6" spans="1:9">
      <c r="A67" s="215"/>
      <c r="B67" s="215"/>
      <c r="C67" s="215"/>
      <c r="D67" s="215"/>
      <c r="F67" s="218"/>
      <c r="G67" s="213"/>
      <c r="H67" s="215"/>
      <c r="I67" s="215"/>
    </row>
    <row r="68" ht="15.6" spans="1:9">
      <c r="A68" s="215"/>
      <c r="B68" s="215"/>
      <c r="C68" s="215"/>
      <c r="D68" s="215"/>
      <c r="E68" s="215"/>
      <c r="F68" s="223"/>
      <c r="G68" s="213"/>
      <c r="H68" s="215"/>
      <c r="I68" s="215"/>
    </row>
    <row r="69" ht="15.6" spans="1:9">
      <c r="A69" s="215"/>
      <c r="B69" s="215"/>
      <c r="C69" s="215"/>
      <c r="D69" s="215"/>
      <c r="E69" s="215"/>
      <c r="F69" s="224"/>
      <c r="G69" s="213"/>
      <c r="H69" s="215"/>
      <c r="I69" s="215"/>
    </row>
    <row r="70" spans="1:9">
      <c r="A70" s="215"/>
      <c r="B70" s="215"/>
      <c r="C70" s="215"/>
      <c r="D70" s="215"/>
      <c r="E70" s="215"/>
      <c r="F70" s="215"/>
      <c r="G70" s="215"/>
      <c r="H70" s="215"/>
      <c r="I70" s="215"/>
    </row>
    <row r="71" spans="1:9">
      <c r="A71" s="215"/>
      <c r="B71" s="215"/>
      <c r="C71" s="215"/>
      <c r="D71" s="215"/>
      <c r="E71" s="215"/>
      <c r="F71" s="215"/>
      <c r="G71" s="215"/>
      <c r="H71" s="215"/>
      <c r="I71" s="215"/>
    </row>
    <row r="72" spans="1:9">
      <c r="A72" s="215"/>
      <c r="B72" s="215"/>
      <c r="C72" s="215"/>
      <c r="D72" s="215"/>
      <c r="E72" s="215"/>
      <c r="F72" s="215"/>
      <c r="G72" s="215"/>
      <c r="H72" s="215"/>
      <c r="I72" s="215"/>
    </row>
    <row r="73" spans="1:9">
      <c r="A73" s="215"/>
      <c r="B73" s="215"/>
      <c r="C73" s="215"/>
      <c r="D73" s="215"/>
      <c r="E73" s="215"/>
      <c r="F73" s="215"/>
      <c r="G73" s="215"/>
      <c r="H73" s="215"/>
      <c r="I73" s="215"/>
    </row>
    <row r="74" spans="1:9">
      <c r="A74" s="215"/>
      <c r="B74" s="215"/>
      <c r="C74" s="215"/>
      <c r="D74" s="215"/>
      <c r="E74" s="215"/>
      <c r="F74" s="215"/>
      <c r="G74" s="215"/>
      <c r="H74" s="215"/>
      <c r="I74" s="215"/>
    </row>
    <row r="75" spans="1:9">
      <c r="A75" s="215"/>
      <c r="B75" s="215"/>
      <c r="C75" s="215"/>
      <c r="D75" s="215"/>
      <c r="E75" s="215"/>
      <c r="F75" s="215"/>
      <c r="G75" s="215"/>
      <c r="H75" s="215"/>
      <c r="I75" s="215"/>
    </row>
    <row r="76" spans="1:9">
      <c r="A76" s="215"/>
      <c r="B76" s="215"/>
      <c r="C76" s="215"/>
      <c r="D76" s="215"/>
      <c r="E76" s="215"/>
      <c r="F76" s="215"/>
      <c r="G76" s="215"/>
      <c r="H76" s="215"/>
      <c r="I76" s="215"/>
    </row>
    <row r="77" spans="1:9">
      <c r="A77" s="215"/>
      <c r="B77" s="215"/>
      <c r="C77" s="215"/>
      <c r="D77" s="215"/>
      <c r="E77" s="215"/>
      <c r="F77" s="215"/>
      <c r="G77" s="215"/>
      <c r="H77" s="215"/>
      <c r="I77" s="215"/>
    </row>
    <row r="78" spans="1:9">
      <c r="A78" s="215"/>
      <c r="B78" s="215"/>
      <c r="C78" s="215"/>
      <c r="D78" s="215"/>
      <c r="E78" s="215"/>
      <c r="F78" s="215"/>
      <c r="G78" s="215"/>
      <c r="H78" s="215"/>
      <c r="I78" s="215"/>
    </row>
    <row r="79" spans="1:9">
      <c r="A79" s="215"/>
      <c r="B79" s="215"/>
      <c r="C79" s="215"/>
      <c r="D79" s="215"/>
      <c r="E79" s="215"/>
      <c r="F79" s="215"/>
      <c r="G79" s="215"/>
      <c r="H79" s="215"/>
      <c r="I79" s="215"/>
    </row>
    <row r="80" spans="1:9">
      <c r="A80" s="215"/>
      <c r="B80" s="215"/>
      <c r="C80" s="215"/>
      <c r="D80" s="215"/>
      <c r="E80" s="215"/>
      <c r="F80" s="215"/>
      <c r="G80" s="215"/>
      <c r="H80" s="215"/>
      <c r="I80" s="215"/>
    </row>
    <row r="81" spans="1:9">
      <c r="A81" s="215"/>
      <c r="B81" s="215"/>
      <c r="C81" s="215"/>
      <c r="D81" s="215"/>
      <c r="E81" s="215"/>
      <c r="F81" s="215"/>
      <c r="G81" s="215"/>
      <c r="H81" s="215"/>
      <c r="I81" s="215"/>
    </row>
    <row r="82" spans="1:9">
      <c r="A82" s="215"/>
      <c r="B82" s="215"/>
      <c r="C82" s="215"/>
      <c r="D82" s="215"/>
      <c r="E82" s="215"/>
      <c r="F82" s="215"/>
      <c r="G82" s="215"/>
      <c r="H82" s="215"/>
      <c r="I82" s="215"/>
    </row>
    <row r="83" spans="1:9">
      <c r="A83" s="215"/>
      <c r="B83" s="215"/>
      <c r="C83" s="215"/>
      <c r="D83" s="215"/>
      <c r="E83" s="215"/>
      <c r="F83" s="215"/>
      <c r="G83" s="215"/>
      <c r="H83" s="215"/>
      <c r="I83" s="215"/>
    </row>
    <row r="84" spans="1:9">
      <c r="A84" s="215"/>
      <c r="B84" s="215"/>
      <c r="C84" s="215"/>
      <c r="D84" s="215"/>
      <c r="E84" s="215"/>
      <c r="F84" s="215"/>
      <c r="G84" s="215"/>
      <c r="H84" s="215"/>
      <c r="I84" s="215"/>
    </row>
    <row r="85" spans="1:9">
      <c r="A85" s="215"/>
      <c r="B85" s="215"/>
      <c r="C85" s="215"/>
      <c r="D85" s="215"/>
      <c r="E85" s="215"/>
      <c r="F85" s="215"/>
      <c r="G85" s="215"/>
      <c r="H85" s="215"/>
      <c r="I85" s="215"/>
    </row>
    <row r="86" spans="1:9">
      <c r="A86" s="215"/>
      <c r="B86" s="215"/>
      <c r="C86" s="215"/>
      <c r="D86" s="215"/>
      <c r="E86" s="215"/>
      <c r="F86" s="215"/>
      <c r="G86" s="215"/>
      <c r="H86" s="215"/>
      <c r="I86" s="215"/>
    </row>
    <row r="87" spans="1:9">
      <c r="A87" s="215"/>
      <c r="B87" s="215"/>
      <c r="C87" s="215"/>
      <c r="D87" s="215"/>
      <c r="E87" s="215"/>
      <c r="F87" s="215"/>
      <c r="G87" s="215"/>
      <c r="H87" s="215"/>
      <c r="I87" s="215"/>
    </row>
    <row r="88" spans="1:9">
      <c r="A88" s="215"/>
      <c r="B88" s="215"/>
      <c r="C88" s="215"/>
      <c r="D88" s="215"/>
      <c r="E88" s="215"/>
      <c r="F88" s="215"/>
      <c r="G88" s="215"/>
      <c r="H88" s="215"/>
      <c r="I88" s="215"/>
    </row>
    <row r="89" spans="1:9">
      <c r="A89" s="215"/>
      <c r="B89" s="215"/>
      <c r="C89" s="215"/>
      <c r="D89" s="215"/>
      <c r="E89" s="215"/>
      <c r="F89" s="215"/>
      <c r="G89" s="215"/>
      <c r="H89" s="215"/>
      <c r="I89" s="215"/>
    </row>
    <row r="90" spans="1:9">
      <c r="A90" s="215"/>
      <c r="B90" s="215"/>
      <c r="C90" s="215"/>
      <c r="D90" s="215"/>
      <c r="E90" s="215"/>
      <c r="F90" s="215"/>
      <c r="G90" s="215"/>
      <c r="H90" s="215"/>
      <c r="I90" s="215"/>
    </row>
    <row r="91" spans="1:9">
      <c r="A91" s="215"/>
      <c r="B91" s="215"/>
      <c r="C91" s="215"/>
      <c r="D91" s="215"/>
      <c r="E91" s="215"/>
      <c r="F91" s="215"/>
      <c r="G91" s="215"/>
      <c r="H91" s="215"/>
      <c r="I91" s="215"/>
    </row>
    <row r="92" spans="1:9">
      <c r="A92" s="215"/>
      <c r="B92" s="215"/>
      <c r="C92" s="215"/>
      <c r="D92" s="215"/>
      <c r="E92" s="215"/>
      <c r="F92" s="215"/>
      <c r="G92" s="215"/>
      <c r="H92" s="215"/>
      <c r="I92" s="215"/>
    </row>
    <row r="93" spans="1:9">
      <c r="A93" s="215"/>
      <c r="B93" s="215"/>
      <c r="C93" s="215"/>
      <c r="D93" s="215"/>
      <c r="E93" s="215"/>
      <c r="F93" s="215"/>
      <c r="G93" s="215"/>
      <c r="H93" s="215"/>
      <c r="I93" s="215"/>
    </row>
    <row r="94" spans="1:9">
      <c r="A94" s="215"/>
      <c r="B94" s="215"/>
      <c r="C94" s="215"/>
      <c r="D94" s="215"/>
      <c r="E94" s="215"/>
      <c r="F94" s="215"/>
      <c r="G94" s="215"/>
      <c r="H94" s="215"/>
      <c r="I94" s="215"/>
    </row>
    <row r="95" spans="1:9">
      <c r="A95" s="215"/>
      <c r="B95" s="215"/>
      <c r="C95" s="215"/>
      <c r="D95" s="215"/>
      <c r="E95" s="215"/>
      <c r="F95" s="215"/>
      <c r="G95" s="215"/>
      <c r="H95" s="215"/>
      <c r="I95" s="215"/>
    </row>
    <row r="96" spans="1:9">
      <c r="A96" s="215"/>
      <c r="B96" s="215"/>
      <c r="C96" s="215"/>
      <c r="D96" s="215"/>
      <c r="E96" s="215"/>
      <c r="F96" s="215"/>
      <c r="G96" s="215"/>
      <c r="H96" s="215"/>
      <c r="I96" s="215"/>
    </row>
    <row r="97" spans="1:9">
      <c r="A97" s="215"/>
      <c r="B97" s="215"/>
      <c r="C97" s="215"/>
      <c r="D97" s="215"/>
      <c r="E97" s="215"/>
      <c r="F97" s="215"/>
      <c r="G97" s="215"/>
      <c r="H97" s="215"/>
      <c r="I97" s="215"/>
    </row>
    <row r="98" spans="1:9">
      <c r="A98" s="215"/>
      <c r="B98" s="215"/>
      <c r="C98" s="215"/>
      <c r="D98" s="215"/>
      <c r="E98" s="215"/>
      <c r="F98" s="215"/>
      <c r="G98" s="215"/>
      <c r="H98" s="215"/>
      <c r="I98" s="215"/>
    </row>
    <row r="99" spans="1:9">
      <c r="A99" s="215"/>
      <c r="B99" s="215"/>
      <c r="C99" s="215"/>
      <c r="D99" s="215"/>
      <c r="E99" s="215"/>
      <c r="F99" s="215"/>
      <c r="G99" s="215"/>
      <c r="H99" s="215"/>
      <c r="I99" s="215"/>
    </row>
    <row r="100" spans="1:9">
      <c r="A100" s="215"/>
      <c r="B100" s="215"/>
      <c r="C100" s="215"/>
      <c r="D100" s="215"/>
      <c r="E100" s="215"/>
      <c r="F100" s="215"/>
      <c r="G100" s="215"/>
      <c r="H100" s="215"/>
      <c r="I100" s="215"/>
    </row>
    <row r="101" spans="1:9">
      <c r="A101" s="215"/>
      <c r="B101" s="215"/>
      <c r="C101" s="215"/>
      <c r="D101" s="215"/>
      <c r="E101" s="215"/>
      <c r="F101" s="215"/>
      <c r="G101" s="215"/>
      <c r="H101" s="215"/>
      <c r="I101" s="215"/>
    </row>
    <row r="102" spans="1:9">
      <c r="A102" s="215"/>
      <c r="B102" s="215"/>
      <c r="C102" s="215"/>
      <c r="D102" s="215"/>
      <c r="E102" s="215"/>
      <c r="F102" s="215"/>
      <c r="G102" s="215"/>
      <c r="H102" s="215"/>
      <c r="I102" s="215"/>
    </row>
    <row r="103" spans="1:9">
      <c r="A103" s="215"/>
      <c r="B103" s="215"/>
      <c r="C103" s="215"/>
      <c r="D103" s="215"/>
      <c r="E103" s="215"/>
      <c r="F103" s="215"/>
      <c r="G103" s="215"/>
      <c r="H103" s="215"/>
      <c r="I103" s="215"/>
    </row>
    <row r="104" spans="1:9">
      <c r="A104" s="215"/>
      <c r="B104" s="215"/>
      <c r="C104" s="215"/>
      <c r="D104" s="215"/>
      <c r="E104" s="215"/>
      <c r="F104" s="215"/>
      <c r="G104" s="215"/>
      <c r="H104" s="215"/>
      <c r="I104" s="215"/>
    </row>
    <row r="105" spans="1:9">
      <c r="A105" s="215"/>
      <c r="B105" s="215"/>
      <c r="C105" s="215"/>
      <c r="D105" s="215"/>
      <c r="E105" s="215"/>
      <c r="F105" s="215"/>
      <c r="G105" s="215"/>
      <c r="H105" s="215"/>
      <c r="I105" s="215"/>
    </row>
    <row r="106" spans="1:9">
      <c r="A106" s="215"/>
      <c r="B106" s="215"/>
      <c r="C106" s="215"/>
      <c r="D106" s="215"/>
      <c r="E106" s="215"/>
      <c r="F106" s="215"/>
      <c r="G106" s="215"/>
      <c r="H106" s="215"/>
      <c r="I106" s="215"/>
    </row>
    <row r="107" spans="1:9">
      <c r="A107" s="215"/>
      <c r="B107" s="215"/>
      <c r="C107" s="215"/>
      <c r="D107" s="215"/>
      <c r="E107" s="215"/>
      <c r="F107" s="215"/>
      <c r="G107" s="215"/>
      <c r="H107" s="215"/>
      <c r="I107" s="215"/>
    </row>
    <row r="108" spans="1:9">
      <c r="A108" s="215"/>
      <c r="B108" s="215"/>
      <c r="C108" s="215"/>
      <c r="D108" s="215"/>
      <c r="E108" s="215"/>
      <c r="F108" s="215"/>
      <c r="G108" s="215"/>
      <c r="H108" s="215"/>
      <c r="I108" s="215"/>
    </row>
    <row r="109" spans="1:9">
      <c r="A109" s="215"/>
      <c r="B109" s="215"/>
      <c r="C109" s="215"/>
      <c r="D109" s="215"/>
      <c r="E109" s="215"/>
      <c r="F109" s="215"/>
      <c r="G109" s="215"/>
      <c r="H109" s="215"/>
      <c r="I109" s="215"/>
    </row>
    <row r="110" spans="1:9">
      <c r="A110" s="215"/>
      <c r="B110" s="215"/>
      <c r="C110" s="215"/>
      <c r="D110" s="215"/>
      <c r="E110" s="215"/>
      <c r="F110" s="215"/>
      <c r="G110" s="215"/>
      <c r="H110" s="215"/>
      <c r="I110" s="215"/>
    </row>
    <row r="111" spans="1:9">
      <c r="A111" s="215"/>
      <c r="B111" s="215"/>
      <c r="C111" s="215"/>
      <c r="D111" s="215"/>
      <c r="E111" s="215"/>
      <c r="F111" s="215"/>
      <c r="G111" s="215"/>
      <c r="H111" s="215"/>
      <c r="I111" s="215"/>
    </row>
    <row r="112" spans="1:9">
      <c r="A112" s="215"/>
      <c r="B112" s="215"/>
      <c r="C112" s="215"/>
      <c r="D112" s="215"/>
      <c r="E112" s="215"/>
      <c r="F112" s="215"/>
      <c r="G112" s="215"/>
      <c r="H112" s="215"/>
      <c r="I112" s="215"/>
    </row>
    <row r="113" spans="1:9">
      <c r="A113" s="215"/>
      <c r="B113" s="215"/>
      <c r="C113" s="215"/>
      <c r="D113" s="215"/>
      <c r="E113" s="215"/>
      <c r="F113" s="215"/>
      <c r="G113" s="215"/>
      <c r="H113" s="215"/>
      <c r="I113" s="215"/>
    </row>
    <row r="114" spans="1:9">
      <c r="A114" s="215"/>
      <c r="B114" s="215"/>
      <c r="C114" s="215"/>
      <c r="D114" s="215"/>
      <c r="E114" s="215"/>
      <c r="F114" s="215"/>
      <c r="G114" s="215"/>
      <c r="H114" s="215"/>
      <c r="I114" s="215"/>
    </row>
    <row r="115" spans="1:9">
      <c r="A115" s="215"/>
      <c r="B115" s="215"/>
      <c r="C115" s="215"/>
      <c r="D115" s="215"/>
      <c r="E115" s="215"/>
      <c r="F115" s="215"/>
      <c r="G115" s="215"/>
      <c r="H115" s="215"/>
      <c r="I115" s="215"/>
    </row>
    <row r="116" spans="1:9">
      <c r="A116" s="215"/>
      <c r="B116" s="215"/>
      <c r="C116" s="215"/>
      <c r="D116" s="215"/>
      <c r="E116" s="215"/>
      <c r="F116" s="215"/>
      <c r="G116" s="215"/>
      <c r="H116" s="215"/>
      <c r="I116" s="215"/>
    </row>
    <row r="117" spans="1:9">
      <c r="A117" s="215"/>
      <c r="B117" s="215"/>
      <c r="C117" s="215"/>
      <c r="D117" s="215"/>
      <c r="E117" s="215"/>
      <c r="F117" s="215"/>
      <c r="G117" s="215"/>
      <c r="H117" s="215"/>
      <c r="I117" s="215"/>
    </row>
    <row r="118" spans="1:9">
      <c r="A118" s="215"/>
      <c r="B118" s="215"/>
      <c r="C118" s="215"/>
      <c r="D118" s="215"/>
      <c r="E118" s="215"/>
      <c r="F118" s="215"/>
      <c r="G118" s="215"/>
      <c r="H118" s="215"/>
      <c r="I118" s="215"/>
    </row>
    <row r="119" spans="1:9">
      <c r="A119" s="215"/>
      <c r="B119" s="215"/>
      <c r="C119" s="215"/>
      <c r="D119" s="215"/>
      <c r="E119" s="215"/>
      <c r="F119" s="215"/>
      <c r="G119" s="215"/>
      <c r="H119" s="215"/>
      <c r="I119" s="215"/>
    </row>
    <row r="120" spans="1:9">
      <c r="A120" s="215"/>
      <c r="B120" s="215"/>
      <c r="C120" s="215"/>
      <c r="D120" s="215"/>
      <c r="E120" s="215"/>
      <c r="F120" s="215"/>
      <c r="G120" s="215"/>
      <c r="H120" s="215"/>
      <c r="I120" s="215"/>
    </row>
    <row r="121" spans="1:9">
      <c r="A121" s="215"/>
      <c r="B121" s="215"/>
      <c r="C121" s="215"/>
      <c r="D121" s="215"/>
      <c r="E121" s="215"/>
      <c r="F121" s="215"/>
      <c r="G121" s="215"/>
      <c r="H121" s="215"/>
      <c r="I121" s="215"/>
    </row>
    <row r="122" spans="1:9">
      <c r="A122" s="215"/>
      <c r="B122" s="215"/>
      <c r="C122" s="215"/>
      <c r="D122" s="215"/>
      <c r="E122" s="215"/>
      <c r="F122" s="215"/>
      <c r="G122" s="215"/>
      <c r="H122" s="215"/>
      <c r="I122" s="215"/>
    </row>
    <row r="123" spans="1:9">
      <c r="A123" s="215"/>
      <c r="B123" s="215"/>
      <c r="C123" s="215"/>
      <c r="D123" s="215"/>
      <c r="E123" s="215"/>
      <c r="F123" s="215"/>
      <c r="G123" s="215"/>
      <c r="H123" s="215"/>
      <c r="I123" s="215"/>
    </row>
    <row r="124" spans="1:9">
      <c r="A124" s="215"/>
      <c r="B124" s="215"/>
      <c r="C124" s="215"/>
      <c r="D124" s="215"/>
      <c r="E124" s="215"/>
      <c r="F124" s="215"/>
      <c r="G124" s="215"/>
      <c r="H124" s="215"/>
      <c r="I124" s="215"/>
    </row>
    <row r="125" spans="1:9">
      <c r="A125" s="215"/>
      <c r="B125" s="215"/>
      <c r="C125" s="215"/>
      <c r="D125" s="215"/>
      <c r="E125" s="215"/>
      <c r="F125" s="215"/>
      <c r="G125" s="215"/>
      <c r="H125" s="215"/>
      <c r="I125" s="215"/>
    </row>
    <row r="126" spans="1:9">
      <c r="A126" s="215"/>
      <c r="B126" s="215"/>
      <c r="C126" s="215"/>
      <c r="D126" s="215"/>
      <c r="E126" s="215"/>
      <c r="F126" s="215"/>
      <c r="G126" s="215"/>
      <c r="H126" s="215"/>
      <c r="I126" s="215"/>
    </row>
    <row r="127" spans="1:9">
      <c r="A127" s="215"/>
      <c r="B127" s="215"/>
      <c r="C127" s="215"/>
      <c r="D127" s="215"/>
      <c r="E127" s="215"/>
      <c r="F127" s="215"/>
      <c r="G127" s="215"/>
      <c r="H127" s="215"/>
      <c r="I127" s="215"/>
    </row>
    <row r="128" spans="1:9">
      <c r="A128" s="215"/>
      <c r="B128" s="215"/>
      <c r="C128" s="215"/>
      <c r="D128" s="215"/>
      <c r="E128" s="215"/>
      <c r="F128" s="215"/>
      <c r="G128" s="215"/>
      <c r="H128" s="215"/>
      <c r="I128" s="215"/>
    </row>
    <row r="129" spans="1:9">
      <c r="A129" s="215"/>
      <c r="B129" s="215"/>
      <c r="C129" s="215"/>
      <c r="D129" s="215"/>
      <c r="E129" s="215"/>
      <c r="F129" s="215"/>
      <c r="G129" s="215"/>
      <c r="H129" s="215"/>
      <c r="I129" s="215"/>
    </row>
    <row r="130" spans="1:9">
      <c r="A130" s="215"/>
      <c r="B130" s="215"/>
      <c r="C130" s="215"/>
      <c r="D130" s="215"/>
      <c r="E130" s="215"/>
      <c r="F130" s="215"/>
      <c r="G130" s="215"/>
      <c r="H130" s="215"/>
      <c r="I130" s="215"/>
    </row>
    <row r="131" spans="1:9">
      <c r="A131" s="215"/>
      <c r="B131" s="215"/>
      <c r="C131" s="215"/>
      <c r="D131" s="215"/>
      <c r="E131" s="215"/>
      <c r="F131" s="215"/>
      <c r="G131" s="215"/>
      <c r="H131" s="215"/>
      <c r="I131" s="215"/>
    </row>
    <row r="132" spans="1:9">
      <c r="A132" s="215"/>
      <c r="B132" s="215"/>
      <c r="C132" s="215"/>
      <c r="D132" s="215"/>
      <c r="E132" s="215"/>
      <c r="F132" s="215"/>
      <c r="G132" s="215"/>
      <c r="H132" s="215"/>
      <c r="I132" s="215"/>
    </row>
    <row r="133" spans="1:9">
      <c r="A133" s="215"/>
      <c r="B133" s="215"/>
      <c r="C133" s="215"/>
      <c r="D133" s="215"/>
      <c r="E133" s="215"/>
      <c r="F133" s="215"/>
      <c r="G133" s="215"/>
      <c r="H133" s="215"/>
      <c r="I133" s="215"/>
    </row>
    <row r="134" spans="1:9">
      <c r="A134" s="215"/>
      <c r="B134" s="215"/>
      <c r="C134" s="215"/>
      <c r="D134" s="215"/>
      <c r="E134" s="215"/>
      <c r="F134" s="215"/>
      <c r="G134" s="215"/>
      <c r="H134" s="215"/>
      <c r="I134" s="215"/>
    </row>
    <row r="135" spans="1:9">
      <c r="A135" s="215"/>
      <c r="B135" s="215"/>
      <c r="C135" s="215"/>
      <c r="D135" s="215"/>
      <c r="E135" s="215"/>
      <c r="F135" s="215"/>
      <c r="G135" s="215"/>
      <c r="H135" s="215"/>
      <c r="I135" s="215"/>
    </row>
    <row r="136" spans="1:9">
      <c r="A136" s="215"/>
      <c r="B136" s="215"/>
      <c r="C136" s="215"/>
      <c r="D136" s="215"/>
      <c r="E136" s="215"/>
      <c r="F136" s="215"/>
      <c r="G136" s="215"/>
      <c r="H136" s="215"/>
      <c r="I136" s="215"/>
    </row>
    <row r="137" spans="1:9">
      <c r="A137" s="215"/>
      <c r="B137" s="215"/>
      <c r="C137" s="215"/>
      <c r="D137" s="215"/>
      <c r="E137" s="215"/>
      <c r="F137" s="215"/>
      <c r="G137" s="215"/>
      <c r="H137" s="215"/>
      <c r="I137" s="215"/>
    </row>
    <row r="138" spans="1:9">
      <c r="A138" s="215"/>
      <c r="B138" s="215"/>
      <c r="C138" s="215"/>
      <c r="D138" s="215"/>
      <c r="E138" s="215"/>
      <c r="F138" s="215"/>
      <c r="G138" s="215"/>
      <c r="H138" s="215"/>
      <c r="I138" s="215"/>
    </row>
    <row r="139" spans="1:9">
      <c r="A139" s="215"/>
      <c r="B139" s="215"/>
      <c r="C139" s="215"/>
      <c r="D139" s="215"/>
      <c r="E139" s="215"/>
      <c r="F139" s="215"/>
      <c r="G139" s="215"/>
      <c r="H139" s="215"/>
      <c r="I139" s="215"/>
    </row>
    <row r="140" spans="1:9">
      <c r="A140" s="215"/>
      <c r="B140" s="215"/>
      <c r="C140" s="215"/>
      <c r="D140" s="215"/>
      <c r="E140" s="215"/>
      <c r="F140" s="215"/>
      <c r="G140" s="215"/>
      <c r="H140" s="215"/>
      <c r="I140" s="215"/>
    </row>
    <row r="141" spans="1:9">
      <c r="A141" s="215"/>
      <c r="B141" s="215"/>
      <c r="C141" s="215"/>
      <c r="D141" s="215"/>
      <c r="E141" s="215"/>
      <c r="F141" s="215"/>
      <c r="G141" s="215"/>
      <c r="H141" s="215"/>
      <c r="I141" s="215"/>
    </row>
    <row r="142" spans="1:9">
      <c r="A142" s="215"/>
      <c r="B142" s="215"/>
      <c r="C142" s="215"/>
      <c r="D142" s="215"/>
      <c r="E142" s="215"/>
      <c r="F142" s="215"/>
      <c r="G142" s="215"/>
      <c r="H142" s="215"/>
      <c r="I142" s="215"/>
    </row>
    <row r="143" spans="1:9">
      <c r="A143" s="215"/>
      <c r="B143" s="215"/>
      <c r="C143" s="215"/>
      <c r="D143" s="215"/>
      <c r="E143" s="215"/>
      <c r="F143" s="215"/>
      <c r="G143" s="215"/>
      <c r="H143" s="215"/>
      <c r="I143" s="215"/>
    </row>
    <row r="144" spans="1:9">
      <c r="A144" s="215"/>
      <c r="B144" s="215"/>
      <c r="C144" s="215"/>
      <c r="D144" s="215"/>
      <c r="E144" s="215"/>
      <c r="F144" s="215"/>
      <c r="G144" s="215"/>
      <c r="H144" s="215"/>
      <c r="I144" s="215"/>
    </row>
    <row r="145" spans="1:9">
      <c r="A145" s="215"/>
      <c r="B145" s="215"/>
      <c r="C145" s="215"/>
      <c r="D145" s="215"/>
      <c r="E145" s="215"/>
      <c r="F145" s="215"/>
      <c r="G145" s="215"/>
      <c r="H145" s="215"/>
      <c r="I145" s="215"/>
    </row>
    <row r="146" spans="1:9">
      <c r="A146" s="215"/>
      <c r="B146" s="215"/>
      <c r="C146" s="215"/>
      <c r="D146" s="215"/>
      <c r="E146" s="215"/>
      <c r="F146" s="215"/>
      <c r="G146" s="215"/>
      <c r="H146" s="215"/>
      <c r="I146" s="215"/>
    </row>
    <row r="147" spans="1:9">
      <c r="A147" s="215"/>
      <c r="B147" s="215"/>
      <c r="C147" s="215"/>
      <c r="D147" s="215"/>
      <c r="E147" s="215"/>
      <c r="F147" s="215"/>
      <c r="G147" s="215"/>
      <c r="H147" s="215"/>
      <c r="I147" s="215"/>
    </row>
    <row r="148" spans="1:9">
      <c r="A148" s="215"/>
      <c r="B148" s="215"/>
      <c r="C148" s="215"/>
      <c r="D148" s="215"/>
      <c r="E148" s="215"/>
      <c r="F148" s="215"/>
      <c r="G148" s="215"/>
      <c r="H148" s="215"/>
      <c r="I148" s="215"/>
    </row>
    <row r="149" spans="1:9">
      <c r="A149" s="215"/>
      <c r="B149" s="215"/>
      <c r="C149" s="215"/>
      <c r="D149" s="215"/>
      <c r="E149" s="215"/>
      <c r="F149" s="215"/>
      <c r="G149" s="215"/>
      <c r="H149" s="215"/>
      <c r="I149" s="215"/>
    </row>
    <row r="150" spans="1:9">
      <c r="A150" s="215"/>
      <c r="B150" s="215"/>
      <c r="C150" s="215"/>
      <c r="D150" s="215"/>
      <c r="E150" s="215"/>
      <c r="F150" s="215"/>
      <c r="G150" s="215"/>
      <c r="H150" s="215"/>
      <c r="I150" s="215"/>
    </row>
    <row r="151" spans="1:9">
      <c r="A151" s="215"/>
      <c r="B151" s="215"/>
      <c r="C151" s="215"/>
      <c r="D151" s="215"/>
      <c r="E151" s="215"/>
      <c r="F151" s="215"/>
      <c r="G151" s="215"/>
      <c r="H151" s="215"/>
      <c r="I151" s="215"/>
    </row>
    <row r="152" spans="1:9">
      <c r="A152" s="215"/>
      <c r="B152" s="215"/>
      <c r="C152" s="215"/>
      <c r="D152" s="215"/>
      <c r="E152" s="215"/>
      <c r="F152" s="215"/>
      <c r="G152" s="215"/>
      <c r="H152" s="215"/>
      <c r="I152" s="215"/>
    </row>
    <row r="153" spans="1:9">
      <c r="A153" s="215"/>
      <c r="B153" s="215"/>
      <c r="C153" s="215"/>
      <c r="D153" s="215"/>
      <c r="E153" s="215"/>
      <c r="F153" s="215"/>
      <c r="G153" s="215"/>
      <c r="H153" s="215"/>
      <c r="I153" s="215"/>
    </row>
    <row r="154" spans="1:9">
      <c r="A154" s="215"/>
      <c r="B154" s="215"/>
      <c r="C154" s="215"/>
      <c r="D154" s="215"/>
      <c r="E154" s="215"/>
      <c r="F154" s="215"/>
      <c r="G154" s="215"/>
      <c r="H154" s="215"/>
      <c r="I154" s="215"/>
    </row>
    <row r="155" spans="1:9">
      <c r="A155" s="215"/>
      <c r="B155" s="215"/>
      <c r="C155" s="215"/>
      <c r="D155" s="215"/>
      <c r="E155" s="215"/>
      <c r="F155" s="215"/>
      <c r="G155" s="215"/>
      <c r="H155" s="215"/>
      <c r="I155" s="215"/>
    </row>
    <row r="156" spans="1:9">
      <c r="A156" s="215"/>
      <c r="B156" s="215"/>
      <c r="C156" s="215"/>
      <c r="D156" s="215"/>
      <c r="E156" s="215"/>
      <c r="F156" s="215"/>
      <c r="G156" s="215"/>
      <c r="H156" s="215"/>
      <c r="I156" s="215"/>
    </row>
    <row r="157" spans="1:9">
      <c r="A157" s="215"/>
      <c r="B157" s="215"/>
      <c r="C157" s="215"/>
      <c r="D157" s="215"/>
      <c r="E157" s="215"/>
      <c r="F157" s="215"/>
      <c r="G157" s="215"/>
      <c r="H157" s="215"/>
      <c r="I157" s="215"/>
    </row>
    <row r="158" spans="1:9">
      <c r="A158" s="215"/>
      <c r="B158" s="215"/>
      <c r="C158" s="215"/>
      <c r="D158" s="215"/>
      <c r="E158" s="215"/>
      <c r="F158" s="215"/>
      <c r="G158" s="215"/>
      <c r="H158" s="215"/>
      <c r="I158" s="215"/>
    </row>
    <row r="159" spans="1:9">
      <c r="A159" s="215"/>
      <c r="B159" s="215"/>
      <c r="C159" s="215"/>
      <c r="D159" s="215"/>
      <c r="E159" s="215"/>
      <c r="F159" s="215"/>
      <c r="G159" s="215"/>
      <c r="H159" s="215"/>
      <c r="I159" s="215"/>
    </row>
    <row r="160" spans="1:9">
      <c r="A160" s="215"/>
      <c r="B160" s="215"/>
      <c r="C160" s="215"/>
      <c r="D160" s="215"/>
      <c r="E160" s="215"/>
      <c r="F160" s="215"/>
      <c r="G160" s="215"/>
      <c r="H160" s="215"/>
      <c r="I160" s="215"/>
    </row>
    <row r="161" spans="1:9">
      <c r="A161" s="215"/>
      <c r="B161" s="215"/>
      <c r="C161" s="215"/>
      <c r="D161" s="215"/>
      <c r="E161" s="215"/>
      <c r="F161" s="215"/>
      <c r="G161" s="215"/>
      <c r="H161" s="215"/>
      <c r="I161" s="215"/>
    </row>
    <row r="162" spans="1:9">
      <c r="A162" s="215"/>
      <c r="B162" s="215"/>
      <c r="C162" s="215"/>
      <c r="D162" s="215"/>
      <c r="E162" s="215"/>
      <c r="F162" s="215"/>
      <c r="G162" s="215"/>
      <c r="H162" s="215"/>
      <c r="I162" s="215"/>
    </row>
    <row r="163" spans="1:9">
      <c r="A163" s="215"/>
      <c r="B163" s="215"/>
      <c r="C163" s="215"/>
      <c r="D163" s="215"/>
      <c r="E163" s="215"/>
      <c r="F163" s="215"/>
      <c r="G163" s="215"/>
      <c r="H163" s="215"/>
      <c r="I163" s="215"/>
    </row>
    <row r="164" spans="1:9">
      <c r="A164" s="215"/>
      <c r="B164" s="215"/>
      <c r="C164" s="215"/>
      <c r="D164" s="215"/>
      <c r="E164" s="215"/>
      <c r="F164" s="215"/>
      <c r="G164" s="215"/>
      <c r="H164" s="215"/>
      <c r="I164" s="215"/>
    </row>
    <row r="165" spans="1:9">
      <c r="A165" s="215"/>
      <c r="B165" s="215"/>
      <c r="C165" s="215"/>
      <c r="D165" s="215"/>
      <c r="E165" s="215"/>
      <c r="F165" s="215"/>
      <c r="G165" s="215"/>
      <c r="H165" s="215"/>
      <c r="I165" s="215"/>
    </row>
    <row r="166" spans="1:9">
      <c r="A166" s="215"/>
      <c r="B166" s="215"/>
      <c r="C166" s="215"/>
      <c r="D166" s="215"/>
      <c r="E166" s="215"/>
      <c r="F166" s="215"/>
      <c r="G166" s="215"/>
      <c r="H166" s="215"/>
      <c r="I166" s="215"/>
    </row>
    <row r="167" spans="1:9">
      <c r="A167" s="215"/>
      <c r="B167" s="215"/>
      <c r="C167" s="215"/>
      <c r="D167" s="215"/>
      <c r="E167" s="215"/>
      <c r="F167" s="215"/>
      <c r="G167" s="215"/>
      <c r="H167" s="215"/>
      <c r="I167" s="215"/>
    </row>
    <row r="168" spans="1:9">
      <c r="A168" s="215"/>
      <c r="B168" s="215"/>
      <c r="C168" s="215"/>
      <c r="D168" s="215"/>
      <c r="E168" s="215"/>
      <c r="F168" s="215"/>
      <c r="G168" s="215"/>
      <c r="H168" s="215"/>
      <c r="I168" s="215"/>
    </row>
    <row r="169" spans="1:9">
      <c r="A169" s="215"/>
      <c r="B169" s="215"/>
      <c r="C169" s="215"/>
      <c r="D169" s="215"/>
      <c r="E169" s="215"/>
      <c r="F169" s="215"/>
      <c r="G169" s="215"/>
      <c r="H169" s="215"/>
      <c r="I169" s="215"/>
    </row>
    <row r="170" spans="1:9">
      <c r="A170" s="215"/>
      <c r="B170" s="215"/>
      <c r="C170" s="215"/>
      <c r="D170" s="215"/>
      <c r="E170" s="215"/>
      <c r="F170" s="215"/>
      <c r="G170" s="215"/>
      <c r="H170" s="215"/>
      <c r="I170" s="215"/>
    </row>
    <row r="171" spans="1:9">
      <c r="A171" s="215"/>
      <c r="B171" s="215"/>
      <c r="C171" s="215"/>
      <c r="D171" s="215"/>
      <c r="E171" s="215"/>
      <c r="F171" s="215"/>
      <c r="G171" s="215"/>
      <c r="H171" s="215"/>
      <c r="I171" s="215"/>
    </row>
    <row r="172" spans="1:9">
      <c r="A172" s="215"/>
      <c r="B172" s="215"/>
      <c r="C172" s="215"/>
      <c r="D172" s="215"/>
      <c r="E172" s="215"/>
      <c r="F172" s="215"/>
      <c r="G172" s="215"/>
      <c r="H172" s="215"/>
      <c r="I172" s="215"/>
    </row>
    <row r="173" spans="1:9">
      <c r="A173" s="215"/>
      <c r="B173" s="215"/>
      <c r="C173" s="215"/>
      <c r="D173" s="215"/>
      <c r="E173" s="215"/>
      <c r="F173" s="215"/>
      <c r="G173" s="215"/>
      <c r="H173" s="215"/>
      <c r="I173" s="215"/>
    </row>
    <row r="174" spans="1:9">
      <c r="A174" s="215"/>
      <c r="B174" s="215"/>
      <c r="C174" s="215"/>
      <c r="D174" s="215"/>
      <c r="E174" s="215"/>
      <c r="F174" s="215"/>
      <c r="G174" s="215"/>
      <c r="H174" s="215"/>
      <c r="I174" s="215"/>
    </row>
    <row r="175" spans="1:9">
      <c r="A175" s="215"/>
      <c r="B175" s="215"/>
      <c r="C175" s="215"/>
      <c r="D175" s="215"/>
      <c r="E175" s="215"/>
      <c r="F175" s="215"/>
      <c r="G175" s="215"/>
      <c r="H175" s="215"/>
      <c r="I175" s="215"/>
    </row>
    <row r="176" spans="1:9">
      <c r="A176" s="215"/>
      <c r="B176" s="215"/>
      <c r="C176" s="215"/>
      <c r="D176" s="215"/>
      <c r="E176" s="215"/>
      <c r="F176" s="215"/>
      <c r="G176" s="215"/>
      <c r="H176" s="215"/>
      <c r="I176" s="215"/>
    </row>
    <row r="177" spans="1:9">
      <c r="A177" s="215"/>
      <c r="B177" s="215"/>
      <c r="C177" s="215"/>
      <c r="D177" s="215"/>
      <c r="E177" s="215"/>
      <c r="F177" s="215"/>
      <c r="G177" s="215"/>
      <c r="H177" s="215"/>
      <c r="I177" s="215"/>
    </row>
    <row r="178" spans="1:9">
      <c r="A178" s="215"/>
      <c r="B178" s="215"/>
      <c r="C178" s="215"/>
      <c r="D178" s="215"/>
      <c r="E178" s="215"/>
      <c r="F178" s="215"/>
      <c r="G178" s="215"/>
      <c r="H178" s="215"/>
      <c r="I178" s="215"/>
    </row>
    <row r="179" spans="1:9">
      <c r="A179" s="215"/>
      <c r="B179" s="215"/>
      <c r="C179" s="215"/>
      <c r="D179" s="215"/>
      <c r="E179" s="215"/>
      <c r="F179" s="215"/>
      <c r="G179" s="215"/>
      <c r="H179" s="215"/>
      <c r="I179" s="215"/>
    </row>
    <row r="180" spans="1:9">
      <c r="A180" s="215"/>
      <c r="B180" s="215"/>
      <c r="C180" s="215"/>
      <c r="D180" s="215"/>
      <c r="E180" s="215"/>
      <c r="F180" s="215"/>
      <c r="G180" s="215"/>
      <c r="H180" s="215"/>
      <c r="I180" s="215"/>
    </row>
    <row r="181" spans="1:9">
      <c r="A181" s="133"/>
      <c r="B181" s="133"/>
      <c r="C181" s="133"/>
      <c r="D181" s="133"/>
      <c r="E181" s="133"/>
      <c r="F181" s="133"/>
      <c r="G181" s="133"/>
      <c r="H181" s="133"/>
      <c r="I181" s="133"/>
    </row>
    <row r="182" spans="1:9">
      <c r="A182" s="133"/>
      <c r="B182" s="133"/>
      <c r="C182" s="133"/>
      <c r="D182" s="133"/>
      <c r="E182" s="133"/>
      <c r="F182" s="133"/>
      <c r="G182" s="133"/>
      <c r="H182" s="133"/>
      <c r="I182" s="133"/>
    </row>
    <row r="183" spans="1:9">
      <c r="A183" s="133"/>
      <c r="B183" s="133"/>
      <c r="C183" s="133"/>
      <c r="D183" s="133"/>
      <c r="E183" s="133"/>
      <c r="F183" s="133"/>
      <c r="G183" s="133"/>
      <c r="H183" s="133"/>
      <c r="I183" s="133"/>
    </row>
    <row r="184" spans="1:9">
      <c r="A184" s="133"/>
      <c r="B184" s="133"/>
      <c r="C184" s="133"/>
      <c r="D184" s="133"/>
      <c r="E184" s="133"/>
      <c r="F184" s="133"/>
      <c r="G184" s="133"/>
      <c r="H184" s="133"/>
      <c r="I184" s="133"/>
    </row>
    <row r="185" spans="1:9">
      <c r="A185" s="133"/>
      <c r="B185" s="133"/>
      <c r="C185" s="133"/>
      <c r="D185" s="133"/>
      <c r="E185" s="133"/>
      <c r="F185" s="133"/>
      <c r="G185" s="133"/>
      <c r="H185" s="133"/>
      <c r="I185" s="133"/>
    </row>
    <row r="186" spans="1:9">
      <c r="A186" s="133"/>
      <c r="B186" s="133"/>
      <c r="C186" s="133"/>
      <c r="D186" s="133"/>
      <c r="E186" s="133"/>
      <c r="F186" s="133"/>
      <c r="G186" s="133"/>
      <c r="H186" s="133"/>
      <c r="I186" s="133"/>
    </row>
    <row r="187" spans="1:9">
      <c r="A187" s="133"/>
      <c r="B187" s="133"/>
      <c r="C187" s="133"/>
      <c r="D187" s="133"/>
      <c r="E187" s="133"/>
      <c r="F187" s="133"/>
      <c r="G187" s="133"/>
      <c r="H187" s="133"/>
      <c r="I187" s="133"/>
    </row>
    <row r="188" spans="1:9">
      <c r="A188" s="133"/>
      <c r="B188" s="133"/>
      <c r="C188" s="133"/>
      <c r="D188" s="133"/>
      <c r="E188" s="133"/>
      <c r="F188" s="133"/>
      <c r="G188" s="133"/>
      <c r="H188" s="133"/>
      <c r="I188" s="133"/>
    </row>
    <row r="189" spans="1:9">
      <c r="A189" s="133"/>
      <c r="B189" s="133"/>
      <c r="C189" s="133"/>
      <c r="D189" s="133"/>
      <c r="E189" s="133"/>
      <c r="F189" s="133"/>
      <c r="G189" s="133"/>
      <c r="H189" s="133"/>
      <c r="I189" s="133"/>
    </row>
    <row r="190" spans="1:9">
      <c r="A190" s="133"/>
      <c r="B190" s="133"/>
      <c r="C190" s="133"/>
      <c r="D190" s="133"/>
      <c r="E190" s="133"/>
      <c r="F190" s="133"/>
      <c r="G190" s="133"/>
      <c r="H190" s="133"/>
      <c r="I190" s="133"/>
    </row>
    <row r="191" spans="1:9">
      <c r="A191" s="133"/>
      <c r="B191" s="133"/>
      <c r="C191" s="133"/>
      <c r="D191" s="133"/>
      <c r="E191" s="133"/>
      <c r="F191" s="133"/>
      <c r="G191" s="133"/>
      <c r="H191" s="133"/>
      <c r="I191" s="133"/>
    </row>
    <row r="192" spans="1:9">
      <c r="A192" s="133"/>
      <c r="B192" s="133"/>
      <c r="C192" s="133"/>
      <c r="D192" s="133"/>
      <c r="E192" s="133"/>
      <c r="F192" s="133"/>
      <c r="G192" s="133"/>
      <c r="H192" s="133"/>
      <c r="I192" s="133"/>
    </row>
    <row r="193" spans="1:9">
      <c r="A193" s="133"/>
      <c r="B193" s="133"/>
      <c r="C193" s="133"/>
      <c r="D193" s="133"/>
      <c r="E193" s="133"/>
      <c r="F193" s="133"/>
      <c r="G193" s="133"/>
      <c r="H193" s="133"/>
      <c r="I193" s="133"/>
    </row>
    <row r="194" spans="1:9">
      <c r="A194" s="133"/>
      <c r="B194" s="133"/>
      <c r="C194" s="133"/>
      <c r="D194" s="133"/>
      <c r="E194" s="133"/>
      <c r="F194" s="133"/>
      <c r="G194" s="133"/>
      <c r="H194" s="133"/>
      <c r="I194" s="133"/>
    </row>
    <row r="195" spans="1:9">
      <c r="A195" s="133"/>
      <c r="B195" s="133"/>
      <c r="C195" s="133"/>
      <c r="D195" s="133"/>
      <c r="E195" s="133"/>
      <c r="F195" s="133"/>
      <c r="G195" s="133"/>
      <c r="H195" s="133"/>
      <c r="I195" s="133"/>
    </row>
    <row r="196" spans="1:9">
      <c r="A196" s="133"/>
      <c r="B196" s="133"/>
      <c r="C196" s="133"/>
      <c r="D196" s="133"/>
      <c r="E196" s="133"/>
      <c r="F196" s="133"/>
      <c r="G196" s="133"/>
      <c r="H196" s="133"/>
      <c r="I196" s="133"/>
    </row>
    <row r="197" spans="1:9">
      <c r="A197" s="133"/>
      <c r="B197" s="133"/>
      <c r="C197" s="133"/>
      <c r="D197" s="133"/>
      <c r="E197" s="133"/>
      <c r="F197" s="133"/>
      <c r="G197" s="133"/>
      <c r="H197" s="133"/>
      <c r="I197" s="133"/>
    </row>
    <row r="198" spans="1:9">
      <c r="A198" s="133"/>
      <c r="B198" s="133"/>
      <c r="C198" s="133"/>
      <c r="D198" s="133"/>
      <c r="E198" s="133"/>
      <c r="F198" s="133"/>
      <c r="G198" s="133"/>
      <c r="H198" s="133"/>
      <c r="I198" s="133"/>
    </row>
    <row r="199" spans="1:9">
      <c r="A199" s="133"/>
      <c r="B199" s="133"/>
      <c r="C199" s="133"/>
      <c r="D199" s="133"/>
      <c r="E199" s="133"/>
      <c r="F199" s="133"/>
      <c r="G199" s="133"/>
      <c r="H199" s="133"/>
      <c r="I199" s="133"/>
    </row>
    <row r="200" spans="1:9">
      <c r="A200" s="133"/>
      <c r="B200" s="133"/>
      <c r="C200" s="133"/>
      <c r="D200" s="133"/>
      <c r="E200" s="133"/>
      <c r="F200" s="133"/>
      <c r="G200" s="133"/>
      <c r="H200" s="133"/>
      <c r="I200" s="133"/>
    </row>
    <row r="201" spans="1:9">
      <c r="A201" s="133"/>
      <c r="B201" s="133"/>
      <c r="C201" s="133"/>
      <c r="D201" s="133"/>
      <c r="E201" s="133"/>
      <c r="F201" s="133"/>
      <c r="G201" s="133"/>
      <c r="H201" s="133"/>
      <c r="I201" s="133"/>
    </row>
    <row r="202" spans="1:9">
      <c r="A202" s="133"/>
      <c r="B202" s="133"/>
      <c r="C202" s="133"/>
      <c r="D202" s="133"/>
      <c r="E202" s="133"/>
      <c r="F202" s="133"/>
      <c r="G202" s="133"/>
      <c r="H202" s="133"/>
      <c r="I202" s="133"/>
    </row>
    <row r="203" spans="1:9">
      <c r="A203" s="133"/>
      <c r="B203" s="133"/>
      <c r="C203" s="133"/>
      <c r="D203" s="133"/>
      <c r="E203" s="133"/>
      <c r="F203" s="133"/>
      <c r="G203" s="133"/>
      <c r="H203" s="133"/>
      <c r="I203" s="133"/>
    </row>
    <row r="204" spans="1:9">
      <c r="A204" s="133"/>
      <c r="B204" s="133"/>
      <c r="C204" s="133"/>
      <c r="D204" s="133"/>
      <c r="E204" s="133"/>
      <c r="F204" s="133"/>
      <c r="G204" s="133"/>
      <c r="H204" s="133"/>
      <c r="I204" s="133"/>
    </row>
    <row r="205" spans="1:9">
      <c r="A205" s="133"/>
      <c r="B205" s="133"/>
      <c r="C205" s="133"/>
      <c r="D205" s="133"/>
      <c r="E205" s="133"/>
      <c r="F205" s="133"/>
      <c r="G205" s="133"/>
      <c r="H205" s="133"/>
      <c r="I205" s="133"/>
    </row>
    <row r="206" spans="1:9">
      <c r="A206" s="133"/>
      <c r="B206" s="133"/>
      <c r="C206" s="133"/>
      <c r="D206" s="133"/>
      <c r="E206" s="133"/>
      <c r="F206" s="133"/>
      <c r="G206" s="133"/>
      <c r="H206" s="133"/>
      <c r="I206" s="133"/>
    </row>
    <row r="207" spans="1:9">
      <c r="A207" s="133"/>
      <c r="B207" s="133"/>
      <c r="C207" s="133"/>
      <c r="D207" s="133"/>
      <c r="E207" s="133"/>
      <c r="F207" s="133"/>
      <c r="G207" s="133"/>
      <c r="H207" s="133"/>
      <c r="I207" s="133"/>
    </row>
    <row r="208" spans="1:9">
      <c r="A208" s="133"/>
      <c r="B208" s="133"/>
      <c r="C208" s="133"/>
      <c r="D208" s="133"/>
      <c r="E208" s="133"/>
      <c r="F208" s="133"/>
      <c r="G208" s="133"/>
      <c r="H208" s="133"/>
      <c r="I208" s="133"/>
    </row>
    <row r="209" spans="1:9">
      <c r="A209" s="133"/>
      <c r="B209" s="133"/>
      <c r="C209" s="133"/>
      <c r="D209" s="133"/>
      <c r="E209" s="133"/>
      <c r="F209" s="133"/>
      <c r="G209" s="133"/>
      <c r="H209" s="133"/>
      <c r="I209" s="133"/>
    </row>
    <row r="210" spans="1:9">
      <c r="A210" s="133"/>
      <c r="B210" s="133"/>
      <c r="C210" s="133"/>
      <c r="D210" s="133"/>
      <c r="E210" s="133"/>
      <c r="F210" s="133"/>
      <c r="G210" s="133"/>
      <c r="H210" s="133"/>
      <c r="I210" s="133"/>
    </row>
    <row r="211" spans="1:9">
      <c r="A211" s="133"/>
      <c r="B211" s="133"/>
      <c r="C211" s="133"/>
      <c r="D211" s="133"/>
      <c r="E211" s="133"/>
      <c r="F211" s="133"/>
      <c r="G211" s="133"/>
      <c r="H211" s="133"/>
      <c r="I211" s="133"/>
    </row>
    <row r="212" spans="1:9">
      <c r="A212" s="133"/>
      <c r="B212" s="133"/>
      <c r="C212" s="133"/>
      <c r="D212" s="133"/>
      <c r="E212" s="133"/>
      <c r="F212" s="133"/>
      <c r="G212" s="133"/>
      <c r="H212" s="133"/>
      <c r="I212" s="133"/>
    </row>
    <row r="213" spans="1:9">
      <c r="A213" s="133"/>
      <c r="B213" s="133"/>
      <c r="C213" s="133"/>
      <c r="D213" s="133"/>
      <c r="E213" s="133"/>
      <c r="F213" s="133"/>
      <c r="G213" s="133"/>
      <c r="H213" s="133"/>
      <c r="I213" s="133"/>
    </row>
    <row r="214" spans="1:9">
      <c r="A214" s="133"/>
      <c r="B214" s="133"/>
      <c r="C214" s="133"/>
      <c r="D214" s="133"/>
      <c r="E214" s="133"/>
      <c r="F214" s="133"/>
      <c r="G214" s="133"/>
      <c r="H214" s="133"/>
      <c r="I214" s="133"/>
    </row>
    <row r="215" spans="1:9">
      <c r="A215" s="133"/>
      <c r="B215" s="133"/>
      <c r="C215" s="133"/>
      <c r="D215" s="133"/>
      <c r="E215" s="133"/>
      <c r="F215" s="133"/>
      <c r="G215" s="133"/>
      <c r="H215" s="133"/>
      <c r="I215" s="133"/>
    </row>
    <row r="216" spans="1:9">
      <c r="A216" s="133"/>
      <c r="B216" s="133"/>
      <c r="C216" s="133"/>
      <c r="D216" s="133"/>
      <c r="E216" s="133"/>
      <c r="F216" s="133"/>
      <c r="G216" s="133"/>
      <c r="H216" s="133"/>
      <c r="I216" s="133"/>
    </row>
    <row r="217" spans="1:9">
      <c r="A217" s="133"/>
      <c r="B217" s="133"/>
      <c r="C217" s="133"/>
      <c r="D217" s="133"/>
      <c r="E217" s="133"/>
      <c r="F217" s="133"/>
      <c r="G217" s="133"/>
      <c r="H217" s="133"/>
      <c r="I217" s="133"/>
    </row>
    <row r="218" spans="1:9">
      <c r="A218" s="133"/>
      <c r="B218" s="133"/>
      <c r="C218" s="133"/>
      <c r="D218" s="133"/>
      <c r="E218" s="133"/>
      <c r="F218" s="133"/>
      <c r="G218" s="133"/>
      <c r="H218" s="133"/>
      <c r="I218" s="133"/>
    </row>
    <row r="219" spans="1:9">
      <c r="A219" s="133"/>
      <c r="B219" s="133"/>
      <c r="C219" s="133"/>
      <c r="D219" s="133"/>
      <c r="E219" s="133"/>
      <c r="F219" s="133"/>
      <c r="G219" s="133"/>
      <c r="H219" s="133"/>
      <c r="I219" s="133"/>
    </row>
    <row r="220" spans="1:9">
      <c r="A220" s="133"/>
      <c r="B220" s="133"/>
      <c r="C220" s="133"/>
      <c r="D220" s="133"/>
      <c r="E220" s="133"/>
      <c r="F220" s="133"/>
      <c r="G220" s="133"/>
      <c r="H220" s="133"/>
      <c r="I220" s="133"/>
    </row>
    <row r="221" spans="1:9">
      <c r="A221" s="133"/>
      <c r="B221" s="133"/>
      <c r="C221" s="133"/>
      <c r="D221" s="133"/>
      <c r="E221" s="133"/>
      <c r="F221" s="133"/>
      <c r="G221" s="133"/>
      <c r="H221" s="133"/>
      <c r="I221" s="133"/>
    </row>
    <row r="222" spans="1:9">
      <c r="A222" s="133"/>
      <c r="B222" s="133"/>
      <c r="C222" s="133"/>
      <c r="D222" s="133"/>
      <c r="E222" s="133"/>
      <c r="F222" s="133"/>
      <c r="G222" s="133"/>
      <c r="H222" s="133"/>
      <c r="I222" s="133"/>
    </row>
    <row r="223" spans="1:9">
      <c r="A223" s="133"/>
      <c r="B223" s="133"/>
      <c r="C223" s="133"/>
      <c r="D223" s="133"/>
      <c r="E223" s="133"/>
      <c r="F223" s="133"/>
      <c r="G223" s="133"/>
      <c r="H223" s="133"/>
      <c r="I223" s="133"/>
    </row>
    <row r="224" spans="1:9">
      <c r="A224" s="133"/>
      <c r="B224" s="133"/>
      <c r="C224" s="133"/>
      <c r="D224" s="133"/>
      <c r="E224" s="133"/>
      <c r="F224" s="133"/>
      <c r="G224" s="133"/>
      <c r="H224" s="133"/>
      <c r="I224" s="133"/>
    </row>
    <row r="225" spans="1:9">
      <c r="A225" s="133"/>
      <c r="B225" s="133"/>
      <c r="C225" s="133"/>
      <c r="D225" s="133"/>
      <c r="E225" s="133"/>
      <c r="F225" s="133"/>
      <c r="G225" s="133"/>
      <c r="H225" s="133"/>
      <c r="I225" s="133"/>
    </row>
    <row r="226" spans="1:9">
      <c r="A226" s="133"/>
      <c r="B226" s="133"/>
      <c r="C226" s="133"/>
      <c r="D226" s="133"/>
      <c r="E226" s="133"/>
      <c r="F226" s="133"/>
      <c r="G226" s="133"/>
      <c r="H226" s="133"/>
      <c r="I226" s="133"/>
    </row>
    <row r="227" spans="1:9">
      <c r="A227" s="133"/>
      <c r="B227" s="133"/>
      <c r="C227" s="133"/>
      <c r="D227" s="133"/>
      <c r="E227" s="133"/>
      <c r="F227" s="133"/>
      <c r="G227" s="133"/>
      <c r="H227" s="133"/>
      <c r="I227" s="133"/>
    </row>
    <row r="228" spans="1:9">
      <c r="A228" s="133"/>
      <c r="B228" s="133"/>
      <c r="C228" s="133"/>
      <c r="D228" s="133"/>
      <c r="E228" s="133"/>
      <c r="F228" s="133"/>
      <c r="G228" s="133"/>
      <c r="H228" s="133"/>
      <c r="I228" s="133"/>
    </row>
    <row r="229" spans="1:9">
      <c r="A229" s="133"/>
      <c r="B229" s="133"/>
      <c r="C229" s="133"/>
      <c r="D229" s="133"/>
      <c r="E229" s="133"/>
      <c r="F229" s="133"/>
      <c r="G229" s="133"/>
      <c r="H229" s="133"/>
      <c r="I229" s="133"/>
    </row>
    <row r="230" spans="1:9">
      <c r="A230" s="133"/>
      <c r="B230" s="133"/>
      <c r="C230" s="133"/>
      <c r="D230" s="133"/>
      <c r="E230" s="133"/>
      <c r="F230" s="133"/>
      <c r="G230" s="133"/>
      <c r="H230" s="133"/>
      <c r="I230" s="133"/>
    </row>
    <row r="231" spans="1:9">
      <c r="A231" s="133"/>
      <c r="B231" s="133"/>
      <c r="C231" s="133"/>
      <c r="D231" s="133"/>
      <c r="E231" s="133"/>
      <c r="F231" s="133"/>
      <c r="G231" s="133"/>
      <c r="H231" s="133"/>
      <c r="I231" s="133"/>
    </row>
    <row r="232" spans="1:9">
      <c r="A232" s="133"/>
      <c r="B232" s="133"/>
      <c r="C232" s="133"/>
      <c r="D232" s="133"/>
      <c r="E232" s="133"/>
      <c r="F232" s="133"/>
      <c r="G232" s="133"/>
      <c r="H232" s="133"/>
      <c r="I232" s="133"/>
    </row>
    <row r="233" spans="1:9">
      <c r="A233" s="133"/>
      <c r="B233" s="133"/>
      <c r="C233" s="133"/>
      <c r="D233" s="133"/>
      <c r="E233" s="133"/>
      <c r="F233" s="133"/>
      <c r="G233" s="133"/>
      <c r="H233" s="133"/>
      <c r="I233" s="133"/>
    </row>
    <row r="234" spans="1:9">
      <c r="A234" s="133"/>
      <c r="B234" s="133"/>
      <c r="C234" s="133"/>
      <c r="D234" s="133"/>
      <c r="E234" s="133"/>
      <c r="F234" s="133"/>
      <c r="G234" s="133"/>
      <c r="H234" s="133"/>
      <c r="I234" s="133"/>
    </row>
    <row r="235" spans="1:9">
      <c r="A235" s="133"/>
      <c r="B235" s="133"/>
      <c r="C235" s="133"/>
      <c r="D235" s="133"/>
      <c r="E235" s="133"/>
      <c r="F235" s="133"/>
      <c r="G235" s="133"/>
      <c r="H235" s="133"/>
      <c r="I235" s="133"/>
    </row>
    <row r="236" spans="1:9">
      <c r="A236" s="133"/>
      <c r="B236" s="133"/>
      <c r="C236" s="133"/>
      <c r="D236" s="133"/>
      <c r="E236" s="133"/>
      <c r="F236" s="133"/>
      <c r="G236" s="133"/>
      <c r="H236" s="133"/>
      <c r="I236" s="133"/>
    </row>
    <row r="237" spans="1:9">
      <c r="A237" s="133"/>
      <c r="B237" s="133"/>
      <c r="C237" s="133"/>
      <c r="D237" s="133"/>
      <c r="E237" s="133"/>
      <c r="F237" s="133"/>
      <c r="G237" s="133"/>
      <c r="H237" s="133"/>
      <c r="I237" s="133"/>
    </row>
    <row r="238" spans="1:9">
      <c r="A238" s="133"/>
      <c r="B238" s="133"/>
      <c r="C238" s="133"/>
      <c r="D238" s="133"/>
      <c r="E238" s="133"/>
      <c r="F238" s="133"/>
      <c r="G238" s="133"/>
      <c r="H238" s="133"/>
      <c r="I238" s="133"/>
    </row>
    <row r="239" spans="1:9">
      <c r="A239" s="133"/>
      <c r="B239" s="133"/>
      <c r="C239" s="133"/>
      <c r="D239" s="133"/>
      <c r="E239" s="133"/>
      <c r="F239" s="133"/>
      <c r="G239" s="133"/>
      <c r="H239" s="133"/>
      <c r="I239" s="133"/>
    </row>
    <row r="240" spans="1:9">
      <c r="A240" s="133"/>
      <c r="B240" s="133"/>
      <c r="C240" s="133"/>
      <c r="D240" s="133"/>
      <c r="E240" s="133"/>
      <c r="F240" s="133"/>
      <c r="G240" s="133"/>
      <c r="H240" s="133"/>
      <c r="I240" s="133"/>
    </row>
    <row r="241" spans="1:9">
      <c r="A241" s="133"/>
      <c r="B241" s="133"/>
      <c r="C241" s="133"/>
      <c r="D241" s="133"/>
      <c r="E241" s="133"/>
      <c r="F241" s="133"/>
      <c r="G241" s="133"/>
      <c r="H241" s="133"/>
      <c r="I241" s="133"/>
    </row>
    <row r="242" spans="1:9">
      <c r="A242" s="133"/>
      <c r="B242" s="133"/>
      <c r="C242" s="133"/>
      <c r="D242" s="133"/>
      <c r="E242" s="133"/>
      <c r="F242" s="133"/>
      <c r="G242" s="133"/>
      <c r="H242" s="133"/>
      <c r="I242" s="133"/>
    </row>
    <row r="243" spans="1:9">
      <c r="A243" s="133"/>
      <c r="B243" s="133"/>
      <c r="C243" s="133"/>
      <c r="D243" s="133"/>
      <c r="E243" s="133"/>
      <c r="F243" s="133"/>
      <c r="G243" s="133"/>
      <c r="H243" s="133"/>
      <c r="I243" s="133"/>
    </row>
    <row r="244" spans="1:9">
      <c r="A244" s="133"/>
      <c r="B244" s="133"/>
      <c r="C244" s="133"/>
      <c r="D244" s="133"/>
      <c r="E244" s="133"/>
      <c r="F244" s="133"/>
      <c r="G244" s="133"/>
      <c r="H244" s="133"/>
      <c r="I244" s="133"/>
    </row>
    <row r="245" spans="1:9">
      <c r="A245" s="133"/>
      <c r="B245" s="133"/>
      <c r="C245" s="133"/>
      <c r="D245" s="133"/>
      <c r="E245" s="133"/>
      <c r="F245" s="133"/>
      <c r="G245" s="133"/>
      <c r="H245" s="133"/>
      <c r="I245" s="133"/>
    </row>
    <row r="246" spans="1:9">
      <c r="A246" s="133"/>
      <c r="B246" s="133"/>
      <c r="C246" s="133"/>
      <c r="D246" s="133"/>
      <c r="E246" s="133"/>
      <c r="F246" s="133"/>
      <c r="G246" s="133"/>
      <c r="H246" s="133"/>
      <c r="I246" s="133"/>
    </row>
    <row r="247" spans="1:9">
      <c r="A247" s="133"/>
      <c r="B247" s="133"/>
      <c r="C247" s="133"/>
      <c r="D247" s="133"/>
      <c r="E247" s="133"/>
      <c r="F247" s="133"/>
      <c r="G247" s="133"/>
      <c r="H247" s="133"/>
      <c r="I247" s="133"/>
    </row>
    <row r="248" spans="1:9">
      <c r="A248" s="133"/>
      <c r="B248" s="133"/>
      <c r="C248" s="133"/>
      <c r="D248" s="133"/>
      <c r="E248" s="133"/>
      <c r="F248" s="133"/>
      <c r="G248" s="133"/>
      <c r="H248" s="133"/>
      <c r="I248" s="133"/>
    </row>
    <row r="249" spans="1:9">
      <c r="A249" s="133"/>
      <c r="B249" s="133"/>
      <c r="C249" s="133"/>
      <c r="D249" s="133"/>
      <c r="E249" s="133"/>
      <c r="F249" s="133"/>
      <c r="G249" s="133"/>
      <c r="H249" s="133"/>
      <c r="I249" s="133"/>
    </row>
    <row r="250" spans="1:9">
      <c r="A250" s="133"/>
      <c r="B250" s="133"/>
      <c r="C250" s="133"/>
      <c r="D250" s="133"/>
      <c r="E250" s="133"/>
      <c r="F250" s="133"/>
      <c r="G250" s="133"/>
      <c r="H250" s="133"/>
      <c r="I250" s="133"/>
    </row>
    <row r="251" spans="1:9">
      <c r="A251" s="133"/>
      <c r="B251" s="133"/>
      <c r="C251" s="133"/>
      <c r="D251" s="133"/>
      <c r="E251" s="133"/>
      <c r="F251" s="133"/>
      <c r="G251" s="133"/>
      <c r="H251" s="133"/>
      <c r="I251" s="133"/>
    </row>
    <row r="252" spans="1:9">
      <c r="A252" s="133"/>
      <c r="B252" s="133"/>
      <c r="C252" s="133"/>
      <c r="D252" s="133"/>
      <c r="E252" s="133"/>
      <c r="F252" s="133"/>
      <c r="G252" s="133"/>
      <c r="H252" s="133"/>
      <c r="I252" s="133"/>
    </row>
    <row r="253" spans="1:9">
      <c r="A253" s="133"/>
      <c r="B253" s="133"/>
      <c r="C253" s="133"/>
      <c r="D253" s="133"/>
      <c r="E253" s="133"/>
      <c r="F253" s="133"/>
      <c r="G253" s="133"/>
      <c r="H253" s="133"/>
      <c r="I253" s="133"/>
    </row>
    <row r="254" spans="1:9">
      <c r="A254" s="133"/>
      <c r="B254" s="133"/>
      <c r="C254" s="133"/>
      <c r="D254" s="133"/>
      <c r="E254" s="133"/>
      <c r="F254" s="133"/>
      <c r="G254" s="133"/>
      <c r="H254" s="133"/>
      <c r="I254" s="133"/>
    </row>
    <row r="255" spans="1:9">
      <c r="A255" s="133"/>
      <c r="B255" s="133"/>
      <c r="C255" s="133"/>
      <c r="D255" s="133"/>
      <c r="E255" s="133"/>
      <c r="F255" s="133"/>
      <c r="G255" s="133"/>
      <c r="H255" s="133"/>
      <c r="I255" s="133"/>
    </row>
    <row r="256" spans="1:9">
      <c r="A256" s="133"/>
      <c r="B256" s="133"/>
      <c r="C256" s="133"/>
      <c r="D256" s="133"/>
      <c r="E256" s="133"/>
      <c r="F256" s="133"/>
      <c r="G256" s="133"/>
      <c r="H256" s="133"/>
      <c r="I256" s="133"/>
    </row>
    <row r="257" spans="1:9">
      <c r="A257" s="133"/>
      <c r="B257" s="133"/>
      <c r="C257" s="133"/>
      <c r="D257" s="133"/>
      <c r="E257" s="133"/>
      <c r="F257" s="133"/>
      <c r="G257" s="133"/>
      <c r="H257" s="133"/>
      <c r="I257" s="133"/>
    </row>
    <row r="258" spans="1:9">
      <c r="A258" s="133"/>
      <c r="B258" s="133"/>
      <c r="C258" s="133"/>
      <c r="D258" s="133"/>
      <c r="E258" s="133"/>
      <c r="F258" s="133"/>
      <c r="G258" s="133"/>
      <c r="H258" s="133"/>
      <c r="I258" s="133"/>
    </row>
    <row r="259" spans="1:9">
      <c r="A259" s="133"/>
      <c r="B259" s="133"/>
      <c r="C259" s="133"/>
      <c r="D259" s="133"/>
      <c r="E259" s="133"/>
      <c r="F259" s="133"/>
      <c r="G259" s="133"/>
      <c r="H259" s="133"/>
      <c r="I259" s="133"/>
    </row>
    <row r="260" spans="1:9">
      <c r="A260" s="133"/>
      <c r="B260" s="133"/>
      <c r="C260" s="133"/>
      <c r="D260" s="133"/>
      <c r="E260" s="133"/>
      <c r="F260" s="133"/>
      <c r="G260" s="133"/>
      <c r="H260" s="133"/>
      <c r="I260" s="133"/>
    </row>
    <row r="261" spans="1:9">
      <c r="A261" s="133"/>
      <c r="B261" s="133"/>
      <c r="C261" s="133"/>
      <c r="D261" s="133"/>
      <c r="E261" s="133"/>
      <c r="F261" s="133"/>
      <c r="G261" s="133"/>
      <c r="H261" s="133"/>
      <c r="I261" s="133"/>
    </row>
    <row r="262" spans="1:9">
      <c r="A262" s="133"/>
      <c r="B262" s="133"/>
      <c r="C262" s="133"/>
      <c r="D262" s="133"/>
      <c r="E262" s="133"/>
      <c r="F262" s="133"/>
      <c r="G262" s="133"/>
      <c r="H262" s="133"/>
      <c r="I262" s="133"/>
    </row>
    <row r="263" spans="1:9">
      <c r="A263" s="133"/>
      <c r="B263" s="133"/>
      <c r="C263" s="133"/>
      <c r="D263" s="133"/>
      <c r="E263" s="133"/>
      <c r="F263" s="133"/>
      <c r="G263" s="133"/>
      <c r="H263" s="133"/>
      <c r="I263" s="133"/>
    </row>
    <row r="264" spans="1:9">
      <c r="A264" s="133"/>
      <c r="B264" s="133"/>
      <c r="C264" s="133"/>
      <c r="D264" s="133"/>
      <c r="E264" s="133"/>
      <c r="F264" s="133"/>
      <c r="G264" s="133"/>
      <c r="H264" s="133"/>
      <c r="I264" s="133"/>
    </row>
    <row r="265" spans="1:9">
      <c r="A265" s="133"/>
      <c r="B265" s="133"/>
      <c r="C265" s="133"/>
      <c r="D265" s="133"/>
      <c r="E265" s="133"/>
      <c r="F265" s="133"/>
      <c r="G265" s="133"/>
      <c r="H265" s="133"/>
      <c r="I265" s="133"/>
    </row>
    <row r="266" spans="1:9">
      <c r="A266" s="133"/>
      <c r="B266" s="133"/>
      <c r="C266" s="133"/>
      <c r="D266" s="133"/>
      <c r="E266" s="133"/>
      <c r="F266" s="133"/>
      <c r="G266" s="133"/>
      <c r="H266" s="133"/>
      <c r="I266" s="133"/>
    </row>
    <row r="267" spans="1:9">
      <c r="A267" s="133"/>
      <c r="B267" s="133"/>
      <c r="C267" s="133"/>
      <c r="D267" s="133"/>
      <c r="E267" s="133"/>
      <c r="F267" s="133"/>
      <c r="G267" s="133"/>
      <c r="H267" s="133"/>
      <c r="I267" s="133"/>
    </row>
    <row r="268" spans="1:9">
      <c r="A268" s="133"/>
      <c r="B268" s="133"/>
      <c r="C268" s="133"/>
      <c r="D268" s="133"/>
      <c r="E268" s="133"/>
      <c r="F268" s="133"/>
      <c r="G268" s="133"/>
      <c r="H268" s="133"/>
      <c r="I268" s="133"/>
    </row>
    <row r="269" spans="1:9">
      <c r="A269" s="133"/>
      <c r="B269" s="133"/>
      <c r="C269" s="133"/>
      <c r="D269" s="133"/>
      <c r="E269" s="133"/>
      <c r="F269" s="133"/>
      <c r="G269" s="133"/>
      <c r="H269" s="133"/>
      <c r="I269" s="133"/>
    </row>
    <row r="270" spans="1:9">
      <c r="A270" s="133"/>
      <c r="B270" s="133"/>
      <c r="C270" s="133"/>
      <c r="D270" s="133"/>
      <c r="E270" s="133"/>
      <c r="F270" s="133"/>
      <c r="G270" s="133"/>
      <c r="H270" s="133"/>
      <c r="I270" s="133"/>
    </row>
    <row r="271" spans="1:9">
      <c r="A271" s="133"/>
      <c r="B271" s="133"/>
      <c r="C271" s="133"/>
      <c r="D271" s="133"/>
      <c r="E271" s="133"/>
      <c r="F271" s="133"/>
      <c r="G271" s="133"/>
      <c r="H271" s="133"/>
      <c r="I271" s="133"/>
    </row>
    <row r="272" spans="1:9">
      <c r="A272" s="133"/>
      <c r="B272" s="133"/>
      <c r="C272" s="133"/>
      <c r="D272" s="133"/>
      <c r="E272" s="133"/>
      <c r="F272" s="133"/>
      <c r="G272" s="133"/>
      <c r="H272" s="133"/>
      <c r="I272" s="133"/>
    </row>
    <row r="273" spans="1:9">
      <c r="A273" s="133"/>
      <c r="B273" s="133"/>
      <c r="C273" s="133"/>
      <c r="D273" s="133"/>
      <c r="E273" s="133"/>
      <c r="F273" s="133"/>
      <c r="G273" s="133"/>
      <c r="H273" s="133"/>
      <c r="I273" s="133"/>
    </row>
    <row r="274" spans="1:9">
      <c r="A274" s="133"/>
      <c r="B274" s="133"/>
      <c r="C274" s="133"/>
      <c r="D274" s="133"/>
      <c r="E274" s="133"/>
      <c r="F274" s="133"/>
      <c r="G274" s="133"/>
      <c r="H274" s="133"/>
      <c r="I274" s="133"/>
    </row>
    <row r="275" spans="1:9">
      <c r="A275" s="133"/>
      <c r="B275" s="133"/>
      <c r="C275" s="133"/>
      <c r="D275" s="133"/>
      <c r="E275" s="133"/>
      <c r="F275" s="133"/>
      <c r="G275" s="133"/>
      <c r="H275" s="133"/>
      <c r="I275" s="133"/>
    </row>
    <row r="276" spans="1:9">
      <c r="A276" s="133"/>
      <c r="B276" s="133"/>
      <c r="C276" s="133"/>
      <c r="D276" s="133"/>
      <c r="E276" s="133"/>
      <c r="F276" s="133"/>
      <c r="G276" s="133"/>
      <c r="H276" s="133"/>
      <c r="I276" s="133"/>
    </row>
    <row r="277" spans="1:9">
      <c r="A277" s="133"/>
      <c r="B277" s="133"/>
      <c r="C277" s="133"/>
      <c r="D277" s="133"/>
      <c r="E277" s="133"/>
      <c r="F277" s="133"/>
      <c r="G277" s="133"/>
      <c r="H277" s="133"/>
      <c r="I277" s="133"/>
    </row>
    <row r="278" spans="1:9">
      <c r="A278" s="133"/>
      <c r="B278" s="133"/>
      <c r="C278" s="133"/>
      <c r="D278" s="133"/>
      <c r="E278" s="133"/>
      <c r="F278" s="133"/>
      <c r="G278" s="133"/>
      <c r="H278" s="133"/>
      <c r="I278" s="133"/>
    </row>
    <row r="279" spans="1:9">
      <c r="A279" s="133"/>
      <c r="B279" s="133"/>
      <c r="C279" s="133"/>
      <c r="D279" s="133"/>
      <c r="E279" s="133"/>
      <c r="F279" s="133"/>
      <c r="G279" s="133"/>
      <c r="H279" s="133"/>
      <c r="I279" s="133"/>
    </row>
    <row r="280" spans="1:9">
      <c r="A280" s="133"/>
      <c r="B280" s="133"/>
      <c r="C280" s="133"/>
      <c r="D280" s="133"/>
      <c r="E280" s="133"/>
      <c r="F280" s="133"/>
      <c r="G280" s="133"/>
      <c r="H280" s="133"/>
      <c r="I280" s="133"/>
    </row>
    <row r="281" spans="1:9">
      <c r="A281" s="133"/>
      <c r="B281" s="133"/>
      <c r="C281" s="133"/>
      <c r="D281" s="133"/>
      <c r="E281" s="133"/>
      <c r="F281" s="133"/>
      <c r="G281" s="133"/>
      <c r="H281" s="133"/>
      <c r="I281" s="133"/>
    </row>
    <row r="282" spans="1:9">
      <c r="A282" s="133"/>
      <c r="B282" s="133"/>
      <c r="C282" s="133"/>
      <c r="D282" s="133"/>
      <c r="E282" s="133"/>
      <c r="F282" s="133"/>
      <c r="G282" s="133"/>
      <c r="H282" s="133"/>
      <c r="I282" s="133"/>
    </row>
    <row r="283" spans="1:9">
      <c r="A283" s="133"/>
      <c r="B283" s="133"/>
      <c r="C283" s="133"/>
      <c r="D283" s="133"/>
      <c r="E283" s="133"/>
      <c r="F283" s="133"/>
      <c r="G283" s="133"/>
      <c r="H283" s="133"/>
      <c r="I283" s="133"/>
    </row>
    <row r="284" spans="1:9">
      <c r="A284" s="133"/>
      <c r="B284" s="133"/>
      <c r="C284" s="133"/>
      <c r="D284" s="133"/>
      <c r="E284" s="133"/>
      <c r="F284" s="133"/>
      <c r="G284" s="133"/>
      <c r="H284" s="133"/>
      <c r="I284" s="133"/>
    </row>
    <row r="285" spans="1:9">
      <c r="A285" s="133"/>
      <c r="B285" s="133"/>
      <c r="C285" s="133"/>
      <c r="D285" s="133"/>
      <c r="E285" s="133"/>
      <c r="F285" s="133"/>
      <c r="G285" s="133"/>
      <c r="H285" s="133"/>
      <c r="I285" s="133"/>
    </row>
    <row r="286" spans="1:9">
      <c r="A286" s="133"/>
      <c r="B286" s="133"/>
      <c r="C286" s="133"/>
      <c r="D286" s="133"/>
      <c r="E286" s="133"/>
      <c r="F286" s="133"/>
      <c r="G286" s="133"/>
      <c r="H286" s="133"/>
      <c r="I286" s="133"/>
    </row>
    <row r="287" spans="1:9">
      <c r="A287" s="133"/>
      <c r="B287" s="133"/>
      <c r="C287" s="133"/>
      <c r="D287" s="133"/>
      <c r="E287" s="133"/>
      <c r="F287" s="133"/>
      <c r="G287" s="133"/>
      <c r="H287" s="133"/>
      <c r="I287" s="133"/>
    </row>
    <row r="288" spans="1:9">
      <c r="A288" s="133"/>
      <c r="B288" s="133"/>
      <c r="C288" s="133"/>
      <c r="D288" s="133"/>
      <c r="E288" s="133"/>
      <c r="F288" s="133"/>
      <c r="G288" s="133"/>
      <c r="H288" s="133"/>
      <c r="I288" s="133"/>
    </row>
    <row r="289" spans="1:9">
      <c r="A289" s="133"/>
      <c r="B289" s="133"/>
      <c r="C289" s="133"/>
      <c r="D289" s="133"/>
      <c r="E289" s="133"/>
      <c r="F289" s="133"/>
      <c r="G289" s="133"/>
      <c r="H289" s="133"/>
      <c r="I289" s="133"/>
    </row>
    <row r="290" spans="1:9">
      <c r="A290" s="133"/>
      <c r="B290" s="133"/>
      <c r="C290" s="133"/>
      <c r="D290" s="133"/>
      <c r="E290" s="133"/>
      <c r="F290" s="133"/>
      <c r="G290" s="133"/>
      <c r="H290" s="133"/>
      <c r="I290" s="133"/>
    </row>
    <row r="291" spans="1:9">
      <c r="A291" s="133"/>
      <c r="B291" s="133"/>
      <c r="C291" s="133"/>
      <c r="D291" s="133"/>
      <c r="E291" s="133"/>
      <c r="F291" s="133"/>
      <c r="G291" s="133"/>
      <c r="H291" s="133"/>
      <c r="I291" s="133"/>
    </row>
    <row r="292" spans="1:9">
      <c r="A292" s="133"/>
      <c r="B292" s="133"/>
      <c r="C292" s="133"/>
      <c r="D292" s="133"/>
      <c r="E292" s="133"/>
      <c r="F292" s="133"/>
      <c r="G292" s="133"/>
      <c r="H292" s="133"/>
      <c r="I292" s="133"/>
    </row>
    <row r="293" spans="1:9">
      <c r="A293" s="133"/>
      <c r="B293" s="133"/>
      <c r="C293" s="133"/>
      <c r="D293" s="133"/>
      <c r="E293" s="133"/>
      <c r="F293" s="133"/>
      <c r="G293" s="133"/>
      <c r="H293" s="133"/>
      <c r="I293" s="133"/>
    </row>
    <row r="294" spans="1:9">
      <c r="A294" s="133"/>
      <c r="B294" s="133"/>
      <c r="C294" s="133"/>
      <c r="D294" s="133"/>
      <c r="E294" s="133"/>
      <c r="F294" s="133"/>
      <c r="G294" s="133"/>
      <c r="H294" s="133"/>
      <c r="I294" s="133"/>
    </row>
    <row r="295" spans="1:9">
      <c r="A295" s="133"/>
      <c r="B295" s="133"/>
      <c r="C295" s="133"/>
      <c r="D295" s="133"/>
      <c r="E295" s="133"/>
      <c r="F295" s="133"/>
      <c r="G295" s="133"/>
      <c r="H295" s="133"/>
      <c r="I295" s="133"/>
    </row>
    <row r="296" spans="1:9">
      <c r="A296" s="133"/>
      <c r="B296" s="133"/>
      <c r="C296" s="133"/>
      <c r="D296" s="133"/>
      <c r="E296" s="133"/>
      <c r="F296" s="133"/>
      <c r="G296" s="133"/>
      <c r="H296" s="133"/>
      <c r="I296" s="133"/>
    </row>
    <row r="297" spans="1:9">
      <c r="A297" s="133"/>
      <c r="B297" s="133"/>
      <c r="C297" s="133"/>
      <c r="D297" s="133"/>
      <c r="E297" s="133"/>
      <c r="F297" s="133"/>
      <c r="G297" s="133"/>
      <c r="H297" s="133"/>
      <c r="I297" s="133"/>
    </row>
    <row r="298" spans="1:9">
      <c r="A298" s="133"/>
      <c r="B298" s="133"/>
      <c r="C298" s="133"/>
      <c r="D298" s="133"/>
      <c r="E298" s="133"/>
      <c r="F298" s="133"/>
      <c r="G298" s="133"/>
      <c r="H298" s="133"/>
      <c r="I298" s="133"/>
    </row>
    <row r="299" spans="1:9">
      <c r="A299" s="133"/>
      <c r="B299" s="133"/>
      <c r="C299" s="133"/>
      <c r="D299" s="133"/>
      <c r="E299" s="133"/>
      <c r="F299" s="133"/>
      <c r="G299" s="133"/>
      <c r="H299" s="133"/>
      <c r="I299" s="133"/>
    </row>
    <row r="300" spans="1:9">
      <c r="A300" s="133"/>
      <c r="B300" s="133"/>
      <c r="C300" s="133"/>
      <c r="D300" s="133"/>
      <c r="E300" s="133"/>
      <c r="F300" s="133"/>
      <c r="G300" s="133"/>
      <c r="H300" s="133"/>
      <c r="I300" s="133"/>
    </row>
    <row r="301" spans="1:9">
      <c r="A301" s="133"/>
      <c r="B301" s="133"/>
      <c r="C301" s="133"/>
      <c r="D301" s="133"/>
      <c r="E301" s="133"/>
      <c r="F301" s="133"/>
      <c r="G301" s="133"/>
      <c r="H301" s="133"/>
      <c r="I301" s="133"/>
    </row>
    <row r="302" spans="1:9">
      <c r="A302" s="133"/>
      <c r="B302" s="133"/>
      <c r="C302" s="133"/>
      <c r="D302" s="133"/>
      <c r="E302" s="133"/>
      <c r="F302" s="133"/>
      <c r="G302" s="133"/>
      <c r="H302" s="133"/>
      <c r="I302" s="133"/>
    </row>
    <row r="303" spans="1:9">
      <c r="A303" s="133"/>
      <c r="B303" s="133"/>
      <c r="C303" s="133"/>
      <c r="D303" s="133"/>
      <c r="E303" s="133"/>
      <c r="F303" s="133"/>
      <c r="G303" s="133"/>
      <c r="H303" s="133"/>
      <c r="I303" s="133"/>
    </row>
    <row r="304" spans="1:9">
      <c r="A304" s="133"/>
      <c r="B304" s="133"/>
      <c r="C304" s="133"/>
      <c r="D304" s="133"/>
      <c r="E304" s="133"/>
      <c r="F304" s="133"/>
      <c r="G304" s="133"/>
      <c r="H304" s="133"/>
      <c r="I304" s="133"/>
    </row>
    <row r="305" spans="1:9">
      <c r="A305" s="133"/>
      <c r="B305" s="133"/>
      <c r="C305" s="133"/>
      <c r="D305" s="133"/>
      <c r="E305" s="133"/>
      <c r="F305" s="133"/>
      <c r="G305" s="133"/>
      <c r="H305" s="133"/>
      <c r="I305" s="133"/>
    </row>
    <row r="306" spans="1:9">
      <c r="A306" s="133"/>
      <c r="B306" s="133"/>
      <c r="C306" s="133"/>
      <c r="D306" s="133"/>
      <c r="E306" s="133"/>
      <c r="F306" s="133"/>
      <c r="G306" s="133"/>
      <c r="H306" s="133"/>
      <c r="I306" s="133"/>
    </row>
    <row r="307" spans="1:9">
      <c r="A307" s="133"/>
      <c r="B307" s="133"/>
      <c r="C307" s="133"/>
      <c r="D307" s="133"/>
      <c r="E307" s="133"/>
      <c r="F307" s="133"/>
      <c r="G307" s="133"/>
      <c r="H307" s="133"/>
      <c r="I307" s="133"/>
    </row>
    <row r="308" spans="1:9">
      <c r="A308" s="133"/>
      <c r="B308" s="133"/>
      <c r="C308" s="133"/>
      <c r="D308" s="133"/>
      <c r="E308" s="133"/>
      <c r="F308" s="133"/>
      <c r="G308" s="133"/>
      <c r="H308" s="133"/>
      <c r="I308" s="133"/>
    </row>
    <row r="309" spans="1:9">
      <c r="A309" s="133"/>
      <c r="B309" s="133"/>
      <c r="C309" s="133"/>
      <c r="D309" s="133"/>
      <c r="E309" s="133"/>
      <c r="F309" s="133"/>
      <c r="G309" s="133"/>
      <c r="H309" s="133"/>
      <c r="I309" s="133"/>
    </row>
    <row r="310" spans="1:9">
      <c r="A310" s="133"/>
      <c r="B310" s="133"/>
      <c r="C310" s="133"/>
      <c r="D310" s="133"/>
      <c r="E310" s="133"/>
      <c r="F310" s="133"/>
      <c r="G310" s="133"/>
      <c r="H310" s="133"/>
      <c r="I310" s="133"/>
    </row>
    <row r="311" spans="1:9">
      <c r="A311" s="133"/>
      <c r="B311" s="133"/>
      <c r="C311" s="133"/>
      <c r="D311" s="133"/>
      <c r="E311" s="133"/>
      <c r="F311" s="133"/>
      <c r="G311" s="133"/>
      <c r="H311" s="133"/>
      <c r="I311" s="133"/>
    </row>
    <row r="312" spans="1:9">
      <c r="A312" s="133"/>
      <c r="B312" s="133"/>
      <c r="C312" s="133"/>
      <c r="D312" s="133"/>
      <c r="E312" s="133"/>
      <c r="F312" s="133"/>
      <c r="G312" s="133"/>
      <c r="H312" s="133"/>
      <c r="I312" s="133"/>
    </row>
    <row r="313" spans="1:9">
      <c r="A313" s="133"/>
      <c r="B313" s="133"/>
      <c r="C313" s="133"/>
      <c r="D313" s="133"/>
      <c r="E313" s="133"/>
      <c r="F313" s="133"/>
      <c r="G313" s="133"/>
      <c r="H313" s="133"/>
      <c r="I313" s="133"/>
    </row>
    <row r="314" spans="1:9">
      <c r="A314" s="133"/>
      <c r="B314" s="133"/>
      <c r="C314" s="133"/>
      <c r="D314" s="133"/>
      <c r="E314" s="133"/>
      <c r="F314" s="133"/>
      <c r="G314" s="133"/>
      <c r="H314" s="133"/>
      <c r="I314" s="133"/>
    </row>
    <row r="315" spans="1:9">
      <c r="A315" s="133"/>
      <c r="B315" s="133"/>
      <c r="C315" s="133"/>
      <c r="D315" s="133"/>
      <c r="E315" s="133"/>
      <c r="F315" s="133"/>
      <c r="G315" s="133"/>
      <c r="H315" s="133"/>
      <c r="I315" s="133"/>
    </row>
    <row r="316" spans="1:9">
      <c r="A316" s="133"/>
      <c r="B316" s="133"/>
      <c r="C316" s="133"/>
      <c r="D316" s="133"/>
      <c r="E316" s="133"/>
      <c r="F316" s="133"/>
      <c r="G316" s="133"/>
      <c r="H316" s="133"/>
      <c r="I316" s="133"/>
    </row>
    <row r="317" spans="1:9">
      <c r="A317" s="133"/>
      <c r="B317" s="133"/>
      <c r="C317" s="133"/>
      <c r="D317" s="133"/>
      <c r="E317" s="133"/>
      <c r="F317" s="133"/>
      <c r="G317" s="133"/>
      <c r="H317" s="133"/>
      <c r="I317" s="133"/>
    </row>
    <row r="318" spans="1:9">
      <c r="A318" s="133"/>
      <c r="B318" s="133"/>
      <c r="C318" s="133"/>
      <c r="D318" s="133"/>
      <c r="E318" s="133"/>
      <c r="F318" s="133"/>
      <c r="G318" s="133"/>
      <c r="H318" s="133"/>
      <c r="I318" s="133"/>
    </row>
    <row r="319" spans="1:9">
      <c r="A319" s="133"/>
      <c r="B319" s="133"/>
      <c r="C319" s="133"/>
      <c r="D319" s="133"/>
      <c r="E319" s="133"/>
      <c r="F319" s="133"/>
      <c r="G319" s="133"/>
      <c r="H319" s="133"/>
      <c r="I319" s="133"/>
    </row>
    <row r="320" spans="1:9">
      <c r="A320" s="133"/>
      <c r="B320" s="133"/>
      <c r="C320" s="133"/>
      <c r="D320" s="133"/>
      <c r="E320" s="133"/>
      <c r="F320" s="133"/>
      <c r="G320" s="133"/>
      <c r="H320" s="133"/>
      <c r="I320" s="133"/>
    </row>
    <row r="321" spans="1:9">
      <c r="A321" s="133"/>
      <c r="B321" s="133"/>
      <c r="C321" s="133"/>
      <c r="D321" s="133"/>
      <c r="E321" s="133"/>
      <c r="F321" s="133"/>
      <c r="G321" s="133"/>
      <c r="H321" s="133"/>
      <c r="I321" s="133"/>
    </row>
    <row r="322" spans="1:9">
      <c r="A322" s="133"/>
      <c r="B322" s="133"/>
      <c r="C322" s="133"/>
      <c r="D322" s="133"/>
      <c r="E322" s="133"/>
      <c r="F322" s="133"/>
      <c r="G322" s="133"/>
      <c r="H322" s="133"/>
      <c r="I322" s="133"/>
    </row>
    <row r="323" spans="1:9">
      <c r="A323" s="133"/>
      <c r="B323" s="133"/>
      <c r="C323" s="133"/>
      <c r="D323" s="133"/>
      <c r="E323" s="133"/>
      <c r="F323" s="133"/>
      <c r="G323" s="133"/>
      <c r="H323" s="133"/>
      <c r="I323" s="133"/>
    </row>
    <row r="324" spans="1:9">
      <c r="A324" s="133"/>
      <c r="B324" s="133"/>
      <c r="C324" s="133"/>
      <c r="D324" s="133"/>
      <c r="E324" s="133"/>
      <c r="F324" s="133"/>
      <c r="G324" s="133"/>
      <c r="H324" s="133"/>
      <c r="I324" s="133"/>
    </row>
    <row r="325" spans="1:9">
      <c r="A325" s="133"/>
      <c r="B325" s="133"/>
      <c r="C325" s="133"/>
      <c r="D325" s="133"/>
      <c r="E325" s="133"/>
      <c r="F325" s="133"/>
      <c r="G325" s="133"/>
      <c r="H325" s="133"/>
      <c r="I325" s="133"/>
    </row>
    <row r="326" spans="1:9">
      <c r="A326" s="133"/>
      <c r="B326" s="133"/>
      <c r="C326" s="133"/>
      <c r="D326" s="133"/>
      <c r="E326" s="133"/>
      <c r="F326" s="133"/>
      <c r="G326" s="133"/>
      <c r="H326" s="133"/>
      <c r="I326" s="133"/>
    </row>
    <row r="327" spans="1:9">
      <c r="A327" s="133"/>
      <c r="B327" s="133"/>
      <c r="C327" s="133"/>
      <c r="D327" s="133"/>
      <c r="E327" s="133"/>
      <c r="F327" s="133"/>
      <c r="G327" s="133"/>
      <c r="H327" s="133"/>
      <c r="I327" s="133"/>
    </row>
    <row r="328" spans="1:9">
      <c r="A328" s="133"/>
      <c r="B328" s="133"/>
      <c r="C328" s="133"/>
      <c r="D328" s="133"/>
      <c r="E328" s="133"/>
      <c r="F328" s="133"/>
      <c r="G328" s="133"/>
      <c r="H328" s="133"/>
      <c r="I328" s="133"/>
    </row>
    <row r="329" spans="1:9">
      <c r="A329" s="133"/>
      <c r="B329" s="133"/>
      <c r="C329" s="133"/>
      <c r="D329" s="133"/>
      <c r="E329" s="133"/>
      <c r="F329" s="133"/>
      <c r="G329" s="133"/>
      <c r="H329" s="133"/>
      <c r="I329" s="133"/>
    </row>
    <row r="330" spans="1:9">
      <c r="A330" s="133"/>
      <c r="B330" s="133"/>
      <c r="C330" s="133"/>
      <c r="D330" s="133"/>
      <c r="E330" s="133"/>
      <c r="F330" s="133"/>
      <c r="G330" s="133"/>
      <c r="H330" s="133"/>
      <c r="I330" s="133"/>
    </row>
    <row r="331" spans="1:9">
      <c r="A331" s="133"/>
      <c r="B331" s="133"/>
      <c r="C331" s="133"/>
      <c r="D331" s="133"/>
      <c r="E331" s="133"/>
      <c r="F331" s="133"/>
      <c r="G331" s="133"/>
      <c r="H331" s="133"/>
      <c r="I331" s="133"/>
    </row>
    <row r="332" spans="1:9">
      <c r="A332" s="133"/>
      <c r="B332" s="133"/>
      <c r="C332" s="133"/>
      <c r="D332" s="133"/>
      <c r="E332" s="133"/>
      <c r="F332" s="133"/>
      <c r="G332" s="133"/>
      <c r="H332" s="133"/>
      <c r="I332" s="133"/>
    </row>
    <row r="333" spans="1:9">
      <c r="A333" s="133"/>
      <c r="B333" s="133"/>
      <c r="C333" s="133"/>
      <c r="D333" s="133"/>
      <c r="E333" s="133"/>
      <c r="F333" s="133"/>
      <c r="G333" s="133"/>
      <c r="H333" s="133"/>
      <c r="I333" s="133"/>
    </row>
    <row r="334" spans="1:9">
      <c r="A334" s="133"/>
      <c r="B334" s="133"/>
      <c r="C334" s="133"/>
      <c r="D334" s="133"/>
      <c r="E334" s="133"/>
      <c r="F334" s="133"/>
      <c r="G334" s="133"/>
      <c r="H334" s="133"/>
      <c r="I334" s="133"/>
    </row>
    <row r="335" spans="1:9">
      <c r="A335" s="133"/>
      <c r="B335" s="133"/>
      <c r="C335" s="133"/>
      <c r="D335" s="133"/>
      <c r="E335" s="133"/>
      <c r="F335" s="133"/>
      <c r="G335" s="133"/>
      <c r="H335" s="133"/>
      <c r="I335" s="133"/>
    </row>
    <row r="336" spans="1:9">
      <c r="A336" s="133"/>
      <c r="B336" s="133"/>
      <c r="C336" s="133"/>
      <c r="D336" s="133"/>
      <c r="E336" s="133"/>
      <c r="F336" s="133"/>
      <c r="G336" s="133"/>
      <c r="H336" s="133"/>
      <c r="I336" s="133"/>
    </row>
    <row r="337" spans="1:9">
      <c r="A337" s="133"/>
      <c r="B337" s="133"/>
      <c r="C337" s="133"/>
      <c r="D337" s="133"/>
      <c r="E337" s="133"/>
      <c r="F337" s="133"/>
      <c r="G337" s="133"/>
      <c r="H337" s="133"/>
      <c r="I337" s="133"/>
    </row>
    <row r="338" spans="1:9">
      <c r="A338" s="133"/>
      <c r="B338" s="133"/>
      <c r="C338" s="133"/>
      <c r="D338" s="133"/>
      <c r="E338" s="133"/>
      <c r="F338" s="133"/>
      <c r="G338" s="133"/>
      <c r="H338" s="133"/>
      <c r="I338" s="133"/>
    </row>
    <row r="339" spans="1:9">
      <c r="A339" s="133"/>
      <c r="B339" s="133"/>
      <c r="C339" s="133"/>
      <c r="D339" s="133"/>
      <c r="E339" s="133"/>
      <c r="F339" s="133"/>
      <c r="G339" s="133"/>
      <c r="H339" s="133"/>
      <c r="I339" s="133"/>
    </row>
    <row r="340" spans="1:9">
      <c r="A340" s="133"/>
      <c r="B340" s="133"/>
      <c r="C340" s="133"/>
      <c r="D340" s="133"/>
      <c r="E340" s="133"/>
      <c r="F340" s="133"/>
      <c r="G340" s="133"/>
      <c r="H340" s="133"/>
      <c r="I340" s="133"/>
    </row>
    <row r="341" spans="1:9">
      <c r="A341" s="133"/>
      <c r="B341" s="133"/>
      <c r="C341" s="133"/>
      <c r="D341" s="133"/>
      <c r="E341" s="133"/>
      <c r="F341" s="133"/>
      <c r="G341" s="133"/>
      <c r="H341" s="133"/>
      <c r="I341" s="133"/>
    </row>
    <row r="342" spans="1:9">
      <c r="A342" s="133"/>
      <c r="B342" s="133"/>
      <c r="C342" s="133"/>
      <c r="D342" s="133"/>
      <c r="E342" s="133"/>
      <c r="F342" s="133"/>
      <c r="G342" s="133"/>
      <c r="H342" s="133"/>
      <c r="I342" s="133"/>
    </row>
    <row r="343" spans="1:9">
      <c r="A343" s="133"/>
      <c r="B343" s="133"/>
      <c r="C343" s="133"/>
      <c r="D343" s="133"/>
      <c r="E343" s="133"/>
      <c r="F343" s="133"/>
      <c r="G343" s="133"/>
      <c r="H343" s="133"/>
      <c r="I343" s="133"/>
    </row>
    <row r="344" spans="1:9">
      <c r="A344" s="133"/>
      <c r="B344" s="133"/>
      <c r="C344" s="133"/>
      <c r="D344" s="133"/>
      <c r="E344" s="133"/>
      <c r="F344" s="133"/>
      <c r="G344" s="133"/>
      <c r="H344" s="133"/>
      <c r="I344" s="133"/>
    </row>
    <row r="345" spans="1:9">
      <c r="A345" s="133"/>
      <c r="B345" s="133"/>
      <c r="C345" s="133"/>
      <c r="D345" s="133"/>
      <c r="E345" s="133"/>
      <c r="F345" s="133"/>
      <c r="G345" s="133"/>
      <c r="H345" s="133"/>
      <c r="I345" s="133"/>
    </row>
    <row r="346" spans="1:9">
      <c r="A346" s="133"/>
      <c r="B346" s="133"/>
      <c r="C346" s="133"/>
      <c r="D346" s="133"/>
      <c r="E346" s="133"/>
      <c r="F346" s="133"/>
      <c r="G346" s="133"/>
      <c r="H346" s="133"/>
      <c r="I346" s="133"/>
    </row>
    <row r="347" spans="1:9">
      <c r="A347" s="133"/>
      <c r="B347" s="133"/>
      <c r="C347" s="133"/>
      <c r="D347" s="133"/>
      <c r="E347" s="133"/>
      <c r="F347" s="133"/>
      <c r="G347" s="133"/>
      <c r="H347" s="133"/>
      <c r="I347" s="133"/>
    </row>
    <row r="348" spans="1:9">
      <c r="A348" s="133"/>
      <c r="B348" s="133"/>
      <c r="C348" s="133"/>
      <c r="D348" s="133"/>
      <c r="E348" s="133"/>
      <c r="F348" s="133"/>
      <c r="G348" s="133"/>
      <c r="H348" s="133"/>
      <c r="I348" s="133"/>
    </row>
    <row r="349" spans="1:9">
      <c r="A349" s="133"/>
      <c r="B349" s="133"/>
      <c r="C349" s="133"/>
      <c r="D349" s="133"/>
      <c r="E349" s="133"/>
      <c r="F349" s="133"/>
      <c r="G349" s="133"/>
      <c r="H349" s="133"/>
      <c r="I349" s="133"/>
    </row>
    <row r="350" spans="1:9">
      <c r="A350" s="133"/>
      <c r="B350" s="133"/>
      <c r="C350" s="133"/>
      <c r="D350" s="133"/>
      <c r="E350" s="133"/>
      <c r="F350" s="133"/>
      <c r="G350" s="133"/>
      <c r="H350" s="133"/>
      <c r="I350" s="133"/>
    </row>
    <row r="351" spans="1:9">
      <c r="A351" s="133"/>
      <c r="B351" s="133"/>
      <c r="C351" s="133"/>
      <c r="D351" s="133"/>
      <c r="E351" s="133"/>
      <c r="F351" s="133"/>
      <c r="G351" s="133"/>
      <c r="H351" s="133"/>
      <c r="I351" s="133"/>
    </row>
    <row r="352" spans="1:9">
      <c r="A352" s="133"/>
      <c r="B352" s="133"/>
      <c r="C352" s="133"/>
      <c r="D352" s="133"/>
      <c r="E352" s="133"/>
      <c r="F352" s="133"/>
      <c r="G352" s="133"/>
      <c r="H352" s="133"/>
      <c r="I352" s="133"/>
    </row>
    <row r="353" spans="1:9">
      <c r="A353" s="133"/>
      <c r="B353" s="133"/>
      <c r="C353" s="133"/>
      <c r="D353" s="133"/>
      <c r="E353" s="133"/>
      <c r="F353" s="133"/>
      <c r="G353" s="133"/>
      <c r="H353" s="133"/>
      <c r="I353" s="133"/>
    </row>
    <row r="354" spans="1:9">
      <c r="A354" s="133"/>
      <c r="B354" s="133"/>
      <c r="C354" s="133"/>
      <c r="D354" s="133"/>
      <c r="E354" s="133"/>
      <c r="F354" s="133"/>
      <c r="G354" s="133"/>
      <c r="H354" s="133"/>
      <c r="I354" s="133"/>
    </row>
    <row r="355" spans="1:9">
      <c r="A355" s="133"/>
      <c r="B355" s="133"/>
      <c r="C355" s="133"/>
      <c r="D355" s="133"/>
      <c r="E355" s="133"/>
      <c r="F355" s="133"/>
      <c r="G355" s="133"/>
      <c r="H355" s="133"/>
      <c r="I355" s="133"/>
    </row>
    <row r="356" spans="1:9">
      <c r="A356" s="133"/>
      <c r="B356" s="133"/>
      <c r="C356" s="133"/>
      <c r="D356" s="133"/>
      <c r="E356" s="133"/>
      <c r="F356" s="133"/>
      <c r="G356" s="133"/>
      <c r="H356" s="133"/>
      <c r="I356" s="133"/>
    </row>
    <row r="357" spans="1:9">
      <c r="A357" s="133"/>
      <c r="B357" s="133"/>
      <c r="C357" s="133"/>
      <c r="D357" s="133"/>
      <c r="E357" s="133"/>
      <c r="F357" s="133"/>
      <c r="G357" s="133"/>
      <c r="H357" s="133"/>
      <c r="I357" s="133"/>
    </row>
    <row r="358" spans="1:9">
      <c r="A358" s="133"/>
      <c r="B358" s="133"/>
      <c r="C358" s="133"/>
      <c r="D358" s="133"/>
      <c r="E358" s="133"/>
      <c r="F358" s="133"/>
      <c r="G358" s="133"/>
      <c r="H358" s="133"/>
      <c r="I358" s="133"/>
    </row>
    <row r="359" spans="1:9">
      <c r="A359" s="133"/>
      <c r="B359" s="133"/>
      <c r="C359" s="133"/>
      <c r="D359" s="133"/>
      <c r="E359" s="133"/>
      <c r="F359" s="133"/>
      <c r="G359" s="133"/>
      <c r="H359" s="133"/>
      <c r="I359" s="133"/>
    </row>
    <row r="360" spans="1:9">
      <c r="A360" s="133"/>
      <c r="B360" s="133"/>
      <c r="C360" s="133"/>
      <c r="D360" s="133"/>
      <c r="E360" s="133"/>
      <c r="F360" s="133"/>
      <c r="G360" s="133"/>
      <c r="H360" s="133"/>
      <c r="I360" s="133"/>
    </row>
    <row r="361" spans="1:9">
      <c r="A361" s="133"/>
      <c r="B361" s="133"/>
      <c r="C361" s="133"/>
      <c r="D361" s="133"/>
      <c r="E361" s="133"/>
      <c r="F361" s="133"/>
      <c r="G361" s="133"/>
      <c r="H361" s="133"/>
      <c r="I361" s="133"/>
    </row>
    <row r="362" spans="1:9">
      <c r="A362" s="133"/>
      <c r="B362" s="133"/>
      <c r="C362" s="133"/>
      <c r="D362" s="133"/>
      <c r="E362" s="133"/>
      <c r="F362" s="133"/>
      <c r="G362" s="133"/>
      <c r="H362" s="133"/>
      <c r="I362" s="133"/>
    </row>
    <row r="363" spans="1:9">
      <c r="A363" s="133"/>
      <c r="B363" s="133"/>
      <c r="C363" s="133"/>
      <c r="D363" s="133"/>
      <c r="E363" s="133"/>
      <c r="F363" s="133"/>
      <c r="G363" s="133"/>
      <c r="H363" s="133"/>
      <c r="I363" s="133"/>
    </row>
    <row r="364" spans="1:9">
      <c r="A364" s="133"/>
      <c r="B364" s="133"/>
      <c r="C364" s="133"/>
      <c r="D364" s="133"/>
      <c r="E364" s="133"/>
      <c r="F364" s="133"/>
      <c r="G364" s="133"/>
      <c r="H364" s="133"/>
      <c r="I364" s="133"/>
    </row>
    <row r="365" spans="1:9">
      <c r="A365" s="133"/>
      <c r="B365" s="133"/>
      <c r="C365" s="133"/>
      <c r="D365" s="133"/>
      <c r="E365" s="133"/>
      <c r="F365" s="133"/>
      <c r="G365" s="133"/>
      <c r="H365" s="133"/>
      <c r="I365" s="133"/>
    </row>
    <row r="366" spans="1:9">
      <c r="A366" s="133"/>
      <c r="B366" s="133"/>
      <c r="C366" s="133"/>
      <c r="D366" s="133"/>
      <c r="E366" s="133"/>
      <c r="F366" s="133"/>
      <c r="G366" s="133"/>
      <c r="H366" s="133"/>
      <c r="I366" s="133"/>
    </row>
    <row r="367" spans="1:9">
      <c r="A367" s="133"/>
      <c r="B367" s="133"/>
      <c r="C367" s="133"/>
      <c r="D367" s="133"/>
      <c r="E367" s="133"/>
      <c r="F367" s="133"/>
      <c r="G367" s="133"/>
      <c r="H367" s="133"/>
      <c r="I367" s="133"/>
    </row>
    <row r="368" spans="1:9">
      <c r="A368" s="133"/>
      <c r="B368" s="133"/>
      <c r="C368" s="133"/>
      <c r="D368" s="133"/>
      <c r="E368" s="133"/>
      <c r="F368" s="133"/>
      <c r="G368" s="133"/>
      <c r="H368" s="133"/>
      <c r="I368" s="133"/>
    </row>
    <row r="369" spans="1:9">
      <c r="A369" s="133"/>
      <c r="B369" s="133"/>
      <c r="C369" s="133"/>
      <c r="D369" s="133"/>
      <c r="E369" s="133"/>
      <c r="F369" s="133"/>
      <c r="G369" s="133"/>
      <c r="H369" s="133"/>
      <c r="I369" s="133"/>
    </row>
    <row r="370" spans="1:9">
      <c r="A370" s="133"/>
      <c r="B370" s="133"/>
      <c r="C370" s="133"/>
      <c r="D370" s="133"/>
      <c r="E370" s="133"/>
      <c r="F370" s="133"/>
      <c r="G370" s="133"/>
      <c r="H370" s="133"/>
      <c r="I370" s="133"/>
    </row>
    <row r="371" spans="1:9">
      <c r="A371" s="133"/>
      <c r="B371" s="133"/>
      <c r="C371" s="133"/>
      <c r="D371" s="133"/>
      <c r="E371" s="133"/>
      <c r="F371" s="133"/>
      <c r="G371" s="133"/>
      <c r="H371" s="133"/>
      <c r="I371" s="133"/>
    </row>
    <row r="372" spans="1:9">
      <c r="A372" s="133"/>
      <c r="B372" s="133"/>
      <c r="C372" s="133"/>
      <c r="D372" s="133"/>
      <c r="E372" s="133"/>
      <c r="F372" s="133"/>
      <c r="G372" s="133"/>
      <c r="H372" s="133"/>
      <c r="I372" s="133"/>
    </row>
    <row r="373" spans="1:9">
      <c r="A373" s="133"/>
      <c r="B373" s="133"/>
      <c r="C373" s="133"/>
      <c r="D373" s="133"/>
      <c r="E373" s="133"/>
      <c r="F373" s="133"/>
      <c r="G373" s="133"/>
      <c r="H373" s="133"/>
      <c r="I373" s="133"/>
    </row>
    <row r="374" spans="1:9">
      <c r="A374" s="133"/>
      <c r="B374" s="133"/>
      <c r="C374" s="133"/>
      <c r="D374" s="133"/>
      <c r="E374" s="133"/>
      <c r="F374" s="133"/>
      <c r="G374" s="133"/>
      <c r="H374" s="133"/>
      <c r="I374" s="133"/>
    </row>
    <row r="375" spans="1:9">
      <c r="A375" s="133"/>
      <c r="B375" s="133"/>
      <c r="C375" s="133"/>
      <c r="D375" s="133"/>
      <c r="E375" s="133"/>
      <c r="F375" s="133"/>
      <c r="G375" s="133"/>
      <c r="H375" s="133"/>
      <c r="I375" s="133"/>
    </row>
    <row r="376" spans="1:9">
      <c r="A376" s="133"/>
      <c r="B376" s="133"/>
      <c r="C376" s="133"/>
      <c r="D376" s="133"/>
      <c r="E376" s="133"/>
      <c r="F376" s="133"/>
      <c r="G376" s="133"/>
      <c r="H376" s="133"/>
      <c r="I376" s="133"/>
    </row>
    <row r="377" spans="1:9">
      <c r="A377" s="133"/>
      <c r="B377" s="133"/>
      <c r="C377" s="133"/>
      <c r="D377" s="133"/>
      <c r="E377" s="133"/>
      <c r="F377" s="133"/>
      <c r="G377" s="133"/>
      <c r="H377" s="133"/>
      <c r="I377" s="133"/>
    </row>
    <row r="378" spans="1:9">
      <c r="A378" s="133"/>
      <c r="B378" s="133"/>
      <c r="C378" s="133"/>
      <c r="D378" s="133"/>
      <c r="E378" s="133"/>
      <c r="F378" s="133"/>
      <c r="G378" s="133"/>
      <c r="H378" s="133"/>
      <c r="I378" s="133"/>
    </row>
    <row r="379" spans="1:9">
      <c r="A379" s="133"/>
      <c r="B379" s="133"/>
      <c r="C379" s="133"/>
      <c r="D379" s="133"/>
      <c r="E379" s="133"/>
      <c r="F379" s="133"/>
      <c r="G379" s="133"/>
      <c r="H379" s="133"/>
      <c r="I379" s="133"/>
    </row>
    <row r="380" spans="1:9">
      <c r="A380" s="133"/>
      <c r="B380" s="133"/>
      <c r="C380" s="133"/>
      <c r="D380" s="133"/>
      <c r="E380" s="133"/>
      <c r="F380" s="133"/>
      <c r="G380" s="133"/>
      <c r="H380" s="133"/>
      <c r="I380" s="133"/>
    </row>
    <row r="381" spans="1:9">
      <c r="A381" s="133"/>
      <c r="B381" s="133"/>
      <c r="C381" s="133"/>
      <c r="D381" s="133"/>
      <c r="E381" s="133"/>
      <c r="F381" s="133"/>
      <c r="G381" s="133"/>
      <c r="H381" s="133"/>
      <c r="I381" s="133"/>
    </row>
    <row r="382" spans="1:9">
      <c r="A382" s="133"/>
      <c r="B382" s="133"/>
      <c r="C382" s="133"/>
      <c r="D382" s="133"/>
      <c r="E382" s="133"/>
      <c r="F382" s="133"/>
      <c r="G382" s="133"/>
      <c r="H382" s="133"/>
      <c r="I382" s="133"/>
    </row>
    <row r="383" spans="1:9">
      <c r="A383" s="133"/>
      <c r="B383" s="133"/>
      <c r="C383" s="133"/>
      <c r="D383" s="133"/>
      <c r="E383" s="133"/>
      <c r="F383" s="133"/>
      <c r="G383" s="133"/>
      <c r="H383" s="133"/>
      <c r="I383" s="133"/>
    </row>
    <row r="384" spans="1:9">
      <c r="A384" s="133"/>
      <c r="B384" s="133"/>
      <c r="C384" s="133"/>
      <c r="D384" s="133"/>
      <c r="E384" s="133"/>
      <c r="F384" s="133"/>
      <c r="G384" s="133"/>
      <c r="H384" s="133"/>
      <c r="I384" s="133"/>
    </row>
    <row r="385" spans="1:9">
      <c r="A385" s="133"/>
      <c r="B385" s="133"/>
      <c r="C385" s="133"/>
      <c r="D385" s="133"/>
      <c r="E385" s="133"/>
      <c r="F385" s="133"/>
      <c r="G385" s="133"/>
      <c r="H385" s="133"/>
      <c r="I385" s="133"/>
    </row>
    <row r="386" spans="1:9">
      <c r="A386" s="133"/>
      <c r="B386" s="133"/>
      <c r="C386" s="133"/>
      <c r="D386" s="133"/>
      <c r="E386" s="133"/>
      <c r="F386" s="133"/>
      <c r="G386" s="133"/>
      <c r="H386" s="133"/>
      <c r="I386" s="133"/>
    </row>
    <row r="387" spans="1:9">
      <c r="A387" s="133"/>
      <c r="B387" s="133"/>
      <c r="C387" s="133"/>
      <c r="D387" s="133"/>
      <c r="E387" s="133"/>
      <c r="F387" s="133"/>
      <c r="G387" s="133"/>
      <c r="H387" s="133"/>
      <c r="I387" s="133"/>
    </row>
    <row r="388" spans="1:9">
      <c r="A388" s="133"/>
      <c r="B388" s="133"/>
      <c r="C388" s="133"/>
      <c r="D388" s="133"/>
      <c r="E388" s="133"/>
      <c r="F388" s="133"/>
      <c r="G388" s="133"/>
      <c r="H388" s="133"/>
      <c r="I388" s="133"/>
    </row>
    <row r="389" spans="1:9">
      <c r="A389" s="133"/>
      <c r="B389" s="133"/>
      <c r="C389" s="133"/>
      <c r="D389" s="133"/>
      <c r="E389" s="133"/>
      <c r="F389" s="133"/>
      <c r="G389" s="133"/>
      <c r="H389" s="133"/>
      <c r="I389" s="133"/>
    </row>
    <row r="390" spans="1:9">
      <c r="A390" s="133"/>
      <c r="B390" s="133"/>
      <c r="C390" s="133"/>
      <c r="D390" s="133"/>
      <c r="E390" s="133"/>
      <c r="F390" s="133"/>
      <c r="G390" s="133"/>
      <c r="H390" s="133"/>
      <c r="I390" s="133"/>
    </row>
    <row r="391" spans="1:9">
      <c r="A391" s="133"/>
      <c r="B391" s="133"/>
      <c r="C391" s="133"/>
      <c r="D391" s="133"/>
      <c r="E391" s="133"/>
      <c r="F391" s="133"/>
      <c r="G391" s="133"/>
      <c r="H391" s="133"/>
      <c r="I391" s="133"/>
    </row>
    <row r="392" spans="1:9">
      <c r="A392" s="133"/>
      <c r="B392" s="133"/>
      <c r="C392" s="133"/>
      <c r="D392" s="133"/>
      <c r="E392" s="133"/>
      <c r="F392" s="133"/>
      <c r="G392" s="133"/>
      <c r="H392" s="133"/>
      <c r="I392" s="133"/>
    </row>
    <row r="393" spans="1:9">
      <c r="A393" s="133"/>
      <c r="B393" s="133"/>
      <c r="C393" s="133"/>
      <c r="D393" s="133"/>
      <c r="E393" s="133"/>
      <c r="F393" s="133"/>
      <c r="G393" s="133"/>
      <c r="H393" s="133"/>
      <c r="I393" s="133"/>
    </row>
    <row r="394" spans="1:9">
      <c r="A394" s="133"/>
      <c r="B394" s="133"/>
      <c r="C394" s="133"/>
      <c r="D394" s="133"/>
      <c r="E394" s="133"/>
      <c r="F394" s="133"/>
      <c r="G394" s="133"/>
      <c r="H394" s="133"/>
      <c r="I394" s="133"/>
    </row>
    <row r="395" spans="1:9">
      <c r="A395" s="133"/>
      <c r="B395" s="133"/>
      <c r="C395" s="133"/>
      <c r="D395" s="133"/>
      <c r="E395" s="133"/>
      <c r="F395" s="133"/>
      <c r="G395" s="133"/>
      <c r="H395" s="133"/>
      <c r="I395" s="133"/>
    </row>
    <row r="396" spans="1:9">
      <c r="A396" s="133"/>
      <c r="B396" s="133"/>
      <c r="C396" s="133"/>
      <c r="D396" s="133"/>
      <c r="E396" s="133"/>
      <c r="F396" s="133"/>
      <c r="G396" s="133"/>
      <c r="H396" s="133"/>
      <c r="I396" s="133"/>
    </row>
    <row r="397" spans="1:9">
      <c r="A397" s="133"/>
      <c r="B397" s="133"/>
      <c r="C397" s="133"/>
      <c r="D397" s="133"/>
      <c r="E397" s="133"/>
      <c r="F397" s="133"/>
      <c r="G397" s="133"/>
      <c r="H397" s="133"/>
      <c r="I397" s="133"/>
    </row>
    <row r="398" spans="1:9">
      <c r="A398" s="133"/>
      <c r="B398" s="133"/>
      <c r="C398" s="133"/>
      <c r="D398" s="133"/>
      <c r="E398" s="133"/>
      <c r="F398" s="133"/>
      <c r="G398" s="133"/>
      <c r="H398" s="133"/>
      <c r="I398" s="133"/>
    </row>
    <row r="399" spans="1:9">
      <c r="A399" s="133"/>
      <c r="B399" s="133"/>
      <c r="C399" s="133"/>
      <c r="D399" s="133"/>
      <c r="E399" s="133"/>
      <c r="F399" s="133"/>
      <c r="G399" s="133"/>
      <c r="H399" s="133"/>
      <c r="I399" s="133"/>
    </row>
    <row r="400" spans="1:9">
      <c r="A400" s="133"/>
      <c r="B400" s="133"/>
      <c r="C400" s="133"/>
      <c r="D400" s="133"/>
      <c r="E400" s="133"/>
      <c r="F400" s="133"/>
      <c r="G400" s="133"/>
      <c r="H400" s="133"/>
      <c r="I400" s="133"/>
    </row>
    <row r="401" spans="1:9">
      <c r="A401" s="133"/>
      <c r="B401" s="133"/>
      <c r="C401" s="133"/>
      <c r="D401" s="133"/>
      <c r="E401" s="133"/>
      <c r="F401" s="133"/>
      <c r="G401" s="133"/>
      <c r="H401" s="133"/>
      <c r="I401" s="133"/>
    </row>
    <row r="402" spans="1:9">
      <c r="A402" s="133"/>
      <c r="B402" s="133"/>
      <c r="C402" s="133"/>
      <c r="D402" s="133"/>
      <c r="E402" s="133"/>
      <c r="F402" s="133"/>
      <c r="G402" s="133"/>
      <c r="H402" s="133"/>
      <c r="I402" s="133"/>
    </row>
    <row r="403" spans="1:9">
      <c r="A403" s="133"/>
      <c r="B403" s="133"/>
      <c r="C403" s="133"/>
      <c r="D403" s="133"/>
      <c r="E403" s="133"/>
      <c r="F403" s="133"/>
      <c r="G403" s="133"/>
      <c r="H403" s="133"/>
      <c r="I403" s="133"/>
    </row>
    <row r="404" spans="1:9">
      <c r="A404" s="133"/>
      <c r="B404" s="133"/>
      <c r="C404" s="133"/>
      <c r="D404" s="133"/>
      <c r="E404" s="133"/>
      <c r="F404" s="133"/>
      <c r="G404" s="133"/>
      <c r="H404" s="133"/>
      <c r="I404" s="133"/>
    </row>
    <row r="405" spans="1:9">
      <c r="A405" s="133"/>
      <c r="B405" s="133"/>
      <c r="C405" s="133"/>
      <c r="D405" s="133"/>
      <c r="E405" s="133"/>
      <c r="F405" s="133"/>
      <c r="G405" s="133"/>
      <c r="H405" s="133"/>
      <c r="I405" s="133"/>
    </row>
    <row r="406" spans="1:9">
      <c r="A406" s="133"/>
      <c r="B406" s="133"/>
      <c r="C406" s="133"/>
      <c r="D406" s="133"/>
      <c r="E406" s="133"/>
      <c r="F406" s="133"/>
      <c r="G406" s="133"/>
      <c r="H406" s="133"/>
      <c r="I406" s="133"/>
    </row>
    <row r="407" spans="1:9">
      <c r="A407" s="133"/>
      <c r="B407" s="133"/>
      <c r="C407" s="133"/>
      <c r="D407" s="133"/>
      <c r="E407" s="133"/>
      <c r="F407" s="133"/>
      <c r="G407" s="133"/>
      <c r="H407" s="133"/>
      <c r="I407" s="133"/>
    </row>
    <row r="408" spans="1:9">
      <c r="A408" s="133"/>
      <c r="B408" s="133"/>
      <c r="C408" s="133"/>
      <c r="D408" s="133"/>
      <c r="E408" s="133"/>
      <c r="F408" s="133"/>
      <c r="G408" s="133"/>
      <c r="H408" s="133"/>
      <c r="I408" s="133"/>
    </row>
    <row r="409" spans="1:9">
      <c r="A409" s="133"/>
      <c r="B409" s="133"/>
      <c r="C409" s="133"/>
      <c r="D409" s="133"/>
      <c r="E409" s="133"/>
      <c r="F409" s="133"/>
      <c r="G409" s="133"/>
      <c r="H409" s="133"/>
      <c r="I409" s="133"/>
    </row>
    <row r="410" spans="1:9">
      <c r="A410" s="133"/>
      <c r="B410" s="133"/>
      <c r="C410" s="133"/>
      <c r="D410" s="133"/>
      <c r="E410" s="133"/>
      <c r="F410" s="133"/>
      <c r="G410" s="133"/>
      <c r="H410" s="133"/>
      <c r="I410" s="133"/>
    </row>
    <row r="411" spans="1:9">
      <c r="A411" s="133"/>
      <c r="B411" s="133"/>
      <c r="C411" s="133"/>
      <c r="D411" s="133"/>
      <c r="E411" s="133"/>
      <c r="F411" s="133"/>
      <c r="G411" s="133"/>
      <c r="H411" s="133"/>
      <c r="I411" s="133"/>
    </row>
    <row r="412" spans="1:9">
      <c r="A412" s="133"/>
      <c r="B412" s="133"/>
      <c r="C412" s="133"/>
      <c r="D412" s="133"/>
      <c r="E412" s="133"/>
      <c r="F412" s="133"/>
      <c r="G412" s="133"/>
      <c r="H412" s="133"/>
      <c r="I412" s="133"/>
    </row>
    <row r="413" spans="1:9">
      <c r="A413" s="133"/>
      <c r="B413" s="133"/>
      <c r="C413" s="133"/>
      <c r="D413" s="133"/>
      <c r="E413" s="133"/>
      <c r="F413" s="133"/>
      <c r="G413" s="133"/>
      <c r="H413" s="133"/>
      <c r="I413" s="133"/>
    </row>
    <row r="414" spans="1:9">
      <c r="A414" s="133"/>
      <c r="B414" s="133"/>
      <c r="C414" s="133"/>
      <c r="D414" s="133"/>
      <c r="E414" s="133"/>
      <c r="F414" s="133"/>
      <c r="G414" s="133"/>
      <c r="H414" s="133"/>
      <c r="I414" s="133"/>
    </row>
    <row r="415" spans="1:9">
      <c r="A415" s="133"/>
      <c r="B415" s="133"/>
      <c r="C415" s="133"/>
      <c r="D415" s="133"/>
      <c r="E415" s="133"/>
      <c r="F415" s="133"/>
      <c r="G415" s="133"/>
      <c r="H415" s="133"/>
      <c r="I415" s="133"/>
    </row>
    <row r="416" spans="1:9">
      <c r="A416" s="133"/>
      <c r="B416" s="133"/>
      <c r="C416" s="133"/>
      <c r="D416" s="133"/>
      <c r="E416" s="133"/>
      <c r="F416" s="133"/>
      <c r="G416" s="133"/>
      <c r="H416" s="133"/>
      <c r="I416" s="133"/>
    </row>
    <row r="417" spans="1:9">
      <c r="A417" s="133"/>
      <c r="B417" s="133"/>
      <c r="C417" s="133"/>
      <c r="D417" s="133"/>
      <c r="E417" s="133"/>
      <c r="F417" s="133"/>
      <c r="G417" s="133"/>
      <c r="H417" s="133"/>
      <c r="I417" s="133"/>
    </row>
    <row r="418" spans="1:9">
      <c r="A418" s="133"/>
      <c r="B418" s="133"/>
      <c r="C418" s="133"/>
      <c r="D418" s="133"/>
      <c r="E418" s="133"/>
      <c r="F418" s="133"/>
      <c r="G418" s="133"/>
      <c r="H418" s="133"/>
      <c r="I418" s="133"/>
    </row>
    <row r="419" spans="1:9">
      <c r="A419" s="133"/>
      <c r="B419" s="133"/>
      <c r="C419" s="133"/>
      <c r="D419" s="133"/>
      <c r="E419" s="133"/>
      <c r="F419" s="133"/>
      <c r="G419" s="133"/>
      <c r="H419" s="133"/>
      <c r="I419" s="133"/>
    </row>
    <row r="420" spans="1:9">
      <c r="A420" s="133"/>
      <c r="B420" s="133"/>
      <c r="C420" s="133"/>
      <c r="D420" s="133"/>
      <c r="E420" s="133"/>
      <c r="F420" s="133"/>
      <c r="G420" s="133"/>
      <c r="H420" s="133"/>
      <c r="I420" s="133"/>
    </row>
    <row r="421" spans="1:9">
      <c r="A421" s="133"/>
      <c r="B421" s="133"/>
      <c r="C421" s="133"/>
      <c r="D421" s="133"/>
      <c r="E421" s="133"/>
      <c r="F421" s="133"/>
      <c r="G421" s="133"/>
      <c r="H421" s="133"/>
      <c r="I421" s="133"/>
    </row>
    <row r="422" spans="1:9">
      <c r="A422" s="133"/>
      <c r="B422" s="133"/>
      <c r="C422" s="133"/>
      <c r="D422" s="133"/>
      <c r="E422" s="133"/>
      <c r="F422" s="133"/>
      <c r="G422" s="133"/>
      <c r="H422" s="133"/>
      <c r="I422" s="133"/>
    </row>
    <row r="423" spans="1:9">
      <c r="A423" s="133"/>
      <c r="B423" s="133"/>
      <c r="C423" s="133"/>
      <c r="D423" s="133"/>
      <c r="E423" s="133"/>
      <c r="F423" s="133"/>
      <c r="G423" s="133"/>
      <c r="H423" s="133"/>
      <c r="I423" s="133"/>
    </row>
    <row r="424" spans="1:9">
      <c r="A424" s="133"/>
      <c r="B424" s="133"/>
      <c r="C424" s="133"/>
      <c r="D424" s="133"/>
      <c r="E424" s="133"/>
      <c r="F424" s="133"/>
      <c r="G424" s="133"/>
      <c r="H424" s="133"/>
      <c r="I424" s="133"/>
    </row>
    <row r="425" spans="1:9">
      <c r="A425" s="133"/>
      <c r="B425" s="133"/>
      <c r="C425" s="133"/>
      <c r="D425" s="133"/>
      <c r="E425" s="133"/>
      <c r="F425" s="133"/>
      <c r="G425" s="133"/>
      <c r="H425" s="133"/>
      <c r="I425" s="133"/>
    </row>
    <row r="426" spans="1:9">
      <c r="A426" s="133"/>
      <c r="B426" s="133"/>
      <c r="C426" s="133"/>
      <c r="D426" s="133"/>
      <c r="E426" s="133"/>
      <c r="F426" s="133"/>
      <c r="G426" s="133"/>
      <c r="H426" s="133"/>
      <c r="I426" s="133"/>
    </row>
    <row r="427" spans="1:9">
      <c r="A427" s="133"/>
      <c r="B427" s="133"/>
      <c r="C427" s="133"/>
      <c r="D427" s="133"/>
      <c r="E427" s="133"/>
      <c r="F427" s="133"/>
      <c r="G427" s="133"/>
      <c r="H427" s="133"/>
      <c r="I427" s="133"/>
    </row>
    <row r="428" spans="1:9">
      <c r="A428" s="133"/>
      <c r="B428" s="133"/>
      <c r="C428" s="133"/>
      <c r="D428" s="133"/>
      <c r="E428" s="133"/>
      <c r="F428" s="133"/>
      <c r="G428" s="133"/>
      <c r="H428" s="133"/>
      <c r="I428" s="133"/>
    </row>
    <row r="429" spans="1:9">
      <c r="A429" s="133"/>
      <c r="B429" s="133"/>
      <c r="C429" s="133"/>
      <c r="D429" s="133"/>
      <c r="E429" s="133"/>
      <c r="F429" s="133"/>
      <c r="G429" s="133"/>
      <c r="H429" s="133"/>
      <c r="I429" s="133"/>
    </row>
    <row r="430" spans="1:9">
      <c r="A430" s="133"/>
      <c r="B430" s="133"/>
      <c r="C430" s="133"/>
      <c r="D430" s="133"/>
      <c r="E430" s="133"/>
      <c r="F430" s="133"/>
      <c r="G430" s="133"/>
      <c r="H430" s="133"/>
      <c r="I430" s="133"/>
    </row>
    <row r="431" spans="1:9">
      <c r="A431" s="133"/>
      <c r="B431" s="133"/>
      <c r="C431" s="133"/>
      <c r="D431" s="133"/>
      <c r="E431" s="133"/>
      <c r="F431" s="133"/>
      <c r="G431" s="133"/>
      <c r="H431" s="133"/>
      <c r="I431" s="133"/>
    </row>
    <row r="432" spans="1:9">
      <c r="A432" s="133"/>
      <c r="B432" s="133"/>
      <c r="C432" s="133"/>
      <c r="D432" s="133"/>
      <c r="E432" s="133"/>
      <c r="F432" s="133"/>
      <c r="G432" s="133"/>
      <c r="H432" s="133"/>
      <c r="I432" s="133"/>
    </row>
    <row r="433" spans="1:9">
      <c r="A433" s="133"/>
      <c r="B433" s="133"/>
      <c r="C433" s="133"/>
      <c r="D433" s="133"/>
      <c r="E433" s="133"/>
      <c r="F433" s="133"/>
      <c r="G433" s="133"/>
      <c r="H433" s="133"/>
      <c r="I433" s="133"/>
    </row>
    <row r="434" spans="1:9">
      <c r="A434" s="133"/>
      <c r="B434" s="133"/>
      <c r="C434" s="133"/>
      <c r="D434" s="133"/>
      <c r="E434" s="133"/>
      <c r="F434" s="133"/>
      <c r="G434" s="133"/>
      <c r="H434" s="133"/>
      <c r="I434" s="133"/>
    </row>
    <row r="435" spans="1:9">
      <c r="A435" s="133"/>
      <c r="B435" s="133"/>
      <c r="C435" s="133"/>
      <c r="D435" s="133"/>
      <c r="E435" s="133"/>
      <c r="F435" s="133"/>
      <c r="G435" s="133"/>
      <c r="H435" s="133"/>
      <c r="I435" s="133"/>
    </row>
    <row r="436" spans="1:9">
      <c r="A436" s="133"/>
      <c r="B436" s="133"/>
      <c r="C436" s="133"/>
      <c r="D436" s="133"/>
      <c r="E436" s="133"/>
      <c r="F436" s="133"/>
      <c r="G436" s="133"/>
      <c r="H436" s="133"/>
      <c r="I436" s="133"/>
    </row>
    <row r="437" spans="1:9">
      <c r="A437" s="133"/>
      <c r="B437" s="133"/>
      <c r="C437" s="133"/>
      <c r="D437" s="133"/>
      <c r="E437" s="133"/>
      <c r="F437" s="133"/>
      <c r="G437" s="133"/>
      <c r="H437" s="133"/>
      <c r="I437" s="133"/>
    </row>
    <row r="438" spans="1:9">
      <c r="A438" s="133"/>
      <c r="B438" s="133"/>
      <c r="C438" s="133"/>
      <c r="D438" s="133"/>
      <c r="E438" s="133"/>
      <c r="F438" s="133"/>
      <c r="G438" s="133"/>
      <c r="H438" s="133"/>
      <c r="I438" s="133"/>
    </row>
    <row r="439" spans="1:9">
      <c r="A439" s="133"/>
      <c r="B439" s="133"/>
      <c r="C439" s="133"/>
      <c r="D439" s="133"/>
      <c r="E439" s="133"/>
      <c r="F439" s="133"/>
      <c r="G439" s="133"/>
      <c r="H439" s="133"/>
      <c r="I439" s="133"/>
    </row>
    <row r="440" spans="1:9">
      <c r="A440" s="133"/>
      <c r="B440" s="133"/>
      <c r="C440" s="133"/>
      <c r="D440" s="133"/>
      <c r="E440" s="133"/>
      <c r="F440" s="133"/>
      <c r="G440" s="133"/>
      <c r="H440" s="133"/>
      <c r="I440" s="133"/>
    </row>
    <row r="441" spans="1:9">
      <c r="A441" s="133"/>
      <c r="B441" s="133"/>
      <c r="C441" s="133"/>
      <c r="D441" s="133"/>
      <c r="E441" s="133"/>
      <c r="F441" s="133"/>
      <c r="G441" s="133"/>
      <c r="H441" s="133"/>
      <c r="I441" s="133"/>
    </row>
    <row r="442" spans="1:9">
      <c r="A442" s="133"/>
      <c r="B442" s="133"/>
      <c r="C442" s="133"/>
      <c r="D442" s="133"/>
      <c r="E442" s="133"/>
      <c r="F442" s="133"/>
      <c r="G442" s="133"/>
      <c r="H442" s="133"/>
      <c r="I442" s="133"/>
    </row>
    <row r="443" spans="1:9">
      <c r="A443" s="133"/>
      <c r="B443" s="133"/>
      <c r="C443" s="133"/>
      <c r="D443" s="133"/>
      <c r="E443" s="133"/>
      <c r="F443" s="133"/>
      <c r="G443" s="133"/>
      <c r="H443" s="133"/>
      <c r="I443" s="133"/>
    </row>
    <row r="444" spans="1:9">
      <c r="A444" s="133"/>
      <c r="B444" s="133"/>
      <c r="C444" s="133"/>
      <c r="D444" s="133"/>
      <c r="E444" s="133"/>
      <c r="F444" s="133"/>
      <c r="G444" s="133"/>
      <c r="H444" s="133"/>
      <c r="I444" s="133"/>
    </row>
    <row r="445" spans="1:9">
      <c r="A445" s="133"/>
      <c r="B445" s="133"/>
      <c r="C445" s="133"/>
      <c r="D445" s="133"/>
      <c r="E445" s="133"/>
      <c r="F445" s="133"/>
      <c r="G445" s="133"/>
      <c r="H445" s="133"/>
      <c r="I445" s="133"/>
    </row>
    <row r="446" spans="1:9">
      <c r="A446" s="133"/>
      <c r="B446" s="133"/>
      <c r="C446" s="133"/>
      <c r="D446" s="133"/>
      <c r="E446" s="133"/>
      <c r="F446" s="133"/>
      <c r="G446" s="133"/>
      <c r="H446" s="133"/>
      <c r="I446" s="133"/>
    </row>
    <row r="447" spans="1:9">
      <c r="A447" s="133"/>
      <c r="B447" s="133"/>
      <c r="C447" s="133"/>
      <c r="D447" s="133"/>
      <c r="E447" s="133"/>
      <c r="F447" s="133"/>
      <c r="G447" s="133"/>
      <c r="H447" s="133"/>
      <c r="I447" s="133"/>
    </row>
    <row r="448" spans="1:9">
      <c r="A448" s="133"/>
      <c r="B448" s="133"/>
      <c r="C448" s="133"/>
      <c r="D448" s="133"/>
      <c r="E448" s="133"/>
      <c r="F448" s="133"/>
      <c r="G448" s="133"/>
      <c r="H448" s="133"/>
      <c r="I448" s="133"/>
    </row>
    <row r="449" spans="1:9">
      <c r="A449" s="133"/>
      <c r="B449" s="133"/>
      <c r="C449" s="133"/>
      <c r="D449" s="133"/>
      <c r="E449" s="133"/>
      <c r="F449" s="133"/>
      <c r="G449" s="133"/>
      <c r="H449" s="133"/>
      <c r="I449" s="133"/>
    </row>
    <row r="450" spans="1:9">
      <c r="A450" s="133"/>
      <c r="B450" s="133"/>
      <c r="C450" s="133"/>
      <c r="D450" s="133"/>
      <c r="E450" s="133"/>
      <c r="F450" s="133"/>
      <c r="G450" s="133"/>
      <c r="H450" s="133"/>
      <c r="I450" s="133"/>
    </row>
    <row r="451" spans="1:9">
      <c r="A451" s="133"/>
      <c r="B451" s="133"/>
      <c r="C451" s="133"/>
      <c r="D451" s="133"/>
      <c r="E451" s="133"/>
      <c r="F451" s="133"/>
      <c r="G451" s="133"/>
      <c r="H451" s="133"/>
      <c r="I451" s="133"/>
    </row>
    <row r="452" spans="1:9">
      <c r="A452" s="133"/>
      <c r="B452" s="133"/>
      <c r="C452" s="133"/>
      <c r="D452" s="133"/>
      <c r="E452" s="133"/>
      <c r="F452" s="133"/>
      <c r="G452" s="133"/>
      <c r="H452" s="133"/>
      <c r="I452" s="133"/>
    </row>
    <row r="453" spans="1:9">
      <c r="A453" s="133"/>
      <c r="B453" s="133"/>
      <c r="C453" s="133"/>
      <c r="D453" s="133"/>
      <c r="E453" s="133"/>
      <c r="F453" s="133"/>
      <c r="G453" s="133"/>
      <c r="H453" s="133"/>
      <c r="I453" s="133"/>
    </row>
    <row r="454" spans="1:9">
      <c r="A454" s="133"/>
      <c r="B454" s="133"/>
      <c r="C454" s="133"/>
      <c r="D454" s="133"/>
      <c r="E454" s="133"/>
      <c r="F454" s="133"/>
      <c r="G454" s="133"/>
      <c r="H454" s="133"/>
      <c r="I454" s="133"/>
    </row>
    <row r="455" spans="1:9">
      <c r="A455" s="133"/>
      <c r="B455" s="133"/>
      <c r="C455" s="133"/>
      <c r="D455" s="133"/>
      <c r="E455" s="133"/>
      <c r="F455" s="133"/>
      <c r="G455" s="133"/>
      <c r="H455" s="133"/>
      <c r="I455" s="133"/>
    </row>
    <row r="456" spans="1:9">
      <c r="A456" s="133"/>
      <c r="B456" s="133"/>
      <c r="C456" s="133"/>
      <c r="D456" s="133"/>
      <c r="E456" s="133"/>
      <c r="F456" s="133"/>
      <c r="G456" s="133"/>
      <c r="H456" s="133"/>
      <c r="I456" s="133"/>
    </row>
    <row r="457" spans="1:9">
      <c r="A457" s="133"/>
      <c r="B457" s="133"/>
      <c r="C457" s="133"/>
      <c r="D457" s="133"/>
      <c r="E457" s="133"/>
      <c r="F457" s="133"/>
      <c r="G457" s="133"/>
      <c r="H457" s="133"/>
      <c r="I457" s="133"/>
    </row>
    <row r="458" spans="1:9">
      <c r="A458" s="133"/>
      <c r="B458" s="133"/>
      <c r="C458" s="133"/>
      <c r="D458" s="133"/>
      <c r="E458" s="133"/>
      <c r="F458" s="133"/>
      <c r="G458" s="133"/>
      <c r="H458" s="133"/>
      <c r="I458" s="133"/>
    </row>
    <row r="459" spans="1:9">
      <c r="A459" s="133"/>
      <c r="B459" s="133"/>
      <c r="C459" s="133"/>
      <c r="D459" s="133"/>
      <c r="E459" s="133"/>
      <c r="F459" s="133"/>
      <c r="G459" s="133"/>
      <c r="H459" s="133"/>
      <c r="I459" s="133"/>
    </row>
    <row r="460" spans="1:9">
      <c r="A460" s="133"/>
      <c r="B460" s="133"/>
      <c r="C460" s="133"/>
      <c r="D460" s="133"/>
      <c r="E460" s="133"/>
      <c r="F460" s="133"/>
      <c r="G460" s="133"/>
      <c r="H460" s="133"/>
      <c r="I460" s="133"/>
    </row>
    <row r="461" spans="1:9">
      <c r="A461" s="133"/>
      <c r="B461" s="133"/>
      <c r="C461" s="133"/>
      <c r="D461" s="133"/>
      <c r="E461" s="133"/>
      <c r="F461" s="133"/>
      <c r="G461" s="133"/>
      <c r="H461" s="133"/>
      <c r="I461" s="133"/>
    </row>
    <row r="462" spans="1:9">
      <c r="A462" s="133"/>
      <c r="B462" s="133"/>
      <c r="C462" s="133"/>
      <c r="D462" s="133"/>
      <c r="E462" s="133"/>
      <c r="F462" s="133"/>
      <c r="G462" s="133"/>
      <c r="H462" s="133"/>
      <c r="I462" s="133"/>
    </row>
    <row r="463" spans="1:9">
      <c r="A463" s="133"/>
      <c r="B463" s="133"/>
      <c r="C463" s="133"/>
      <c r="D463" s="133"/>
      <c r="E463" s="133"/>
      <c r="F463" s="133"/>
      <c r="G463" s="133"/>
      <c r="H463" s="133"/>
      <c r="I463" s="133"/>
    </row>
    <row r="464" spans="1:9">
      <c r="A464" s="133"/>
      <c r="B464" s="133"/>
      <c r="C464" s="133"/>
      <c r="D464" s="133"/>
      <c r="E464" s="133"/>
      <c r="F464" s="133"/>
      <c r="G464" s="133"/>
      <c r="H464" s="133"/>
      <c r="I464" s="133"/>
    </row>
    <row r="465" spans="1:9">
      <c r="A465" s="133"/>
      <c r="B465" s="133"/>
      <c r="C465" s="133"/>
      <c r="D465" s="133"/>
      <c r="E465" s="133"/>
      <c r="F465" s="133"/>
      <c r="G465" s="133"/>
      <c r="H465" s="133"/>
      <c r="I465" s="133"/>
    </row>
    <row r="466" spans="1:9">
      <c r="A466" s="133"/>
      <c r="B466" s="133"/>
      <c r="C466" s="133"/>
      <c r="D466" s="133"/>
      <c r="E466" s="133"/>
      <c r="F466" s="133"/>
      <c r="G466" s="133"/>
      <c r="H466" s="133"/>
      <c r="I466" s="133"/>
    </row>
    <row r="467" spans="1:9">
      <c r="A467" s="133"/>
      <c r="B467" s="133"/>
      <c r="C467" s="133"/>
      <c r="D467" s="133"/>
      <c r="E467" s="133"/>
      <c r="F467" s="133"/>
      <c r="G467" s="133"/>
      <c r="H467" s="133"/>
      <c r="I467" s="133"/>
    </row>
    <row r="468" spans="1:9">
      <c r="A468" s="133"/>
      <c r="B468" s="133"/>
      <c r="C468" s="133"/>
      <c r="D468" s="133"/>
      <c r="E468" s="133"/>
      <c r="F468" s="133"/>
      <c r="G468" s="133"/>
      <c r="H468" s="133"/>
      <c r="I468" s="133"/>
    </row>
    <row r="469" spans="1:9">
      <c r="A469" s="133"/>
      <c r="B469" s="133"/>
      <c r="C469" s="133"/>
      <c r="D469" s="133"/>
      <c r="E469" s="133"/>
      <c r="F469" s="133"/>
      <c r="G469" s="133"/>
      <c r="H469" s="133"/>
      <c r="I469" s="133"/>
    </row>
    <row r="470" spans="1:9">
      <c r="A470" s="133"/>
      <c r="B470" s="133"/>
      <c r="C470" s="133"/>
      <c r="D470" s="133"/>
      <c r="E470" s="133"/>
      <c r="F470" s="133"/>
      <c r="G470" s="133"/>
      <c r="H470" s="133"/>
      <c r="I470" s="133"/>
    </row>
    <row r="471" spans="1:9">
      <c r="A471" s="133"/>
      <c r="B471" s="133"/>
      <c r="C471" s="133"/>
      <c r="D471" s="133"/>
      <c r="E471" s="133"/>
      <c r="F471" s="133"/>
      <c r="G471" s="133"/>
      <c r="H471" s="133"/>
      <c r="I471" s="133"/>
    </row>
    <row r="472" spans="1:9">
      <c r="A472" s="133"/>
      <c r="B472" s="133"/>
      <c r="C472" s="133"/>
      <c r="D472" s="133"/>
      <c r="E472" s="133"/>
      <c r="F472" s="133"/>
      <c r="G472" s="133"/>
      <c r="H472" s="133"/>
      <c r="I472" s="133"/>
    </row>
    <row r="473" spans="1:9">
      <c r="A473" s="133"/>
      <c r="B473" s="133"/>
      <c r="C473" s="133"/>
      <c r="D473" s="133"/>
      <c r="E473" s="133"/>
      <c r="F473" s="133"/>
      <c r="G473" s="133"/>
      <c r="H473" s="133"/>
      <c r="I473" s="133"/>
    </row>
    <row r="474" spans="1:9">
      <c r="A474" s="133"/>
      <c r="B474" s="133"/>
      <c r="C474" s="133"/>
      <c r="D474" s="133"/>
      <c r="E474" s="133"/>
      <c r="F474" s="133"/>
      <c r="G474" s="133"/>
      <c r="H474" s="133"/>
      <c r="I474" s="133"/>
    </row>
    <row r="475" spans="1:9">
      <c r="A475" s="133"/>
      <c r="B475" s="133"/>
      <c r="C475" s="133"/>
      <c r="D475" s="133"/>
      <c r="E475" s="133"/>
      <c r="F475" s="133"/>
      <c r="G475" s="133"/>
      <c r="H475" s="133"/>
      <c r="I475" s="133"/>
    </row>
    <row r="476" spans="1:9">
      <c r="A476" s="133"/>
      <c r="B476" s="133"/>
      <c r="C476" s="133"/>
      <c r="D476" s="133"/>
      <c r="E476" s="133"/>
      <c r="F476" s="133"/>
      <c r="G476" s="133"/>
      <c r="H476" s="133"/>
      <c r="I476" s="133"/>
    </row>
    <row r="477" spans="1:9">
      <c r="A477" s="133"/>
      <c r="B477" s="133"/>
      <c r="C477" s="133"/>
      <c r="D477" s="133"/>
      <c r="E477" s="133"/>
      <c r="F477" s="133"/>
      <c r="G477" s="133"/>
      <c r="H477" s="133"/>
      <c r="I477" s="133"/>
    </row>
    <row r="478" spans="1:9">
      <c r="A478" s="133"/>
      <c r="B478" s="133"/>
      <c r="C478" s="133"/>
      <c r="D478" s="133"/>
      <c r="E478" s="133"/>
      <c r="F478" s="133"/>
      <c r="G478" s="133"/>
      <c r="H478" s="133"/>
      <c r="I478" s="133"/>
    </row>
    <row r="479" spans="1:9">
      <c r="A479" s="133"/>
      <c r="B479" s="133"/>
      <c r="C479" s="133"/>
      <c r="D479" s="133"/>
      <c r="E479" s="133"/>
      <c r="F479" s="133"/>
      <c r="G479" s="133"/>
      <c r="H479" s="133"/>
      <c r="I479" s="133"/>
    </row>
    <row r="480" spans="1:9">
      <c r="A480" s="133"/>
      <c r="B480" s="133"/>
      <c r="C480" s="133"/>
      <c r="D480" s="133"/>
      <c r="E480" s="133"/>
      <c r="F480" s="133"/>
      <c r="G480" s="133"/>
      <c r="H480" s="133"/>
      <c r="I480" s="133"/>
    </row>
    <row r="481" spans="1:9">
      <c r="A481" s="133"/>
      <c r="B481" s="133"/>
      <c r="C481" s="133"/>
      <c r="D481" s="133"/>
      <c r="E481" s="133"/>
      <c r="F481" s="133"/>
      <c r="G481" s="133"/>
      <c r="H481" s="133"/>
      <c r="I481" s="133"/>
    </row>
    <row r="482" spans="1:9">
      <c r="A482" s="133"/>
      <c r="B482" s="133"/>
      <c r="C482" s="133"/>
      <c r="D482" s="133"/>
      <c r="E482" s="133"/>
      <c r="F482" s="133"/>
      <c r="G482" s="133"/>
      <c r="H482" s="133"/>
      <c r="I482" s="133"/>
    </row>
    <row r="483" spans="1:9">
      <c r="A483" s="133"/>
      <c r="B483" s="133"/>
      <c r="C483" s="133"/>
      <c r="D483" s="133"/>
      <c r="E483" s="133"/>
      <c r="F483" s="133"/>
      <c r="G483" s="133"/>
      <c r="H483" s="133"/>
      <c r="I483" s="133"/>
    </row>
    <row r="484" spans="1:9">
      <c r="A484" s="133"/>
      <c r="B484" s="133"/>
      <c r="C484" s="133"/>
      <c r="D484" s="133"/>
      <c r="E484" s="133"/>
      <c r="F484" s="133"/>
      <c r="G484" s="133"/>
      <c r="H484" s="133"/>
      <c r="I484" s="133"/>
    </row>
    <row r="485" spans="1:9">
      <c r="A485" s="133"/>
      <c r="B485" s="133"/>
      <c r="C485" s="133"/>
      <c r="D485" s="133"/>
      <c r="E485" s="133"/>
      <c r="F485" s="133"/>
      <c r="G485" s="133"/>
      <c r="H485" s="133"/>
      <c r="I485" s="133"/>
    </row>
    <row r="486" spans="1:9">
      <c r="A486" s="133"/>
      <c r="B486" s="133"/>
      <c r="C486" s="133"/>
      <c r="D486" s="133"/>
      <c r="E486" s="133"/>
      <c r="F486" s="133"/>
      <c r="G486" s="133"/>
      <c r="H486" s="133"/>
      <c r="I486" s="133"/>
    </row>
    <row r="487" spans="1:9">
      <c r="A487" s="133"/>
      <c r="B487" s="133"/>
      <c r="C487" s="133"/>
      <c r="D487" s="133"/>
      <c r="E487" s="133"/>
      <c r="F487" s="133"/>
      <c r="G487" s="133"/>
      <c r="H487" s="133"/>
      <c r="I487" s="133"/>
    </row>
    <row r="488" spans="1:9">
      <c r="A488" s="133"/>
      <c r="B488" s="133"/>
      <c r="C488" s="133"/>
      <c r="D488" s="133"/>
      <c r="E488" s="133"/>
      <c r="F488" s="133"/>
      <c r="G488" s="133"/>
      <c r="H488" s="133"/>
      <c r="I488" s="133"/>
    </row>
    <row r="489" spans="1:9">
      <c r="A489" s="133"/>
      <c r="B489" s="133"/>
      <c r="C489" s="133"/>
      <c r="D489" s="133"/>
      <c r="E489" s="133"/>
      <c r="F489" s="133"/>
      <c r="G489" s="133"/>
      <c r="H489" s="133"/>
      <c r="I489" s="133"/>
    </row>
    <row r="490" spans="1:9">
      <c r="A490" s="133"/>
      <c r="B490" s="133"/>
      <c r="C490" s="133"/>
      <c r="D490" s="133"/>
      <c r="E490" s="133"/>
      <c r="F490" s="133"/>
      <c r="G490" s="133"/>
      <c r="H490" s="133"/>
      <c r="I490" s="133"/>
    </row>
    <row r="491" spans="1:9">
      <c r="A491" s="133"/>
      <c r="B491" s="133"/>
      <c r="C491" s="133"/>
      <c r="D491" s="133"/>
      <c r="E491" s="133"/>
      <c r="F491" s="133"/>
      <c r="G491" s="133"/>
      <c r="H491" s="133"/>
      <c r="I491" s="133"/>
    </row>
    <row r="492" spans="1:9">
      <c r="A492" s="133"/>
      <c r="B492" s="133"/>
      <c r="C492" s="133"/>
      <c r="D492" s="133"/>
      <c r="E492" s="133"/>
      <c r="F492" s="133"/>
      <c r="G492" s="133"/>
      <c r="H492" s="133"/>
      <c r="I492" s="133"/>
    </row>
    <row r="493" spans="1:9">
      <c r="A493" s="133"/>
      <c r="B493" s="133"/>
      <c r="C493" s="133"/>
      <c r="D493" s="133"/>
      <c r="E493" s="133"/>
      <c r="F493" s="133"/>
      <c r="G493" s="133"/>
      <c r="H493" s="133"/>
      <c r="I493" s="133"/>
    </row>
    <row r="494" spans="1:9">
      <c r="A494" s="133"/>
      <c r="B494" s="133"/>
      <c r="C494" s="133"/>
      <c r="D494" s="133"/>
      <c r="E494" s="133"/>
      <c r="F494" s="133"/>
      <c r="G494" s="133"/>
      <c r="H494" s="133"/>
      <c r="I494" s="133"/>
    </row>
    <row r="495" spans="1:9">
      <c r="A495" s="133"/>
      <c r="B495" s="133"/>
      <c r="C495" s="133"/>
      <c r="D495" s="133"/>
      <c r="E495" s="133"/>
      <c r="F495" s="133"/>
      <c r="G495" s="133"/>
      <c r="H495" s="133"/>
      <c r="I495" s="133"/>
    </row>
    <row r="496" spans="1:9">
      <c r="A496" s="133"/>
      <c r="B496" s="133"/>
      <c r="C496" s="133"/>
      <c r="D496" s="133"/>
      <c r="E496" s="133"/>
      <c r="F496" s="133"/>
      <c r="G496" s="133"/>
      <c r="H496" s="133"/>
      <c r="I496" s="133"/>
    </row>
    <row r="497" spans="1:9">
      <c r="A497" s="133"/>
      <c r="B497" s="133"/>
      <c r="C497" s="133"/>
      <c r="D497" s="133"/>
      <c r="E497" s="133"/>
      <c r="F497" s="133"/>
      <c r="G497" s="133"/>
      <c r="H497" s="133"/>
      <c r="I497" s="133"/>
    </row>
    <row r="498" spans="1:9">
      <c r="A498" s="133"/>
      <c r="B498" s="133"/>
      <c r="C498" s="133"/>
      <c r="D498" s="133"/>
      <c r="E498" s="133"/>
      <c r="F498" s="133"/>
      <c r="G498" s="133"/>
      <c r="H498" s="133"/>
      <c r="I498" s="133"/>
    </row>
    <row r="499" spans="1:9">
      <c r="A499" s="133"/>
      <c r="B499" s="133"/>
      <c r="C499" s="133"/>
      <c r="D499" s="133"/>
      <c r="E499" s="133"/>
      <c r="F499" s="133"/>
      <c r="G499" s="133"/>
      <c r="H499" s="133"/>
      <c r="I499" s="133"/>
    </row>
    <row r="500" spans="1:9">
      <c r="A500" s="133"/>
      <c r="B500" s="133"/>
      <c r="C500" s="133"/>
      <c r="D500" s="133"/>
      <c r="E500" s="133"/>
      <c r="F500" s="133"/>
      <c r="G500" s="133"/>
      <c r="H500" s="133"/>
      <c r="I500" s="133"/>
    </row>
    <row r="501" spans="1:9">
      <c r="A501" s="133"/>
      <c r="B501" s="133"/>
      <c r="C501" s="133"/>
      <c r="D501" s="133"/>
      <c r="E501" s="133"/>
      <c r="F501" s="133"/>
      <c r="G501" s="133"/>
      <c r="H501" s="133"/>
      <c r="I501" s="133"/>
    </row>
    <row r="502" spans="1:9">
      <c r="A502" s="133"/>
      <c r="B502" s="133"/>
      <c r="C502" s="133"/>
      <c r="D502" s="133"/>
      <c r="E502" s="133"/>
      <c r="F502" s="133"/>
      <c r="G502" s="133"/>
      <c r="H502" s="133"/>
      <c r="I502" s="133"/>
    </row>
    <row r="503" spans="1:9">
      <c r="A503" s="133"/>
      <c r="B503" s="133"/>
      <c r="C503" s="133"/>
      <c r="D503" s="133"/>
      <c r="E503" s="133"/>
      <c r="F503" s="133"/>
      <c r="G503" s="133"/>
      <c r="H503" s="133"/>
      <c r="I503" s="133"/>
    </row>
    <row r="504" spans="1:9">
      <c r="A504" s="133"/>
      <c r="B504" s="133"/>
      <c r="C504" s="133"/>
      <c r="D504" s="133"/>
      <c r="E504" s="133"/>
      <c r="F504" s="133"/>
      <c r="G504" s="133"/>
      <c r="H504" s="133"/>
      <c r="I504" s="133"/>
    </row>
    <row r="505" spans="1:9">
      <c r="A505" s="133"/>
      <c r="B505" s="133"/>
      <c r="C505" s="133"/>
      <c r="D505" s="133"/>
      <c r="E505" s="133"/>
      <c r="F505" s="133"/>
      <c r="G505" s="133"/>
      <c r="H505" s="133"/>
      <c r="I505" s="133"/>
    </row>
    <row r="506" spans="1:9">
      <c r="A506" s="133"/>
      <c r="B506" s="133"/>
      <c r="C506" s="133"/>
      <c r="D506" s="133"/>
      <c r="E506" s="133"/>
      <c r="F506" s="133"/>
      <c r="G506" s="133"/>
      <c r="H506" s="133"/>
      <c r="I506" s="133"/>
    </row>
    <row r="507" spans="1:9">
      <c r="A507" s="133"/>
      <c r="B507" s="133"/>
      <c r="C507" s="133"/>
      <c r="D507" s="133"/>
      <c r="E507" s="133"/>
      <c r="F507" s="133"/>
      <c r="G507" s="133"/>
      <c r="H507" s="133"/>
      <c r="I507" s="133"/>
    </row>
    <row r="508" spans="1:9">
      <c r="A508" s="133"/>
      <c r="B508" s="133"/>
      <c r="C508" s="133"/>
      <c r="D508" s="133"/>
      <c r="E508" s="133"/>
      <c r="F508" s="133"/>
      <c r="G508" s="133"/>
      <c r="H508" s="133"/>
      <c r="I508" s="133"/>
    </row>
    <row r="509" spans="1:9">
      <c r="A509" s="133"/>
      <c r="B509" s="133"/>
      <c r="C509" s="133"/>
      <c r="D509" s="133"/>
      <c r="E509" s="133"/>
      <c r="F509" s="133"/>
      <c r="G509" s="133"/>
      <c r="H509" s="133"/>
      <c r="I509" s="133"/>
    </row>
    <row r="510" spans="1:9">
      <c r="A510" s="133"/>
      <c r="B510" s="133"/>
      <c r="C510" s="133"/>
      <c r="D510" s="133"/>
      <c r="E510" s="133"/>
      <c r="F510" s="133"/>
      <c r="G510" s="133"/>
      <c r="H510" s="133"/>
      <c r="I510" s="133"/>
    </row>
    <row r="511" spans="1:9">
      <c r="A511" s="133"/>
      <c r="B511" s="133"/>
      <c r="C511" s="133"/>
      <c r="D511" s="133"/>
      <c r="E511" s="133"/>
      <c r="F511" s="133"/>
      <c r="G511" s="133"/>
      <c r="H511" s="133"/>
      <c r="I511" s="133"/>
    </row>
    <row r="512" spans="1:9">
      <c r="A512" s="133"/>
      <c r="B512" s="133"/>
      <c r="C512" s="133"/>
      <c r="D512" s="133"/>
      <c r="E512" s="133"/>
      <c r="F512" s="133"/>
      <c r="G512" s="133"/>
      <c r="H512" s="133"/>
      <c r="I512" s="133"/>
    </row>
    <row r="513" spans="1:9">
      <c r="A513" s="133"/>
      <c r="B513" s="133"/>
      <c r="C513" s="133"/>
      <c r="D513" s="133"/>
      <c r="E513" s="133"/>
      <c r="F513" s="133"/>
      <c r="G513" s="133"/>
      <c r="H513" s="133"/>
      <c r="I513" s="133"/>
    </row>
    <row r="514" spans="1:9">
      <c r="A514" s="133"/>
      <c r="B514" s="133"/>
      <c r="C514" s="133"/>
      <c r="D514" s="133"/>
      <c r="E514" s="133"/>
      <c r="F514" s="133"/>
      <c r="G514" s="133"/>
      <c r="H514" s="133"/>
      <c r="I514" s="133"/>
    </row>
    <row r="515" spans="1:9">
      <c r="A515" s="133"/>
      <c r="B515" s="133"/>
      <c r="C515" s="133"/>
      <c r="D515" s="133"/>
      <c r="E515" s="133"/>
      <c r="F515" s="133"/>
      <c r="G515" s="133"/>
      <c r="H515" s="133"/>
      <c r="I515" s="133"/>
    </row>
    <row r="516" spans="1:9">
      <c r="A516" s="133"/>
      <c r="B516" s="133"/>
      <c r="C516" s="133"/>
      <c r="D516" s="133"/>
      <c r="E516" s="133"/>
      <c r="F516" s="133"/>
      <c r="G516" s="133"/>
      <c r="H516" s="133"/>
      <c r="I516" s="133"/>
    </row>
    <row r="517" spans="1:9">
      <c r="A517" s="133"/>
      <c r="B517" s="133"/>
      <c r="C517" s="133"/>
      <c r="D517" s="133"/>
      <c r="E517" s="133"/>
      <c r="F517" s="133"/>
      <c r="G517" s="133"/>
      <c r="H517" s="133"/>
      <c r="I517" s="133"/>
    </row>
    <row r="518" spans="1:9">
      <c r="A518" s="133"/>
      <c r="B518" s="133"/>
      <c r="C518" s="133"/>
      <c r="D518" s="133"/>
      <c r="E518" s="133"/>
      <c r="F518" s="133"/>
      <c r="G518" s="133"/>
      <c r="H518" s="133"/>
      <c r="I518" s="133"/>
    </row>
    <row r="519" spans="1:9">
      <c r="A519" s="133"/>
      <c r="B519" s="133"/>
      <c r="C519" s="133"/>
      <c r="D519" s="133"/>
      <c r="E519" s="133"/>
      <c r="F519" s="133"/>
      <c r="G519" s="133"/>
      <c r="H519" s="133"/>
      <c r="I519" s="133"/>
    </row>
    <row r="520" spans="1:9">
      <c r="A520" s="133"/>
      <c r="B520" s="133"/>
      <c r="C520" s="133"/>
      <c r="D520" s="133"/>
      <c r="E520" s="133"/>
      <c r="F520" s="133"/>
      <c r="G520" s="133"/>
      <c r="H520" s="133"/>
      <c r="I520" s="133"/>
    </row>
    <row r="521" spans="1:9">
      <c r="A521" s="133"/>
      <c r="B521" s="133"/>
      <c r="C521" s="133"/>
      <c r="D521" s="133"/>
      <c r="E521" s="133"/>
      <c r="F521" s="133"/>
      <c r="G521" s="133"/>
      <c r="H521" s="133"/>
      <c r="I521" s="133"/>
    </row>
    <row r="522" spans="1:9">
      <c r="A522" s="133"/>
      <c r="B522" s="133"/>
      <c r="C522" s="133"/>
      <c r="D522" s="133"/>
      <c r="E522" s="133"/>
      <c r="F522" s="133"/>
      <c r="G522" s="133"/>
      <c r="H522" s="133"/>
      <c r="I522" s="133"/>
    </row>
    <row r="523" spans="1:9">
      <c r="A523" s="133"/>
      <c r="B523" s="133"/>
      <c r="C523" s="133"/>
      <c r="D523" s="133"/>
      <c r="E523" s="133"/>
      <c r="F523" s="133"/>
      <c r="G523" s="133"/>
      <c r="H523" s="133"/>
      <c r="I523" s="133"/>
    </row>
    <row r="524" spans="1:9">
      <c r="A524" s="133"/>
      <c r="B524" s="133"/>
      <c r="C524" s="133"/>
      <c r="D524" s="133"/>
      <c r="E524" s="133"/>
      <c r="F524" s="133"/>
      <c r="G524" s="133"/>
      <c r="H524" s="133"/>
      <c r="I524" s="133"/>
    </row>
    <row r="525" spans="1:9">
      <c r="A525" s="133"/>
      <c r="B525" s="133"/>
      <c r="C525" s="133"/>
      <c r="D525" s="133"/>
      <c r="E525" s="133"/>
      <c r="F525" s="133"/>
      <c r="G525" s="133"/>
      <c r="H525" s="133"/>
      <c r="I525" s="133"/>
    </row>
    <row r="526" spans="1:9">
      <c r="A526" s="133"/>
      <c r="B526" s="133"/>
      <c r="C526" s="133"/>
      <c r="D526" s="133"/>
      <c r="E526" s="133"/>
      <c r="F526" s="133"/>
      <c r="G526" s="133"/>
      <c r="H526" s="133"/>
      <c r="I526" s="133"/>
    </row>
    <row r="527" spans="1:9">
      <c r="A527" s="133"/>
      <c r="B527" s="133"/>
      <c r="C527" s="133"/>
      <c r="D527" s="133"/>
      <c r="E527" s="133"/>
      <c r="F527" s="133"/>
      <c r="G527" s="133"/>
      <c r="H527" s="133"/>
      <c r="I527" s="133"/>
    </row>
    <row r="528" spans="1:9">
      <c r="A528" s="133"/>
      <c r="B528" s="133"/>
      <c r="C528" s="133"/>
      <c r="D528" s="133"/>
      <c r="E528" s="133"/>
      <c r="F528" s="133"/>
      <c r="G528" s="133"/>
      <c r="H528" s="133"/>
      <c r="I528" s="133"/>
    </row>
    <row r="529" spans="1:9">
      <c r="A529" s="133"/>
      <c r="B529" s="133"/>
      <c r="C529" s="133"/>
      <c r="D529" s="133"/>
      <c r="E529" s="133"/>
      <c r="F529" s="133"/>
      <c r="G529" s="133"/>
      <c r="H529" s="133"/>
      <c r="I529" s="133"/>
    </row>
    <row r="530" spans="1:9">
      <c r="A530" s="133"/>
      <c r="B530" s="133"/>
      <c r="C530" s="133"/>
      <c r="D530" s="133"/>
      <c r="E530" s="133"/>
      <c r="F530" s="133"/>
      <c r="G530" s="133"/>
      <c r="H530" s="133"/>
      <c r="I530" s="133"/>
    </row>
    <row r="531" spans="1:9">
      <c r="A531" s="133"/>
      <c r="B531" s="133"/>
      <c r="C531" s="133"/>
      <c r="D531" s="133"/>
      <c r="E531" s="133"/>
      <c r="F531" s="133"/>
      <c r="G531" s="133"/>
      <c r="H531" s="133"/>
      <c r="I531" s="133"/>
    </row>
    <row r="532" spans="1:9">
      <c r="A532" s="133"/>
      <c r="B532" s="133"/>
      <c r="C532" s="133"/>
      <c r="D532" s="133"/>
      <c r="E532" s="133"/>
      <c r="F532" s="133"/>
      <c r="G532" s="133"/>
      <c r="H532" s="133"/>
      <c r="I532" s="133"/>
    </row>
    <row r="533" spans="1:9">
      <c r="A533" s="133"/>
      <c r="B533" s="133"/>
      <c r="C533" s="133"/>
      <c r="D533" s="133"/>
      <c r="E533" s="133"/>
      <c r="F533" s="133"/>
      <c r="G533" s="133"/>
      <c r="H533" s="133"/>
      <c r="I533" s="133"/>
    </row>
    <row r="534" spans="1:9">
      <c r="A534" s="133"/>
      <c r="B534" s="133"/>
      <c r="C534" s="133"/>
      <c r="D534" s="133"/>
      <c r="E534" s="133"/>
      <c r="F534" s="133"/>
      <c r="G534" s="133"/>
      <c r="H534" s="133"/>
      <c r="I534" s="133"/>
    </row>
    <row r="535" spans="1:9">
      <c r="A535" s="133"/>
      <c r="B535" s="133"/>
      <c r="C535" s="133"/>
      <c r="D535" s="133"/>
      <c r="E535" s="133"/>
      <c r="F535" s="133"/>
      <c r="G535" s="133"/>
      <c r="H535" s="133"/>
      <c r="I535" s="133"/>
    </row>
    <row r="536" spans="1:9">
      <c r="A536" s="133"/>
      <c r="B536" s="133"/>
      <c r="C536" s="133"/>
      <c r="D536" s="133"/>
      <c r="E536" s="133"/>
      <c r="F536" s="133"/>
      <c r="G536" s="133"/>
      <c r="H536" s="133"/>
      <c r="I536" s="133"/>
    </row>
    <row r="537" spans="1:9">
      <c r="A537" s="133"/>
      <c r="B537" s="133"/>
      <c r="C537" s="133"/>
      <c r="D537" s="133"/>
      <c r="E537" s="133"/>
      <c r="F537" s="133"/>
      <c r="G537" s="133"/>
      <c r="H537" s="133"/>
      <c r="I537" s="133"/>
    </row>
    <row r="538" spans="1:9">
      <c r="A538" s="133"/>
      <c r="B538" s="133"/>
      <c r="C538" s="133"/>
      <c r="D538" s="133"/>
      <c r="E538" s="133"/>
      <c r="F538" s="133"/>
      <c r="G538" s="133"/>
      <c r="H538" s="133"/>
      <c r="I538" s="133"/>
    </row>
    <row r="539" spans="1:9">
      <c r="A539" s="133"/>
      <c r="B539" s="133"/>
      <c r="C539" s="133"/>
      <c r="D539" s="133"/>
      <c r="E539" s="133"/>
      <c r="F539" s="133"/>
      <c r="G539" s="133"/>
      <c r="H539" s="133"/>
      <c r="I539" s="133"/>
    </row>
    <row r="540" spans="1:9">
      <c r="A540" s="133"/>
      <c r="B540" s="133"/>
      <c r="C540" s="133"/>
      <c r="D540" s="133"/>
      <c r="E540" s="133"/>
      <c r="F540" s="133"/>
      <c r="G540" s="133"/>
      <c r="H540" s="133"/>
      <c r="I540" s="133"/>
    </row>
    <row r="541" spans="1:9">
      <c r="A541" s="133"/>
      <c r="B541" s="133"/>
      <c r="C541" s="133"/>
      <c r="D541" s="133"/>
      <c r="E541" s="133"/>
      <c r="F541" s="133"/>
      <c r="G541" s="133"/>
      <c r="H541" s="133"/>
      <c r="I541" s="133"/>
    </row>
    <row r="542" spans="1:9">
      <c r="A542" s="133"/>
      <c r="B542" s="133"/>
      <c r="C542" s="133"/>
      <c r="D542" s="133"/>
      <c r="E542" s="133"/>
      <c r="F542" s="133"/>
      <c r="G542" s="133"/>
      <c r="H542" s="133"/>
      <c r="I542" s="133"/>
    </row>
    <row r="543" spans="1:9">
      <c r="A543" s="133"/>
      <c r="B543" s="133"/>
      <c r="C543" s="133"/>
      <c r="D543" s="133"/>
      <c r="E543" s="133"/>
      <c r="F543" s="133"/>
      <c r="G543" s="133"/>
      <c r="H543" s="133"/>
      <c r="I543" s="133"/>
    </row>
    <row r="544" spans="1:9">
      <c r="A544" s="133"/>
      <c r="B544" s="133"/>
      <c r="C544" s="133"/>
      <c r="D544" s="133"/>
      <c r="E544" s="133"/>
      <c r="F544" s="133"/>
      <c r="G544" s="133"/>
      <c r="H544" s="133"/>
      <c r="I544" s="133"/>
    </row>
    <row r="545" spans="1:9">
      <c r="A545" s="133"/>
      <c r="B545" s="133"/>
      <c r="C545" s="133"/>
      <c r="D545" s="133"/>
      <c r="E545" s="133"/>
      <c r="F545" s="133"/>
      <c r="G545" s="133"/>
      <c r="H545" s="133"/>
      <c r="I545" s="133"/>
    </row>
    <row r="546" spans="1:9">
      <c r="A546" s="133"/>
      <c r="B546" s="133"/>
      <c r="C546" s="133"/>
      <c r="D546" s="133"/>
      <c r="E546" s="133"/>
      <c r="F546" s="133"/>
      <c r="G546" s="133"/>
      <c r="H546" s="133"/>
      <c r="I546" s="133"/>
    </row>
    <row r="547" spans="1:9">
      <c r="A547" s="133"/>
      <c r="B547" s="133"/>
      <c r="C547" s="133"/>
      <c r="D547" s="133"/>
      <c r="E547" s="133"/>
      <c r="F547" s="133"/>
      <c r="G547" s="133"/>
      <c r="H547" s="133"/>
      <c r="I547" s="133"/>
    </row>
    <row r="548" spans="1:9">
      <c r="A548" s="133"/>
      <c r="B548" s="133"/>
      <c r="C548" s="133"/>
      <c r="D548" s="133"/>
      <c r="E548" s="133"/>
      <c r="F548" s="133"/>
      <c r="G548" s="133"/>
      <c r="H548" s="133"/>
      <c r="I548" s="133"/>
    </row>
    <row r="549" spans="1:9">
      <c r="A549" s="133"/>
      <c r="B549" s="133"/>
      <c r="C549" s="133"/>
      <c r="D549" s="133"/>
      <c r="E549" s="133"/>
      <c r="F549" s="133"/>
      <c r="G549" s="133"/>
      <c r="H549" s="133"/>
      <c r="I549" s="133"/>
    </row>
    <row r="550" spans="1:9">
      <c r="A550" s="133"/>
      <c r="B550" s="133"/>
      <c r="C550" s="133"/>
      <c r="D550" s="133"/>
      <c r="E550" s="133"/>
      <c r="F550" s="133"/>
      <c r="G550" s="133"/>
      <c r="H550" s="133"/>
      <c r="I550" s="133"/>
    </row>
    <row r="551" spans="1:9">
      <c r="A551" s="133"/>
      <c r="B551" s="133"/>
      <c r="C551" s="133"/>
      <c r="D551" s="133"/>
      <c r="E551" s="133"/>
      <c r="F551" s="133"/>
      <c r="G551" s="133"/>
      <c r="H551" s="133"/>
      <c r="I551" s="133"/>
    </row>
    <row r="552" spans="1:9">
      <c r="A552" s="133"/>
      <c r="B552" s="133"/>
      <c r="C552" s="133"/>
      <c r="D552" s="133"/>
      <c r="E552" s="133"/>
      <c r="F552" s="133"/>
      <c r="G552" s="133"/>
      <c r="H552" s="133"/>
      <c r="I552" s="133"/>
    </row>
    <row r="553" spans="1:9">
      <c r="A553" s="133"/>
      <c r="B553" s="133"/>
      <c r="C553" s="133"/>
      <c r="D553" s="133"/>
      <c r="E553" s="133"/>
      <c r="F553" s="133"/>
      <c r="G553" s="133"/>
      <c r="H553" s="133"/>
      <c r="I553" s="133"/>
    </row>
    <row r="554" spans="1:9">
      <c r="A554" s="133"/>
      <c r="B554" s="133"/>
      <c r="C554" s="133"/>
      <c r="D554" s="133"/>
      <c r="E554" s="133"/>
      <c r="F554" s="133"/>
      <c r="G554" s="133"/>
      <c r="H554" s="133"/>
      <c r="I554" s="133"/>
    </row>
    <row r="555" spans="1:9">
      <c r="A555" s="133"/>
      <c r="B555" s="133"/>
      <c r="C555" s="133"/>
      <c r="D555" s="133"/>
      <c r="E555" s="133"/>
      <c r="F555" s="133"/>
      <c r="G555" s="133"/>
      <c r="H555" s="133"/>
      <c r="I555" s="133"/>
    </row>
    <row r="556" spans="1:9">
      <c r="A556" s="133"/>
      <c r="B556" s="133"/>
      <c r="C556" s="133"/>
      <c r="D556" s="133"/>
      <c r="E556" s="133"/>
      <c r="F556" s="133"/>
      <c r="G556" s="133"/>
      <c r="H556" s="133"/>
      <c r="I556" s="133"/>
    </row>
    <row r="557" spans="1:9">
      <c r="A557" s="133"/>
      <c r="B557" s="133"/>
      <c r="C557" s="133"/>
      <c r="D557" s="133"/>
      <c r="E557" s="133"/>
      <c r="F557" s="133"/>
      <c r="G557" s="133"/>
      <c r="H557" s="133"/>
      <c r="I557" s="133"/>
    </row>
    <row r="558" spans="1:9">
      <c r="A558" s="133"/>
      <c r="B558" s="133"/>
      <c r="C558" s="133"/>
      <c r="D558" s="133"/>
      <c r="E558" s="133"/>
      <c r="F558" s="133"/>
      <c r="G558" s="133"/>
      <c r="H558" s="133"/>
      <c r="I558" s="133"/>
    </row>
    <row r="559" spans="1:9">
      <c r="A559" s="133"/>
      <c r="B559" s="133"/>
      <c r="C559" s="133"/>
      <c r="D559" s="133"/>
      <c r="E559" s="133"/>
      <c r="F559" s="133"/>
      <c r="G559" s="133"/>
      <c r="H559" s="133"/>
      <c r="I559" s="133"/>
    </row>
    <row r="560" spans="1:9">
      <c r="A560" s="133"/>
      <c r="B560" s="133"/>
      <c r="C560" s="133"/>
      <c r="D560" s="133"/>
      <c r="E560" s="133"/>
      <c r="F560" s="133"/>
      <c r="G560" s="133"/>
      <c r="H560" s="133"/>
      <c r="I560" s="133"/>
    </row>
    <row r="561" spans="1:9">
      <c r="A561" s="133"/>
      <c r="B561" s="133"/>
      <c r="C561" s="133"/>
      <c r="D561" s="133"/>
      <c r="E561" s="133"/>
      <c r="F561" s="133"/>
      <c r="G561" s="133"/>
      <c r="H561" s="133"/>
      <c r="I561" s="133"/>
    </row>
    <row r="562" spans="1:9">
      <c r="A562" s="133"/>
      <c r="B562" s="133"/>
      <c r="C562" s="133"/>
      <c r="D562" s="133"/>
      <c r="E562" s="133"/>
      <c r="F562" s="133"/>
      <c r="G562" s="133"/>
      <c r="H562" s="133"/>
      <c r="I562" s="133"/>
    </row>
    <row r="563" spans="1:9">
      <c r="A563" s="133"/>
      <c r="B563" s="133"/>
      <c r="C563" s="133"/>
      <c r="D563" s="133"/>
      <c r="E563" s="133"/>
      <c r="F563" s="133"/>
      <c r="G563" s="133"/>
      <c r="H563" s="133"/>
      <c r="I563" s="133"/>
    </row>
    <row r="564" spans="1:9">
      <c r="A564" s="133"/>
      <c r="B564" s="133"/>
      <c r="C564" s="133"/>
      <c r="D564" s="133"/>
      <c r="E564" s="133"/>
      <c r="F564" s="133"/>
      <c r="G564" s="133"/>
      <c r="H564" s="133"/>
      <c r="I564" s="133"/>
    </row>
    <row r="565" spans="1:9">
      <c r="A565" s="133"/>
      <c r="B565" s="133"/>
      <c r="C565" s="133"/>
      <c r="D565" s="133"/>
      <c r="E565" s="133"/>
      <c r="F565" s="133"/>
      <c r="G565" s="133"/>
      <c r="H565" s="133"/>
      <c r="I565" s="133"/>
    </row>
    <row r="566" spans="1:9">
      <c r="A566" s="133"/>
      <c r="B566" s="133"/>
      <c r="C566" s="133"/>
      <c r="D566" s="133"/>
      <c r="E566" s="133"/>
      <c r="F566" s="133"/>
      <c r="G566" s="133"/>
      <c r="H566" s="133"/>
      <c r="I566" s="133"/>
    </row>
    <row r="567" spans="1:9">
      <c r="A567" s="133"/>
      <c r="B567" s="133"/>
      <c r="C567" s="133"/>
      <c r="D567" s="133"/>
      <c r="E567" s="133"/>
      <c r="F567" s="133"/>
      <c r="G567" s="133"/>
      <c r="H567" s="133"/>
      <c r="I567" s="133"/>
    </row>
    <row r="568" spans="1:9">
      <c r="A568" s="133"/>
      <c r="B568" s="133"/>
      <c r="C568" s="133"/>
      <c r="D568" s="133"/>
      <c r="E568" s="133"/>
      <c r="F568" s="133"/>
      <c r="G568" s="133"/>
      <c r="H568" s="133"/>
      <c r="I568" s="133"/>
    </row>
    <row r="569" spans="1:9">
      <c r="A569" s="133"/>
      <c r="B569" s="133"/>
      <c r="C569" s="133"/>
      <c r="D569" s="133"/>
      <c r="E569" s="133"/>
      <c r="F569" s="133"/>
      <c r="G569" s="133"/>
      <c r="H569" s="133"/>
      <c r="I569" s="133"/>
    </row>
    <row r="570" spans="1:9">
      <c r="A570" s="133"/>
      <c r="B570" s="133"/>
      <c r="C570" s="133"/>
      <c r="D570" s="133"/>
      <c r="E570" s="133"/>
      <c r="F570" s="133"/>
      <c r="G570" s="133"/>
      <c r="H570" s="133"/>
      <c r="I570" s="133"/>
    </row>
    <row r="571" spans="1:9">
      <c r="A571" s="133"/>
      <c r="B571" s="133"/>
      <c r="C571" s="133"/>
      <c r="D571" s="133"/>
      <c r="E571" s="133"/>
      <c r="F571" s="133"/>
      <c r="G571" s="133"/>
      <c r="H571" s="133"/>
      <c r="I571" s="133"/>
    </row>
    <row r="572" spans="1:9">
      <c r="A572" s="133"/>
      <c r="B572" s="133"/>
      <c r="C572" s="133"/>
      <c r="D572" s="133"/>
      <c r="E572" s="133"/>
      <c r="F572" s="133"/>
      <c r="G572" s="133"/>
      <c r="H572" s="133"/>
      <c r="I572" s="133"/>
    </row>
    <row r="573" spans="1:9">
      <c r="A573" s="133"/>
      <c r="B573" s="133"/>
      <c r="C573" s="133"/>
      <c r="D573" s="133"/>
      <c r="E573" s="133"/>
      <c r="F573" s="133"/>
      <c r="G573" s="133"/>
      <c r="H573" s="133"/>
      <c r="I573" s="133"/>
    </row>
    <row r="574" spans="1:9">
      <c r="A574" s="133"/>
      <c r="B574" s="133"/>
      <c r="C574" s="133"/>
      <c r="D574" s="133"/>
      <c r="E574" s="133"/>
      <c r="F574" s="133"/>
      <c r="G574" s="133"/>
      <c r="H574" s="133"/>
      <c r="I574" s="133"/>
    </row>
    <row r="575" spans="1:9">
      <c r="A575" s="133"/>
      <c r="B575" s="133"/>
      <c r="C575" s="133"/>
      <c r="D575" s="133"/>
      <c r="E575" s="133"/>
      <c r="F575" s="133"/>
      <c r="G575" s="133"/>
      <c r="H575" s="133"/>
      <c r="I575" s="133"/>
    </row>
    <row r="576" spans="1:9">
      <c r="A576" s="133"/>
      <c r="B576" s="133"/>
      <c r="C576" s="133"/>
      <c r="D576" s="133"/>
      <c r="E576" s="133"/>
      <c r="F576" s="133"/>
      <c r="G576" s="133"/>
      <c r="H576" s="133"/>
      <c r="I576" s="133"/>
    </row>
    <row r="577" spans="1:9">
      <c r="A577" s="133"/>
      <c r="B577" s="133"/>
      <c r="C577" s="133"/>
      <c r="D577" s="133"/>
      <c r="E577" s="133"/>
      <c r="F577" s="133"/>
      <c r="G577" s="133"/>
      <c r="H577" s="133"/>
      <c r="I577" s="133"/>
    </row>
    <row r="578" spans="1:9">
      <c r="A578" s="133"/>
      <c r="B578" s="133"/>
      <c r="C578" s="133"/>
      <c r="D578" s="133"/>
      <c r="E578" s="133"/>
      <c r="F578" s="133"/>
      <c r="G578" s="133"/>
      <c r="H578" s="133"/>
      <c r="I578" s="133"/>
    </row>
    <row r="579" spans="1:9">
      <c r="A579" s="133"/>
      <c r="B579" s="133"/>
      <c r="C579" s="133"/>
      <c r="D579" s="133"/>
      <c r="E579" s="133"/>
      <c r="F579" s="133"/>
      <c r="G579" s="133"/>
      <c r="H579" s="133"/>
      <c r="I579" s="133"/>
    </row>
    <row r="580" spans="1:9">
      <c r="A580" s="133"/>
      <c r="B580" s="133"/>
      <c r="C580" s="133"/>
      <c r="D580" s="133"/>
      <c r="E580" s="133"/>
      <c r="F580" s="133"/>
      <c r="G580" s="133"/>
      <c r="H580" s="133"/>
      <c r="I580" s="133"/>
    </row>
    <row r="581" spans="1:9">
      <c r="A581" s="133"/>
      <c r="B581" s="133"/>
      <c r="C581" s="133"/>
      <c r="D581" s="133"/>
      <c r="E581" s="133"/>
      <c r="F581" s="133"/>
      <c r="G581" s="133"/>
      <c r="H581" s="133"/>
      <c r="I581" s="133"/>
    </row>
    <row r="582" spans="1:9">
      <c r="A582" s="133"/>
      <c r="B582" s="133"/>
      <c r="C582" s="133"/>
      <c r="D582" s="133"/>
      <c r="E582" s="133"/>
      <c r="F582" s="133"/>
      <c r="G582" s="133"/>
      <c r="H582" s="133"/>
      <c r="I582" s="133"/>
    </row>
    <row r="583" spans="1:9">
      <c r="A583" s="133"/>
      <c r="B583" s="133"/>
      <c r="C583" s="133"/>
      <c r="D583" s="133"/>
      <c r="E583" s="133"/>
      <c r="F583" s="133"/>
      <c r="G583" s="133"/>
      <c r="H583" s="133"/>
      <c r="I583" s="133"/>
    </row>
    <row r="584" spans="1:9">
      <c r="A584" s="133"/>
      <c r="B584" s="133"/>
      <c r="C584" s="133"/>
      <c r="D584" s="133"/>
      <c r="E584" s="133"/>
      <c r="F584" s="133"/>
      <c r="G584" s="133"/>
      <c r="H584" s="133"/>
      <c r="I584" s="133"/>
    </row>
    <row r="585" spans="1:9">
      <c r="A585" s="133"/>
      <c r="B585" s="133"/>
      <c r="C585" s="133"/>
      <c r="D585" s="133"/>
      <c r="E585" s="133"/>
      <c r="F585" s="133"/>
      <c r="G585" s="133"/>
      <c r="H585" s="133"/>
      <c r="I585" s="133"/>
    </row>
    <row r="586" spans="1:9">
      <c r="A586" s="133"/>
      <c r="B586" s="133"/>
      <c r="C586" s="133"/>
      <c r="D586" s="133"/>
      <c r="E586" s="133"/>
      <c r="F586" s="133"/>
      <c r="G586" s="133"/>
      <c r="H586" s="133"/>
      <c r="I586" s="133"/>
    </row>
    <row r="587" spans="1:9">
      <c r="A587" s="133"/>
      <c r="B587" s="133"/>
      <c r="C587" s="133"/>
      <c r="D587" s="133"/>
      <c r="E587" s="133"/>
      <c r="F587" s="133"/>
      <c r="G587" s="133"/>
      <c r="H587" s="133"/>
      <c r="I587" s="133"/>
    </row>
    <row r="588" spans="1:9">
      <c r="A588" s="133"/>
      <c r="B588" s="133"/>
      <c r="C588" s="133"/>
      <c r="D588" s="133"/>
      <c r="E588" s="133"/>
      <c r="F588" s="133"/>
      <c r="G588" s="133"/>
      <c r="H588" s="133"/>
      <c r="I588" s="133"/>
    </row>
    <row r="589" spans="1:9">
      <c r="A589" s="133"/>
      <c r="B589" s="133"/>
      <c r="C589" s="133"/>
      <c r="D589" s="133"/>
      <c r="E589" s="133"/>
      <c r="F589" s="133"/>
      <c r="G589" s="133"/>
      <c r="H589" s="133"/>
      <c r="I589" s="133"/>
    </row>
    <row r="590" spans="1:9">
      <c r="A590" s="133"/>
      <c r="B590" s="133"/>
      <c r="C590" s="133"/>
      <c r="D590" s="133"/>
      <c r="E590" s="133"/>
      <c r="F590" s="133"/>
      <c r="G590" s="133"/>
      <c r="H590" s="133"/>
      <c r="I590" s="133"/>
    </row>
    <row r="591" spans="1:9">
      <c r="A591" s="133"/>
      <c r="B591" s="133"/>
      <c r="C591" s="133"/>
      <c r="D591" s="133"/>
      <c r="E591" s="133"/>
      <c r="F591" s="133"/>
      <c r="G591" s="133"/>
      <c r="H591" s="133"/>
      <c r="I591" s="133"/>
    </row>
    <row r="592" spans="1:9">
      <c r="A592" s="133"/>
      <c r="B592" s="133"/>
      <c r="C592" s="133"/>
      <c r="D592" s="133"/>
      <c r="E592" s="133"/>
      <c r="F592" s="133"/>
      <c r="G592" s="133"/>
      <c r="H592" s="133"/>
      <c r="I592" s="133"/>
    </row>
    <row r="593" spans="1:9">
      <c r="A593" s="133"/>
      <c r="B593" s="133"/>
      <c r="C593" s="133"/>
      <c r="D593" s="133"/>
      <c r="E593" s="133"/>
      <c r="F593" s="133"/>
      <c r="G593" s="133"/>
      <c r="H593" s="133"/>
      <c r="I593" s="133"/>
    </row>
    <row r="594" spans="1:9">
      <c r="A594" s="133"/>
      <c r="B594" s="133"/>
      <c r="C594" s="133"/>
      <c r="D594" s="133"/>
      <c r="E594" s="133"/>
      <c r="F594" s="133"/>
      <c r="G594" s="133"/>
      <c r="H594" s="133"/>
      <c r="I594" s="133"/>
    </row>
    <row r="595" spans="1:9">
      <c r="A595" s="133"/>
      <c r="B595" s="133"/>
      <c r="C595" s="133"/>
      <c r="D595" s="133"/>
      <c r="E595" s="133"/>
      <c r="F595" s="133"/>
      <c r="G595" s="133"/>
      <c r="H595" s="133"/>
      <c r="I595" s="133"/>
    </row>
    <row r="596" spans="1:9">
      <c r="A596" s="133"/>
      <c r="B596" s="133"/>
      <c r="C596" s="133"/>
      <c r="D596" s="133"/>
      <c r="E596" s="133"/>
      <c r="F596" s="133"/>
      <c r="G596" s="133"/>
      <c r="H596" s="133"/>
      <c r="I596" s="133"/>
    </row>
    <row r="597" spans="1:9">
      <c r="A597" s="133"/>
      <c r="B597" s="133"/>
      <c r="C597" s="133"/>
      <c r="D597" s="133"/>
      <c r="E597" s="133"/>
      <c r="F597" s="133"/>
      <c r="G597" s="133"/>
      <c r="H597" s="133"/>
      <c r="I597" s="133"/>
    </row>
    <row r="598" spans="1:9">
      <c r="A598" s="133"/>
      <c r="B598" s="133"/>
      <c r="C598" s="133"/>
      <c r="D598" s="133"/>
      <c r="E598" s="133"/>
      <c r="F598" s="133"/>
      <c r="G598" s="133"/>
      <c r="H598" s="133"/>
      <c r="I598" s="133"/>
    </row>
    <row r="599" spans="1:9">
      <c r="A599" s="133"/>
      <c r="B599" s="133"/>
      <c r="C599" s="133"/>
      <c r="D599" s="133"/>
      <c r="E599" s="133"/>
      <c r="F599" s="133"/>
      <c r="G599" s="133"/>
      <c r="H599" s="133"/>
      <c r="I599" s="133"/>
    </row>
    <row r="600" spans="1:9">
      <c r="A600" s="133"/>
      <c r="B600" s="133"/>
      <c r="C600" s="133"/>
      <c r="D600" s="133"/>
      <c r="E600" s="133"/>
      <c r="F600" s="133"/>
      <c r="G600" s="133"/>
      <c r="H600" s="133"/>
      <c r="I600" s="133"/>
    </row>
    <row r="601" spans="1:9">
      <c r="A601" s="133"/>
      <c r="B601" s="133"/>
      <c r="C601" s="133"/>
      <c r="D601" s="133"/>
      <c r="E601" s="133"/>
      <c r="F601" s="133"/>
      <c r="G601" s="133"/>
      <c r="H601" s="133"/>
      <c r="I601" s="133"/>
    </row>
    <row r="602" spans="1:9">
      <c r="A602" s="133"/>
      <c r="B602" s="133"/>
      <c r="C602" s="133"/>
      <c r="D602" s="133"/>
      <c r="E602" s="133"/>
      <c r="F602" s="133"/>
      <c r="G602" s="133"/>
      <c r="H602" s="133"/>
      <c r="I602" s="133"/>
    </row>
    <row r="603" spans="1:9">
      <c r="A603" s="133"/>
      <c r="B603" s="133"/>
      <c r="C603" s="133"/>
      <c r="D603" s="133"/>
      <c r="E603" s="133"/>
      <c r="F603" s="133"/>
      <c r="G603" s="133"/>
      <c r="H603" s="133"/>
      <c r="I603" s="133"/>
    </row>
    <row r="604" spans="1:9">
      <c r="A604" s="133"/>
      <c r="B604" s="133"/>
      <c r="C604" s="133"/>
      <c r="D604" s="133"/>
      <c r="E604" s="133"/>
      <c r="F604" s="133"/>
      <c r="G604" s="133"/>
      <c r="H604" s="133"/>
      <c r="I604" s="133"/>
    </row>
    <row r="605" spans="1:9">
      <c r="A605" s="133"/>
      <c r="B605" s="133"/>
      <c r="C605" s="133"/>
      <c r="D605" s="133"/>
      <c r="E605" s="133"/>
      <c r="F605" s="133"/>
      <c r="G605" s="133"/>
      <c r="H605" s="133"/>
      <c r="I605" s="133"/>
    </row>
    <row r="606" spans="1:9">
      <c r="A606" s="133"/>
      <c r="B606" s="133"/>
      <c r="C606" s="133"/>
      <c r="D606" s="133"/>
      <c r="E606" s="133"/>
      <c r="F606" s="133"/>
      <c r="G606" s="133"/>
      <c r="H606" s="133"/>
      <c r="I606" s="133"/>
    </row>
    <row r="607" spans="1:9">
      <c r="A607" s="133"/>
      <c r="B607" s="133"/>
      <c r="C607" s="133"/>
      <c r="D607" s="133"/>
      <c r="E607" s="133"/>
      <c r="F607" s="133"/>
      <c r="G607" s="133"/>
      <c r="H607" s="133"/>
      <c r="I607" s="133"/>
    </row>
    <row r="608" spans="1:9">
      <c r="A608" s="133"/>
      <c r="B608" s="133"/>
      <c r="C608" s="133"/>
      <c r="D608" s="133"/>
      <c r="E608" s="133"/>
      <c r="F608" s="133"/>
      <c r="G608" s="133"/>
      <c r="H608" s="133"/>
      <c r="I608" s="133"/>
    </row>
    <row r="609" spans="1:9">
      <c r="A609" s="133"/>
      <c r="B609" s="133"/>
      <c r="C609" s="133"/>
      <c r="D609" s="133"/>
      <c r="E609" s="133"/>
      <c r="F609" s="133"/>
      <c r="G609" s="133"/>
      <c r="H609" s="133"/>
      <c r="I609" s="133"/>
    </row>
    <row r="610" spans="1:9">
      <c r="A610" s="133"/>
      <c r="B610" s="133"/>
      <c r="C610" s="133"/>
      <c r="D610" s="133"/>
      <c r="E610" s="133"/>
      <c r="F610" s="133"/>
      <c r="G610" s="133"/>
      <c r="H610" s="133"/>
      <c r="I610" s="133"/>
    </row>
    <row r="611" spans="1:9">
      <c r="A611" s="133"/>
      <c r="B611" s="133"/>
      <c r="C611" s="133"/>
      <c r="D611" s="133"/>
      <c r="E611" s="133"/>
      <c r="F611" s="133"/>
      <c r="G611" s="133"/>
      <c r="H611" s="133"/>
      <c r="I611" s="133"/>
    </row>
    <row r="612" spans="1:9">
      <c r="A612" s="133"/>
      <c r="B612" s="133"/>
      <c r="C612" s="133"/>
      <c r="D612" s="133"/>
      <c r="E612" s="133"/>
      <c r="F612" s="133"/>
      <c r="G612" s="133"/>
      <c r="H612" s="133"/>
      <c r="I612" s="133"/>
    </row>
    <row r="613" spans="1:9">
      <c r="A613" s="133"/>
      <c r="B613" s="133"/>
      <c r="C613" s="133"/>
      <c r="D613" s="133"/>
      <c r="E613" s="133"/>
      <c r="F613" s="133"/>
      <c r="G613" s="133"/>
      <c r="H613" s="133"/>
      <c r="I613" s="133"/>
    </row>
    <row r="614" spans="1:9">
      <c r="A614" s="133"/>
      <c r="B614" s="133"/>
      <c r="C614" s="133"/>
      <c r="D614" s="133"/>
      <c r="E614" s="133"/>
      <c r="F614" s="133"/>
      <c r="G614" s="133"/>
      <c r="H614" s="133"/>
      <c r="I614" s="133"/>
    </row>
    <row r="615" spans="1:9">
      <c r="A615" s="133"/>
      <c r="B615" s="133"/>
      <c r="C615" s="133"/>
      <c r="D615" s="133"/>
      <c r="E615" s="133"/>
      <c r="F615" s="133"/>
      <c r="G615" s="133"/>
      <c r="H615" s="133"/>
      <c r="I615" s="133"/>
    </row>
    <row r="616" spans="1:9">
      <c r="A616" s="133"/>
      <c r="B616" s="133"/>
      <c r="C616" s="133"/>
      <c r="D616" s="133"/>
      <c r="E616" s="133"/>
      <c r="F616" s="133"/>
      <c r="G616" s="133"/>
      <c r="H616" s="133"/>
      <c r="I616" s="133"/>
    </row>
    <row r="617" spans="1:9">
      <c r="A617" s="133"/>
      <c r="B617" s="133"/>
      <c r="C617" s="133"/>
      <c r="D617" s="133"/>
      <c r="E617" s="133"/>
      <c r="F617" s="133"/>
      <c r="G617" s="133"/>
      <c r="H617" s="133"/>
      <c r="I617" s="133"/>
    </row>
    <row r="618" spans="1:9">
      <c r="A618" s="133"/>
      <c r="B618" s="133"/>
      <c r="C618" s="133"/>
      <c r="D618" s="133"/>
      <c r="E618" s="133"/>
      <c r="F618" s="133"/>
      <c r="G618" s="133"/>
      <c r="H618" s="133"/>
      <c r="I618" s="133"/>
    </row>
    <row r="619" spans="1:9">
      <c r="A619" s="133"/>
      <c r="B619" s="133"/>
      <c r="C619" s="133"/>
      <c r="D619" s="133"/>
      <c r="E619" s="133"/>
      <c r="F619" s="133"/>
      <c r="G619" s="133"/>
      <c r="H619" s="133"/>
      <c r="I619" s="133"/>
    </row>
    <row r="620" spans="1:9">
      <c r="A620" s="133"/>
      <c r="B620" s="133"/>
      <c r="C620" s="133"/>
      <c r="D620" s="133"/>
      <c r="E620" s="133"/>
      <c r="F620" s="133"/>
      <c r="G620" s="133"/>
      <c r="H620" s="133"/>
      <c r="I620" s="133"/>
    </row>
    <row r="621" spans="1:9">
      <c r="A621" s="133"/>
      <c r="B621" s="133"/>
      <c r="C621" s="133"/>
      <c r="D621" s="133"/>
      <c r="E621" s="133"/>
      <c r="F621" s="133"/>
      <c r="G621" s="133"/>
      <c r="H621" s="133"/>
      <c r="I621" s="133"/>
    </row>
    <row r="622" spans="1:9">
      <c r="A622" s="133"/>
      <c r="B622" s="133"/>
      <c r="C622" s="133"/>
      <c r="D622" s="133"/>
      <c r="E622" s="133"/>
      <c r="F622" s="133"/>
      <c r="G622" s="133"/>
      <c r="H622" s="133"/>
      <c r="I622" s="133"/>
    </row>
    <row r="623" spans="1:9">
      <c r="A623" s="133"/>
      <c r="B623" s="133"/>
      <c r="C623" s="133"/>
      <c r="D623" s="133"/>
      <c r="E623" s="133"/>
      <c r="F623" s="133"/>
      <c r="G623" s="133"/>
      <c r="H623" s="133"/>
      <c r="I623" s="133"/>
    </row>
    <row r="624" spans="1:9">
      <c r="A624" s="133"/>
      <c r="B624" s="133"/>
      <c r="C624" s="133"/>
      <c r="D624" s="133"/>
      <c r="E624" s="133"/>
      <c r="F624" s="133"/>
      <c r="G624" s="133"/>
      <c r="H624" s="133"/>
      <c r="I624" s="133"/>
    </row>
    <row r="625" spans="1:9">
      <c r="A625" s="133"/>
      <c r="B625" s="133"/>
      <c r="C625" s="133"/>
      <c r="D625" s="133"/>
      <c r="E625" s="133"/>
      <c r="F625" s="133"/>
      <c r="G625" s="133"/>
      <c r="H625" s="133"/>
      <c r="I625" s="133"/>
    </row>
    <row r="626" spans="1:9">
      <c r="A626" s="133"/>
      <c r="B626" s="133"/>
      <c r="C626" s="133"/>
      <c r="D626" s="133"/>
      <c r="E626" s="133"/>
      <c r="F626" s="133"/>
      <c r="G626" s="133"/>
      <c r="H626" s="133"/>
      <c r="I626" s="133"/>
    </row>
    <row r="627" spans="1:9">
      <c r="A627" s="133"/>
      <c r="B627" s="133"/>
      <c r="C627" s="133"/>
      <c r="D627" s="133"/>
      <c r="E627" s="133"/>
      <c r="F627" s="133"/>
      <c r="G627" s="133"/>
      <c r="H627" s="133"/>
      <c r="I627" s="133"/>
    </row>
    <row r="628" spans="1:9">
      <c r="A628" s="133"/>
      <c r="B628" s="133"/>
      <c r="C628" s="133"/>
      <c r="D628" s="133"/>
      <c r="E628" s="133"/>
      <c r="F628" s="133"/>
      <c r="G628" s="133"/>
      <c r="H628" s="133"/>
      <c r="I628" s="133"/>
    </row>
    <row r="629" spans="1:9">
      <c r="A629" s="133"/>
      <c r="B629" s="133"/>
      <c r="C629" s="133"/>
      <c r="D629" s="133"/>
      <c r="E629" s="133"/>
      <c r="F629" s="133"/>
      <c r="G629" s="133"/>
      <c r="H629" s="133"/>
      <c r="I629" s="133"/>
    </row>
    <row r="630" spans="1:9">
      <c r="A630" s="133"/>
      <c r="B630" s="133"/>
      <c r="C630" s="133"/>
      <c r="D630" s="133"/>
      <c r="E630" s="133"/>
      <c r="F630" s="133"/>
      <c r="G630" s="133"/>
      <c r="H630" s="133"/>
      <c r="I630" s="133"/>
    </row>
    <row r="631" spans="1:9">
      <c r="A631" s="133"/>
      <c r="B631" s="133"/>
      <c r="C631" s="133"/>
      <c r="D631" s="133"/>
      <c r="E631" s="133"/>
      <c r="F631" s="133"/>
      <c r="G631" s="133"/>
      <c r="H631" s="133"/>
      <c r="I631" s="133"/>
    </row>
    <row r="632" spans="1:9">
      <c r="A632" s="133"/>
      <c r="B632" s="133"/>
      <c r="C632" s="133"/>
      <c r="D632" s="133"/>
      <c r="E632" s="133"/>
      <c r="F632" s="133"/>
      <c r="G632" s="133"/>
      <c r="H632" s="133"/>
      <c r="I632" s="133"/>
    </row>
    <row r="633" spans="1:9">
      <c r="A633" s="133"/>
      <c r="B633" s="133"/>
      <c r="C633" s="133"/>
      <c r="D633" s="133"/>
      <c r="E633" s="133"/>
      <c r="F633" s="133"/>
      <c r="G633" s="133"/>
      <c r="H633" s="133"/>
      <c r="I633" s="133"/>
    </row>
    <row r="634" spans="1:9">
      <c r="A634" s="133"/>
      <c r="B634" s="133"/>
      <c r="C634" s="133"/>
      <c r="D634" s="133"/>
      <c r="E634" s="133"/>
      <c r="F634" s="133"/>
      <c r="G634" s="133"/>
      <c r="H634" s="133"/>
      <c r="I634" s="133"/>
    </row>
    <row r="635" spans="1:9">
      <c r="A635" s="133"/>
      <c r="B635" s="133"/>
      <c r="C635" s="133"/>
      <c r="D635" s="133"/>
      <c r="E635" s="133"/>
      <c r="F635" s="133"/>
      <c r="G635" s="133"/>
      <c r="H635" s="133"/>
      <c r="I635" s="133"/>
    </row>
    <row r="636" spans="1:9">
      <c r="A636" s="133"/>
      <c r="B636" s="133"/>
      <c r="C636" s="133"/>
      <c r="D636" s="133"/>
      <c r="E636" s="133"/>
      <c r="F636" s="133"/>
      <c r="G636" s="133"/>
      <c r="H636" s="133"/>
      <c r="I636" s="133"/>
    </row>
    <row r="637" spans="1:9">
      <c r="A637" s="133"/>
      <c r="B637" s="133"/>
      <c r="C637" s="133"/>
      <c r="D637" s="133"/>
      <c r="E637" s="133"/>
      <c r="F637" s="133"/>
      <c r="G637" s="133"/>
      <c r="H637" s="133"/>
      <c r="I637" s="133"/>
    </row>
    <row r="638" spans="1:9">
      <c r="A638" s="133"/>
      <c r="B638" s="133"/>
      <c r="C638" s="133"/>
      <c r="D638" s="133"/>
      <c r="E638" s="133"/>
      <c r="F638" s="133"/>
      <c r="G638" s="133"/>
      <c r="H638" s="133"/>
      <c r="I638" s="133"/>
    </row>
    <row r="639" spans="1:9">
      <c r="A639" s="133"/>
      <c r="B639" s="133"/>
      <c r="C639" s="133"/>
      <c r="D639" s="133"/>
      <c r="E639" s="133"/>
      <c r="F639" s="133"/>
      <c r="G639" s="133"/>
      <c r="H639" s="133"/>
      <c r="I639" s="133"/>
    </row>
    <row r="640" spans="1:9">
      <c r="A640" s="133"/>
      <c r="B640" s="133"/>
      <c r="C640" s="133"/>
      <c r="D640" s="133"/>
      <c r="E640" s="133"/>
      <c r="F640" s="133"/>
      <c r="G640" s="133"/>
      <c r="H640" s="133"/>
      <c r="I640" s="133"/>
    </row>
    <row r="641" spans="1:9">
      <c r="A641" s="133"/>
      <c r="B641" s="133"/>
      <c r="C641" s="133"/>
      <c r="D641" s="133"/>
      <c r="E641" s="133"/>
      <c r="F641" s="133"/>
      <c r="G641" s="133"/>
      <c r="H641" s="133"/>
      <c r="I641" s="133"/>
    </row>
    <row r="642" spans="1:9">
      <c r="A642" s="133"/>
      <c r="B642" s="133"/>
      <c r="C642" s="133"/>
      <c r="D642" s="133"/>
      <c r="E642" s="133"/>
      <c r="F642" s="133"/>
      <c r="G642" s="133"/>
      <c r="H642" s="133"/>
      <c r="I642" s="133"/>
    </row>
    <row r="643" spans="1:9">
      <c r="A643" s="133"/>
      <c r="B643" s="133"/>
      <c r="C643" s="133"/>
      <c r="D643" s="133"/>
      <c r="E643" s="133"/>
      <c r="F643" s="133"/>
      <c r="G643" s="133"/>
      <c r="H643" s="133"/>
      <c r="I643" s="133"/>
    </row>
    <row r="644" spans="1:9">
      <c r="A644" s="133"/>
      <c r="B644" s="133"/>
      <c r="C644" s="133"/>
      <c r="D644" s="133"/>
      <c r="E644" s="133"/>
      <c r="F644" s="133"/>
      <c r="G644" s="133"/>
      <c r="H644" s="133"/>
      <c r="I644" s="133"/>
    </row>
    <row r="645" spans="1:9">
      <c r="A645" s="133"/>
      <c r="B645" s="133"/>
      <c r="C645" s="133"/>
      <c r="D645" s="133"/>
      <c r="E645" s="133"/>
      <c r="F645" s="133"/>
      <c r="G645" s="133"/>
      <c r="H645" s="133"/>
      <c r="I645" s="133"/>
    </row>
    <row r="646" spans="1:9">
      <c r="A646" s="133"/>
      <c r="B646" s="133"/>
      <c r="C646" s="133"/>
      <c r="D646" s="133"/>
      <c r="E646" s="133"/>
      <c r="F646" s="133"/>
      <c r="G646" s="133"/>
      <c r="H646" s="133"/>
      <c r="I646" s="133"/>
    </row>
    <row r="647" spans="1:9">
      <c r="A647" s="133"/>
      <c r="B647" s="133"/>
      <c r="C647" s="133"/>
      <c r="D647" s="133"/>
      <c r="E647" s="133"/>
      <c r="F647" s="133"/>
      <c r="G647" s="133"/>
      <c r="H647" s="133"/>
      <c r="I647" s="133"/>
    </row>
    <row r="648" spans="1:9">
      <c r="A648" s="133"/>
      <c r="B648" s="133"/>
      <c r="C648" s="133"/>
      <c r="D648" s="133"/>
      <c r="E648" s="133"/>
      <c r="F648" s="133"/>
      <c r="G648" s="133"/>
      <c r="H648" s="133"/>
      <c r="I648" s="133"/>
    </row>
    <row r="649" spans="1:9">
      <c r="A649" s="133"/>
      <c r="B649" s="133"/>
      <c r="C649" s="133"/>
      <c r="D649" s="133"/>
      <c r="E649" s="133"/>
      <c r="F649" s="133"/>
      <c r="G649" s="133"/>
      <c r="H649" s="133"/>
      <c r="I649" s="133"/>
    </row>
    <row r="650" spans="1:9">
      <c r="A650" s="133"/>
      <c r="B650" s="133"/>
      <c r="C650" s="133"/>
      <c r="D650" s="133"/>
      <c r="E650" s="133"/>
      <c r="F650" s="133"/>
      <c r="G650" s="133"/>
      <c r="H650" s="133"/>
      <c r="I650" s="133"/>
    </row>
    <row r="651" spans="1:9">
      <c r="A651" s="133"/>
      <c r="B651" s="133"/>
      <c r="C651" s="133"/>
      <c r="D651" s="133"/>
      <c r="E651" s="133"/>
      <c r="F651" s="133"/>
      <c r="G651" s="133"/>
      <c r="H651" s="133"/>
      <c r="I651" s="133"/>
    </row>
    <row r="652" spans="1:9">
      <c r="A652" s="133"/>
      <c r="B652" s="133"/>
      <c r="C652" s="133"/>
      <c r="D652" s="133"/>
      <c r="E652" s="133"/>
      <c r="F652" s="133"/>
      <c r="G652" s="133"/>
      <c r="H652" s="133"/>
      <c r="I652" s="133"/>
    </row>
    <row r="653" spans="1:9">
      <c r="A653" s="133"/>
      <c r="B653" s="133"/>
      <c r="C653" s="133"/>
      <c r="D653" s="133"/>
      <c r="E653" s="133"/>
      <c r="F653" s="133"/>
      <c r="G653" s="133"/>
      <c r="H653" s="133"/>
      <c r="I653" s="133"/>
    </row>
    <row r="654" spans="1:9">
      <c r="A654" s="133"/>
      <c r="B654" s="133"/>
      <c r="C654" s="133"/>
      <c r="D654" s="133"/>
      <c r="E654" s="133"/>
      <c r="F654" s="133"/>
      <c r="G654" s="133"/>
      <c r="H654" s="133"/>
      <c r="I654" s="133"/>
    </row>
    <row r="655" spans="1:9">
      <c r="A655" s="133"/>
      <c r="B655" s="133"/>
      <c r="C655" s="133"/>
      <c r="D655" s="133"/>
      <c r="E655" s="133"/>
      <c r="F655" s="133"/>
      <c r="G655" s="133"/>
      <c r="H655" s="133"/>
      <c r="I655" s="133"/>
    </row>
    <row r="656" spans="1:9">
      <c r="A656" s="133"/>
      <c r="B656" s="133"/>
      <c r="C656" s="133"/>
      <c r="D656" s="133"/>
      <c r="E656" s="133"/>
      <c r="F656" s="133"/>
      <c r="G656" s="133"/>
      <c r="H656" s="133"/>
      <c r="I656" s="133"/>
    </row>
    <row r="657" spans="1:9">
      <c r="A657" s="133"/>
      <c r="B657" s="133"/>
      <c r="C657" s="133"/>
      <c r="D657" s="133"/>
      <c r="E657" s="133"/>
      <c r="F657" s="133"/>
      <c r="G657" s="133"/>
      <c r="H657" s="133"/>
      <c r="I657" s="133"/>
    </row>
    <row r="658" spans="1:9">
      <c r="A658" s="133"/>
      <c r="B658" s="133"/>
      <c r="C658" s="133"/>
      <c r="D658" s="133"/>
      <c r="E658" s="133"/>
      <c r="F658" s="133"/>
      <c r="G658" s="133"/>
      <c r="H658" s="133"/>
      <c r="I658" s="133"/>
    </row>
    <row r="659" spans="1:9">
      <c r="A659" s="133"/>
      <c r="B659" s="133"/>
      <c r="C659" s="133"/>
      <c r="D659" s="133"/>
      <c r="E659" s="133"/>
      <c r="F659" s="133"/>
      <c r="G659" s="133"/>
      <c r="H659" s="133"/>
      <c r="I659" s="133"/>
    </row>
    <row r="660" spans="1:9">
      <c r="A660" s="133"/>
      <c r="B660" s="133"/>
      <c r="C660" s="133"/>
      <c r="D660" s="133"/>
      <c r="E660" s="133"/>
      <c r="F660" s="133"/>
      <c r="G660" s="133"/>
      <c r="H660" s="133"/>
      <c r="I660" s="133"/>
    </row>
    <row r="661" spans="1:9">
      <c r="A661" s="133"/>
      <c r="B661" s="133"/>
      <c r="C661" s="133"/>
      <c r="D661" s="133"/>
      <c r="E661" s="133"/>
      <c r="F661" s="133"/>
      <c r="G661" s="133"/>
      <c r="H661" s="133"/>
      <c r="I661" s="133"/>
    </row>
    <row r="662" spans="1:9">
      <c r="A662" s="133"/>
      <c r="B662" s="133"/>
      <c r="C662" s="133"/>
      <c r="D662" s="133"/>
      <c r="E662" s="133"/>
      <c r="F662" s="133"/>
      <c r="G662" s="133"/>
      <c r="H662" s="133"/>
      <c r="I662" s="133"/>
    </row>
    <row r="663" spans="1:9">
      <c r="A663" s="133"/>
      <c r="B663" s="133"/>
      <c r="C663" s="133"/>
      <c r="D663" s="133"/>
      <c r="E663" s="133"/>
      <c r="F663" s="133"/>
      <c r="G663" s="133"/>
      <c r="H663" s="133"/>
      <c r="I663" s="133"/>
    </row>
    <row r="664" spans="1:9">
      <c r="A664" s="133"/>
      <c r="B664" s="133"/>
      <c r="C664" s="133"/>
      <c r="D664" s="133"/>
      <c r="E664" s="133"/>
      <c r="F664" s="133"/>
      <c r="G664" s="133"/>
      <c r="H664" s="133"/>
      <c r="I664" s="133"/>
    </row>
    <row r="665" spans="1:9">
      <c r="A665" s="133"/>
      <c r="B665" s="133"/>
      <c r="C665" s="133"/>
      <c r="D665" s="133"/>
      <c r="E665" s="133"/>
      <c r="F665" s="133"/>
      <c r="G665" s="133"/>
      <c r="H665" s="133"/>
      <c r="I665" s="133"/>
    </row>
    <row r="666" spans="1:9">
      <c r="A666" s="133"/>
      <c r="B666" s="133"/>
      <c r="C666" s="133"/>
      <c r="D666" s="133"/>
      <c r="E666" s="133"/>
      <c r="F666" s="133"/>
      <c r="G666" s="133"/>
      <c r="H666" s="133"/>
      <c r="I666" s="133"/>
    </row>
    <row r="667" spans="1:9">
      <c r="A667" s="133"/>
      <c r="B667" s="133"/>
      <c r="C667" s="133"/>
      <c r="D667" s="133"/>
      <c r="E667" s="133"/>
      <c r="F667" s="133"/>
      <c r="G667" s="133"/>
      <c r="H667" s="133"/>
      <c r="I667" s="133"/>
    </row>
    <row r="668" spans="1:9">
      <c r="A668" s="133"/>
      <c r="B668" s="133"/>
      <c r="C668" s="133"/>
      <c r="D668" s="133"/>
      <c r="E668" s="133"/>
      <c r="F668" s="133"/>
      <c r="G668" s="133"/>
      <c r="H668" s="133"/>
      <c r="I668" s="133"/>
    </row>
    <row r="669" spans="1:9">
      <c r="A669" s="133"/>
      <c r="B669" s="133"/>
      <c r="C669" s="133"/>
      <c r="D669" s="133"/>
      <c r="E669" s="133"/>
      <c r="F669" s="133"/>
      <c r="G669" s="133"/>
      <c r="H669" s="133"/>
      <c r="I669" s="133"/>
    </row>
    <row r="670" spans="1:9">
      <c r="A670" s="133"/>
      <c r="B670" s="133"/>
      <c r="C670" s="133"/>
      <c r="D670" s="133"/>
      <c r="E670" s="133"/>
      <c r="F670" s="133"/>
      <c r="G670" s="133"/>
      <c r="H670" s="133"/>
      <c r="I670" s="133"/>
    </row>
    <row r="671" spans="1:9">
      <c r="A671" s="133"/>
      <c r="B671" s="133"/>
      <c r="C671" s="133"/>
      <c r="D671" s="133"/>
      <c r="E671" s="133"/>
      <c r="F671" s="133"/>
      <c r="G671" s="133"/>
      <c r="H671" s="133"/>
      <c r="I671" s="133"/>
    </row>
    <row r="672" spans="1:9">
      <c r="A672" s="133"/>
      <c r="B672" s="133"/>
      <c r="C672" s="133"/>
      <c r="D672" s="133"/>
      <c r="E672" s="133"/>
      <c r="F672" s="133"/>
      <c r="G672" s="133"/>
      <c r="H672" s="133"/>
      <c r="I672" s="133"/>
    </row>
    <row r="673" spans="1:9">
      <c r="A673" s="133"/>
      <c r="B673" s="133"/>
      <c r="C673" s="133"/>
      <c r="D673" s="133"/>
      <c r="E673" s="133"/>
      <c r="F673" s="133"/>
      <c r="G673" s="133"/>
      <c r="H673" s="133"/>
      <c r="I673" s="133"/>
    </row>
    <row r="674" spans="1:9">
      <c r="A674" s="133"/>
      <c r="B674" s="133"/>
      <c r="C674" s="133"/>
      <c r="D674" s="133"/>
      <c r="E674" s="133"/>
      <c r="F674" s="133"/>
      <c r="G674" s="133"/>
      <c r="H674" s="133"/>
      <c r="I674" s="133"/>
    </row>
    <row r="675" spans="1:9">
      <c r="A675" s="133"/>
      <c r="B675" s="133"/>
      <c r="C675" s="133"/>
      <c r="D675" s="133"/>
      <c r="E675" s="133"/>
      <c r="F675" s="133"/>
      <c r="G675" s="133"/>
      <c r="H675" s="133"/>
      <c r="I675" s="133"/>
    </row>
    <row r="676" spans="1:9">
      <c r="A676" s="133"/>
      <c r="B676" s="133"/>
      <c r="C676" s="133"/>
      <c r="D676" s="133"/>
      <c r="E676" s="133"/>
      <c r="F676" s="133"/>
      <c r="G676" s="133"/>
      <c r="H676" s="133"/>
      <c r="I676" s="133"/>
    </row>
    <row r="677" spans="1:9">
      <c r="A677" s="133"/>
      <c r="B677" s="133"/>
      <c r="C677" s="133"/>
      <c r="D677" s="133"/>
      <c r="E677" s="133"/>
      <c r="F677" s="133"/>
      <c r="G677" s="133"/>
      <c r="H677" s="133"/>
      <c r="I677" s="133"/>
    </row>
    <row r="678" spans="1:9">
      <c r="A678" s="133"/>
      <c r="B678" s="133"/>
      <c r="C678" s="133"/>
      <c r="D678" s="133"/>
      <c r="E678" s="133"/>
      <c r="F678" s="133"/>
      <c r="G678" s="133"/>
      <c r="H678" s="133"/>
      <c r="I678" s="133"/>
    </row>
    <row r="679" spans="1:9">
      <c r="A679" s="133"/>
      <c r="B679" s="133"/>
      <c r="C679" s="133"/>
      <c r="D679" s="133"/>
      <c r="E679" s="133"/>
      <c r="F679" s="133"/>
      <c r="G679" s="133"/>
      <c r="H679" s="133"/>
      <c r="I679" s="133"/>
    </row>
    <row r="680" spans="1:9">
      <c r="A680" s="133"/>
      <c r="B680" s="133"/>
      <c r="C680" s="133"/>
      <c r="D680" s="133"/>
      <c r="E680" s="133"/>
      <c r="F680" s="133"/>
      <c r="G680" s="133"/>
      <c r="H680" s="133"/>
      <c r="I680" s="133"/>
    </row>
    <row r="681" spans="1:9">
      <c r="A681" s="133"/>
      <c r="B681" s="133"/>
      <c r="C681" s="133"/>
      <c r="D681" s="133"/>
      <c r="E681" s="133"/>
      <c r="F681" s="133"/>
      <c r="G681" s="133"/>
      <c r="H681" s="133"/>
      <c r="I681" s="133"/>
    </row>
    <row r="682" spans="1:9">
      <c r="A682" s="133"/>
      <c r="B682" s="133"/>
      <c r="C682" s="133"/>
      <c r="D682" s="133"/>
      <c r="E682" s="133"/>
      <c r="F682" s="133"/>
      <c r="G682" s="133"/>
      <c r="H682" s="133"/>
      <c r="I682" s="133"/>
    </row>
    <row r="683" spans="1:9">
      <c r="A683" s="133"/>
      <c r="B683" s="133"/>
      <c r="C683" s="133"/>
      <c r="D683" s="133"/>
      <c r="E683" s="133"/>
      <c r="F683" s="133"/>
      <c r="G683" s="133"/>
      <c r="H683" s="133"/>
      <c r="I683" s="133"/>
    </row>
    <row r="684" spans="1:9">
      <c r="A684" s="133"/>
      <c r="B684" s="133"/>
      <c r="C684" s="133"/>
      <c r="D684" s="133"/>
      <c r="E684" s="133"/>
      <c r="F684" s="133"/>
      <c r="G684" s="133"/>
      <c r="H684" s="133"/>
      <c r="I684" s="133"/>
    </row>
    <row r="685" spans="1:9">
      <c r="A685" s="133"/>
      <c r="B685" s="133"/>
      <c r="C685" s="133"/>
      <c r="D685" s="133"/>
      <c r="E685" s="133"/>
      <c r="F685" s="133"/>
      <c r="G685" s="133"/>
      <c r="H685" s="133"/>
      <c r="I685" s="133"/>
    </row>
    <row r="686" spans="1:9">
      <c r="A686" s="133"/>
      <c r="B686" s="133"/>
      <c r="C686" s="133"/>
      <c r="D686" s="133"/>
      <c r="E686" s="133"/>
      <c r="F686" s="133"/>
      <c r="G686" s="133"/>
      <c r="H686" s="133"/>
      <c r="I686" s="133"/>
    </row>
    <row r="687" spans="1:9">
      <c r="A687" s="133"/>
      <c r="B687" s="133"/>
      <c r="C687" s="133"/>
      <c r="D687" s="133"/>
      <c r="E687" s="133"/>
      <c r="F687" s="133"/>
      <c r="G687" s="133"/>
      <c r="H687" s="133"/>
      <c r="I687" s="133"/>
    </row>
    <row r="688" spans="1:9">
      <c r="A688" s="133"/>
      <c r="B688" s="133"/>
      <c r="C688" s="133"/>
      <c r="D688" s="133"/>
      <c r="E688" s="133"/>
      <c r="F688" s="133"/>
      <c r="G688" s="133"/>
      <c r="H688" s="133"/>
      <c r="I688" s="133"/>
    </row>
    <row r="689" spans="1:9">
      <c r="A689" s="133"/>
      <c r="B689" s="133"/>
      <c r="C689" s="133"/>
      <c r="D689" s="133"/>
      <c r="E689" s="133"/>
      <c r="F689" s="133"/>
      <c r="G689" s="133"/>
      <c r="H689" s="133"/>
      <c r="I689" s="133"/>
    </row>
    <row r="690" spans="1:9">
      <c r="A690" s="133"/>
      <c r="B690" s="133"/>
      <c r="C690" s="133"/>
      <c r="D690" s="133"/>
      <c r="E690" s="133"/>
      <c r="F690" s="133"/>
      <c r="G690" s="133"/>
      <c r="H690" s="133"/>
      <c r="I690" s="133"/>
    </row>
    <row r="691" spans="1:9">
      <c r="A691" s="133"/>
      <c r="B691" s="133"/>
      <c r="C691" s="133"/>
      <c r="D691" s="133"/>
      <c r="E691" s="133"/>
      <c r="F691" s="133"/>
      <c r="G691" s="133"/>
      <c r="H691" s="133"/>
      <c r="I691" s="133"/>
    </row>
    <row r="692" spans="1:9">
      <c r="A692" s="133"/>
      <c r="B692" s="133"/>
      <c r="C692" s="133"/>
      <c r="D692" s="133"/>
      <c r="E692" s="133"/>
      <c r="F692" s="133"/>
      <c r="G692" s="133"/>
      <c r="H692" s="133"/>
      <c r="I692" s="133"/>
    </row>
    <row r="693" spans="1:9">
      <c r="A693" s="133"/>
      <c r="B693" s="133"/>
      <c r="C693" s="133"/>
      <c r="D693" s="133"/>
      <c r="E693" s="133"/>
      <c r="F693" s="133"/>
      <c r="G693" s="133"/>
      <c r="H693" s="133"/>
      <c r="I693" s="133"/>
    </row>
    <row r="694" spans="1:9">
      <c r="A694" s="133"/>
      <c r="B694" s="133"/>
      <c r="C694" s="133"/>
      <c r="D694" s="133"/>
      <c r="E694" s="133"/>
      <c r="F694" s="133"/>
      <c r="G694" s="133"/>
      <c r="H694" s="133"/>
      <c r="I694" s="133"/>
    </row>
    <row r="695" spans="1:9">
      <c r="A695" s="133"/>
      <c r="B695" s="133"/>
      <c r="C695" s="133"/>
      <c r="D695" s="133"/>
      <c r="E695" s="133"/>
      <c r="F695" s="133"/>
      <c r="G695" s="133"/>
      <c r="H695" s="133"/>
      <c r="I695" s="133"/>
    </row>
    <row r="696" spans="1:9">
      <c r="A696" s="133"/>
      <c r="B696" s="133"/>
      <c r="C696" s="133"/>
      <c r="D696" s="133"/>
      <c r="E696" s="133"/>
      <c r="F696" s="133"/>
      <c r="G696" s="133"/>
      <c r="H696" s="133"/>
      <c r="I696" s="133"/>
    </row>
    <row r="697" spans="1:9">
      <c r="A697" s="133"/>
      <c r="B697" s="133"/>
      <c r="C697" s="133"/>
      <c r="D697" s="133"/>
      <c r="E697" s="133"/>
      <c r="F697" s="133"/>
      <c r="G697" s="133"/>
      <c r="H697" s="133"/>
      <c r="I697" s="133"/>
    </row>
    <row r="698" spans="1:9">
      <c r="A698" s="133"/>
      <c r="B698" s="133"/>
      <c r="C698" s="133"/>
      <c r="D698" s="133"/>
      <c r="E698" s="133"/>
      <c r="F698" s="133"/>
      <c r="G698" s="133"/>
      <c r="H698" s="133"/>
      <c r="I698" s="133"/>
    </row>
    <row r="699" spans="1:9">
      <c r="A699" s="133"/>
      <c r="B699" s="133"/>
      <c r="C699" s="133"/>
      <c r="D699" s="133"/>
      <c r="E699" s="133"/>
      <c r="F699" s="133"/>
      <c r="G699" s="133"/>
      <c r="H699" s="133"/>
      <c r="I699" s="133"/>
    </row>
    <row r="700" spans="1:9">
      <c r="A700" s="133"/>
      <c r="B700" s="133"/>
      <c r="C700" s="133"/>
      <c r="D700" s="133"/>
      <c r="E700" s="133"/>
      <c r="F700" s="133"/>
      <c r="G700" s="133"/>
      <c r="H700" s="133"/>
      <c r="I700" s="133"/>
    </row>
    <row r="701" spans="1:9">
      <c r="A701" s="133"/>
      <c r="B701" s="133"/>
      <c r="C701" s="133"/>
      <c r="D701" s="133"/>
      <c r="E701" s="133"/>
      <c r="F701" s="133"/>
      <c r="G701" s="133"/>
      <c r="H701" s="133"/>
      <c r="I701" s="133"/>
    </row>
    <row r="702" spans="1:9">
      <c r="A702" s="133"/>
      <c r="B702" s="133"/>
      <c r="C702" s="133"/>
      <c r="D702" s="133"/>
      <c r="E702" s="133"/>
      <c r="F702" s="133"/>
      <c r="G702" s="133"/>
      <c r="H702" s="133"/>
      <c r="I702" s="133"/>
    </row>
    <row r="703" spans="1:9">
      <c r="A703" s="133"/>
      <c r="B703" s="133"/>
      <c r="C703" s="133"/>
      <c r="D703" s="133"/>
      <c r="E703" s="133"/>
      <c r="F703" s="133"/>
      <c r="G703" s="133"/>
      <c r="H703" s="133"/>
      <c r="I703" s="133"/>
    </row>
    <row r="704" spans="1:9">
      <c r="A704" s="133"/>
      <c r="B704" s="133"/>
      <c r="C704" s="133"/>
      <c r="D704" s="133"/>
      <c r="E704" s="133"/>
      <c r="F704" s="133"/>
      <c r="G704" s="133"/>
      <c r="H704" s="133"/>
      <c r="I704" s="133"/>
    </row>
    <row r="705" spans="1:9">
      <c r="A705" s="133"/>
      <c r="B705" s="133"/>
      <c r="C705" s="133"/>
      <c r="D705" s="133"/>
      <c r="E705" s="133"/>
      <c r="F705" s="133"/>
      <c r="G705" s="133"/>
      <c r="H705" s="133"/>
      <c r="I705" s="133"/>
    </row>
    <row r="706" spans="1:9">
      <c r="A706" s="133"/>
      <c r="B706" s="133"/>
      <c r="C706" s="133"/>
      <c r="D706" s="133"/>
      <c r="E706" s="133"/>
      <c r="F706" s="133"/>
      <c r="G706" s="133"/>
      <c r="H706" s="133"/>
      <c r="I706" s="133"/>
    </row>
    <row r="707" spans="1:9">
      <c r="A707" s="133"/>
      <c r="B707" s="133"/>
      <c r="C707" s="133"/>
      <c r="D707" s="133"/>
      <c r="E707" s="133"/>
      <c r="F707" s="133"/>
      <c r="G707" s="133"/>
      <c r="H707" s="133"/>
      <c r="I707" s="133"/>
    </row>
    <row r="708" spans="1:9">
      <c r="A708" s="133"/>
      <c r="B708" s="133"/>
      <c r="C708" s="133"/>
      <c r="D708" s="133"/>
      <c r="E708" s="133"/>
      <c r="F708" s="133"/>
      <c r="G708" s="133"/>
      <c r="H708" s="133"/>
      <c r="I708" s="133"/>
    </row>
    <row r="709" spans="1:9">
      <c r="A709" s="133"/>
      <c r="B709" s="133"/>
      <c r="C709" s="133"/>
      <c r="D709" s="133"/>
      <c r="E709" s="133"/>
      <c r="F709" s="133"/>
      <c r="G709" s="133"/>
      <c r="H709" s="133"/>
      <c r="I709" s="133"/>
    </row>
    <row r="710" spans="1:9">
      <c r="A710" s="133"/>
      <c r="B710" s="133"/>
      <c r="C710" s="133"/>
      <c r="D710" s="133"/>
      <c r="E710" s="133"/>
      <c r="F710" s="133"/>
      <c r="G710" s="133"/>
      <c r="H710" s="133"/>
      <c r="I710" s="133"/>
    </row>
    <row r="711" spans="1:9">
      <c r="A711" s="133"/>
      <c r="B711" s="133"/>
      <c r="C711" s="133"/>
      <c r="D711" s="133"/>
      <c r="E711" s="133"/>
      <c r="F711" s="133"/>
      <c r="G711" s="133"/>
      <c r="H711" s="133"/>
      <c r="I711" s="133"/>
    </row>
    <row r="712" spans="1:9">
      <c r="A712" s="133"/>
      <c r="B712" s="133"/>
      <c r="C712" s="133"/>
      <c r="D712" s="133"/>
      <c r="E712" s="133"/>
      <c r="F712" s="133"/>
      <c r="G712" s="133"/>
      <c r="H712" s="133"/>
      <c r="I712" s="133"/>
    </row>
    <row r="713" spans="1:9">
      <c r="A713" s="133"/>
      <c r="B713" s="133"/>
      <c r="C713" s="133"/>
      <c r="D713" s="133"/>
      <c r="E713" s="133"/>
      <c r="F713" s="133"/>
      <c r="G713" s="133"/>
      <c r="H713" s="133"/>
      <c r="I713" s="133"/>
    </row>
    <row r="714" spans="1:9">
      <c r="A714" s="133"/>
      <c r="B714" s="133"/>
      <c r="C714" s="133"/>
      <c r="D714" s="133"/>
      <c r="E714" s="133"/>
      <c r="F714" s="133"/>
      <c r="G714" s="133"/>
      <c r="H714" s="133"/>
      <c r="I714" s="133"/>
    </row>
    <row r="715" spans="1:9">
      <c r="A715" s="133"/>
      <c r="B715" s="133"/>
      <c r="C715" s="133"/>
      <c r="D715" s="133"/>
      <c r="E715" s="133"/>
      <c r="F715" s="133"/>
      <c r="G715" s="133"/>
      <c r="H715" s="133"/>
      <c r="I715" s="133"/>
    </row>
    <row r="716" spans="1:9">
      <c r="A716" s="133"/>
      <c r="B716" s="133"/>
      <c r="C716" s="133"/>
      <c r="D716" s="133"/>
      <c r="E716" s="133"/>
      <c r="F716" s="133"/>
      <c r="G716" s="133"/>
      <c r="H716" s="133"/>
      <c r="I716" s="133"/>
    </row>
    <row r="717" spans="1:9">
      <c r="A717" s="133"/>
      <c r="B717" s="133"/>
      <c r="C717" s="133"/>
      <c r="D717" s="133"/>
      <c r="E717" s="133"/>
      <c r="F717" s="133"/>
      <c r="G717" s="133"/>
      <c r="H717" s="133"/>
      <c r="I717" s="133"/>
    </row>
    <row r="718" spans="1:9">
      <c r="A718" s="133"/>
      <c r="B718" s="133"/>
      <c r="C718" s="133"/>
      <c r="D718" s="133"/>
      <c r="E718" s="133"/>
      <c r="F718" s="133"/>
      <c r="G718" s="133"/>
      <c r="H718" s="133"/>
      <c r="I718" s="133"/>
    </row>
    <row r="719" spans="1:9">
      <c r="A719" s="133"/>
      <c r="B719" s="133"/>
      <c r="C719" s="133"/>
      <c r="D719" s="133"/>
      <c r="E719" s="133"/>
      <c r="F719" s="133"/>
      <c r="G719" s="133"/>
      <c r="H719" s="133"/>
      <c r="I719" s="133"/>
    </row>
    <row r="720" spans="1:9">
      <c r="A720" s="133"/>
      <c r="B720" s="133"/>
      <c r="C720" s="133"/>
      <c r="D720" s="133"/>
      <c r="E720" s="133"/>
      <c r="F720" s="133"/>
      <c r="G720" s="133"/>
      <c r="H720" s="133"/>
      <c r="I720" s="133"/>
    </row>
    <row r="721" spans="1:9">
      <c r="A721" s="133"/>
      <c r="B721" s="133"/>
      <c r="C721" s="133"/>
      <c r="D721" s="133"/>
      <c r="E721" s="133"/>
      <c r="F721" s="133"/>
      <c r="G721" s="133"/>
      <c r="H721" s="133"/>
      <c r="I721" s="133"/>
    </row>
    <row r="722" spans="1:9">
      <c r="A722" s="133"/>
      <c r="B722" s="133"/>
      <c r="C722" s="133"/>
      <c r="D722" s="133"/>
      <c r="E722" s="133"/>
      <c r="F722" s="133"/>
      <c r="G722" s="133"/>
      <c r="H722" s="133"/>
      <c r="I722" s="133"/>
    </row>
    <row r="723" spans="1:9">
      <c r="A723" s="133"/>
      <c r="B723" s="133"/>
      <c r="C723" s="133"/>
      <c r="D723" s="133"/>
      <c r="E723" s="133"/>
      <c r="F723" s="133"/>
      <c r="G723" s="133"/>
      <c r="H723" s="133"/>
      <c r="I723" s="133"/>
    </row>
    <row r="724" spans="1:9">
      <c r="A724" s="133"/>
      <c r="B724" s="133"/>
      <c r="C724" s="133"/>
      <c r="D724" s="133"/>
      <c r="E724" s="133"/>
      <c r="F724" s="133"/>
      <c r="G724" s="133"/>
      <c r="H724" s="133"/>
      <c r="I724" s="133"/>
    </row>
    <row r="725" spans="1:9">
      <c r="A725" s="133"/>
      <c r="B725" s="133"/>
      <c r="C725" s="133"/>
      <c r="D725" s="133"/>
      <c r="E725" s="133"/>
      <c r="F725" s="133"/>
      <c r="G725" s="133"/>
      <c r="H725" s="133"/>
      <c r="I725" s="133"/>
    </row>
    <row r="726" spans="1:9">
      <c r="A726" s="133"/>
      <c r="B726" s="133"/>
      <c r="C726" s="133"/>
      <c r="D726" s="133"/>
      <c r="E726" s="133"/>
      <c r="F726" s="133"/>
      <c r="G726" s="133"/>
      <c r="H726" s="133"/>
      <c r="I726" s="133"/>
    </row>
    <row r="727" spans="1:9">
      <c r="A727" s="133"/>
      <c r="B727" s="133"/>
      <c r="C727" s="133"/>
      <c r="D727" s="133"/>
      <c r="E727" s="133"/>
      <c r="F727" s="133"/>
      <c r="G727" s="133"/>
      <c r="H727" s="133"/>
      <c r="I727" s="133"/>
    </row>
    <row r="728" spans="1:9">
      <c r="A728" s="133"/>
      <c r="B728" s="133"/>
      <c r="C728" s="133"/>
      <c r="D728" s="133"/>
      <c r="E728" s="133"/>
      <c r="F728" s="133"/>
      <c r="G728" s="133"/>
      <c r="H728" s="133"/>
      <c r="I728" s="133"/>
    </row>
    <row r="729" spans="1:9">
      <c r="A729" s="133"/>
      <c r="B729" s="133"/>
      <c r="C729" s="133"/>
      <c r="D729" s="133"/>
      <c r="E729" s="133"/>
      <c r="F729" s="133"/>
      <c r="G729" s="133"/>
      <c r="H729" s="133"/>
      <c r="I729" s="133"/>
    </row>
    <row r="730" spans="1:9">
      <c r="A730" s="133"/>
      <c r="B730" s="133"/>
      <c r="C730" s="133"/>
      <c r="D730" s="133"/>
      <c r="E730" s="133"/>
      <c r="F730" s="133"/>
      <c r="G730" s="133"/>
      <c r="H730" s="133"/>
      <c r="I730" s="133"/>
    </row>
    <row r="731" spans="1:9">
      <c r="A731" s="133"/>
      <c r="B731" s="133"/>
      <c r="C731" s="133"/>
      <c r="D731" s="133"/>
      <c r="E731" s="133"/>
      <c r="F731" s="133"/>
      <c r="G731" s="133"/>
      <c r="H731" s="133"/>
      <c r="I731" s="133"/>
    </row>
    <row r="732" spans="1:9">
      <c r="A732" s="133"/>
      <c r="B732" s="133"/>
      <c r="C732" s="133"/>
      <c r="D732" s="133"/>
      <c r="E732" s="133"/>
      <c r="F732" s="133"/>
      <c r="G732" s="133"/>
      <c r="H732" s="133"/>
      <c r="I732" s="133"/>
    </row>
    <row r="733" spans="1:9">
      <c r="A733" s="133"/>
      <c r="B733" s="133"/>
      <c r="C733" s="133"/>
      <c r="D733" s="133"/>
      <c r="E733" s="133"/>
      <c r="F733" s="133"/>
      <c r="G733" s="133"/>
      <c r="H733" s="133"/>
      <c r="I733" s="133"/>
    </row>
    <row r="734" spans="1:9">
      <c r="A734" s="133"/>
      <c r="B734" s="133"/>
      <c r="C734" s="133"/>
      <c r="D734" s="133"/>
      <c r="E734" s="133"/>
      <c r="F734" s="133"/>
      <c r="G734" s="133"/>
      <c r="H734" s="133"/>
      <c r="I734" s="133"/>
    </row>
    <row r="735" spans="1:9">
      <c r="A735" s="133"/>
      <c r="B735" s="133"/>
      <c r="C735" s="133"/>
      <c r="D735" s="133"/>
      <c r="E735" s="133"/>
      <c r="F735" s="133"/>
      <c r="G735" s="133"/>
      <c r="H735" s="133"/>
      <c r="I735" s="133"/>
    </row>
    <row r="736" spans="1:9">
      <c r="A736" s="133"/>
      <c r="B736" s="133"/>
      <c r="C736" s="133"/>
      <c r="D736" s="133"/>
      <c r="E736" s="133"/>
      <c r="F736" s="133"/>
      <c r="G736" s="133"/>
      <c r="H736" s="133"/>
      <c r="I736" s="133"/>
    </row>
    <row r="737" spans="1:9">
      <c r="A737" s="133"/>
      <c r="B737" s="133"/>
      <c r="C737" s="133"/>
      <c r="D737" s="133"/>
      <c r="E737" s="133"/>
      <c r="F737" s="133"/>
      <c r="G737" s="133"/>
      <c r="H737" s="133"/>
      <c r="I737" s="133"/>
    </row>
    <row r="738" spans="1:9">
      <c r="A738" s="133"/>
      <c r="B738" s="133"/>
      <c r="C738" s="133"/>
      <c r="D738" s="133"/>
      <c r="E738" s="133"/>
      <c r="F738" s="133"/>
      <c r="G738" s="133"/>
      <c r="H738" s="133"/>
      <c r="I738" s="133"/>
    </row>
    <row r="739" spans="1:9">
      <c r="A739" s="133"/>
      <c r="B739" s="133"/>
      <c r="C739" s="133"/>
      <c r="D739" s="133"/>
      <c r="E739" s="133"/>
      <c r="F739" s="133"/>
      <c r="G739" s="133"/>
      <c r="H739" s="133"/>
      <c r="I739" s="133"/>
    </row>
    <row r="740" spans="1:9">
      <c r="A740" s="133"/>
      <c r="B740" s="133"/>
      <c r="C740" s="133"/>
      <c r="D740" s="133"/>
      <c r="E740" s="133"/>
      <c r="F740" s="133"/>
      <c r="G740" s="133"/>
      <c r="H740" s="133"/>
      <c r="I740" s="133"/>
    </row>
    <row r="741" spans="1:9">
      <c r="A741" s="133"/>
      <c r="B741" s="133"/>
      <c r="C741" s="133"/>
      <c r="D741" s="133"/>
      <c r="E741" s="133"/>
      <c r="F741" s="133"/>
      <c r="G741" s="133"/>
      <c r="H741" s="133"/>
      <c r="I741" s="133"/>
    </row>
    <row r="742" spans="1:9">
      <c r="A742" s="133"/>
      <c r="B742" s="133"/>
      <c r="C742" s="133"/>
      <c r="D742" s="133"/>
      <c r="E742" s="133"/>
      <c r="F742" s="133"/>
      <c r="G742" s="133"/>
      <c r="H742" s="133"/>
      <c r="I742" s="133"/>
    </row>
    <row r="743" spans="1:9">
      <c r="A743" s="133"/>
      <c r="B743" s="133"/>
      <c r="C743" s="133"/>
      <c r="D743" s="133"/>
      <c r="E743" s="133"/>
      <c r="F743" s="133"/>
      <c r="G743" s="133"/>
      <c r="H743" s="133"/>
      <c r="I743" s="133"/>
    </row>
    <row r="744" spans="1:9">
      <c r="A744" s="133"/>
      <c r="B744" s="133"/>
      <c r="C744" s="133"/>
      <c r="D744" s="133"/>
      <c r="E744" s="133"/>
      <c r="F744" s="133"/>
      <c r="G744" s="133"/>
      <c r="H744" s="133"/>
      <c r="I744" s="133"/>
    </row>
    <row r="745" spans="1:9">
      <c r="A745" s="133"/>
      <c r="B745" s="133"/>
      <c r="C745" s="133"/>
      <c r="D745" s="133"/>
      <c r="E745" s="133"/>
      <c r="F745" s="133"/>
      <c r="G745" s="133"/>
      <c r="H745" s="133"/>
      <c r="I745" s="133"/>
    </row>
    <row r="746" spans="1:9">
      <c r="A746" s="133"/>
      <c r="B746" s="133"/>
      <c r="C746" s="133"/>
      <c r="D746" s="133"/>
      <c r="E746" s="133"/>
      <c r="F746" s="133"/>
      <c r="G746" s="133"/>
      <c r="H746" s="133"/>
      <c r="I746" s="133"/>
    </row>
    <row r="747" spans="1:9">
      <c r="A747" s="133"/>
      <c r="B747" s="133"/>
      <c r="C747" s="133"/>
      <c r="D747" s="133"/>
      <c r="E747" s="133"/>
      <c r="F747" s="133"/>
      <c r="G747" s="133"/>
      <c r="H747" s="133"/>
      <c r="I747" s="133"/>
    </row>
    <row r="748" spans="1:9">
      <c r="A748" s="133"/>
      <c r="B748" s="133"/>
      <c r="C748" s="133"/>
      <c r="D748" s="133"/>
      <c r="E748" s="133"/>
      <c r="F748" s="133"/>
      <c r="G748" s="133"/>
      <c r="H748" s="133"/>
      <c r="I748" s="133"/>
    </row>
    <row r="749" spans="1:9">
      <c r="A749" s="133"/>
      <c r="B749" s="133"/>
      <c r="C749" s="133"/>
      <c r="D749" s="133"/>
      <c r="E749" s="133"/>
      <c r="F749" s="133"/>
      <c r="G749" s="133"/>
      <c r="H749" s="133"/>
      <c r="I749" s="133"/>
    </row>
    <row r="750" spans="1:9">
      <c r="A750" s="133"/>
      <c r="B750" s="133"/>
      <c r="C750" s="133"/>
      <c r="D750" s="133"/>
      <c r="E750" s="133"/>
      <c r="F750" s="133"/>
      <c r="G750" s="133"/>
      <c r="H750" s="133"/>
      <c r="I750" s="133"/>
    </row>
    <row r="751" spans="1:9">
      <c r="A751" s="133"/>
      <c r="B751" s="133"/>
      <c r="C751" s="133"/>
      <c r="D751" s="133"/>
      <c r="E751" s="133"/>
      <c r="F751" s="133"/>
      <c r="G751" s="133"/>
      <c r="H751" s="133"/>
      <c r="I751" s="133"/>
    </row>
    <row r="752" spans="1:9">
      <c r="A752" s="133"/>
      <c r="B752" s="133"/>
      <c r="C752" s="133"/>
      <c r="D752" s="133"/>
      <c r="E752" s="133"/>
      <c r="F752" s="133"/>
      <c r="G752" s="133"/>
      <c r="H752" s="133"/>
      <c r="I752" s="133"/>
    </row>
    <row r="753" spans="1:9">
      <c r="A753" s="133"/>
      <c r="B753" s="133"/>
      <c r="C753" s="133"/>
      <c r="D753" s="133"/>
      <c r="E753" s="133"/>
      <c r="F753" s="133"/>
      <c r="G753" s="133"/>
      <c r="H753" s="133"/>
      <c r="I753" s="133"/>
    </row>
    <row r="754" spans="1:9">
      <c r="A754" s="133"/>
      <c r="B754" s="133"/>
      <c r="C754" s="133"/>
      <c r="D754" s="133"/>
      <c r="E754" s="133"/>
      <c r="F754" s="133"/>
      <c r="G754" s="133"/>
      <c r="H754" s="133"/>
      <c r="I754" s="133"/>
    </row>
    <row r="755" spans="1:9">
      <c r="A755" s="133"/>
      <c r="B755" s="133"/>
      <c r="C755" s="133"/>
      <c r="D755" s="133"/>
      <c r="E755" s="133"/>
      <c r="F755" s="133"/>
      <c r="G755" s="133"/>
      <c r="H755" s="133"/>
      <c r="I755" s="133"/>
    </row>
    <row r="756" spans="1:9">
      <c r="A756" s="133"/>
      <c r="B756" s="133"/>
      <c r="C756" s="133"/>
      <c r="D756" s="133"/>
      <c r="E756" s="133"/>
      <c r="F756" s="133"/>
      <c r="G756" s="133"/>
      <c r="H756" s="133"/>
      <c r="I756" s="133"/>
    </row>
    <row r="757" spans="1:9">
      <c r="A757" s="133"/>
      <c r="B757" s="133"/>
      <c r="C757" s="133"/>
      <c r="D757" s="133"/>
      <c r="E757" s="133"/>
      <c r="F757" s="133"/>
      <c r="G757" s="133"/>
      <c r="H757" s="133"/>
      <c r="I757" s="133"/>
    </row>
    <row r="758" spans="1:9">
      <c r="A758" s="133"/>
      <c r="B758" s="133"/>
      <c r="C758" s="133"/>
      <c r="D758" s="133"/>
      <c r="E758" s="133"/>
      <c r="F758" s="133"/>
      <c r="G758" s="133"/>
      <c r="H758" s="133"/>
      <c r="I758" s="133"/>
    </row>
    <row r="759" spans="1:9">
      <c r="A759" s="133"/>
      <c r="B759" s="133"/>
      <c r="C759" s="133"/>
      <c r="D759" s="133"/>
      <c r="E759" s="133"/>
      <c r="F759" s="133"/>
      <c r="G759" s="133"/>
      <c r="H759" s="133"/>
      <c r="I759" s="133"/>
    </row>
    <row r="760" spans="1:9">
      <c r="A760" s="133"/>
      <c r="B760" s="133"/>
      <c r="C760" s="133"/>
      <c r="D760" s="133"/>
      <c r="E760" s="133"/>
      <c r="F760" s="133"/>
      <c r="G760" s="133"/>
      <c r="H760" s="133"/>
      <c r="I760" s="133"/>
    </row>
    <row r="761" spans="1:9">
      <c r="A761" s="133"/>
      <c r="B761" s="133"/>
      <c r="C761" s="133"/>
      <c r="D761" s="133"/>
      <c r="E761" s="133"/>
      <c r="F761" s="133"/>
      <c r="G761" s="133"/>
      <c r="H761" s="133"/>
      <c r="I761" s="133"/>
    </row>
    <row r="762" spans="1:9">
      <c r="A762" s="133"/>
      <c r="B762" s="133"/>
      <c r="C762" s="133"/>
      <c r="D762" s="133"/>
      <c r="E762" s="133"/>
      <c r="F762" s="133"/>
      <c r="G762" s="133"/>
      <c r="H762" s="133"/>
      <c r="I762" s="133"/>
    </row>
    <row r="763" spans="1:9">
      <c r="A763" s="133"/>
      <c r="B763" s="133"/>
      <c r="C763" s="133"/>
      <c r="D763" s="133"/>
      <c r="E763" s="133"/>
      <c r="F763" s="133"/>
      <c r="G763" s="133"/>
      <c r="H763" s="133"/>
      <c r="I763" s="133"/>
    </row>
    <row r="764" spans="1:9">
      <c r="A764" s="133"/>
      <c r="B764" s="133"/>
      <c r="C764" s="133"/>
      <c r="D764" s="133"/>
      <c r="E764" s="133"/>
      <c r="F764" s="133"/>
      <c r="G764" s="133"/>
      <c r="H764" s="133"/>
      <c r="I764" s="133"/>
    </row>
    <row r="765" spans="1:9">
      <c r="A765" s="133"/>
      <c r="B765" s="133"/>
      <c r="C765" s="133"/>
      <c r="D765" s="133"/>
      <c r="E765" s="133"/>
      <c r="F765" s="133"/>
      <c r="G765" s="133"/>
      <c r="H765" s="133"/>
      <c r="I765" s="133"/>
    </row>
    <row r="766" spans="1:9">
      <c r="A766" s="133"/>
      <c r="B766" s="133"/>
      <c r="C766" s="133"/>
      <c r="D766" s="133"/>
      <c r="E766" s="133"/>
      <c r="F766" s="133"/>
      <c r="G766" s="133"/>
      <c r="H766" s="133"/>
      <c r="I766" s="133"/>
    </row>
    <row r="767" spans="1:9">
      <c r="A767" s="133"/>
      <c r="B767" s="133"/>
      <c r="C767" s="133"/>
      <c r="D767" s="133"/>
      <c r="E767" s="133"/>
      <c r="F767" s="133"/>
      <c r="G767" s="133"/>
      <c r="H767" s="133"/>
      <c r="I767" s="133"/>
    </row>
    <row r="768" spans="1:9">
      <c r="A768" s="133"/>
      <c r="B768" s="133"/>
      <c r="C768" s="133"/>
      <c r="D768" s="133"/>
      <c r="E768" s="133"/>
      <c r="F768" s="133"/>
      <c r="G768" s="133"/>
      <c r="H768" s="133"/>
      <c r="I768" s="133"/>
    </row>
    <row r="769" spans="1:9">
      <c r="A769" s="133"/>
      <c r="B769" s="133"/>
      <c r="C769" s="133"/>
      <c r="D769" s="133"/>
      <c r="E769" s="133"/>
      <c r="F769" s="133"/>
      <c r="G769" s="133"/>
      <c r="H769" s="133"/>
      <c r="I769" s="133"/>
    </row>
    <row r="770" spans="1:9">
      <c r="A770" s="133"/>
      <c r="B770" s="133"/>
      <c r="C770" s="133"/>
      <c r="D770" s="133"/>
      <c r="E770" s="133"/>
      <c r="F770" s="133"/>
      <c r="G770" s="133"/>
      <c r="H770" s="133"/>
      <c r="I770" s="133"/>
    </row>
    <row r="771" spans="1:9">
      <c r="A771" s="133"/>
      <c r="B771" s="133"/>
      <c r="C771" s="133"/>
      <c r="D771" s="133"/>
      <c r="E771" s="133"/>
      <c r="F771" s="133"/>
      <c r="G771" s="133"/>
      <c r="H771" s="133"/>
      <c r="I771" s="133"/>
    </row>
    <row r="772" spans="1:9">
      <c r="A772" s="133"/>
      <c r="B772" s="133"/>
      <c r="C772" s="133"/>
      <c r="D772" s="133"/>
      <c r="E772" s="133"/>
      <c r="F772" s="133"/>
      <c r="G772" s="133"/>
      <c r="H772" s="133"/>
      <c r="I772" s="133"/>
    </row>
    <row r="773" spans="1:9">
      <c r="A773" s="133"/>
      <c r="B773" s="133"/>
      <c r="C773" s="133"/>
      <c r="D773" s="133"/>
      <c r="E773" s="133"/>
      <c r="F773" s="133"/>
      <c r="G773" s="133"/>
      <c r="H773" s="133"/>
      <c r="I773" s="133"/>
    </row>
    <row r="774" spans="1:9">
      <c r="A774" s="133"/>
      <c r="B774" s="133"/>
      <c r="C774" s="133"/>
      <c r="D774" s="133"/>
      <c r="E774" s="133"/>
      <c r="F774" s="133"/>
      <c r="G774" s="133"/>
      <c r="H774" s="133"/>
      <c r="I774" s="133"/>
    </row>
    <row r="775" spans="1:9">
      <c r="A775" s="133"/>
      <c r="B775" s="133"/>
      <c r="C775" s="133"/>
      <c r="D775" s="133"/>
      <c r="E775" s="133"/>
      <c r="F775" s="133"/>
      <c r="G775" s="133"/>
      <c r="H775" s="133"/>
      <c r="I775" s="133"/>
    </row>
    <row r="776" spans="1:9">
      <c r="A776" s="133"/>
      <c r="B776" s="133"/>
      <c r="C776" s="133"/>
      <c r="D776" s="133"/>
      <c r="E776" s="133"/>
      <c r="F776" s="133"/>
      <c r="G776" s="133"/>
      <c r="H776" s="133"/>
      <c r="I776" s="133"/>
    </row>
    <row r="777" spans="1:9">
      <c r="A777" s="133"/>
      <c r="B777" s="133"/>
      <c r="C777" s="133"/>
      <c r="D777" s="133"/>
      <c r="E777" s="133"/>
      <c r="F777" s="133"/>
      <c r="G777" s="133"/>
      <c r="H777" s="133"/>
      <c r="I777" s="133"/>
    </row>
    <row r="778" spans="1:9">
      <c r="A778" s="133"/>
      <c r="B778" s="133"/>
      <c r="C778" s="133"/>
      <c r="D778" s="133"/>
      <c r="E778" s="133"/>
      <c r="F778" s="133"/>
      <c r="G778" s="133"/>
      <c r="H778" s="133"/>
      <c r="I778" s="133"/>
    </row>
    <row r="779" spans="1:9">
      <c r="A779" s="133"/>
      <c r="B779" s="133"/>
      <c r="C779" s="133"/>
      <c r="D779" s="133"/>
      <c r="E779" s="133"/>
      <c r="F779" s="133"/>
      <c r="G779" s="133"/>
      <c r="H779" s="133"/>
      <c r="I779" s="133"/>
    </row>
    <row r="780" spans="1:9">
      <c r="A780" s="133"/>
      <c r="B780" s="133"/>
      <c r="C780" s="133"/>
      <c r="D780" s="133"/>
      <c r="E780" s="133"/>
      <c r="F780" s="133"/>
      <c r="G780" s="133"/>
      <c r="H780" s="133"/>
      <c r="I780" s="133"/>
    </row>
    <row r="781" spans="1:9">
      <c r="A781" s="133"/>
      <c r="B781" s="133"/>
      <c r="C781" s="133"/>
      <c r="D781" s="133"/>
      <c r="E781" s="133"/>
      <c r="F781" s="133"/>
      <c r="G781" s="133"/>
      <c r="H781" s="133"/>
      <c r="I781" s="133"/>
    </row>
    <row r="782" spans="1:9">
      <c r="A782" s="133"/>
      <c r="B782" s="133"/>
      <c r="C782" s="133"/>
      <c r="D782" s="133"/>
      <c r="E782" s="133"/>
      <c r="F782" s="133"/>
      <c r="G782" s="133"/>
      <c r="H782" s="133"/>
      <c r="I782" s="133"/>
    </row>
    <row r="783" spans="1:9">
      <c r="A783" s="133"/>
      <c r="B783" s="133"/>
      <c r="C783" s="133"/>
      <c r="D783" s="133"/>
      <c r="E783" s="133"/>
      <c r="F783" s="133"/>
      <c r="G783" s="133"/>
      <c r="H783" s="133"/>
      <c r="I783" s="133"/>
    </row>
    <row r="784" spans="1:9">
      <c r="A784" s="133"/>
      <c r="B784" s="133"/>
      <c r="C784" s="133"/>
      <c r="D784" s="133"/>
      <c r="E784" s="133"/>
      <c r="F784" s="133"/>
      <c r="G784" s="133"/>
      <c r="H784" s="133"/>
      <c r="I784" s="133"/>
    </row>
    <row r="785" spans="1:9">
      <c r="A785" s="133"/>
      <c r="B785" s="133"/>
      <c r="C785" s="133"/>
      <c r="D785" s="133"/>
      <c r="E785" s="133"/>
      <c r="F785" s="133"/>
      <c r="G785" s="133"/>
      <c r="H785" s="133"/>
      <c r="I785" s="133"/>
    </row>
    <row r="786" spans="1:9">
      <c r="A786" s="133"/>
      <c r="B786" s="133"/>
      <c r="C786" s="133"/>
      <c r="D786" s="133"/>
      <c r="E786" s="133"/>
      <c r="F786" s="133"/>
      <c r="G786" s="133"/>
      <c r="H786" s="133"/>
      <c r="I786" s="133"/>
    </row>
    <row r="787" spans="1:9">
      <c r="A787" s="133"/>
      <c r="B787" s="133"/>
      <c r="C787" s="133"/>
      <c r="D787" s="133"/>
      <c r="E787" s="133"/>
      <c r="F787" s="133"/>
      <c r="G787" s="133"/>
      <c r="H787" s="133"/>
      <c r="I787" s="133"/>
    </row>
    <row r="788" spans="1:9">
      <c r="A788" s="133"/>
      <c r="B788" s="133"/>
      <c r="C788" s="133"/>
      <c r="D788" s="133"/>
      <c r="E788" s="133"/>
      <c r="F788" s="133"/>
      <c r="G788" s="133"/>
      <c r="H788" s="133"/>
      <c r="I788" s="133"/>
    </row>
    <row r="789" spans="1:9">
      <c r="A789" s="133"/>
      <c r="B789" s="133"/>
      <c r="C789" s="133"/>
      <c r="D789" s="133"/>
      <c r="E789" s="133"/>
      <c r="F789" s="133"/>
      <c r="G789" s="133"/>
      <c r="H789" s="133"/>
      <c r="I789" s="133"/>
    </row>
    <row r="790" spans="1:9">
      <c r="A790" s="133"/>
      <c r="B790" s="133"/>
      <c r="C790" s="133"/>
      <c r="D790" s="133"/>
      <c r="E790" s="133"/>
      <c r="F790" s="133"/>
      <c r="G790" s="133"/>
      <c r="H790" s="133"/>
      <c r="I790" s="133"/>
    </row>
    <row r="791" spans="1:9">
      <c r="A791" s="133"/>
      <c r="B791" s="133"/>
      <c r="C791" s="133"/>
      <c r="D791" s="133"/>
      <c r="E791" s="133"/>
      <c r="F791" s="133"/>
      <c r="G791" s="133"/>
      <c r="H791" s="133"/>
      <c r="I791" s="133"/>
    </row>
    <row r="792" spans="1:9">
      <c r="A792" s="133"/>
      <c r="B792" s="133"/>
      <c r="C792" s="133"/>
      <c r="D792" s="133"/>
      <c r="E792" s="133"/>
      <c r="F792" s="133"/>
      <c r="G792" s="133"/>
      <c r="H792" s="133"/>
      <c r="I792" s="133"/>
    </row>
    <row r="793" spans="1:9">
      <c r="A793" s="133"/>
      <c r="B793" s="133"/>
      <c r="C793" s="133"/>
      <c r="D793" s="133"/>
      <c r="E793" s="133"/>
      <c r="F793" s="133"/>
      <c r="G793" s="133"/>
      <c r="H793" s="133"/>
      <c r="I793" s="133"/>
    </row>
    <row r="794" spans="1:9">
      <c r="A794" s="133"/>
      <c r="B794" s="133"/>
      <c r="C794" s="133"/>
      <c r="D794" s="133"/>
      <c r="E794" s="133"/>
      <c r="F794" s="133"/>
      <c r="G794" s="133"/>
      <c r="H794" s="133"/>
      <c r="I794" s="133"/>
    </row>
    <row r="795" spans="1:9">
      <c r="A795" s="133"/>
      <c r="B795" s="133"/>
      <c r="C795" s="133"/>
      <c r="D795" s="133"/>
      <c r="E795" s="133"/>
      <c r="F795" s="133"/>
      <c r="G795" s="133"/>
      <c r="H795" s="133"/>
      <c r="I795" s="133"/>
    </row>
    <row r="796" spans="1:9">
      <c r="A796" s="133"/>
      <c r="B796" s="133"/>
      <c r="C796" s="133"/>
      <c r="D796" s="133"/>
      <c r="E796" s="133"/>
      <c r="F796" s="133"/>
      <c r="G796" s="133"/>
      <c r="H796" s="133"/>
      <c r="I796" s="133"/>
    </row>
    <row r="797" spans="1:9">
      <c r="A797" s="133"/>
      <c r="B797" s="133"/>
      <c r="C797" s="133"/>
      <c r="D797" s="133"/>
      <c r="E797" s="133"/>
      <c r="F797" s="133"/>
      <c r="G797" s="133"/>
      <c r="H797" s="133"/>
      <c r="I797" s="133"/>
    </row>
    <row r="798" spans="1:9">
      <c r="A798" s="133"/>
      <c r="B798" s="133"/>
      <c r="C798" s="133"/>
      <c r="D798" s="133"/>
      <c r="E798" s="133"/>
      <c r="F798" s="133"/>
      <c r="G798" s="133"/>
      <c r="H798" s="133"/>
      <c r="I798" s="133"/>
    </row>
    <row r="799" spans="1:9">
      <c r="A799" s="133"/>
      <c r="B799" s="133"/>
      <c r="C799" s="133"/>
      <c r="D799" s="133"/>
      <c r="E799" s="133"/>
      <c r="F799" s="133"/>
      <c r="G799" s="133"/>
      <c r="H799" s="133"/>
      <c r="I799" s="133"/>
    </row>
    <row r="800" spans="1:9">
      <c r="A800" s="133"/>
      <c r="B800" s="133"/>
      <c r="C800" s="133"/>
      <c r="D800" s="133"/>
      <c r="E800" s="133"/>
      <c r="F800" s="133"/>
      <c r="G800" s="133"/>
      <c r="H800" s="133"/>
      <c r="I800" s="133"/>
    </row>
    <row r="801" spans="1:9">
      <c r="A801" s="133"/>
      <c r="B801" s="133"/>
      <c r="C801" s="133"/>
      <c r="D801" s="133"/>
      <c r="E801" s="133"/>
      <c r="F801" s="133"/>
      <c r="G801" s="133"/>
      <c r="H801" s="133"/>
      <c r="I801" s="133"/>
    </row>
    <row r="802" spans="1:9">
      <c r="A802" s="133"/>
      <c r="B802" s="133"/>
      <c r="C802" s="133"/>
      <c r="D802" s="133"/>
      <c r="E802" s="133"/>
      <c r="F802" s="133"/>
      <c r="G802" s="133"/>
      <c r="H802" s="133"/>
      <c r="I802" s="133"/>
    </row>
    <row r="803" spans="1:9">
      <c r="A803" s="133"/>
      <c r="B803" s="133"/>
      <c r="C803" s="133"/>
      <c r="D803" s="133"/>
      <c r="E803" s="133"/>
      <c r="F803" s="133"/>
      <c r="G803" s="133"/>
      <c r="H803" s="133"/>
      <c r="I803" s="133"/>
    </row>
    <row r="804" spans="1:9">
      <c r="A804" s="133"/>
      <c r="B804" s="133"/>
      <c r="C804" s="133"/>
      <c r="D804" s="133"/>
      <c r="E804" s="133"/>
      <c r="F804" s="133"/>
      <c r="G804" s="133"/>
      <c r="H804" s="133"/>
      <c r="I804" s="133"/>
    </row>
    <row r="805" spans="1:9">
      <c r="A805" s="133"/>
      <c r="B805" s="133"/>
      <c r="C805" s="133"/>
      <c r="D805" s="133"/>
      <c r="E805" s="133"/>
      <c r="F805" s="133"/>
      <c r="G805" s="133"/>
      <c r="H805" s="133"/>
      <c r="I805" s="133"/>
    </row>
    <row r="806" spans="1:9">
      <c r="A806" s="133"/>
      <c r="B806" s="133"/>
      <c r="C806" s="133"/>
      <c r="D806" s="133"/>
      <c r="E806" s="133"/>
      <c r="F806" s="133"/>
      <c r="G806" s="133"/>
      <c r="H806" s="133"/>
      <c r="I806" s="133"/>
    </row>
    <row r="807" spans="1:9">
      <c r="A807" s="133"/>
      <c r="B807" s="133"/>
      <c r="C807" s="133"/>
      <c r="D807" s="133"/>
      <c r="E807" s="133"/>
      <c r="F807" s="133"/>
      <c r="G807" s="133"/>
      <c r="H807" s="133"/>
      <c r="I807" s="133"/>
    </row>
    <row r="808" spans="1:9">
      <c r="A808" s="133"/>
      <c r="B808" s="133"/>
      <c r="C808" s="133"/>
      <c r="D808" s="133"/>
      <c r="E808" s="133"/>
      <c r="F808" s="133"/>
      <c r="G808" s="133"/>
      <c r="H808" s="133"/>
      <c r="I808" s="133"/>
    </row>
    <row r="809" spans="1:9">
      <c r="A809" s="133"/>
      <c r="B809" s="133"/>
      <c r="C809" s="133"/>
      <c r="D809" s="133"/>
      <c r="E809" s="133"/>
      <c r="F809" s="133"/>
      <c r="G809" s="133"/>
      <c r="H809" s="133"/>
      <c r="I809" s="133"/>
    </row>
    <row r="810" spans="1:9">
      <c r="A810" s="133"/>
      <c r="B810" s="133"/>
      <c r="C810" s="133"/>
      <c r="D810" s="133"/>
      <c r="E810" s="133"/>
      <c r="F810" s="133"/>
      <c r="G810" s="133"/>
      <c r="H810" s="133"/>
      <c r="I810" s="133"/>
    </row>
    <row r="811" spans="1:9">
      <c r="A811" s="133"/>
      <c r="B811" s="133"/>
      <c r="C811" s="133"/>
      <c r="D811" s="133"/>
      <c r="E811" s="133"/>
      <c r="F811" s="133"/>
      <c r="G811" s="133"/>
      <c r="H811" s="133"/>
      <c r="I811" s="133"/>
    </row>
    <row r="812" spans="1:9">
      <c r="A812" s="133"/>
      <c r="B812" s="133"/>
      <c r="C812" s="133"/>
      <c r="D812" s="133"/>
      <c r="E812" s="133"/>
      <c r="F812" s="133"/>
      <c r="G812" s="133"/>
      <c r="H812" s="133"/>
      <c r="I812" s="133"/>
    </row>
    <row r="813" spans="1:9">
      <c r="A813" s="133"/>
      <c r="B813" s="133"/>
      <c r="C813" s="133"/>
      <c r="D813" s="133"/>
      <c r="E813" s="133"/>
      <c r="F813" s="133"/>
      <c r="G813" s="133"/>
      <c r="H813" s="133"/>
      <c r="I813" s="133"/>
    </row>
    <row r="814" spans="1:9">
      <c r="A814" s="133"/>
      <c r="B814" s="133"/>
      <c r="C814" s="133"/>
      <c r="D814" s="133"/>
      <c r="E814" s="133"/>
      <c r="F814" s="133"/>
      <c r="G814" s="133"/>
      <c r="H814" s="133"/>
      <c r="I814" s="133"/>
    </row>
    <row r="815" spans="1:9">
      <c r="A815" s="133"/>
      <c r="B815" s="133"/>
      <c r="C815" s="133"/>
      <c r="D815" s="133"/>
      <c r="E815" s="133"/>
      <c r="F815" s="133"/>
      <c r="G815" s="133"/>
      <c r="H815" s="133"/>
      <c r="I815" s="133"/>
    </row>
    <row r="816" spans="1:9">
      <c r="A816" s="133"/>
      <c r="B816" s="133"/>
      <c r="C816" s="133"/>
      <c r="D816" s="133"/>
      <c r="E816" s="133"/>
      <c r="F816" s="133"/>
      <c r="G816" s="133"/>
      <c r="H816" s="133"/>
      <c r="I816" s="133"/>
    </row>
    <row r="817" spans="1:9">
      <c r="A817" s="133"/>
      <c r="B817" s="133"/>
      <c r="C817" s="133"/>
      <c r="D817" s="133"/>
      <c r="E817" s="133"/>
      <c r="F817" s="133"/>
      <c r="G817" s="133"/>
      <c r="H817" s="133"/>
      <c r="I817" s="133"/>
    </row>
    <row r="818" spans="1:9">
      <c r="A818" s="133"/>
      <c r="B818" s="133"/>
      <c r="C818" s="133"/>
      <c r="D818" s="133"/>
      <c r="E818" s="133"/>
      <c r="F818" s="133"/>
      <c r="G818" s="133"/>
      <c r="H818" s="133"/>
      <c r="I818" s="133"/>
    </row>
    <row r="819" spans="1:9">
      <c r="A819" s="133"/>
      <c r="B819" s="133"/>
      <c r="C819" s="133"/>
      <c r="D819" s="133"/>
      <c r="E819" s="133"/>
      <c r="F819" s="133"/>
      <c r="G819" s="133"/>
      <c r="H819" s="133"/>
      <c r="I819" s="133"/>
    </row>
    <row r="820" spans="1:9">
      <c r="A820" s="133"/>
      <c r="B820" s="133"/>
      <c r="C820" s="133"/>
      <c r="D820" s="133"/>
      <c r="E820" s="133"/>
      <c r="F820" s="133"/>
      <c r="G820" s="133"/>
      <c r="H820" s="133"/>
      <c r="I820" s="133"/>
    </row>
    <row r="821" spans="1:9">
      <c r="A821" s="133"/>
      <c r="B821" s="133"/>
      <c r="C821" s="133"/>
      <c r="D821" s="133"/>
      <c r="E821" s="133"/>
      <c r="F821" s="133"/>
      <c r="G821" s="133"/>
      <c r="H821" s="133"/>
      <c r="I821" s="133"/>
    </row>
    <row r="822" spans="1:9">
      <c r="A822" s="133"/>
      <c r="B822" s="133"/>
      <c r="C822" s="133"/>
      <c r="D822" s="133"/>
      <c r="E822" s="133"/>
      <c r="F822" s="133"/>
      <c r="G822" s="133"/>
      <c r="H822" s="133"/>
      <c r="I822" s="133"/>
    </row>
    <row r="823" spans="1:9">
      <c r="A823" s="133"/>
      <c r="B823" s="133"/>
      <c r="C823" s="133"/>
      <c r="D823" s="133"/>
      <c r="E823" s="133"/>
      <c r="F823" s="133"/>
      <c r="G823" s="133"/>
      <c r="H823" s="133"/>
      <c r="I823" s="133"/>
    </row>
    <row r="824" spans="1:9">
      <c r="A824" s="133"/>
      <c r="B824" s="133"/>
      <c r="C824" s="133"/>
      <c r="D824" s="133"/>
      <c r="E824" s="133"/>
      <c r="F824" s="133"/>
      <c r="G824" s="133"/>
      <c r="H824" s="133"/>
      <c r="I824" s="133"/>
    </row>
    <row r="825" spans="1:9">
      <c r="A825" s="133"/>
      <c r="B825" s="133"/>
      <c r="C825" s="133"/>
      <c r="D825" s="133"/>
      <c r="E825" s="133"/>
      <c r="F825" s="133"/>
      <c r="G825" s="133"/>
      <c r="H825" s="133"/>
      <c r="I825" s="133"/>
    </row>
    <row r="826" spans="1:9">
      <c r="A826" s="133"/>
      <c r="B826" s="133"/>
      <c r="C826" s="133"/>
      <c r="D826" s="133"/>
      <c r="E826" s="133"/>
      <c r="F826" s="133"/>
      <c r="G826" s="133"/>
      <c r="H826" s="133"/>
      <c r="I826" s="133"/>
    </row>
    <row r="827" spans="1:9">
      <c r="A827" s="133"/>
      <c r="B827" s="133"/>
      <c r="C827" s="133"/>
      <c r="D827" s="133"/>
      <c r="E827" s="133"/>
      <c r="F827" s="133"/>
      <c r="G827" s="133"/>
      <c r="H827" s="133"/>
      <c r="I827" s="133"/>
    </row>
    <row r="828" spans="1:9">
      <c r="A828" s="133"/>
      <c r="B828" s="133"/>
      <c r="C828" s="133"/>
      <c r="D828" s="133"/>
      <c r="E828" s="133"/>
      <c r="F828" s="133"/>
      <c r="G828" s="133"/>
      <c r="H828" s="133"/>
      <c r="I828" s="133"/>
    </row>
    <row r="829" spans="1:9">
      <c r="A829" s="133"/>
      <c r="B829" s="133"/>
      <c r="C829" s="133"/>
      <c r="D829" s="133"/>
      <c r="E829" s="133"/>
      <c r="F829" s="133"/>
      <c r="G829" s="133"/>
      <c r="H829" s="133"/>
      <c r="I829" s="133"/>
    </row>
    <row r="830" spans="1:9">
      <c r="A830" s="133"/>
      <c r="B830" s="133"/>
      <c r="C830" s="133"/>
      <c r="D830" s="133"/>
      <c r="E830" s="133"/>
      <c r="F830" s="133"/>
      <c r="G830" s="133"/>
      <c r="H830" s="133"/>
      <c r="I830" s="133"/>
    </row>
    <row r="831" spans="1:9">
      <c r="A831" s="133"/>
      <c r="B831" s="133"/>
      <c r="C831" s="133"/>
      <c r="D831" s="133"/>
      <c r="E831" s="133"/>
      <c r="F831" s="133"/>
      <c r="G831" s="133"/>
      <c r="H831" s="133"/>
      <c r="I831" s="133"/>
    </row>
    <row r="832" spans="1:9">
      <c r="A832" s="133"/>
      <c r="B832" s="133"/>
      <c r="C832" s="133"/>
      <c r="D832" s="133"/>
      <c r="E832" s="133"/>
      <c r="F832" s="133"/>
      <c r="G832" s="133"/>
      <c r="H832" s="133"/>
      <c r="I832" s="133"/>
    </row>
    <row r="833" spans="1:9">
      <c r="A833" s="133"/>
      <c r="B833" s="133"/>
      <c r="C833" s="133"/>
      <c r="D833" s="133"/>
      <c r="E833" s="133"/>
      <c r="F833" s="133"/>
      <c r="G833" s="133"/>
      <c r="H833" s="133"/>
      <c r="I833" s="133"/>
    </row>
    <row r="834" spans="1:9">
      <c r="A834" s="133"/>
      <c r="B834" s="133"/>
      <c r="C834" s="133"/>
      <c r="D834" s="133"/>
      <c r="E834" s="133"/>
      <c r="F834" s="133"/>
      <c r="G834" s="133"/>
      <c r="H834" s="133"/>
      <c r="I834" s="133"/>
    </row>
    <row r="835" spans="1:9">
      <c r="A835" s="133"/>
      <c r="B835" s="133"/>
      <c r="C835" s="133"/>
      <c r="D835" s="133"/>
      <c r="E835" s="133"/>
      <c r="F835" s="133"/>
      <c r="G835" s="133"/>
      <c r="H835" s="133"/>
      <c r="I835" s="133"/>
    </row>
    <row r="836" spans="1:9">
      <c r="A836" s="133"/>
      <c r="B836" s="133"/>
      <c r="C836" s="133"/>
      <c r="D836" s="133"/>
      <c r="E836" s="133"/>
      <c r="F836" s="133"/>
      <c r="G836" s="133"/>
      <c r="H836" s="133"/>
      <c r="I836" s="133"/>
    </row>
    <row r="837" spans="1:9">
      <c r="A837" s="133"/>
      <c r="B837" s="133"/>
      <c r="C837" s="133"/>
      <c r="D837" s="133"/>
      <c r="E837" s="133"/>
      <c r="F837" s="133"/>
      <c r="G837" s="133"/>
      <c r="H837" s="133"/>
      <c r="I837" s="133"/>
    </row>
    <row r="838" spans="1:9">
      <c r="A838" s="133"/>
      <c r="B838" s="133"/>
      <c r="C838" s="133"/>
      <c r="D838" s="133"/>
      <c r="E838" s="133"/>
      <c r="F838" s="133"/>
      <c r="G838" s="133"/>
      <c r="H838" s="133"/>
      <c r="I838" s="133"/>
    </row>
    <row r="839" spans="1:9">
      <c r="A839" s="133"/>
      <c r="B839" s="133"/>
      <c r="C839" s="133"/>
      <c r="D839" s="133"/>
      <c r="E839" s="133"/>
      <c r="F839" s="133"/>
      <c r="G839" s="133"/>
      <c r="H839" s="133"/>
      <c r="I839" s="133"/>
    </row>
    <row r="840" spans="1:9">
      <c r="A840" s="133"/>
      <c r="B840" s="133"/>
      <c r="C840" s="133"/>
      <c r="D840" s="133"/>
      <c r="E840" s="133"/>
      <c r="F840" s="133"/>
      <c r="G840" s="133"/>
      <c r="H840" s="133"/>
      <c r="I840" s="133"/>
    </row>
    <row r="841" spans="1:9">
      <c r="A841" s="133"/>
      <c r="B841" s="133"/>
      <c r="C841" s="133"/>
      <c r="D841" s="133"/>
      <c r="E841" s="133"/>
      <c r="F841" s="133"/>
      <c r="G841" s="133"/>
      <c r="H841" s="133"/>
      <c r="I841" s="133"/>
    </row>
    <row r="842" spans="1:9">
      <c r="A842" s="133"/>
      <c r="B842" s="133"/>
      <c r="C842" s="133"/>
      <c r="D842" s="133"/>
      <c r="E842" s="133"/>
      <c r="F842" s="133"/>
      <c r="G842" s="133"/>
      <c r="H842" s="133"/>
      <c r="I842" s="133"/>
    </row>
    <row r="843" spans="1:9">
      <c r="A843" s="133"/>
      <c r="B843" s="133"/>
      <c r="C843" s="133"/>
      <c r="D843" s="133"/>
      <c r="E843" s="133"/>
      <c r="F843" s="133"/>
      <c r="G843" s="133"/>
      <c r="H843" s="133"/>
      <c r="I843" s="133"/>
    </row>
    <row r="844" spans="1:9">
      <c r="A844" s="133"/>
      <c r="B844" s="133"/>
      <c r="C844" s="133"/>
      <c r="D844" s="133"/>
      <c r="E844" s="133"/>
      <c r="F844" s="133"/>
      <c r="G844" s="133"/>
      <c r="H844" s="133"/>
      <c r="I844" s="133"/>
    </row>
    <row r="845" spans="1:9">
      <c r="A845" s="133"/>
      <c r="B845" s="133"/>
      <c r="C845" s="133"/>
      <c r="D845" s="133"/>
      <c r="E845" s="133"/>
      <c r="F845" s="133"/>
      <c r="G845" s="133"/>
      <c r="H845" s="133"/>
      <c r="I845" s="133"/>
    </row>
    <row r="846" spans="1:9">
      <c r="A846" s="133"/>
      <c r="B846" s="133"/>
      <c r="C846" s="133"/>
      <c r="D846" s="133"/>
      <c r="E846" s="133"/>
      <c r="F846" s="133"/>
      <c r="G846" s="133"/>
      <c r="H846" s="133"/>
      <c r="I846" s="133"/>
    </row>
    <row r="847" spans="1:9">
      <c r="A847" s="133"/>
      <c r="B847" s="133"/>
      <c r="C847" s="133"/>
      <c r="D847" s="133"/>
      <c r="E847" s="133"/>
      <c r="F847" s="133"/>
      <c r="G847" s="133"/>
      <c r="H847" s="133"/>
      <c r="I847" s="133"/>
    </row>
    <row r="848" spans="1:9">
      <c r="A848" s="133"/>
      <c r="B848" s="133"/>
      <c r="C848" s="133"/>
      <c r="D848" s="133"/>
      <c r="E848" s="133"/>
      <c r="F848" s="133"/>
      <c r="G848" s="133"/>
      <c r="H848" s="133"/>
      <c r="I848" s="133"/>
    </row>
    <row r="849" spans="1:9">
      <c r="A849" s="133"/>
      <c r="B849" s="133"/>
      <c r="C849" s="133"/>
      <c r="D849" s="133"/>
      <c r="E849" s="133"/>
      <c r="F849" s="133"/>
      <c r="G849" s="133"/>
      <c r="H849" s="133"/>
      <c r="I849" s="133"/>
    </row>
    <row r="850" spans="1:9">
      <c r="A850" s="133"/>
      <c r="B850" s="133"/>
      <c r="C850" s="133"/>
      <c r="D850" s="133"/>
      <c r="E850" s="133"/>
      <c r="F850" s="133"/>
      <c r="G850" s="133"/>
      <c r="H850" s="133"/>
      <c r="I850" s="133"/>
    </row>
    <row r="851" spans="1:9">
      <c r="A851" s="133"/>
      <c r="B851" s="133"/>
      <c r="C851" s="133"/>
      <c r="D851" s="133"/>
      <c r="E851" s="133"/>
      <c r="F851" s="133"/>
      <c r="G851" s="133"/>
      <c r="H851" s="133"/>
      <c r="I851" s="133"/>
    </row>
    <row r="852" spans="1:9">
      <c r="A852" s="133"/>
      <c r="B852" s="133"/>
      <c r="C852" s="133"/>
      <c r="D852" s="133"/>
      <c r="E852" s="133"/>
      <c r="F852" s="133"/>
      <c r="G852" s="133"/>
      <c r="H852" s="133"/>
      <c r="I852" s="133"/>
    </row>
    <row r="853" spans="1:9">
      <c r="A853" s="133"/>
      <c r="B853" s="133"/>
      <c r="C853" s="133"/>
      <c r="D853" s="133"/>
      <c r="E853" s="133"/>
      <c r="F853" s="133"/>
      <c r="G853" s="133"/>
      <c r="H853" s="133"/>
      <c r="I853" s="133"/>
    </row>
    <row r="854" spans="1:9">
      <c r="A854" s="133"/>
      <c r="B854" s="133"/>
      <c r="C854" s="133"/>
      <c r="D854" s="133"/>
      <c r="E854" s="133"/>
      <c r="F854" s="133"/>
      <c r="G854" s="133"/>
      <c r="H854" s="133"/>
      <c r="I854" s="133"/>
    </row>
    <row r="855" spans="1:9">
      <c r="A855" s="133"/>
      <c r="B855" s="133"/>
      <c r="C855" s="133"/>
      <c r="D855" s="133"/>
      <c r="E855" s="133"/>
      <c r="F855" s="133"/>
      <c r="G855" s="133"/>
      <c r="H855" s="133"/>
      <c r="I855" s="133"/>
    </row>
    <row r="856" spans="1:9">
      <c r="A856" s="133"/>
      <c r="B856" s="133"/>
      <c r="C856" s="133"/>
      <c r="D856" s="133"/>
      <c r="E856" s="133"/>
      <c r="F856" s="133"/>
      <c r="G856" s="133"/>
      <c r="H856" s="133"/>
      <c r="I856" s="133"/>
    </row>
    <row r="857" spans="1:9">
      <c r="A857" s="133"/>
      <c r="B857" s="133"/>
      <c r="C857" s="133"/>
      <c r="D857" s="133"/>
      <c r="E857" s="133"/>
      <c r="F857" s="133"/>
      <c r="G857" s="133"/>
      <c r="H857" s="133"/>
      <c r="I857" s="133"/>
    </row>
    <row r="858" spans="1:9">
      <c r="A858" s="133"/>
      <c r="B858" s="133"/>
      <c r="C858" s="133"/>
      <c r="D858" s="133"/>
      <c r="E858" s="133"/>
      <c r="F858" s="133"/>
      <c r="G858" s="133"/>
      <c r="H858" s="133"/>
      <c r="I858" s="133"/>
    </row>
    <row r="859" spans="1:9">
      <c r="A859" s="133"/>
      <c r="B859" s="133"/>
      <c r="C859" s="133"/>
      <c r="D859" s="133"/>
      <c r="E859" s="133"/>
      <c r="F859" s="133"/>
      <c r="G859" s="133"/>
      <c r="H859" s="133"/>
      <c r="I859" s="133"/>
    </row>
    <row r="860" spans="1:9">
      <c r="A860" s="133"/>
      <c r="B860" s="133"/>
      <c r="C860" s="133"/>
      <c r="D860" s="133"/>
      <c r="E860" s="133"/>
      <c r="F860" s="133"/>
      <c r="G860" s="133"/>
      <c r="H860" s="133"/>
      <c r="I860" s="133"/>
    </row>
    <row r="861" spans="1:9">
      <c r="A861" s="133"/>
      <c r="B861" s="133"/>
      <c r="C861" s="133"/>
      <c r="D861" s="133"/>
      <c r="E861" s="133"/>
      <c r="F861" s="133"/>
      <c r="G861" s="133"/>
      <c r="H861" s="133"/>
      <c r="I861" s="133"/>
    </row>
    <row r="862" spans="1:9">
      <c r="A862" s="133"/>
      <c r="B862" s="133"/>
      <c r="C862" s="133"/>
      <c r="D862" s="133"/>
      <c r="E862" s="133"/>
      <c r="F862" s="133"/>
      <c r="G862" s="133"/>
      <c r="H862" s="133"/>
      <c r="I862" s="133"/>
    </row>
    <row r="863" spans="1:9">
      <c r="A863" s="133"/>
      <c r="B863" s="133"/>
      <c r="C863" s="133"/>
      <c r="D863" s="133"/>
      <c r="E863" s="133"/>
      <c r="F863" s="133"/>
      <c r="G863" s="133"/>
      <c r="H863" s="133"/>
      <c r="I863" s="133"/>
    </row>
    <row r="864" spans="1:9">
      <c r="A864" s="133"/>
      <c r="B864" s="133"/>
      <c r="C864" s="133"/>
      <c r="D864" s="133"/>
      <c r="E864" s="133"/>
      <c r="F864" s="133"/>
      <c r="G864" s="133"/>
      <c r="H864" s="133"/>
      <c r="I864" s="133"/>
    </row>
    <row r="865" spans="1:9">
      <c r="A865" s="133"/>
      <c r="B865" s="133"/>
      <c r="C865" s="133"/>
      <c r="D865" s="133"/>
      <c r="E865" s="133"/>
      <c r="F865" s="133"/>
      <c r="G865" s="133"/>
      <c r="H865" s="133"/>
      <c r="I865" s="133"/>
    </row>
    <row r="866" spans="1:9">
      <c r="A866" s="133"/>
      <c r="B866" s="133"/>
      <c r="C866" s="133"/>
      <c r="D866" s="133"/>
      <c r="E866" s="133"/>
      <c r="F866" s="133"/>
      <c r="G866" s="133"/>
      <c r="H866" s="133"/>
      <c r="I866" s="133"/>
    </row>
    <row r="867" spans="1:9">
      <c r="A867" s="133"/>
      <c r="B867" s="133"/>
      <c r="C867" s="133"/>
      <c r="D867" s="133"/>
      <c r="E867" s="133"/>
      <c r="F867" s="133"/>
      <c r="G867" s="133"/>
      <c r="H867" s="133"/>
      <c r="I867" s="133"/>
    </row>
    <row r="868" spans="1:9">
      <c r="A868" s="133"/>
      <c r="B868" s="133"/>
      <c r="C868" s="133"/>
      <c r="D868" s="133"/>
      <c r="E868" s="133"/>
      <c r="F868" s="133"/>
      <c r="G868" s="133"/>
      <c r="H868" s="133"/>
      <c r="I868" s="133"/>
    </row>
    <row r="869" spans="1:9">
      <c r="A869" s="133"/>
      <c r="B869" s="133"/>
      <c r="C869" s="133"/>
      <c r="D869" s="133"/>
      <c r="E869" s="133"/>
      <c r="F869" s="133"/>
      <c r="G869" s="133"/>
      <c r="H869" s="133"/>
      <c r="I869" s="133"/>
    </row>
    <row r="870" spans="1:9">
      <c r="A870" s="133"/>
      <c r="B870" s="133"/>
      <c r="C870" s="133"/>
      <c r="D870" s="133"/>
      <c r="E870" s="133"/>
      <c r="F870" s="133"/>
      <c r="G870" s="133"/>
      <c r="H870" s="133"/>
      <c r="I870" s="133"/>
    </row>
    <row r="871" spans="1:9">
      <c r="A871" s="133"/>
      <c r="B871" s="133"/>
      <c r="C871" s="133"/>
      <c r="D871" s="133"/>
      <c r="E871" s="133"/>
      <c r="F871" s="133"/>
      <c r="G871" s="133"/>
      <c r="H871" s="133"/>
      <c r="I871" s="133"/>
    </row>
    <row r="872" spans="1:9">
      <c r="A872" s="133"/>
      <c r="B872" s="133"/>
      <c r="C872" s="133"/>
      <c r="D872" s="133"/>
      <c r="E872" s="133"/>
      <c r="F872" s="133"/>
      <c r="G872" s="133"/>
      <c r="H872" s="133"/>
      <c r="I872" s="133"/>
    </row>
    <row r="873" spans="1:9">
      <c r="A873" s="133"/>
      <c r="B873" s="133"/>
      <c r="C873" s="133"/>
      <c r="D873" s="133"/>
      <c r="E873" s="133"/>
      <c r="F873" s="133"/>
      <c r="G873" s="133"/>
      <c r="H873" s="133"/>
      <c r="I873" s="133"/>
    </row>
    <row r="874" spans="1:9">
      <c r="A874" s="133"/>
      <c r="B874" s="133"/>
      <c r="C874" s="133"/>
      <c r="D874" s="133"/>
      <c r="E874" s="133"/>
      <c r="F874" s="133"/>
      <c r="G874" s="133"/>
      <c r="H874" s="133"/>
      <c r="I874" s="133"/>
    </row>
    <row r="875" spans="1:9">
      <c r="A875" s="133"/>
      <c r="B875" s="133"/>
      <c r="C875" s="133"/>
      <c r="D875" s="133"/>
      <c r="E875" s="133"/>
      <c r="F875" s="133"/>
      <c r="G875" s="133"/>
      <c r="H875" s="133"/>
      <c r="I875" s="133"/>
    </row>
    <row r="876" spans="1:9">
      <c r="A876" s="133"/>
      <c r="B876" s="133"/>
      <c r="C876" s="133"/>
      <c r="D876" s="133"/>
      <c r="E876" s="133"/>
      <c r="F876" s="133"/>
      <c r="G876" s="133"/>
      <c r="H876" s="133"/>
      <c r="I876" s="133"/>
    </row>
    <row r="877" spans="1:9">
      <c r="A877" s="133"/>
      <c r="B877" s="133"/>
      <c r="C877" s="133"/>
      <c r="D877" s="133"/>
      <c r="E877" s="133"/>
      <c r="F877" s="133"/>
      <c r="G877" s="133"/>
      <c r="H877" s="133"/>
      <c r="I877" s="133"/>
    </row>
    <row r="878" spans="1:9">
      <c r="A878" s="133"/>
      <c r="B878" s="133"/>
      <c r="C878" s="133"/>
      <c r="D878" s="133"/>
      <c r="E878" s="133"/>
      <c r="F878" s="133"/>
      <c r="G878" s="133"/>
      <c r="H878" s="133"/>
      <c r="I878" s="133"/>
    </row>
    <row r="879" spans="1:9">
      <c r="A879" s="133"/>
      <c r="B879" s="133"/>
      <c r="C879" s="133"/>
      <c r="D879" s="133"/>
      <c r="E879" s="133"/>
      <c r="F879" s="133"/>
      <c r="G879" s="133"/>
      <c r="H879" s="133"/>
      <c r="I879" s="133"/>
    </row>
    <row r="880" spans="1:9">
      <c r="A880" s="133"/>
      <c r="B880" s="133"/>
      <c r="C880" s="133"/>
      <c r="D880" s="133"/>
      <c r="E880" s="133"/>
      <c r="F880" s="133"/>
      <c r="G880" s="133"/>
      <c r="H880" s="133"/>
      <c r="I880" s="133"/>
    </row>
    <row r="881" spans="1:9">
      <c r="A881" s="133"/>
      <c r="B881" s="133"/>
      <c r="C881" s="133"/>
      <c r="D881" s="133"/>
      <c r="E881" s="133"/>
      <c r="F881" s="133"/>
      <c r="G881" s="133"/>
      <c r="H881" s="133"/>
      <c r="I881" s="133"/>
    </row>
    <row r="882" spans="1:9">
      <c r="A882" s="133"/>
      <c r="B882" s="133"/>
      <c r="C882" s="133"/>
      <c r="D882" s="133"/>
      <c r="E882" s="133"/>
      <c r="F882" s="133"/>
      <c r="G882" s="133"/>
      <c r="H882" s="133"/>
      <c r="I882" s="133"/>
    </row>
    <row r="883" spans="1:9">
      <c r="A883" s="133"/>
      <c r="B883" s="133"/>
      <c r="C883" s="133"/>
      <c r="D883" s="133"/>
      <c r="E883" s="133"/>
      <c r="F883" s="133"/>
      <c r="G883" s="133"/>
      <c r="H883" s="133"/>
      <c r="I883" s="133"/>
    </row>
    <row r="884" spans="1:9">
      <c r="A884" s="133"/>
      <c r="B884" s="133"/>
      <c r="C884" s="133"/>
      <c r="D884" s="133"/>
      <c r="E884" s="133"/>
      <c r="F884" s="133"/>
      <c r="G884" s="133"/>
      <c r="H884" s="133"/>
      <c r="I884" s="133"/>
    </row>
    <row r="885" spans="1:9">
      <c r="A885" s="133"/>
      <c r="B885" s="133"/>
      <c r="C885" s="133"/>
      <c r="D885" s="133"/>
      <c r="E885" s="133"/>
      <c r="F885" s="133"/>
      <c r="G885" s="133"/>
      <c r="H885" s="133"/>
      <c r="I885" s="133"/>
    </row>
    <row r="886" spans="1:9">
      <c r="A886" s="133"/>
      <c r="B886" s="133"/>
      <c r="C886" s="133"/>
      <c r="D886" s="133"/>
      <c r="E886" s="133"/>
      <c r="F886" s="133"/>
      <c r="G886" s="133"/>
      <c r="H886" s="133"/>
      <c r="I886" s="133"/>
    </row>
    <row r="887" spans="1:9">
      <c r="A887" s="133"/>
      <c r="B887" s="133"/>
      <c r="C887" s="133"/>
      <c r="D887" s="133"/>
      <c r="E887" s="133"/>
      <c r="F887" s="133"/>
      <c r="G887" s="133"/>
      <c r="H887" s="133"/>
      <c r="I887" s="133"/>
    </row>
    <row r="888" spans="1:9">
      <c r="A888" s="133"/>
      <c r="B888" s="133"/>
      <c r="C888" s="133"/>
      <c r="D888" s="133"/>
      <c r="E888" s="133"/>
      <c r="F888" s="133"/>
      <c r="G888" s="133"/>
      <c r="H888" s="133"/>
      <c r="I888" s="133"/>
    </row>
    <row r="889" spans="1:9">
      <c r="A889" s="133"/>
      <c r="B889" s="133"/>
      <c r="C889" s="133"/>
      <c r="D889" s="133"/>
      <c r="E889" s="133"/>
      <c r="F889" s="133"/>
      <c r="G889" s="133"/>
      <c r="H889" s="133"/>
      <c r="I889" s="133"/>
    </row>
    <row r="890" spans="1:9">
      <c r="A890" s="133"/>
      <c r="B890" s="133"/>
      <c r="C890" s="133"/>
      <c r="D890" s="133"/>
      <c r="E890" s="133"/>
      <c r="F890" s="133"/>
      <c r="G890" s="133"/>
      <c r="H890" s="133"/>
      <c r="I890" s="133"/>
    </row>
    <row r="891" spans="1:9">
      <c r="A891" s="133"/>
      <c r="B891" s="133"/>
      <c r="C891" s="133"/>
      <c r="D891" s="133"/>
      <c r="E891" s="133"/>
      <c r="F891" s="133"/>
      <c r="G891" s="133"/>
      <c r="H891" s="133"/>
      <c r="I891" s="133"/>
    </row>
    <row r="892" spans="1:9">
      <c r="A892" s="133"/>
      <c r="B892" s="133"/>
      <c r="C892" s="133"/>
      <c r="D892" s="133"/>
      <c r="E892" s="133"/>
      <c r="F892" s="133"/>
      <c r="G892" s="133"/>
      <c r="H892" s="133"/>
      <c r="I892" s="133"/>
    </row>
    <row r="893" spans="1:9">
      <c r="A893" s="133"/>
      <c r="B893" s="133"/>
      <c r="C893" s="133"/>
      <c r="D893" s="133"/>
      <c r="E893" s="133"/>
      <c r="F893" s="133"/>
      <c r="G893" s="133"/>
      <c r="H893" s="133"/>
      <c r="I893" s="133"/>
    </row>
    <row r="894" spans="1:9">
      <c r="A894" s="133"/>
      <c r="B894" s="133"/>
      <c r="C894" s="133"/>
      <c r="D894" s="133"/>
      <c r="E894" s="133"/>
      <c r="F894" s="133"/>
      <c r="G894" s="133"/>
      <c r="H894" s="133"/>
      <c r="I894" s="133"/>
    </row>
    <row r="895" spans="1:9">
      <c r="A895" s="133"/>
      <c r="B895" s="133"/>
      <c r="C895" s="133"/>
      <c r="D895" s="133"/>
      <c r="E895" s="133"/>
      <c r="F895" s="133"/>
      <c r="G895" s="133"/>
      <c r="H895" s="133"/>
      <c r="I895" s="133"/>
    </row>
    <row r="896" spans="1:9">
      <c r="A896" s="133"/>
      <c r="B896" s="133"/>
      <c r="C896" s="133"/>
      <c r="D896" s="133"/>
      <c r="E896" s="133"/>
      <c r="F896" s="133"/>
      <c r="G896" s="133"/>
      <c r="H896" s="133"/>
      <c r="I896" s="133"/>
    </row>
    <row r="897" spans="1:9">
      <c r="A897" s="133"/>
      <c r="B897" s="133"/>
      <c r="C897" s="133"/>
      <c r="D897" s="133"/>
      <c r="E897" s="133"/>
      <c r="F897" s="133"/>
      <c r="G897" s="133"/>
      <c r="H897" s="133"/>
      <c r="I897" s="133"/>
    </row>
    <row r="898" spans="1:9">
      <c r="A898" s="133"/>
      <c r="B898" s="133"/>
      <c r="C898" s="133"/>
      <c r="D898" s="133"/>
      <c r="E898" s="133"/>
      <c r="F898" s="133"/>
      <c r="G898" s="133"/>
      <c r="H898" s="133"/>
      <c r="I898" s="133"/>
    </row>
    <row r="899" spans="1:9">
      <c r="A899" s="133"/>
      <c r="B899" s="133"/>
      <c r="C899" s="133"/>
      <c r="D899" s="133"/>
      <c r="E899" s="133"/>
      <c r="F899" s="133"/>
      <c r="G899" s="133"/>
      <c r="H899" s="133"/>
      <c r="I899" s="133"/>
    </row>
    <row r="900" spans="1:9">
      <c r="A900" s="133"/>
      <c r="B900" s="133"/>
      <c r="C900" s="133"/>
      <c r="D900" s="133"/>
      <c r="E900" s="133"/>
      <c r="F900" s="133"/>
      <c r="G900" s="133"/>
      <c r="H900" s="133"/>
      <c r="I900" s="133"/>
    </row>
    <row r="901" spans="1:9">
      <c r="A901" s="133"/>
      <c r="B901" s="133"/>
      <c r="C901" s="133"/>
      <c r="D901" s="133"/>
      <c r="E901" s="133"/>
      <c r="F901" s="133"/>
      <c r="G901" s="133"/>
      <c r="H901" s="133"/>
      <c r="I901" s="133"/>
    </row>
    <row r="902" spans="1:9">
      <c r="A902" s="133"/>
      <c r="B902" s="133"/>
      <c r="C902" s="133"/>
      <c r="D902" s="133"/>
      <c r="E902" s="133"/>
      <c r="F902" s="133"/>
      <c r="G902" s="133"/>
      <c r="H902" s="133"/>
      <c r="I902" s="133"/>
    </row>
    <row r="903" spans="1:9">
      <c r="A903" s="133"/>
      <c r="B903" s="133"/>
      <c r="C903" s="133"/>
      <c r="D903" s="133"/>
      <c r="E903" s="133"/>
      <c r="F903" s="133"/>
      <c r="G903" s="133"/>
      <c r="H903" s="133"/>
      <c r="I903" s="133"/>
    </row>
    <row r="904" spans="1:9">
      <c r="A904" s="133"/>
      <c r="B904" s="133"/>
      <c r="C904" s="133"/>
      <c r="D904" s="133"/>
      <c r="E904" s="133"/>
      <c r="F904" s="133"/>
      <c r="G904" s="133"/>
      <c r="H904" s="133"/>
      <c r="I904" s="133"/>
    </row>
    <row r="905" spans="1:9">
      <c r="A905" s="133"/>
      <c r="B905" s="133"/>
      <c r="C905" s="133"/>
      <c r="D905" s="133"/>
      <c r="E905" s="133"/>
      <c r="F905" s="133"/>
      <c r="G905" s="133"/>
      <c r="H905" s="133"/>
      <c r="I905" s="133"/>
    </row>
    <row r="906" spans="1:9">
      <c r="A906" s="133"/>
      <c r="B906" s="133"/>
      <c r="C906" s="133"/>
      <c r="D906" s="133"/>
      <c r="E906" s="133"/>
      <c r="F906" s="133"/>
      <c r="G906" s="133"/>
      <c r="H906" s="133"/>
      <c r="I906" s="133"/>
    </row>
    <row r="907" spans="1:9">
      <c r="A907" s="133"/>
      <c r="B907" s="133"/>
      <c r="C907" s="133"/>
      <c r="D907" s="133"/>
      <c r="E907" s="133"/>
      <c r="F907" s="133"/>
      <c r="G907" s="133"/>
      <c r="H907" s="133"/>
      <c r="I907" s="133"/>
    </row>
    <row r="908" spans="1:9">
      <c r="A908" s="133"/>
      <c r="B908" s="133"/>
      <c r="C908" s="133"/>
      <c r="D908" s="133"/>
      <c r="E908" s="133"/>
      <c r="F908" s="133"/>
      <c r="G908" s="133"/>
      <c r="H908" s="133"/>
      <c r="I908" s="133"/>
    </row>
    <row r="909" spans="1:9">
      <c r="A909" s="133"/>
      <c r="B909" s="133"/>
      <c r="C909" s="133"/>
      <c r="D909" s="133"/>
      <c r="E909" s="133"/>
      <c r="F909" s="133"/>
      <c r="G909" s="133"/>
      <c r="H909" s="133"/>
      <c r="I909" s="133"/>
    </row>
    <row r="910" spans="1:9">
      <c r="A910" s="133"/>
      <c r="B910" s="133"/>
      <c r="C910" s="133"/>
      <c r="D910" s="133"/>
      <c r="E910" s="133"/>
      <c r="F910" s="133"/>
      <c r="G910" s="133"/>
      <c r="H910" s="133"/>
      <c r="I910" s="133"/>
    </row>
    <row r="911" spans="1:9">
      <c r="A911" s="133"/>
      <c r="B911" s="133"/>
      <c r="C911" s="133"/>
      <c r="D911" s="133"/>
      <c r="E911" s="133"/>
      <c r="F911" s="133"/>
      <c r="G911" s="133"/>
      <c r="H911" s="133"/>
      <c r="I911" s="133"/>
    </row>
    <row r="912" spans="1:9">
      <c r="A912" s="133"/>
      <c r="B912" s="133"/>
      <c r="C912" s="133"/>
      <c r="D912" s="133"/>
      <c r="E912" s="133"/>
      <c r="F912" s="133"/>
      <c r="G912" s="133"/>
      <c r="H912" s="133"/>
      <c r="I912" s="133"/>
    </row>
    <row r="913" spans="1:9">
      <c r="A913" s="133"/>
      <c r="B913" s="133"/>
      <c r="C913" s="133"/>
      <c r="D913" s="133"/>
      <c r="E913" s="133"/>
      <c r="F913" s="133"/>
      <c r="G913" s="133"/>
      <c r="H913" s="133"/>
      <c r="I913" s="133"/>
    </row>
    <row r="914" spans="1:9">
      <c r="A914" s="133"/>
      <c r="B914" s="133"/>
      <c r="C914" s="133"/>
      <c r="D914" s="133"/>
      <c r="E914" s="133"/>
      <c r="F914" s="133"/>
      <c r="G914" s="133"/>
      <c r="H914" s="133"/>
      <c r="I914" s="133"/>
    </row>
    <row r="915" spans="1:9">
      <c r="A915" s="133"/>
      <c r="B915" s="133"/>
      <c r="C915" s="133"/>
      <c r="D915" s="133"/>
      <c r="E915" s="133"/>
      <c r="F915" s="133"/>
      <c r="G915" s="133"/>
      <c r="H915" s="133"/>
      <c r="I915" s="133"/>
    </row>
    <row r="916" spans="1:9">
      <c r="A916" s="133"/>
      <c r="B916" s="133"/>
      <c r="C916" s="133"/>
      <c r="D916" s="133"/>
      <c r="E916" s="133"/>
      <c r="F916" s="133"/>
      <c r="G916" s="133"/>
      <c r="H916" s="133"/>
      <c r="I916" s="133"/>
    </row>
    <row r="917" spans="1:9">
      <c r="A917" s="133"/>
      <c r="B917" s="133"/>
      <c r="C917" s="133"/>
      <c r="D917" s="133"/>
      <c r="E917" s="133"/>
      <c r="F917" s="133"/>
      <c r="G917" s="133"/>
      <c r="H917" s="133"/>
      <c r="I917" s="133"/>
    </row>
    <row r="918" spans="1:9">
      <c r="A918" s="133"/>
      <c r="B918" s="133"/>
      <c r="C918" s="133"/>
      <c r="D918" s="133"/>
      <c r="E918" s="133"/>
      <c r="F918" s="133"/>
      <c r="G918" s="133"/>
      <c r="H918" s="133"/>
      <c r="I918" s="133"/>
    </row>
    <row r="919" spans="1:9">
      <c r="A919" s="133"/>
      <c r="B919" s="133"/>
      <c r="C919" s="133"/>
      <c r="D919" s="133"/>
      <c r="E919" s="133"/>
      <c r="F919" s="133"/>
      <c r="G919" s="133"/>
      <c r="H919" s="133"/>
      <c r="I919" s="133"/>
    </row>
    <row r="920" spans="1:9">
      <c r="A920" s="133"/>
      <c r="B920" s="133"/>
      <c r="C920" s="133"/>
      <c r="D920" s="133"/>
      <c r="E920" s="133"/>
      <c r="F920" s="133"/>
      <c r="G920" s="133"/>
      <c r="H920" s="133"/>
      <c r="I920" s="133"/>
    </row>
    <row r="921" spans="1:9">
      <c r="A921" s="133"/>
      <c r="B921" s="133"/>
      <c r="C921" s="133"/>
      <c r="D921" s="133"/>
      <c r="E921" s="133"/>
      <c r="F921" s="133"/>
      <c r="G921" s="133"/>
      <c r="H921" s="133"/>
      <c r="I921" s="133"/>
    </row>
    <row r="922" spans="1:9">
      <c r="A922" s="133"/>
      <c r="B922" s="133"/>
      <c r="C922" s="133"/>
      <c r="D922" s="133"/>
      <c r="E922" s="133"/>
      <c r="F922" s="133"/>
      <c r="G922" s="133"/>
      <c r="H922" s="133"/>
      <c r="I922" s="133"/>
    </row>
    <row r="923" spans="1:9">
      <c r="A923" s="133"/>
      <c r="B923" s="133"/>
      <c r="C923" s="133"/>
      <c r="D923" s="133"/>
      <c r="E923" s="133"/>
      <c r="F923" s="133"/>
      <c r="G923" s="133"/>
      <c r="H923" s="133"/>
      <c r="I923" s="133"/>
    </row>
    <row r="924" spans="1:9">
      <c r="A924" s="133"/>
      <c r="B924" s="133"/>
      <c r="C924" s="133"/>
      <c r="D924" s="133"/>
      <c r="E924" s="133"/>
      <c r="F924" s="133"/>
      <c r="G924" s="133"/>
      <c r="H924" s="133"/>
      <c r="I924" s="133"/>
    </row>
    <row r="925" spans="1:9">
      <c r="A925" s="133"/>
      <c r="B925" s="133"/>
      <c r="C925" s="133"/>
      <c r="D925" s="133"/>
      <c r="E925" s="133"/>
      <c r="F925" s="133"/>
      <c r="G925" s="133"/>
      <c r="H925" s="133"/>
      <c r="I925" s="133"/>
    </row>
    <row r="926" spans="1:9">
      <c r="A926" s="133"/>
      <c r="B926" s="133"/>
      <c r="C926" s="133"/>
      <c r="D926" s="133"/>
      <c r="E926" s="133"/>
      <c r="F926" s="133"/>
      <c r="G926" s="133"/>
      <c r="H926" s="133"/>
      <c r="I926" s="133"/>
    </row>
    <row r="927" spans="1:9">
      <c r="A927" s="133"/>
      <c r="B927" s="133"/>
      <c r="C927" s="133"/>
      <c r="D927" s="133"/>
      <c r="E927" s="133"/>
      <c r="F927" s="133"/>
      <c r="G927" s="133"/>
      <c r="H927" s="133"/>
      <c r="I927" s="133"/>
    </row>
    <row r="928" spans="1:9">
      <c r="A928" s="133"/>
      <c r="B928" s="133"/>
      <c r="C928" s="133"/>
      <c r="D928" s="133"/>
      <c r="E928" s="133"/>
      <c r="F928" s="133"/>
      <c r="G928" s="133"/>
      <c r="H928" s="133"/>
      <c r="I928" s="133"/>
    </row>
    <row r="929" spans="1:9">
      <c r="A929" s="133"/>
      <c r="B929" s="133"/>
      <c r="C929" s="133"/>
      <c r="D929" s="133"/>
      <c r="E929" s="133"/>
      <c r="F929" s="133"/>
      <c r="G929" s="133"/>
      <c r="H929" s="133"/>
      <c r="I929" s="133"/>
    </row>
    <row r="930" spans="1:9">
      <c r="A930" s="133"/>
      <c r="B930" s="133"/>
      <c r="C930" s="133"/>
      <c r="D930" s="133"/>
      <c r="E930" s="133"/>
      <c r="F930" s="133"/>
      <c r="G930" s="133"/>
      <c r="H930" s="133"/>
      <c r="I930" s="133"/>
    </row>
    <row r="931" spans="1:9">
      <c r="A931" s="133"/>
      <c r="B931" s="133"/>
      <c r="C931" s="133"/>
      <c r="D931" s="133"/>
      <c r="E931" s="133"/>
      <c r="F931" s="133"/>
      <c r="G931" s="133"/>
      <c r="H931" s="133"/>
      <c r="I931" s="133"/>
    </row>
    <row r="932" spans="1:9">
      <c r="A932" s="133"/>
      <c r="B932" s="133"/>
      <c r="C932" s="133"/>
      <c r="D932" s="133"/>
      <c r="E932" s="133"/>
      <c r="F932" s="133"/>
      <c r="G932" s="133"/>
      <c r="H932" s="133"/>
      <c r="I932" s="133"/>
    </row>
    <row r="933" spans="1:9">
      <c r="A933" s="133"/>
      <c r="B933" s="133"/>
      <c r="C933" s="133"/>
      <c r="D933" s="133"/>
      <c r="E933" s="133"/>
      <c r="F933" s="133"/>
      <c r="G933" s="133"/>
      <c r="H933" s="133"/>
      <c r="I933" s="133"/>
    </row>
    <row r="934" spans="1:9">
      <c r="A934" s="133"/>
      <c r="B934" s="133"/>
      <c r="C934" s="133"/>
      <c r="D934" s="133"/>
      <c r="E934" s="133"/>
      <c r="F934" s="133"/>
      <c r="G934" s="133"/>
      <c r="H934" s="133"/>
      <c r="I934" s="133"/>
    </row>
    <row r="935" spans="1:9">
      <c r="A935" s="133"/>
      <c r="B935" s="133"/>
      <c r="C935" s="133"/>
      <c r="D935" s="133"/>
      <c r="E935" s="133"/>
      <c r="F935" s="133"/>
      <c r="G935" s="133"/>
      <c r="H935" s="133"/>
      <c r="I935" s="133"/>
    </row>
    <row r="936" spans="1:9">
      <c r="A936" s="133"/>
      <c r="B936" s="133"/>
      <c r="C936" s="133"/>
      <c r="D936" s="133"/>
      <c r="E936" s="133"/>
      <c r="F936" s="133"/>
      <c r="G936" s="133"/>
      <c r="H936" s="133"/>
      <c r="I936" s="133"/>
    </row>
    <row r="937" spans="1:9">
      <c r="A937" s="133"/>
      <c r="B937" s="133"/>
      <c r="C937" s="133"/>
      <c r="D937" s="133"/>
      <c r="E937" s="133"/>
      <c r="F937" s="133"/>
      <c r="G937" s="133"/>
      <c r="H937" s="133"/>
      <c r="I937" s="133"/>
    </row>
    <row r="938" spans="1:9">
      <c r="A938" s="133"/>
      <c r="B938" s="133"/>
      <c r="C938" s="133"/>
      <c r="D938" s="133"/>
      <c r="E938" s="133"/>
      <c r="F938" s="133"/>
      <c r="G938" s="133"/>
      <c r="H938" s="133"/>
      <c r="I938" s="133"/>
    </row>
    <row r="939" spans="1:9">
      <c r="A939" s="133"/>
      <c r="B939" s="133"/>
      <c r="C939" s="133"/>
      <c r="D939" s="133"/>
      <c r="E939" s="133"/>
      <c r="F939" s="133"/>
      <c r="G939" s="133"/>
      <c r="H939" s="133"/>
      <c r="I939" s="133"/>
    </row>
    <row r="940" spans="1:9">
      <c r="A940" s="133"/>
      <c r="B940" s="133"/>
      <c r="C940" s="133"/>
      <c r="D940" s="133"/>
      <c r="E940" s="133"/>
      <c r="F940" s="133"/>
      <c r="G940" s="133"/>
      <c r="H940" s="133"/>
      <c r="I940" s="133"/>
    </row>
    <row r="941" spans="1:9">
      <c r="A941" s="133"/>
      <c r="B941" s="133"/>
      <c r="C941" s="133"/>
      <c r="D941" s="133"/>
      <c r="E941" s="133"/>
      <c r="F941" s="133"/>
      <c r="G941" s="133"/>
      <c r="H941" s="133"/>
      <c r="I941" s="133"/>
    </row>
    <row r="942" spans="1:9">
      <c r="A942" s="133"/>
      <c r="B942" s="133"/>
      <c r="C942" s="133"/>
      <c r="D942" s="133"/>
      <c r="E942" s="133"/>
      <c r="F942" s="133"/>
      <c r="G942" s="133"/>
      <c r="H942" s="133"/>
      <c r="I942" s="133"/>
    </row>
    <row r="943" spans="1:9">
      <c r="A943" s="133"/>
      <c r="B943" s="133"/>
      <c r="C943" s="133"/>
      <c r="D943" s="133"/>
      <c r="E943" s="133"/>
      <c r="F943" s="133"/>
      <c r="G943" s="133"/>
      <c r="H943" s="133"/>
      <c r="I943" s="133"/>
    </row>
    <row r="944" spans="1:9">
      <c r="A944" s="133"/>
      <c r="B944" s="133"/>
      <c r="C944" s="133"/>
      <c r="D944" s="133"/>
      <c r="E944" s="133"/>
      <c r="F944" s="133"/>
      <c r="G944" s="133"/>
      <c r="H944" s="133"/>
      <c r="I944" s="133"/>
    </row>
    <row r="945" spans="1:9">
      <c r="A945" s="133"/>
      <c r="B945" s="133"/>
      <c r="C945" s="133"/>
      <c r="D945" s="133"/>
      <c r="E945" s="133"/>
      <c r="F945" s="133"/>
      <c r="G945" s="133"/>
      <c r="H945" s="133"/>
      <c r="I945" s="133"/>
    </row>
    <row r="946" spans="1:9">
      <c r="A946" s="133"/>
      <c r="B946" s="133"/>
      <c r="C946" s="133"/>
      <c r="D946" s="133"/>
      <c r="E946" s="133"/>
      <c r="F946" s="133"/>
      <c r="G946" s="133"/>
      <c r="H946" s="133"/>
      <c r="I946" s="133"/>
    </row>
    <row r="947" spans="1:9">
      <c r="A947" s="133"/>
      <c r="B947" s="133"/>
      <c r="C947" s="133"/>
      <c r="D947" s="133"/>
      <c r="E947" s="133"/>
      <c r="F947" s="133"/>
      <c r="G947" s="133"/>
      <c r="H947" s="133"/>
      <c r="I947" s="133"/>
    </row>
    <row r="948" spans="1:9">
      <c r="A948" s="133"/>
      <c r="B948" s="133"/>
      <c r="C948" s="133"/>
      <c r="D948" s="133"/>
      <c r="E948" s="133"/>
      <c r="F948" s="133"/>
      <c r="G948" s="133"/>
      <c r="H948" s="133"/>
      <c r="I948" s="133"/>
    </row>
    <row r="949" spans="1:9">
      <c r="A949" s="133"/>
      <c r="B949" s="133"/>
      <c r="C949" s="133"/>
      <c r="D949" s="133"/>
      <c r="E949" s="133"/>
      <c r="F949" s="133"/>
      <c r="G949" s="133"/>
      <c r="H949" s="133"/>
      <c r="I949" s="133"/>
    </row>
    <row r="950" spans="1:9">
      <c r="A950" s="133"/>
      <c r="B950" s="133"/>
      <c r="C950" s="133"/>
      <c r="D950" s="133"/>
      <c r="E950" s="133"/>
      <c r="F950" s="133"/>
      <c r="G950" s="133"/>
      <c r="H950" s="133"/>
      <c r="I950" s="133"/>
    </row>
    <row r="951" spans="1:9">
      <c r="A951" s="133"/>
      <c r="B951" s="133"/>
      <c r="C951" s="133"/>
      <c r="D951" s="133"/>
      <c r="E951" s="133"/>
      <c r="F951" s="133"/>
      <c r="G951" s="133"/>
      <c r="H951" s="133"/>
      <c r="I951" s="133"/>
    </row>
    <row r="952" spans="1:9">
      <c r="A952" s="133"/>
      <c r="B952" s="133"/>
      <c r="C952" s="133"/>
      <c r="D952" s="133"/>
      <c r="E952" s="133"/>
      <c r="F952" s="133"/>
      <c r="G952" s="133"/>
      <c r="H952" s="133"/>
      <c r="I952" s="133"/>
    </row>
    <row r="953" spans="1:9">
      <c r="A953" s="133"/>
      <c r="B953" s="133"/>
      <c r="C953" s="133"/>
      <c r="D953" s="133"/>
      <c r="E953" s="133"/>
      <c r="F953" s="133"/>
      <c r="G953" s="133"/>
      <c r="H953" s="133"/>
      <c r="I953" s="133"/>
    </row>
    <row r="954" spans="1:9">
      <c r="A954" s="133"/>
      <c r="B954" s="133"/>
      <c r="C954" s="133"/>
      <c r="D954" s="133"/>
      <c r="E954" s="133"/>
      <c r="F954" s="133"/>
      <c r="G954" s="133"/>
      <c r="H954" s="133"/>
      <c r="I954" s="133"/>
    </row>
    <row r="955" spans="1:9">
      <c r="A955" s="133"/>
      <c r="B955" s="133"/>
      <c r="C955" s="133"/>
      <c r="D955" s="133"/>
      <c r="E955" s="133"/>
      <c r="F955" s="133"/>
      <c r="G955" s="133"/>
      <c r="H955" s="133"/>
      <c r="I955" s="133"/>
    </row>
    <row r="956" spans="1:9">
      <c r="A956" s="133"/>
      <c r="B956" s="133"/>
      <c r="C956" s="133"/>
      <c r="D956" s="133"/>
      <c r="E956" s="133"/>
      <c r="F956" s="133"/>
      <c r="G956" s="133"/>
      <c r="H956" s="133"/>
      <c r="I956" s="133"/>
    </row>
    <row r="957" spans="1:9">
      <c r="A957" s="133"/>
      <c r="B957" s="133"/>
      <c r="C957" s="133"/>
      <c r="D957" s="133"/>
      <c r="E957" s="133"/>
      <c r="F957" s="133"/>
      <c r="G957" s="133"/>
      <c r="H957" s="133"/>
      <c r="I957" s="133"/>
    </row>
    <row r="958" spans="1:9">
      <c r="A958" s="133"/>
      <c r="B958" s="133"/>
      <c r="C958" s="133"/>
      <c r="D958" s="133"/>
      <c r="E958" s="133"/>
      <c r="F958" s="133"/>
      <c r="G958" s="133"/>
      <c r="H958" s="133"/>
      <c r="I958" s="133"/>
    </row>
    <row r="959" spans="1:9">
      <c r="A959" s="133"/>
      <c r="B959" s="133"/>
      <c r="C959" s="133"/>
      <c r="D959" s="133"/>
      <c r="E959" s="133"/>
      <c r="F959" s="133"/>
      <c r="G959" s="133"/>
      <c r="H959" s="133"/>
      <c r="I959" s="133"/>
    </row>
    <row r="960" spans="1:9">
      <c r="A960" s="133"/>
      <c r="B960" s="133"/>
      <c r="C960" s="133"/>
      <c r="D960" s="133"/>
      <c r="E960" s="133"/>
      <c r="F960" s="133"/>
      <c r="G960" s="133"/>
      <c r="H960" s="133"/>
      <c r="I960" s="133"/>
    </row>
    <row r="961" spans="1:9">
      <c r="A961" s="133"/>
      <c r="B961" s="133"/>
      <c r="C961" s="133"/>
      <c r="D961" s="133"/>
      <c r="E961" s="133"/>
      <c r="F961" s="133"/>
      <c r="G961" s="133"/>
      <c r="H961" s="133"/>
      <c r="I961" s="133"/>
    </row>
    <row r="962" spans="1:9">
      <c r="A962" s="133"/>
      <c r="B962" s="133"/>
      <c r="C962" s="133"/>
      <c r="D962" s="133"/>
      <c r="E962" s="133"/>
      <c r="F962" s="133"/>
      <c r="G962" s="133"/>
      <c r="H962" s="133"/>
      <c r="I962" s="133"/>
    </row>
    <row r="963" spans="1:9">
      <c r="A963" s="133"/>
      <c r="B963" s="133"/>
      <c r="C963" s="133"/>
      <c r="D963" s="133"/>
      <c r="E963" s="133"/>
      <c r="F963" s="133"/>
      <c r="G963" s="133"/>
      <c r="H963" s="133"/>
      <c r="I963" s="133"/>
    </row>
    <row r="964" spans="1:9">
      <c r="A964" s="133"/>
      <c r="B964" s="133"/>
      <c r="C964" s="133"/>
      <c r="D964" s="133"/>
      <c r="E964" s="133"/>
      <c r="F964" s="133"/>
      <c r="G964" s="133"/>
      <c r="H964" s="133"/>
      <c r="I964" s="133"/>
    </row>
    <row r="965" spans="1:9">
      <c r="A965" s="133"/>
      <c r="B965" s="133"/>
      <c r="C965" s="133"/>
      <c r="D965" s="133"/>
      <c r="E965" s="133"/>
      <c r="F965" s="133"/>
      <c r="G965" s="133"/>
      <c r="H965" s="133"/>
      <c r="I965" s="133"/>
    </row>
    <row r="966" spans="1:9">
      <c r="A966" s="133"/>
      <c r="B966" s="133"/>
      <c r="C966" s="133"/>
      <c r="D966" s="133"/>
      <c r="E966" s="133"/>
      <c r="F966" s="133"/>
      <c r="G966" s="133"/>
      <c r="H966" s="133"/>
      <c r="I966" s="133"/>
    </row>
    <row r="967" spans="1:9">
      <c r="A967" s="133"/>
      <c r="B967" s="133"/>
      <c r="C967" s="133"/>
      <c r="D967" s="133"/>
      <c r="E967" s="133"/>
      <c r="F967" s="133"/>
      <c r="G967" s="133"/>
      <c r="H967" s="133"/>
      <c r="I967" s="133"/>
    </row>
    <row r="968" spans="1:9">
      <c r="A968" s="133"/>
      <c r="B968" s="133"/>
      <c r="C968" s="133"/>
      <c r="D968" s="133"/>
      <c r="E968" s="133"/>
      <c r="F968" s="133"/>
      <c r="G968" s="133"/>
      <c r="H968" s="133"/>
      <c r="I968" s="133"/>
    </row>
    <row r="969" spans="1:9">
      <c r="A969" s="133"/>
      <c r="B969" s="133"/>
      <c r="C969" s="133"/>
      <c r="D969" s="133"/>
      <c r="E969" s="133"/>
      <c r="F969" s="133"/>
      <c r="G969" s="133"/>
      <c r="H969" s="133"/>
      <c r="I969" s="133"/>
    </row>
    <row r="970" spans="1:9">
      <c r="A970" s="133"/>
      <c r="B970" s="133"/>
      <c r="C970" s="133"/>
      <c r="D970" s="133"/>
      <c r="E970" s="133"/>
      <c r="F970" s="133"/>
      <c r="G970" s="133"/>
      <c r="H970" s="133"/>
      <c r="I970" s="133"/>
    </row>
    <row r="971" spans="1:9">
      <c r="A971" s="133"/>
      <c r="B971" s="133"/>
      <c r="C971" s="133"/>
      <c r="D971" s="133"/>
      <c r="E971" s="133"/>
      <c r="F971" s="133"/>
      <c r="G971" s="133"/>
      <c r="H971" s="133"/>
      <c r="I971" s="133"/>
    </row>
    <row r="972" spans="1:9">
      <c r="A972" s="133"/>
      <c r="B972" s="133"/>
      <c r="C972" s="133"/>
      <c r="D972" s="133"/>
      <c r="E972" s="133"/>
      <c r="F972" s="133"/>
      <c r="G972" s="133"/>
      <c r="H972" s="133"/>
      <c r="I972" s="133"/>
    </row>
    <row r="973" spans="1:9">
      <c r="A973" s="133"/>
      <c r="B973" s="133"/>
      <c r="C973" s="133"/>
      <c r="D973" s="133"/>
      <c r="E973" s="133"/>
      <c r="F973" s="133"/>
      <c r="G973" s="133"/>
      <c r="H973" s="133"/>
      <c r="I973" s="133"/>
    </row>
    <row r="974" spans="1:9">
      <c r="A974" s="133"/>
      <c r="B974" s="133"/>
      <c r="C974" s="133"/>
      <c r="D974" s="133"/>
      <c r="E974" s="133"/>
      <c r="F974" s="133"/>
      <c r="G974" s="133"/>
      <c r="H974" s="133"/>
      <c r="I974" s="133"/>
    </row>
    <row r="975" spans="1:9">
      <c r="A975" s="133"/>
      <c r="B975" s="133"/>
      <c r="C975" s="133"/>
      <c r="D975" s="133"/>
      <c r="E975" s="133"/>
      <c r="F975" s="133"/>
      <c r="G975" s="133"/>
      <c r="H975" s="133"/>
      <c r="I975" s="133"/>
    </row>
    <row r="976" spans="1:9">
      <c r="A976" s="133"/>
      <c r="B976" s="133"/>
      <c r="C976" s="133"/>
      <c r="D976" s="133"/>
      <c r="E976" s="133"/>
      <c r="F976" s="133"/>
      <c r="G976" s="133"/>
      <c r="H976" s="133"/>
      <c r="I976" s="133"/>
    </row>
    <row r="977" spans="1:9">
      <c r="A977" s="133"/>
      <c r="B977" s="133"/>
      <c r="C977" s="133"/>
      <c r="D977" s="133"/>
      <c r="E977" s="133"/>
      <c r="F977" s="133"/>
      <c r="G977" s="133"/>
      <c r="H977" s="133"/>
      <c r="I977" s="133"/>
    </row>
    <row r="978" spans="1:9">
      <c r="A978" s="133"/>
      <c r="B978" s="133"/>
      <c r="C978" s="133"/>
      <c r="D978" s="133"/>
      <c r="E978" s="133"/>
      <c r="F978" s="133"/>
      <c r="G978" s="133"/>
      <c r="H978" s="133"/>
      <c r="I978" s="133"/>
    </row>
    <row r="979" spans="1:9">
      <c r="A979" s="133"/>
      <c r="B979" s="133"/>
      <c r="C979" s="133"/>
      <c r="D979" s="133"/>
      <c r="E979" s="133"/>
      <c r="F979" s="133"/>
      <c r="G979" s="133"/>
      <c r="H979" s="133"/>
      <c r="I979" s="133"/>
    </row>
    <row r="980" spans="1:9">
      <c r="A980" s="133"/>
      <c r="B980" s="133"/>
      <c r="C980" s="133"/>
      <c r="D980" s="133"/>
      <c r="E980" s="133"/>
      <c r="F980" s="133"/>
      <c r="G980" s="133"/>
      <c r="H980" s="133"/>
      <c r="I980" s="133"/>
    </row>
    <row r="981" spans="1:9">
      <c r="A981" s="133"/>
      <c r="B981" s="133"/>
      <c r="C981" s="133"/>
      <c r="D981" s="133"/>
      <c r="E981" s="133"/>
      <c r="F981" s="133"/>
      <c r="G981" s="133"/>
      <c r="H981" s="133"/>
      <c r="I981" s="133"/>
    </row>
    <row r="982" spans="1:9">
      <c r="A982" s="133"/>
      <c r="B982" s="133"/>
      <c r="C982" s="133"/>
      <c r="D982" s="133"/>
      <c r="E982" s="133"/>
      <c r="F982" s="133"/>
      <c r="G982" s="133"/>
      <c r="H982" s="133"/>
      <c r="I982" s="133"/>
    </row>
    <row r="983" spans="1:9">
      <c r="A983" s="133"/>
      <c r="B983" s="133"/>
      <c r="C983" s="133"/>
      <c r="D983" s="133"/>
      <c r="E983" s="133"/>
      <c r="F983" s="133"/>
      <c r="G983" s="133"/>
      <c r="H983" s="133"/>
      <c r="I983" s="133"/>
    </row>
    <row r="984" spans="1:9">
      <c r="A984" s="133"/>
      <c r="B984" s="133"/>
      <c r="C984" s="133"/>
      <c r="D984" s="133"/>
      <c r="E984" s="133"/>
      <c r="F984" s="133"/>
      <c r="G984" s="133"/>
      <c r="H984" s="133"/>
      <c r="I984" s="133"/>
    </row>
    <row r="985" spans="1:9">
      <c r="A985" s="133"/>
      <c r="B985" s="133"/>
      <c r="C985" s="133"/>
      <c r="D985" s="133"/>
      <c r="E985" s="133"/>
      <c r="F985" s="133"/>
      <c r="G985" s="133"/>
      <c r="H985" s="133"/>
      <c r="I985" s="133"/>
    </row>
    <row r="986" spans="1:9">
      <c r="A986" s="133"/>
      <c r="B986" s="133"/>
      <c r="C986" s="133"/>
      <c r="D986" s="133"/>
      <c r="E986" s="133"/>
      <c r="F986" s="133"/>
      <c r="G986" s="133"/>
      <c r="H986" s="133"/>
      <c r="I986" s="133"/>
    </row>
    <row r="987" spans="1:9">
      <c r="A987" s="133"/>
      <c r="B987" s="133"/>
      <c r="C987" s="133"/>
      <c r="D987" s="133"/>
      <c r="E987" s="133"/>
      <c r="F987" s="133"/>
      <c r="G987" s="133"/>
      <c r="H987" s="133"/>
      <c r="I987" s="133"/>
    </row>
    <row r="988" spans="1:9">
      <c r="A988" s="133"/>
      <c r="B988" s="133"/>
      <c r="C988" s="133"/>
      <c r="D988" s="133"/>
      <c r="E988" s="133"/>
      <c r="F988" s="133"/>
      <c r="G988" s="133"/>
      <c r="H988" s="133"/>
      <c r="I988" s="133"/>
    </row>
    <row r="989" spans="1:9">
      <c r="A989" s="133"/>
      <c r="B989" s="133"/>
      <c r="C989" s="133"/>
      <c r="D989" s="133"/>
      <c r="E989" s="133"/>
      <c r="F989" s="133"/>
      <c r="G989" s="133"/>
      <c r="H989" s="133"/>
      <c r="I989" s="133"/>
    </row>
    <row r="990" spans="1:9">
      <c r="A990" s="133"/>
      <c r="B990" s="133"/>
      <c r="C990" s="133"/>
      <c r="D990" s="133"/>
      <c r="E990" s="133"/>
      <c r="F990" s="133"/>
      <c r="G990" s="133"/>
      <c r="H990" s="133"/>
      <c r="I990" s="133"/>
    </row>
    <row r="991" spans="1:9">
      <c r="A991" s="133"/>
      <c r="B991" s="133"/>
      <c r="C991" s="133"/>
      <c r="D991" s="133"/>
      <c r="E991" s="133"/>
      <c r="F991" s="133"/>
      <c r="G991" s="133"/>
      <c r="H991" s="133"/>
      <c r="I991" s="133"/>
    </row>
    <row r="992" spans="1:9">
      <c r="A992" s="133"/>
      <c r="B992" s="133"/>
      <c r="C992" s="133"/>
      <c r="D992" s="133"/>
      <c r="E992" s="133"/>
      <c r="F992" s="133"/>
      <c r="G992" s="133"/>
      <c r="H992" s="133"/>
      <c r="I992" s="133"/>
    </row>
    <row r="993" spans="1:9">
      <c r="A993" s="133"/>
      <c r="B993" s="133"/>
      <c r="C993" s="133"/>
      <c r="D993" s="133"/>
      <c r="E993" s="133"/>
      <c r="F993" s="133"/>
      <c r="G993" s="133"/>
      <c r="H993" s="133"/>
      <c r="I993" s="133"/>
    </row>
    <row r="994" spans="1:9">
      <c r="A994" s="133"/>
      <c r="B994" s="133"/>
      <c r="C994" s="133"/>
      <c r="D994" s="133"/>
      <c r="E994" s="133"/>
      <c r="F994" s="133"/>
      <c r="G994" s="133"/>
      <c r="H994" s="133"/>
      <c r="I994" s="133"/>
    </row>
    <row r="995" spans="1:9">
      <c r="A995" s="133"/>
      <c r="B995" s="133"/>
      <c r="C995" s="133"/>
      <c r="D995" s="133"/>
      <c r="E995" s="133"/>
      <c r="F995" s="133"/>
      <c r="G995" s="133"/>
      <c r="H995" s="133"/>
      <c r="I995" s="133"/>
    </row>
    <row r="996" spans="1:9">
      <c r="A996" s="133"/>
      <c r="B996" s="133"/>
      <c r="C996" s="133"/>
      <c r="D996" s="133"/>
      <c r="E996" s="133"/>
      <c r="F996" s="133"/>
      <c r="G996" s="133"/>
      <c r="H996" s="133"/>
      <c r="I996" s="133"/>
    </row>
    <row r="997" spans="1:9">
      <c r="A997" s="133"/>
      <c r="B997" s="133"/>
      <c r="C997" s="133"/>
      <c r="D997" s="133"/>
      <c r="E997" s="133"/>
      <c r="F997" s="133"/>
      <c r="G997" s="133"/>
      <c r="H997" s="133"/>
      <c r="I997" s="133"/>
    </row>
    <row r="998" spans="1:9">
      <c r="A998" s="133"/>
      <c r="B998" s="133"/>
      <c r="C998" s="133"/>
      <c r="D998" s="133"/>
      <c r="E998" s="133"/>
      <c r="F998" s="133"/>
      <c r="G998" s="133"/>
      <c r="H998" s="133"/>
      <c r="I998" s="133"/>
    </row>
    <row r="999" spans="1:9">
      <c r="A999" s="133"/>
      <c r="B999" s="133"/>
      <c r="C999" s="133"/>
      <c r="D999" s="133"/>
      <c r="E999" s="133"/>
      <c r="F999" s="133"/>
      <c r="G999" s="133"/>
      <c r="H999" s="133"/>
      <c r="I999" s="133"/>
    </row>
    <row r="1000" spans="1:9">
      <c r="A1000" s="133"/>
      <c r="B1000" s="133"/>
      <c r="C1000" s="133"/>
      <c r="D1000" s="133"/>
      <c r="E1000" s="133"/>
      <c r="F1000" s="133"/>
      <c r="G1000" s="133"/>
      <c r="H1000" s="133"/>
      <c r="I1000" s="133"/>
    </row>
    <row r="1001" spans="1:9">
      <c r="A1001" s="133"/>
      <c r="B1001" s="133"/>
      <c r="C1001" s="133"/>
      <c r="D1001" s="133"/>
      <c r="E1001" s="133"/>
      <c r="F1001" s="133"/>
      <c r="G1001" s="133"/>
      <c r="H1001" s="133"/>
      <c r="I1001" s="133"/>
    </row>
    <row r="1002" spans="1:9">
      <c r="A1002" s="133"/>
      <c r="B1002" s="133"/>
      <c r="C1002" s="133"/>
      <c r="D1002" s="133"/>
      <c r="E1002" s="133"/>
      <c r="F1002" s="133"/>
      <c r="G1002" s="133"/>
      <c r="H1002" s="133"/>
      <c r="I1002" s="133"/>
    </row>
    <row r="1003" spans="1:9">
      <c r="A1003" s="133"/>
      <c r="B1003" s="133"/>
      <c r="C1003" s="133"/>
      <c r="D1003" s="133"/>
      <c r="E1003" s="133"/>
      <c r="F1003" s="133"/>
      <c r="G1003" s="133"/>
      <c r="H1003" s="133"/>
      <c r="I1003" s="133"/>
    </row>
    <row r="1004" spans="1:9">
      <c r="A1004" s="133"/>
      <c r="B1004" s="133"/>
      <c r="C1004" s="133"/>
      <c r="D1004" s="133"/>
      <c r="E1004" s="133"/>
      <c r="F1004" s="133"/>
      <c r="G1004" s="133"/>
      <c r="H1004" s="133"/>
      <c r="I1004" s="133"/>
    </row>
    <row r="1005" spans="1:9">
      <c r="A1005" s="133"/>
      <c r="B1005" s="133"/>
      <c r="C1005" s="133"/>
      <c r="D1005" s="133"/>
      <c r="E1005" s="133"/>
      <c r="F1005" s="133"/>
      <c r="G1005" s="133"/>
      <c r="H1005" s="133"/>
      <c r="I1005" s="133"/>
    </row>
    <row r="1006" spans="1:9">
      <c r="A1006" s="133"/>
      <c r="B1006" s="133"/>
      <c r="C1006" s="133"/>
      <c r="D1006" s="133"/>
      <c r="E1006" s="133"/>
      <c r="F1006" s="133"/>
      <c r="G1006" s="133"/>
      <c r="H1006" s="133"/>
      <c r="I1006" s="133"/>
    </row>
    <row r="1007" spans="1:9">
      <c r="A1007" s="133"/>
      <c r="B1007" s="133"/>
      <c r="C1007" s="133"/>
      <c r="D1007" s="133"/>
      <c r="E1007" s="133"/>
      <c r="F1007" s="133"/>
      <c r="G1007" s="133"/>
      <c r="H1007" s="133"/>
      <c r="I1007" s="133"/>
    </row>
    <row r="1008" spans="1:9">
      <c r="A1008" s="133"/>
      <c r="B1008" s="133"/>
      <c r="C1008" s="133"/>
      <c r="D1008" s="133"/>
      <c r="E1008" s="133"/>
      <c r="F1008" s="133"/>
      <c r="G1008" s="133"/>
      <c r="H1008" s="133"/>
      <c r="I1008" s="133"/>
    </row>
    <row r="1009" spans="1:9">
      <c r="A1009" s="133"/>
      <c r="B1009" s="133"/>
      <c r="C1009" s="133"/>
      <c r="D1009" s="133"/>
      <c r="E1009" s="133"/>
      <c r="F1009" s="133"/>
      <c r="G1009" s="133"/>
      <c r="H1009" s="133"/>
      <c r="I1009" s="133"/>
    </row>
    <row r="1010" spans="1:9">
      <c r="A1010" s="133"/>
      <c r="B1010" s="133"/>
      <c r="C1010" s="133"/>
      <c r="D1010" s="133"/>
      <c r="E1010" s="133"/>
      <c r="F1010" s="133"/>
      <c r="G1010" s="133"/>
      <c r="H1010" s="133"/>
      <c r="I1010" s="133"/>
    </row>
    <row r="1011" spans="1:9">
      <c r="A1011" s="133"/>
      <c r="B1011" s="133"/>
      <c r="C1011" s="133"/>
      <c r="D1011" s="133"/>
      <c r="E1011" s="133"/>
      <c r="F1011" s="133"/>
      <c r="G1011" s="133"/>
      <c r="H1011" s="133"/>
      <c r="I1011" s="133"/>
    </row>
    <row r="1012" spans="1:9">
      <c r="A1012" s="133"/>
      <c r="B1012" s="133"/>
      <c r="C1012" s="133"/>
      <c r="D1012" s="133"/>
      <c r="E1012" s="133"/>
      <c r="F1012" s="133"/>
      <c r="G1012" s="133"/>
      <c r="H1012" s="133"/>
      <c r="I1012" s="133"/>
    </row>
    <row r="1013" spans="1:9">
      <c r="A1013" s="133"/>
      <c r="B1013" s="133"/>
      <c r="C1013" s="133"/>
      <c r="D1013" s="133"/>
      <c r="E1013" s="133"/>
      <c r="F1013" s="133"/>
      <c r="G1013" s="133"/>
      <c r="H1013" s="133"/>
      <c r="I1013" s="133"/>
    </row>
    <row r="1014" spans="1:9">
      <c r="A1014" s="133"/>
      <c r="B1014" s="133"/>
      <c r="C1014" s="133"/>
      <c r="D1014" s="133"/>
      <c r="E1014" s="133"/>
      <c r="F1014" s="133"/>
      <c r="G1014" s="133"/>
      <c r="H1014" s="133"/>
      <c r="I1014" s="133"/>
    </row>
    <row r="1015" spans="1:9">
      <c r="A1015" s="133"/>
      <c r="B1015" s="133"/>
      <c r="C1015" s="133"/>
      <c r="D1015" s="133"/>
      <c r="E1015" s="133"/>
      <c r="F1015" s="133"/>
      <c r="G1015" s="133"/>
      <c r="H1015" s="133"/>
      <c r="I1015" s="133"/>
    </row>
    <row r="1016" spans="1:9">
      <c r="A1016" s="133"/>
      <c r="B1016" s="133"/>
      <c r="C1016" s="133"/>
      <c r="D1016" s="133"/>
      <c r="E1016" s="133"/>
      <c r="F1016" s="133"/>
      <c r="G1016" s="133"/>
      <c r="H1016" s="133"/>
      <c r="I1016" s="133"/>
    </row>
    <row r="1017" spans="1:9">
      <c r="A1017" s="133"/>
      <c r="B1017" s="133"/>
      <c r="C1017" s="133"/>
      <c r="D1017" s="133"/>
      <c r="E1017" s="133"/>
      <c r="F1017" s="133"/>
      <c r="G1017" s="133"/>
      <c r="H1017" s="133"/>
      <c r="I1017" s="133"/>
    </row>
    <row r="1018" spans="1:9">
      <c r="A1018" s="133"/>
      <c r="B1018" s="133"/>
      <c r="C1018" s="133"/>
      <c r="D1018" s="133"/>
      <c r="E1018" s="133"/>
      <c r="F1018" s="133"/>
      <c r="G1018" s="133"/>
      <c r="H1018" s="133"/>
      <c r="I1018" s="133"/>
    </row>
    <row r="1019" spans="1:9">
      <c r="A1019" s="133"/>
      <c r="B1019" s="133"/>
      <c r="C1019" s="133"/>
      <c r="D1019" s="133"/>
      <c r="E1019" s="133"/>
      <c r="F1019" s="133"/>
      <c r="G1019" s="133"/>
      <c r="H1019" s="133"/>
      <c r="I1019" s="133"/>
    </row>
    <row r="1020" spans="1:9">
      <c r="A1020" s="133"/>
      <c r="B1020" s="133"/>
      <c r="C1020" s="133"/>
      <c r="D1020" s="133"/>
      <c r="E1020" s="133"/>
      <c r="F1020" s="133"/>
      <c r="G1020" s="133"/>
      <c r="H1020" s="133"/>
      <c r="I1020" s="133"/>
    </row>
    <row r="1021" spans="1:9">
      <c r="A1021" s="133"/>
      <c r="B1021" s="133"/>
      <c r="C1021" s="133"/>
      <c r="D1021" s="133"/>
      <c r="E1021" s="133"/>
      <c r="F1021" s="133"/>
      <c r="G1021" s="133"/>
      <c r="H1021" s="133"/>
      <c r="I1021" s="133"/>
    </row>
    <row r="1022" spans="1:9">
      <c r="A1022" s="133"/>
      <c r="B1022" s="133"/>
      <c r="C1022" s="133"/>
      <c r="D1022" s="133"/>
      <c r="E1022" s="133"/>
      <c r="F1022" s="133"/>
      <c r="G1022" s="133"/>
      <c r="H1022" s="133"/>
      <c r="I1022" s="133"/>
    </row>
    <row r="1023" spans="1:9">
      <c r="A1023" s="133"/>
      <c r="B1023" s="133"/>
      <c r="C1023" s="133"/>
      <c r="D1023" s="133"/>
      <c r="E1023" s="133"/>
      <c r="F1023" s="133"/>
      <c r="G1023" s="133"/>
      <c r="H1023" s="133"/>
      <c r="I1023" s="133"/>
    </row>
    <row r="1024" spans="1:9">
      <c r="A1024" s="133"/>
      <c r="B1024" s="133"/>
      <c r="C1024" s="133"/>
      <c r="D1024" s="133"/>
      <c r="E1024" s="133"/>
      <c r="F1024" s="133"/>
      <c r="G1024" s="133"/>
      <c r="H1024" s="133"/>
      <c r="I1024" s="133"/>
    </row>
    <row r="1025" spans="1:9">
      <c r="A1025" s="133"/>
      <c r="B1025" s="133"/>
      <c r="C1025" s="133"/>
      <c r="D1025" s="133"/>
      <c r="E1025" s="133"/>
      <c r="F1025" s="133"/>
      <c r="G1025" s="133"/>
      <c r="H1025" s="133"/>
      <c r="I1025" s="133"/>
    </row>
    <row r="1026" spans="1:9">
      <c r="A1026" s="133"/>
      <c r="B1026" s="133"/>
      <c r="C1026" s="133"/>
      <c r="D1026" s="133"/>
      <c r="E1026" s="133"/>
      <c r="F1026" s="133"/>
      <c r="G1026" s="133"/>
      <c r="H1026" s="133"/>
      <c r="I1026" s="133"/>
    </row>
    <row r="1027" spans="1:9">
      <c r="A1027" s="133"/>
      <c r="B1027" s="133"/>
      <c r="C1027" s="133"/>
      <c r="D1027" s="133"/>
      <c r="E1027" s="133"/>
      <c r="F1027" s="133"/>
      <c r="G1027" s="133"/>
      <c r="H1027" s="133"/>
      <c r="I1027" s="133"/>
    </row>
    <row r="1028" spans="1:9">
      <c r="A1028" s="133"/>
      <c r="B1028" s="133"/>
      <c r="C1028" s="133"/>
      <c r="D1028" s="133"/>
      <c r="E1028" s="133"/>
      <c r="F1028" s="133"/>
      <c r="G1028" s="133"/>
      <c r="H1028" s="133"/>
      <c r="I1028" s="133"/>
    </row>
    <row r="1029" spans="1:9">
      <c r="A1029" s="133"/>
      <c r="B1029" s="133"/>
      <c r="C1029" s="133"/>
      <c r="D1029" s="133"/>
      <c r="E1029" s="133"/>
      <c r="F1029" s="133"/>
      <c r="G1029" s="133"/>
      <c r="H1029" s="133"/>
      <c r="I1029" s="133"/>
    </row>
    <row r="1030" spans="1:9">
      <c r="A1030" s="133"/>
      <c r="B1030" s="133"/>
      <c r="C1030" s="133"/>
      <c r="D1030" s="133"/>
      <c r="E1030" s="133"/>
      <c r="F1030" s="133"/>
      <c r="G1030" s="133"/>
      <c r="H1030" s="133"/>
      <c r="I1030" s="133"/>
    </row>
    <row r="1031" spans="1:9">
      <c r="A1031" s="133"/>
      <c r="B1031" s="133"/>
      <c r="C1031" s="133"/>
      <c r="D1031" s="133"/>
      <c r="E1031" s="133"/>
      <c r="F1031" s="133"/>
      <c r="G1031" s="133"/>
      <c r="H1031" s="133"/>
      <c r="I1031" s="133"/>
    </row>
    <row r="1032" spans="1:9">
      <c r="A1032" s="133"/>
      <c r="B1032" s="133"/>
      <c r="C1032" s="133"/>
      <c r="D1032" s="133"/>
      <c r="E1032" s="133"/>
      <c r="F1032" s="133"/>
      <c r="G1032" s="133"/>
      <c r="H1032" s="133"/>
      <c r="I1032" s="133"/>
    </row>
    <row r="1033" spans="1:9">
      <c r="A1033" s="133"/>
      <c r="B1033" s="133"/>
      <c r="C1033" s="133"/>
      <c r="D1033" s="133"/>
      <c r="E1033" s="133"/>
      <c r="F1033" s="133"/>
      <c r="G1033" s="133"/>
      <c r="H1033" s="133"/>
      <c r="I1033" s="133"/>
    </row>
    <row r="1034" spans="1:9">
      <c r="A1034" s="133"/>
      <c r="B1034" s="133"/>
      <c r="C1034" s="133"/>
      <c r="D1034" s="133"/>
      <c r="E1034" s="133"/>
      <c r="F1034" s="133"/>
      <c r="G1034" s="133"/>
      <c r="H1034" s="133"/>
      <c r="I1034" s="133"/>
    </row>
    <row r="1035" spans="1:9">
      <c r="A1035" s="133"/>
      <c r="B1035" s="133"/>
      <c r="C1035" s="133"/>
      <c r="D1035" s="133"/>
      <c r="E1035" s="133"/>
      <c r="F1035" s="133"/>
      <c r="G1035" s="133"/>
      <c r="H1035" s="133"/>
      <c r="I1035" s="133"/>
    </row>
    <row r="1036" spans="1:9">
      <c r="A1036" s="133"/>
      <c r="B1036" s="133"/>
      <c r="C1036" s="133"/>
      <c r="D1036" s="133"/>
      <c r="E1036" s="133"/>
      <c r="F1036" s="133"/>
      <c r="G1036" s="133"/>
      <c r="H1036" s="133"/>
      <c r="I1036" s="133"/>
    </row>
    <row r="1037" spans="1:9">
      <c r="A1037" s="133"/>
      <c r="B1037" s="133"/>
      <c r="C1037" s="133"/>
      <c r="D1037" s="133"/>
      <c r="E1037" s="133"/>
      <c r="F1037" s="133"/>
      <c r="G1037" s="133"/>
      <c r="H1037" s="133"/>
      <c r="I1037" s="133"/>
    </row>
    <row r="1038" spans="1:9">
      <c r="A1038" s="133"/>
      <c r="B1038" s="133"/>
      <c r="C1038" s="133"/>
      <c r="D1038" s="133"/>
      <c r="E1038" s="133"/>
      <c r="F1038" s="133"/>
      <c r="G1038" s="133"/>
      <c r="H1038" s="133"/>
      <c r="I1038" s="133"/>
    </row>
    <row r="1039" spans="1:9">
      <c r="A1039" s="133"/>
      <c r="B1039" s="133"/>
      <c r="C1039" s="133"/>
      <c r="D1039" s="133"/>
      <c r="E1039" s="133"/>
      <c r="F1039" s="133"/>
      <c r="G1039" s="133"/>
      <c r="H1039" s="133"/>
      <c r="I1039" s="133"/>
    </row>
    <row r="1040" spans="1:9">
      <c r="A1040" s="133"/>
      <c r="B1040" s="133"/>
      <c r="C1040" s="133"/>
      <c r="D1040" s="133"/>
      <c r="E1040" s="133"/>
      <c r="F1040" s="133"/>
      <c r="G1040" s="133"/>
      <c r="H1040" s="133"/>
      <c r="I1040" s="133"/>
    </row>
    <row r="1041" spans="1:9">
      <c r="A1041" s="133"/>
      <c r="B1041" s="133"/>
      <c r="C1041" s="133"/>
      <c r="D1041" s="133"/>
      <c r="E1041" s="133"/>
      <c r="F1041" s="133"/>
      <c r="G1041" s="133"/>
      <c r="H1041" s="133"/>
      <c r="I1041" s="133"/>
    </row>
    <row r="1042" spans="1:9">
      <c r="A1042" s="133"/>
      <c r="B1042" s="133"/>
      <c r="C1042" s="133"/>
      <c r="D1042" s="133"/>
      <c r="E1042" s="133"/>
      <c r="F1042" s="133"/>
      <c r="G1042" s="133"/>
      <c r="H1042" s="133"/>
      <c r="I1042" s="133"/>
    </row>
    <row r="1043" spans="1:9">
      <c r="A1043" s="133"/>
      <c r="B1043" s="133"/>
      <c r="C1043" s="133"/>
      <c r="D1043" s="133"/>
      <c r="E1043" s="133"/>
      <c r="F1043" s="133"/>
      <c r="G1043" s="133"/>
      <c r="H1043" s="133"/>
      <c r="I1043" s="133"/>
    </row>
    <row r="1044" spans="1:9">
      <c r="A1044" s="133"/>
      <c r="B1044" s="133"/>
      <c r="C1044" s="133"/>
      <c r="D1044" s="133"/>
      <c r="E1044" s="133"/>
      <c r="F1044" s="133"/>
      <c r="G1044" s="133"/>
      <c r="H1044" s="133"/>
      <c r="I1044" s="133"/>
    </row>
    <row r="1045" spans="1:9">
      <c r="A1045" s="133"/>
      <c r="B1045" s="133"/>
      <c r="C1045" s="133"/>
      <c r="D1045" s="133"/>
      <c r="E1045" s="133"/>
      <c r="F1045" s="133"/>
      <c r="G1045" s="133"/>
      <c r="H1045" s="133"/>
      <c r="I1045" s="133"/>
    </row>
    <row r="1046" spans="1:9">
      <c r="A1046" s="133"/>
      <c r="B1046" s="133"/>
      <c r="C1046" s="133"/>
      <c r="D1046" s="133"/>
      <c r="E1046" s="133"/>
      <c r="F1046" s="133"/>
      <c r="G1046" s="133"/>
      <c r="H1046" s="133"/>
      <c r="I1046" s="133"/>
    </row>
    <row r="1047" spans="1:9">
      <c r="A1047" s="133"/>
      <c r="B1047" s="133"/>
      <c r="C1047" s="133"/>
      <c r="D1047" s="133"/>
      <c r="E1047" s="133"/>
      <c r="F1047" s="133"/>
      <c r="G1047" s="133"/>
      <c r="H1047" s="133"/>
      <c r="I1047" s="133"/>
    </row>
    <row r="1048" spans="1:9">
      <c r="A1048" s="133"/>
      <c r="B1048" s="133"/>
      <c r="C1048" s="133"/>
      <c r="D1048" s="133"/>
      <c r="E1048" s="133"/>
      <c r="F1048" s="133"/>
      <c r="G1048" s="133"/>
      <c r="H1048" s="133"/>
      <c r="I1048" s="133"/>
    </row>
    <row r="1049" spans="1:9">
      <c r="A1049" s="133"/>
      <c r="B1049" s="133"/>
      <c r="C1049" s="133"/>
      <c r="D1049" s="133"/>
      <c r="E1049" s="133"/>
      <c r="F1049" s="133"/>
      <c r="G1049" s="133"/>
      <c r="H1049" s="133"/>
      <c r="I1049" s="133"/>
    </row>
    <row r="1050" spans="1:9">
      <c r="A1050" s="133"/>
      <c r="B1050" s="133"/>
      <c r="C1050" s="133"/>
      <c r="D1050" s="133"/>
      <c r="E1050" s="133"/>
      <c r="F1050" s="133"/>
      <c r="G1050" s="133"/>
      <c r="H1050" s="133"/>
      <c r="I1050" s="133"/>
    </row>
    <row r="1051" spans="1:9">
      <c r="A1051" s="133"/>
      <c r="B1051" s="133"/>
      <c r="C1051" s="133"/>
      <c r="D1051" s="133"/>
      <c r="E1051" s="133"/>
      <c r="F1051" s="133"/>
      <c r="G1051" s="133"/>
      <c r="H1051" s="133"/>
      <c r="I1051" s="133"/>
    </row>
    <row r="1052" spans="1:9">
      <c r="A1052" s="133"/>
      <c r="B1052" s="133"/>
      <c r="C1052" s="133"/>
      <c r="D1052" s="133"/>
      <c r="E1052" s="133"/>
      <c r="F1052" s="133"/>
      <c r="G1052" s="133"/>
      <c r="H1052" s="133"/>
      <c r="I1052" s="133"/>
    </row>
    <row r="1053" spans="1:9">
      <c r="A1053" s="133"/>
      <c r="B1053" s="133"/>
      <c r="C1053" s="133"/>
      <c r="D1053" s="133"/>
      <c r="E1053" s="133"/>
      <c r="F1053" s="133"/>
      <c r="G1053" s="133"/>
      <c r="H1053" s="133"/>
      <c r="I1053" s="133"/>
    </row>
    <row r="1054" spans="1:9">
      <c r="A1054" s="133"/>
      <c r="B1054" s="133"/>
      <c r="C1054" s="133"/>
      <c r="D1054" s="133"/>
      <c r="E1054" s="133"/>
      <c r="F1054" s="133"/>
      <c r="G1054" s="133"/>
      <c r="H1054" s="133"/>
      <c r="I1054" s="133"/>
    </row>
    <row r="1055" spans="1:9">
      <c r="A1055" s="133"/>
      <c r="B1055" s="133"/>
      <c r="C1055" s="133"/>
      <c r="D1055" s="133"/>
      <c r="E1055" s="133"/>
      <c r="F1055" s="133"/>
      <c r="G1055" s="133"/>
      <c r="H1055" s="133"/>
      <c r="I1055" s="133"/>
    </row>
    <row r="1056" spans="1:9">
      <c r="A1056" s="133"/>
      <c r="B1056" s="133"/>
      <c r="C1056" s="133"/>
      <c r="D1056" s="133"/>
      <c r="E1056" s="133"/>
      <c r="F1056" s="133"/>
      <c r="G1056" s="133"/>
      <c r="H1056" s="133"/>
      <c r="I1056" s="133"/>
    </row>
    <row r="1057" spans="1:9">
      <c r="A1057" s="133"/>
      <c r="B1057" s="133"/>
      <c r="C1057" s="133"/>
      <c r="D1057" s="133"/>
      <c r="E1057" s="133"/>
      <c r="F1057" s="133"/>
      <c r="G1057" s="133"/>
      <c r="H1057" s="133"/>
      <c r="I1057" s="133"/>
    </row>
    <row r="1058" spans="1:9">
      <c r="A1058" s="133"/>
      <c r="B1058" s="133"/>
      <c r="C1058" s="133"/>
      <c r="D1058" s="133"/>
      <c r="E1058" s="133"/>
      <c r="F1058" s="133"/>
      <c r="G1058" s="133"/>
      <c r="H1058" s="133"/>
      <c r="I1058" s="133"/>
    </row>
    <row r="1059" spans="1:9">
      <c r="A1059" s="133"/>
      <c r="B1059" s="133"/>
      <c r="C1059" s="133"/>
      <c r="D1059" s="133"/>
      <c r="E1059" s="133"/>
      <c r="F1059" s="133"/>
      <c r="G1059" s="133"/>
      <c r="H1059" s="133"/>
      <c r="I1059" s="133"/>
    </row>
    <row r="1060" spans="1:9">
      <c r="A1060" s="133"/>
      <c r="B1060" s="133"/>
      <c r="C1060" s="133"/>
      <c r="D1060" s="133"/>
      <c r="E1060" s="133"/>
      <c r="F1060" s="133"/>
      <c r="G1060" s="133"/>
      <c r="H1060" s="133"/>
      <c r="I1060" s="133"/>
    </row>
    <row r="1061" spans="1:9">
      <c r="A1061" s="133"/>
      <c r="B1061" s="133"/>
      <c r="C1061" s="133"/>
      <c r="D1061" s="133"/>
      <c r="E1061" s="133"/>
      <c r="F1061" s="133"/>
      <c r="G1061" s="133"/>
      <c r="H1061" s="133"/>
      <c r="I1061" s="133"/>
    </row>
    <row r="1062" spans="1:9">
      <c r="A1062" s="133"/>
      <c r="B1062" s="133"/>
      <c r="C1062" s="133"/>
      <c r="D1062" s="133"/>
      <c r="E1062" s="133"/>
      <c r="F1062" s="133"/>
      <c r="G1062" s="133"/>
      <c r="H1062" s="133"/>
      <c r="I1062" s="133"/>
    </row>
    <row r="1063" spans="1:9">
      <c r="A1063" s="133"/>
      <c r="B1063" s="133"/>
      <c r="C1063" s="133"/>
      <c r="D1063" s="133"/>
      <c r="E1063" s="133"/>
      <c r="F1063" s="133"/>
      <c r="G1063" s="133"/>
      <c r="H1063" s="133"/>
      <c r="I1063" s="133"/>
    </row>
    <row r="1064" spans="1:9">
      <c r="A1064" s="133"/>
      <c r="B1064" s="133"/>
      <c r="C1064" s="133"/>
      <c r="D1064" s="133"/>
      <c r="E1064" s="133"/>
      <c r="F1064" s="133"/>
      <c r="G1064" s="133"/>
      <c r="H1064" s="133"/>
      <c r="I1064" s="133"/>
    </row>
    <row r="1065" spans="1:9">
      <c r="A1065" s="133"/>
      <c r="B1065" s="133"/>
      <c r="C1065" s="133"/>
      <c r="D1065" s="133"/>
      <c r="E1065" s="133"/>
      <c r="F1065" s="133"/>
      <c r="G1065" s="133"/>
      <c r="H1065" s="133"/>
      <c r="I1065" s="133"/>
    </row>
    <row r="1066" spans="1:9">
      <c r="A1066" s="133"/>
      <c r="B1066" s="133"/>
      <c r="C1066" s="133"/>
      <c r="D1066" s="133"/>
      <c r="E1066" s="133"/>
      <c r="F1066" s="133"/>
      <c r="G1066" s="133"/>
      <c r="H1066" s="133"/>
      <c r="I1066" s="133"/>
    </row>
    <row r="1067" spans="1:9">
      <c r="A1067" s="133"/>
      <c r="B1067" s="133"/>
      <c r="C1067" s="133"/>
      <c r="D1067" s="133"/>
      <c r="E1067" s="133"/>
      <c r="F1067" s="133"/>
      <c r="G1067" s="133"/>
      <c r="H1067" s="133"/>
      <c r="I1067" s="133"/>
    </row>
    <row r="1068" spans="1:9">
      <c r="A1068" s="133"/>
      <c r="B1068" s="133"/>
      <c r="C1068" s="133"/>
      <c r="D1068" s="133"/>
      <c r="E1068" s="133"/>
      <c r="F1068" s="133"/>
      <c r="G1068" s="133"/>
      <c r="H1068" s="133"/>
      <c r="I1068" s="133"/>
    </row>
    <row r="1069" spans="1:9">
      <c r="A1069" s="133"/>
      <c r="B1069" s="133"/>
      <c r="C1069" s="133"/>
      <c r="D1069" s="133"/>
      <c r="E1069" s="133"/>
      <c r="F1069" s="133"/>
      <c r="G1069" s="133"/>
      <c r="H1069" s="133"/>
      <c r="I1069" s="133"/>
    </row>
    <row r="1070" spans="1:9">
      <c r="A1070" s="133"/>
      <c r="B1070" s="133"/>
      <c r="C1070" s="133"/>
      <c r="D1070" s="133"/>
      <c r="E1070" s="133"/>
      <c r="F1070" s="133"/>
      <c r="G1070" s="133"/>
      <c r="H1070" s="133"/>
      <c r="I1070" s="133"/>
    </row>
    <row r="1071" spans="1:9">
      <c r="A1071" s="133"/>
      <c r="B1071" s="133"/>
      <c r="C1071" s="133"/>
      <c r="D1071" s="133"/>
      <c r="E1071" s="133"/>
      <c r="F1071" s="133"/>
      <c r="G1071" s="133"/>
      <c r="H1071" s="133"/>
      <c r="I1071" s="133"/>
    </row>
    <row r="1072" spans="1:9">
      <c r="A1072" s="133"/>
      <c r="B1072" s="133"/>
      <c r="C1072" s="133"/>
      <c r="D1072" s="133"/>
      <c r="E1072" s="133"/>
      <c r="F1072" s="133"/>
      <c r="G1072" s="133"/>
      <c r="H1072" s="133"/>
      <c r="I1072" s="133"/>
    </row>
    <row r="1073" spans="1:9">
      <c r="A1073" s="133"/>
      <c r="B1073" s="133"/>
      <c r="C1073" s="133"/>
      <c r="D1073" s="133"/>
      <c r="E1073" s="133"/>
      <c r="F1073" s="133"/>
      <c r="G1073" s="133"/>
      <c r="H1073" s="133"/>
      <c r="I1073" s="133"/>
    </row>
    <row r="1074" spans="1:9">
      <c r="A1074" s="133"/>
      <c r="B1074" s="133"/>
      <c r="C1074" s="133"/>
      <c r="D1074" s="133"/>
      <c r="E1074" s="133"/>
      <c r="F1074" s="133"/>
      <c r="G1074" s="133"/>
      <c r="H1074" s="133"/>
      <c r="I1074" s="133"/>
    </row>
    <row r="1075" spans="1:9">
      <c r="A1075" s="133"/>
      <c r="B1075" s="133"/>
      <c r="C1075" s="133"/>
      <c r="D1075" s="133"/>
      <c r="E1075" s="133"/>
      <c r="F1075" s="133"/>
      <c r="G1075" s="133"/>
      <c r="H1075" s="133"/>
      <c r="I1075" s="133"/>
    </row>
    <row r="1076" spans="1:9">
      <c r="A1076" s="133"/>
      <c r="B1076" s="133"/>
      <c r="C1076" s="133"/>
      <c r="D1076" s="133"/>
      <c r="E1076" s="133"/>
      <c r="F1076" s="133"/>
      <c r="G1076" s="133"/>
      <c r="H1076" s="133"/>
      <c r="I1076" s="133"/>
    </row>
    <row r="1077" spans="1:9">
      <c r="A1077" s="133"/>
      <c r="B1077" s="133"/>
      <c r="C1077" s="133"/>
      <c r="D1077" s="133"/>
      <c r="E1077" s="133"/>
      <c r="F1077" s="133"/>
      <c r="G1077" s="133"/>
      <c r="H1077" s="133"/>
      <c r="I1077" s="133"/>
    </row>
    <row r="1078" spans="1:9">
      <c r="A1078" s="133"/>
      <c r="B1078" s="133"/>
      <c r="C1078" s="133"/>
      <c r="D1078" s="133"/>
      <c r="E1078" s="133"/>
      <c r="F1078" s="133"/>
      <c r="G1078" s="133"/>
      <c r="H1078" s="133"/>
      <c r="I1078" s="133"/>
    </row>
    <row r="1079" spans="1:9">
      <c r="A1079" s="133"/>
      <c r="B1079" s="133"/>
      <c r="C1079" s="133"/>
      <c r="D1079" s="133"/>
      <c r="E1079" s="133"/>
      <c r="F1079" s="133"/>
      <c r="G1079" s="133"/>
      <c r="H1079" s="133"/>
      <c r="I1079" s="133"/>
    </row>
    <row r="1080" spans="1:9">
      <c r="A1080" s="133"/>
      <c r="B1080" s="133"/>
      <c r="C1080" s="133"/>
      <c r="D1080" s="133"/>
      <c r="E1080" s="133"/>
      <c r="F1080" s="133"/>
      <c r="G1080" s="133"/>
      <c r="H1080" s="133"/>
      <c r="I1080" s="133"/>
    </row>
    <row r="1081" spans="1:9">
      <c r="A1081" s="133"/>
      <c r="B1081" s="133"/>
      <c r="C1081" s="133"/>
      <c r="D1081" s="133"/>
      <c r="E1081" s="133"/>
      <c r="F1081" s="133"/>
      <c r="G1081" s="133"/>
      <c r="H1081" s="133"/>
      <c r="I1081" s="133"/>
    </row>
    <row r="1082" spans="1:9">
      <c r="A1082" s="133"/>
      <c r="B1082" s="133"/>
      <c r="C1082" s="133"/>
      <c r="D1082" s="133"/>
      <c r="E1082" s="133"/>
      <c r="F1082" s="133"/>
      <c r="G1082" s="133"/>
      <c r="H1082" s="133"/>
      <c r="I1082" s="133"/>
    </row>
    <row r="1083" spans="1:9">
      <c r="A1083" s="133"/>
      <c r="B1083" s="133"/>
      <c r="C1083" s="133"/>
      <c r="D1083" s="133"/>
      <c r="E1083" s="133"/>
      <c r="F1083" s="133"/>
      <c r="G1083" s="133"/>
      <c r="H1083" s="133"/>
      <c r="I1083" s="133"/>
    </row>
    <row r="1084" spans="1:9">
      <c r="A1084" s="133"/>
      <c r="B1084" s="133"/>
      <c r="C1084" s="133"/>
      <c r="D1084" s="133"/>
      <c r="E1084" s="133"/>
      <c r="F1084" s="133"/>
      <c r="G1084" s="133"/>
      <c r="H1084" s="133"/>
      <c r="I1084" s="133"/>
    </row>
    <row r="1085" spans="1:9">
      <c r="A1085" s="133"/>
      <c r="B1085" s="133"/>
      <c r="C1085" s="133"/>
      <c r="D1085" s="133"/>
      <c r="E1085" s="133"/>
      <c r="F1085" s="133"/>
      <c r="G1085" s="133"/>
      <c r="H1085" s="133"/>
      <c r="I1085" s="133"/>
    </row>
    <row r="1086" spans="1:9">
      <c r="A1086" s="133"/>
      <c r="B1086" s="133"/>
      <c r="C1086" s="133"/>
      <c r="D1086" s="133"/>
      <c r="E1086" s="133"/>
      <c r="F1086" s="133"/>
      <c r="G1086" s="133"/>
      <c r="H1086" s="133"/>
      <c r="I1086" s="133"/>
    </row>
    <row r="1087" spans="1:9">
      <c r="A1087" s="133"/>
      <c r="B1087" s="133"/>
      <c r="C1087" s="133"/>
      <c r="D1087" s="133"/>
      <c r="E1087" s="133"/>
      <c r="F1087" s="133"/>
      <c r="G1087" s="133"/>
      <c r="H1087" s="133"/>
      <c r="I1087" s="133"/>
    </row>
    <row r="1088" spans="1:9">
      <c r="A1088" s="133"/>
      <c r="B1088" s="133"/>
      <c r="C1088" s="133"/>
      <c r="D1088" s="133"/>
      <c r="E1088" s="133"/>
      <c r="F1088" s="133"/>
      <c r="G1088" s="133"/>
      <c r="H1088" s="133"/>
      <c r="I1088" s="133"/>
    </row>
    <row r="1089" spans="1:9">
      <c r="A1089" s="133"/>
      <c r="B1089" s="133"/>
      <c r="C1089" s="133"/>
      <c r="D1089" s="133"/>
      <c r="E1089" s="133"/>
      <c r="F1089" s="133"/>
      <c r="G1089" s="133"/>
      <c r="H1089" s="133"/>
      <c r="I1089" s="133"/>
    </row>
    <row r="1090" spans="1:9">
      <c r="A1090" s="133"/>
      <c r="B1090" s="133"/>
      <c r="C1090" s="133"/>
      <c r="D1090" s="133"/>
      <c r="E1090" s="133"/>
      <c r="F1090" s="133"/>
      <c r="G1090" s="133"/>
      <c r="H1090" s="133"/>
      <c r="I1090" s="133"/>
    </row>
    <row r="1091" spans="1:9">
      <c r="A1091" s="133"/>
      <c r="B1091" s="133"/>
      <c r="C1091" s="133"/>
      <c r="D1091" s="133"/>
      <c r="E1091" s="133"/>
      <c r="F1091" s="133"/>
      <c r="G1091" s="133"/>
      <c r="H1091" s="133"/>
      <c r="I1091" s="133"/>
    </row>
    <row r="1092" spans="1:9">
      <c r="A1092" s="133"/>
      <c r="B1092" s="133"/>
      <c r="C1092" s="133"/>
      <c r="D1092" s="133"/>
      <c r="E1092" s="133"/>
      <c r="F1092" s="133"/>
      <c r="G1092" s="133"/>
      <c r="H1092" s="133"/>
      <c r="I1092" s="133"/>
    </row>
    <row r="1093" spans="1:9">
      <c r="A1093" s="133"/>
      <c r="B1093" s="133"/>
      <c r="C1093" s="133"/>
      <c r="D1093" s="133"/>
      <c r="E1093" s="133"/>
      <c r="F1093" s="133"/>
      <c r="G1093" s="133"/>
      <c r="H1093" s="133"/>
      <c r="I1093" s="133"/>
    </row>
    <row r="1094" spans="1:9">
      <c r="A1094" s="133"/>
      <c r="B1094" s="133"/>
      <c r="C1094" s="133"/>
      <c r="D1094" s="133"/>
      <c r="E1094" s="133"/>
      <c r="F1094" s="133"/>
      <c r="G1094" s="133"/>
      <c r="H1094" s="133"/>
      <c r="I1094" s="133"/>
    </row>
    <row r="1095" spans="1:9">
      <c r="A1095" s="133"/>
      <c r="B1095" s="133"/>
      <c r="C1095" s="133"/>
      <c r="D1095" s="133"/>
      <c r="E1095" s="133"/>
      <c r="F1095" s="133"/>
      <c r="G1095" s="133"/>
      <c r="H1095" s="133"/>
      <c r="I1095" s="133"/>
    </row>
    <row r="1096" spans="1:9">
      <c r="A1096" s="133"/>
      <c r="B1096" s="133"/>
      <c r="C1096" s="133"/>
      <c r="D1096" s="133"/>
      <c r="E1096" s="133"/>
      <c r="F1096" s="133"/>
      <c r="G1096" s="133"/>
      <c r="H1096" s="133"/>
      <c r="I1096" s="133"/>
    </row>
    <row r="1097" spans="1:9">
      <c r="A1097" s="133"/>
      <c r="B1097" s="133"/>
      <c r="C1097" s="133"/>
      <c r="D1097" s="133"/>
      <c r="E1097" s="133"/>
      <c r="F1097" s="133"/>
      <c r="G1097" s="133"/>
      <c r="H1097" s="133"/>
      <c r="I1097" s="133"/>
    </row>
    <row r="1098" spans="1:9">
      <c r="A1098" s="133"/>
      <c r="B1098" s="133"/>
      <c r="C1098" s="133"/>
      <c r="D1098" s="133"/>
      <c r="E1098" s="133"/>
      <c r="F1098" s="133"/>
      <c r="G1098" s="133"/>
      <c r="H1098" s="133"/>
      <c r="I1098" s="133"/>
    </row>
    <row r="1099" spans="1:9">
      <c r="A1099" s="133"/>
      <c r="B1099" s="133"/>
      <c r="C1099" s="133"/>
      <c r="D1099" s="133"/>
      <c r="E1099" s="133"/>
      <c r="F1099" s="133"/>
      <c r="G1099" s="133"/>
      <c r="H1099" s="133"/>
      <c r="I1099" s="133"/>
    </row>
    <row r="1100" spans="1:9">
      <c r="A1100" s="133"/>
      <c r="B1100" s="133"/>
      <c r="C1100" s="133"/>
      <c r="D1100" s="133"/>
      <c r="E1100" s="133"/>
      <c r="F1100" s="133"/>
      <c r="G1100" s="133"/>
      <c r="H1100" s="133"/>
      <c r="I1100" s="133"/>
    </row>
    <row r="1101" spans="1:9">
      <c r="A1101" s="133"/>
      <c r="B1101" s="133"/>
      <c r="C1101" s="133"/>
      <c r="D1101" s="133"/>
      <c r="E1101" s="133"/>
      <c r="F1101" s="133"/>
      <c r="G1101" s="133"/>
      <c r="H1101" s="133"/>
      <c r="I1101" s="133"/>
    </row>
    <row r="1102" spans="1:9">
      <c r="A1102" s="133"/>
      <c r="B1102" s="133"/>
      <c r="C1102" s="133"/>
      <c r="D1102" s="133"/>
      <c r="E1102" s="133"/>
      <c r="F1102" s="133"/>
      <c r="G1102" s="133"/>
      <c r="H1102" s="133"/>
      <c r="I1102" s="133"/>
    </row>
    <row r="1103" spans="1:9">
      <c r="A1103" s="133"/>
      <c r="B1103" s="133"/>
      <c r="C1103" s="133"/>
      <c r="D1103" s="133"/>
      <c r="E1103" s="133"/>
      <c r="F1103" s="133"/>
      <c r="G1103" s="133"/>
      <c r="H1103" s="133"/>
      <c r="I1103" s="133"/>
    </row>
    <row r="1104" spans="1:9">
      <c r="A1104" s="133"/>
      <c r="B1104" s="133"/>
      <c r="C1104" s="133"/>
      <c r="D1104" s="133"/>
      <c r="E1104" s="133"/>
      <c r="F1104" s="133"/>
      <c r="G1104" s="133"/>
      <c r="H1104" s="133"/>
      <c r="I1104" s="133"/>
    </row>
    <row r="1105" spans="1:9">
      <c r="A1105" s="133"/>
      <c r="B1105" s="133"/>
      <c r="C1105" s="133"/>
      <c r="D1105" s="133"/>
      <c r="E1105" s="133"/>
      <c r="F1105" s="133"/>
      <c r="G1105" s="133"/>
      <c r="H1105" s="133"/>
      <c r="I1105" s="133"/>
    </row>
    <row r="1106" spans="1:9">
      <c r="A1106" s="133"/>
      <c r="B1106" s="133"/>
      <c r="C1106" s="133"/>
      <c r="D1106" s="133"/>
      <c r="E1106" s="133"/>
      <c r="F1106" s="133"/>
      <c r="G1106" s="133"/>
      <c r="H1106" s="133"/>
      <c r="I1106" s="133"/>
    </row>
    <row r="1107" spans="1:9">
      <c r="A1107" s="133"/>
      <c r="B1107" s="133"/>
      <c r="C1107" s="133"/>
      <c r="D1107" s="133"/>
      <c r="E1107" s="133"/>
      <c r="F1107" s="133"/>
      <c r="G1107" s="133"/>
      <c r="H1107" s="133"/>
      <c r="I1107" s="133"/>
    </row>
    <row r="1108" spans="1:9">
      <c r="A1108" s="133"/>
      <c r="B1108" s="133"/>
      <c r="C1108" s="133"/>
      <c r="D1108" s="133"/>
      <c r="E1108" s="133"/>
      <c r="F1108" s="133"/>
      <c r="G1108" s="133"/>
      <c r="H1108" s="133"/>
      <c r="I1108" s="133"/>
    </row>
    <row r="1109" spans="1:9">
      <c r="A1109" s="133"/>
      <c r="B1109" s="133"/>
      <c r="C1109" s="133"/>
      <c r="D1109" s="133"/>
      <c r="E1109" s="133"/>
      <c r="F1109" s="133"/>
      <c r="G1109" s="133"/>
      <c r="H1109" s="133"/>
      <c r="I1109" s="133"/>
    </row>
    <row r="1110" spans="1:9">
      <c r="A1110" s="133"/>
      <c r="B1110" s="133"/>
      <c r="C1110" s="133"/>
      <c r="D1110" s="133"/>
      <c r="E1110" s="133"/>
      <c r="F1110" s="133"/>
      <c r="G1110" s="133"/>
      <c r="H1110" s="133"/>
      <c r="I1110" s="133"/>
    </row>
    <row r="1111" spans="1:9">
      <c r="A1111" s="133"/>
      <c r="B1111" s="133"/>
      <c r="C1111" s="133"/>
      <c r="D1111" s="133"/>
      <c r="E1111" s="133"/>
      <c r="F1111" s="133"/>
      <c r="G1111" s="133"/>
      <c r="H1111" s="133"/>
      <c r="I1111" s="133"/>
    </row>
    <row r="1112" spans="1:9">
      <c r="A1112" s="133"/>
      <c r="B1112" s="133"/>
      <c r="C1112" s="133"/>
      <c r="D1112" s="133"/>
      <c r="E1112" s="133"/>
      <c r="F1112" s="133"/>
      <c r="G1112" s="133"/>
      <c r="H1112" s="133"/>
      <c r="I1112" s="133"/>
    </row>
    <row r="1113" spans="1:9">
      <c r="A1113" s="133"/>
      <c r="B1113" s="133"/>
      <c r="C1113" s="133"/>
      <c r="D1113" s="133"/>
      <c r="E1113" s="133"/>
      <c r="F1113" s="133"/>
      <c r="G1113" s="133"/>
      <c r="H1113" s="133"/>
      <c r="I1113" s="133"/>
    </row>
    <row r="1114" spans="1:9">
      <c r="A1114" s="133"/>
      <c r="B1114" s="133"/>
      <c r="C1114" s="133"/>
      <c r="D1114" s="133"/>
      <c r="E1114" s="133"/>
      <c r="F1114" s="133"/>
      <c r="G1114" s="133"/>
      <c r="H1114" s="133"/>
      <c r="I1114" s="133"/>
    </row>
    <row r="1115" spans="1:9">
      <c r="A1115" s="133"/>
      <c r="B1115" s="133"/>
      <c r="C1115" s="133"/>
      <c r="D1115" s="133"/>
      <c r="E1115" s="133"/>
      <c r="F1115" s="133"/>
      <c r="G1115" s="133"/>
      <c r="H1115" s="133"/>
      <c r="I1115" s="133"/>
    </row>
    <row r="1116" spans="1:9">
      <c r="A1116" s="133"/>
      <c r="B1116" s="133"/>
      <c r="C1116" s="133"/>
      <c r="D1116" s="133"/>
      <c r="E1116" s="133"/>
      <c r="F1116" s="133"/>
      <c r="G1116" s="133"/>
      <c r="H1116" s="133"/>
      <c r="I1116" s="133"/>
    </row>
    <row r="1117" spans="1:9">
      <c r="A1117" s="133"/>
      <c r="B1117" s="133"/>
      <c r="C1117" s="133"/>
      <c r="D1117" s="133"/>
      <c r="E1117" s="133"/>
      <c r="F1117" s="133"/>
      <c r="G1117" s="133"/>
      <c r="H1117" s="133"/>
      <c r="I1117" s="133"/>
    </row>
    <row r="1118" spans="1:9">
      <c r="A1118" s="133"/>
      <c r="B1118" s="133"/>
      <c r="C1118" s="133"/>
      <c r="D1118" s="133"/>
      <c r="E1118" s="133"/>
      <c r="F1118" s="133"/>
      <c r="G1118" s="133"/>
      <c r="H1118" s="133"/>
      <c r="I1118" s="133"/>
    </row>
    <row r="1119" spans="1:9">
      <c r="A1119" s="133"/>
      <c r="B1119" s="133"/>
      <c r="C1119" s="133"/>
      <c r="D1119" s="133"/>
      <c r="E1119" s="133"/>
      <c r="F1119" s="133"/>
      <c r="G1119" s="133"/>
      <c r="H1119" s="133"/>
      <c r="I1119" s="133"/>
    </row>
    <row r="1120" spans="1:9">
      <c r="A1120" s="133"/>
      <c r="B1120" s="133"/>
      <c r="C1120" s="133"/>
      <c r="D1120" s="133"/>
      <c r="E1120" s="133"/>
      <c r="F1120" s="133"/>
      <c r="G1120" s="133"/>
      <c r="H1120" s="133"/>
      <c r="I1120" s="133"/>
    </row>
    <row r="1121" spans="1:9">
      <c r="A1121" s="133"/>
      <c r="B1121" s="133"/>
      <c r="C1121" s="133"/>
      <c r="D1121" s="133"/>
      <c r="E1121" s="133"/>
      <c r="F1121" s="133"/>
      <c r="G1121" s="133"/>
      <c r="H1121" s="133"/>
      <c r="I1121" s="133"/>
    </row>
    <row r="1122" spans="1:9">
      <c r="A1122" s="133"/>
      <c r="B1122" s="133"/>
      <c r="C1122" s="133"/>
      <c r="D1122" s="133"/>
      <c r="E1122" s="133"/>
      <c r="F1122" s="133"/>
      <c r="G1122" s="133"/>
      <c r="H1122" s="133"/>
      <c r="I1122" s="133"/>
    </row>
    <row r="1123" spans="1:9">
      <c r="A1123" s="133"/>
      <c r="B1123" s="133"/>
      <c r="C1123" s="133"/>
      <c r="D1123" s="133"/>
      <c r="E1123" s="133"/>
      <c r="F1123" s="133"/>
      <c r="G1123" s="133"/>
      <c r="H1123" s="133"/>
      <c r="I1123" s="133"/>
    </row>
    <row r="1124" spans="1:9">
      <c r="A1124" s="133"/>
      <c r="B1124" s="133"/>
      <c r="C1124" s="133"/>
      <c r="D1124" s="133"/>
      <c r="E1124" s="133"/>
      <c r="F1124" s="133"/>
      <c r="G1124" s="133"/>
      <c r="H1124" s="133"/>
      <c r="I1124" s="133"/>
    </row>
    <row r="1125" spans="1:9">
      <c r="A1125" s="133"/>
      <c r="B1125" s="133"/>
      <c r="C1125" s="133"/>
      <c r="D1125" s="133"/>
      <c r="E1125" s="133"/>
      <c r="F1125" s="133"/>
      <c r="G1125" s="133"/>
      <c r="H1125" s="133"/>
      <c r="I1125" s="133"/>
    </row>
    <row r="1126" spans="1:9">
      <c r="A1126" s="133"/>
      <c r="B1126" s="133"/>
      <c r="C1126" s="133"/>
      <c r="D1126" s="133"/>
      <c r="E1126" s="133"/>
      <c r="F1126" s="133"/>
      <c r="G1126" s="133"/>
      <c r="H1126" s="133"/>
      <c r="I1126" s="133"/>
    </row>
    <row r="1127" spans="1:9">
      <c r="A1127" s="133"/>
      <c r="B1127" s="133"/>
      <c r="C1127" s="133"/>
      <c r="D1127" s="133"/>
      <c r="E1127" s="133"/>
      <c r="F1127" s="133"/>
      <c r="G1127" s="133"/>
      <c r="H1127" s="133"/>
      <c r="I1127" s="133"/>
    </row>
    <row r="1128" spans="1:9">
      <c r="A1128" s="133"/>
      <c r="B1128" s="133"/>
      <c r="C1128" s="133"/>
      <c r="D1128" s="133"/>
      <c r="E1128" s="133"/>
      <c r="F1128" s="133"/>
      <c r="G1128" s="133"/>
      <c r="H1128" s="133"/>
      <c r="I1128" s="133"/>
    </row>
    <row r="1129" spans="1:9">
      <c r="A1129" s="133"/>
      <c r="B1129" s="133"/>
      <c r="C1129" s="133"/>
      <c r="D1129" s="133"/>
      <c r="E1129" s="133"/>
      <c r="F1129" s="133"/>
      <c r="G1129" s="133"/>
      <c r="H1129" s="133"/>
      <c r="I1129" s="133"/>
    </row>
    <row r="1130" spans="1:9">
      <c r="A1130" s="133"/>
      <c r="B1130" s="133"/>
      <c r="C1130" s="133"/>
      <c r="D1130" s="133"/>
      <c r="E1130" s="133"/>
      <c r="F1130" s="133"/>
      <c r="G1130" s="133"/>
      <c r="H1130" s="133"/>
      <c r="I1130" s="133"/>
    </row>
    <row r="1131" spans="1:9">
      <c r="A1131" s="133"/>
      <c r="B1131" s="133"/>
      <c r="C1131" s="133"/>
      <c r="D1131" s="133"/>
      <c r="E1131" s="133"/>
      <c r="F1131" s="133"/>
      <c r="G1131" s="133"/>
      <c r="H1131" s="133"/>
      <c r="I1131" s="133"/>
    </row>
    <row r="1132" spans="1:9">
      <c r="A1132" s="133"/>
      <c r="B1132" s="133"/>
      <c r="C1132" s="133"/>
      <c r="D1132" s="133"/>
      <c r="E1132" s="133"/>
      <c r="F1132" s="133"/>
      <c r="G1132" s="133"/>
      <c r="H1132" s="133"/>
      <c r="I1132" s="133"/>
    </row>
    <row r="1133" spans="1:9">
      <c r="A1133" s="133"/>
      <c r="B1133" s="133"/>
      <c r="C1133" s="133"/>
      <c r="D1133" s="133"/>
      <c r="E1133" s="133"/>
      <c r="F1133" s="133"/>
      <c r="G1133" s="133"/>
      <c r="H1133" s="133"/>
      <c r="I1133" s="133"/>
    </row>
    <row r="1134" spans="1:9">
      <c r="A1134" s="133"/>
      <c r="B1134" s="133"/>
      <c r="C1134" s="133"/>
      <c r="D1134" s="133"/>
      <c r="E1134" s="133"/>
      <c r="F1134" s="133"/>
      <c r="G1134" s="133"/>
      <c r="H1134" s="133"/>
      <c r="I1134" s="133"/>
    </row>
    <row r="1135" spans="1:9">
      <c r="A1135" s="133"/>
      <c r="B1135" s="133"/>
      <c r="C1135" s="133"/>
      <c r="D1135" s="133"/>
      <c r="E1135" s="133"/>
      <c r="F1135" s="133"/>
      <c r="G1135" s="133"/>
      <c r="H1135" s="133"/>
      <c r="I1135" s="133"/>
    </row>
    <row r="1136" spans="1:9">
      <c r="A1136" s="133"/>
      <c r="B1136" s="133"/>
      <c r="C1136" s="133"/>
      <c r="D1136" s="133"/>
      <c r="E1136" s="133"/>
      <c r="F1136" s="133"/>
      <c r="G1136" s="133"/>
      <c r="H1136" s="133"/>
      <c r="I1136" s="133"/>
    </row>
    <row r="1137" spans="1:9">
      <c r="A1137" s="133"/>
      <c r="B1137" s="133"/>
      <c r="C1137" s="133"/>
      <c r="D1137" s="133"/>
      <c r="E1137" s="133"/>
      <c r="F1137" s="133"/>
      <c r="G1137" s="133"/>
      <c r="H1137" s="133"/>
      <c r="I1137" s="133"/>
    </row>
    <row r="1138" spans="1:9">
      <c r="A1138" s="133"/>
      <c r="B1138" s="133"/>
      <c r="C1138" s="133"/>
      <c r="D1138" s="133"/>
      <c r="E1138" s="133"/>
      <c r="F1138" s="133"/>
      <c r="G1138" s="133"/>
      <c r="H1138" s="133"/>
      <c r="I1138" s="133"/>
    </row>
    <row r="1139" spans="1:9">
      <c r="A1139" s="133"/>
      <c r="B1139" s="133"/>
      <c r="C1139" s="133"/>
      <c r="D1139" s="133"/>
      <c r="E1139" s="133"/>
      <c r="F1139" s="133"/>
      <c r="G1139" s="133"/>
      <c r="H1139" s="133"/>
      <c r="I1139" s="133"/>
    </row>
    <row r="1140" spans="1:9">
      <c r="A1140" s="133"/>
      <c r="B1140" s="133"/>
      <c r="C1140" s="133"/>
      <c r="D1140" s="133"/>
      <c r="E1140" s="133"/>
      <c r="F1140" s="133"/>
      <c r="G1140" s="133"/>
      <c r="H1140" s="133"/>
      <c r="I1140" s="133"/>
    </row>
    <row r="1141" spans="1:9">
      <c r="A1141" s="133"/>
      <c r="B1141" s="133"/>
      <c r="C1141" s="133"/>
      <c r="D1141" s="133"/>
      <c r="E1141" s="133"/>
      <c r="F1141" s="133"/>
      <c r="G1141" s="133"/>
      <c r="H1141" s="133"/>
      <c r="I1141" s="133"/>
    </row>
    <row r="1142" spans="1:9">
      <c r="A1142" s="133"/>
      <c r="B1142" s="133"/>
      <c r="C1142" s="133"/>
      <c r="D1142" s="133"/>
      <c r="E1142" s="133"/>
      <c r="F1142" s="133"/>
      <c r="G1142" s="133"/>
      <c r="H1142" s="133"/>
      <c r="I1142" s="133"/>
    </row>
    <row r="1143" spans="1:9">
      <c r="A1143" s="133"/>
      <c r="B1143" s="133"/>
      <c r="C1143" s="133"/>
      <c r="D1143" s="133"/>
      <c r="E1143" s="133"/>
      <c r="F1143" s="133"/>
      <c r="G1143" s="133"/>
      <c r="H1143" s="133"/>
      <c r="I1143" s="133"/>
    </row>
    <row r="1144" spans="1:9">
      <c r="A1144" s="133"/>
      <c r="B1144" s="133"/>
      <c r="C1144" s="133"/>
      <c r="D1144" s="133"/>
      <c r="E1144" s="133"/>
      <c r="F1144" s="133"/>
      <c r="G1144" s="133"/>
      <c r="H1144" s="133"/>
      <c r="I1144" s="133"/>
    </row>
    <row r="1145" spans="1:9">
      <c r="A1145" s="133"/>
      <c r="B1145" s="133"/>
      <c r="C1145" s="133"/>
      <c r="D1145" s="133"/>
      <c r="E1145" s="133"/>
      <c r="F1145" s="133"/>
      <c r="G1145" s="133"/>
      <c r="H1145" s="133"/>
      <c r="I1145" s="133"/>
    </row>
    <row r="1146" spans="1:9">
      <c r="A1146" s="133"/>
      <c r="B1146" s="133"/>
      <c r="C1146" s="133"/>
      <c r="D1146" s="133"/>
      <c r="E1146" s="133"/>
      <c r="F1146" s="133"/>
      <c r="G1146" s="133"/>
      <c r="H1146" s="133"/>
      <c r="I1146" s="133"/>
    </row>
    <row r="1147" spans="1:9">
      <c r="A1147" s="133"/>
      <c r="B1147" s="133"/>
      <c r="C1147" s="133"/>
      <c r="D1147" s="133"/>
      <c r="E1147" s="133"/>
      <c r="F1147" s="133"/>
      <c r="G1147" s="133"/>
      <c r="H1147" s="133"/>
      <c r="I1147" s="133"/>
    </row>
    <row r="1148" spans="1:9">
      <c r="A1148" s="133"/>
      <c r="B1148" s="133"/>
      <c r="C1148" s="133"/>
      <c r="D1148" s="133"/>
      <c r="E1148" s="133"/>
      <c r="F1148" s="133"/>
      <c r="G1148" s="133"/>
      <c r="H1148" s="133"/>
      <c r="I1148" s="133"/>
    </row>
    <row r="1149" spans="1:9">
      <c r="A1149" s="133"/>
      <c r="B1149" s="133"/>
      <c r="C1149" s="133"/>
      <c r="D1149" s="133"/>
      <c r="E1149" s="133"/>
      <c r="F1149" s="133"/>
      <c r="G1149" s="133"/>
      <c r="H1149" s="133"/>
      <c r="I1149" s="133"/>
    </row>
    <row r="1150" spans="1:9">
      <c r="A1150" s="133"/>
      <c r="B1150" s="133"/>
      <c r="C1150" s="133"/>
      <c r="D1150" s="133"/>
      <c r="E1150" s="133"/>
      <c r="F1150" s="133"/>
      <c r="G1150" s="133"/>
      <c r="H1150" s="133"/>
      <c r="I1150" s="133"/>
    </row>
    <row r="1151" spans="1:9">
      <c r="A1151" s="133"/>
      <c r="B1151" s="133"/>
      <c r="C1151" s="133"/>
      <c r="D1151" s="133"/>
      <c r="E1151" s="133"/>
      <c r="F1151" s="133"/>
      <c r="G1151" s="133"/>
      <c r="H1151" s="133"/>
      <c r="I1151" s="133"/>
    </row>
    <row r="1152" spans="1:9">
      <c r="A1152" s="133"/>
      <c r="B1152" s="133"/>
      <c r="C1152" s="133"/>
      <c r="D1152" s="133"/>
      <c r="E1152" s="133"/>
      <c r="F1152" s="133"/>
      <c r="G1152" s="133"/>
      <c r="H1152" s="133"/>
      <c r="I1152" s="133"/>
    </row>
    <row r="1153" spans="1:9">
      <c r="A1153" s="133"/>
      <c r="B1153" s="133"/>
      <c r="C1153" s="133"/>
      <c r="D1153" s="133"/>
      <c r="E1153" s="133"/>
      <c r="F1153" s="133"/>
      <c r="G1153" s="133"/>
      <c r="H1153" s="133"/>
      <c r="I1153" s="133"/>
    </row>
    <row r="1154" spans="1:9">
      <c r="A1154" s="133"/>
      <c r="B1154" s="133"/>
      <c r="C1154" s="133"/>
      <c r="D1154" s="133"/>
      <c r="E1154" s="133"/>
      <c r="F1154" s="133"/>
      <c r="G1154" s="133"/>
      <c r="H1154" s="133"/>
      <c r="I1154" s="133"/>
    </row>
    <row r="1155" spans="1:9">
      <c r="A1155" s="133"/>
      <c r="B1155" s="133"/>
      <c r="C1155" s="133"/>
      <c r="D1155" s="133"/>
      <c r="E1155" s="133"/>
      <c r="F1155" s="133"/>
      <c r="G1155" s="133"/>
      <c r="H1155" s="133"/>
      <c r="I1155" s="133"/>
    </row>
    <row r="1156" spans="1:9">
      <c r="A1156" s="133"/>
      <c r="B1156" s="133"/>
      <c r="C1156" s="133"/>
      <c r="D1156" s="133"/>
      <c r="E1156" s="133"/>
      <c r="F1156" s="133"/>
      <c r="G1156" s="133"/>
      <c r="H1156" s="133"/>
      <c r="I1156" s="133"/>
    </row>
    <row r="1157" spans="1:9">
      <c r="A1157" s="133"/>
      <c r="B1157" s="133"/>
      <c r="C1157" s="133"/>
      <c r="D1157" s="133"/>
      <c r="E1157" s="133"/>
      <c r="F1157" s="133"/>
      <c r="G1157" s="133"/>
      <c r="H1157" s="133"/>
      <c r="I1157" s="133"/>
    </row>
    <row r="1158" spans="1:9">
      <c r="A1158" s="133"/>
      <c r="B1158" s="133"/>
      <c r="C1158" s="133"/>
      <c r="D1158" s="133"/>
      <c r="E1158" s="133"/>
      <c r="F1158" s="133"/>
      <c r="G1158" s="133"/>
      <c r="H1158" s="133"/>
      <c r="I1158" s="133"/>
    </row>
    <row r="1159" spans="1:9">
      <c r="A1159" s="133"/>
      <c r="B1159" s="133"/>
      <c r="C1159" s="133"/>
      <c r="D1159" s="133"/>
      <c r="E1159" s="133"/>
      <c r="F1159" s="133"/>
      <c r="G1159" s="133"/>
      <c r="H1159" s="133"/>
      <c r="I1159" s="133"/>
    </row>
    <row r="1160" spans="1:9">
      <c r="A1160" s="133"/>
      <c r="B1160" s="133"/>
      <c r="C1160" s="133"/>
      <c r="D1160" s="133"/>
      <c r="E1160" s="133"/>
      <c r="F1160" s="133"/>
      <c r="G1160" s="133"/>
      <c r="H1160" s="133"/>
      <c r="I1160" s="133"/>
    </row>
    <row r="1161" spans="1:9">
      <c r="A1161" s="133"/>
      <c r="B1161" s="133"/>
      <c r="C1161" s="133"/>
      <c r="D1161" s="133"/>
      <c r="E1161" s="133"/>
      <c r="F1161" s="133"/>
      <c r="G1161" s="133"/>
      <c r="H1161" s="133"/>
      <c r="I1161" s="133"/>
    </row>
    <row r="1162" spans="1:9">
      <c r="A1162" s="133"/>
      <c r="B1162" s="133"/>
      <c r="C1162" s="133"/>
      <c r="D1162" s="133"/>
      <c r="E1162" s="133"/>
      <c r="F1162" s="133"/>
      <c r="G1162" s="133"/>
      <c r="H1162" s="133"/>
      <c r="I1162" s="133"/>
    </row>
    <row r="1163" spans="1:9">
      <c r="A1163" s="133"/>
      <c r="B1163" s="133"/>
      <c r="C1163" s="133"/>
      <c r="D1163" s="133"/>
      <c r="E1163" s="133"/>
      <c r="F1163" s="133"/>
      <c r="G1163" s="133"/>
      <c r="H1163" s="133"/>
      <c r="I1163" s="133"/>
    </row>
    <row r="1164" spans="1:9">
      <c r="A1164" s="133"/>
      <c r="B1164" s="133"/>
      <c r="C1164" s="133"/>
      <c r="D1164" s="133"/>
      <c r="E1164" s="133"/>
      <c r="F1164" s="133"/>
      <c r="G1164" s="133"/>
      <c r="H1164" s="133"/>
      <c r="I1164" s="133"/>
    </row>
    <row r="1165" spans="1:9">
      <c r="A1165" s="133"/>
      <c r="B1165" s="133"/>
      <c r="C1165" s="133"/>
      <c r="D1165" s="133"/>
      <c r="E1165" s="133"/>
      <c r="F1165" s="133"/>
      <c r="G1165" s="133"/>
      <c r="H1165" s="133"/>
      <c r="I1165" s="133"/>
    </row>
    <row r="1166" spans="1:9">
      <c r="A1166" s="133"/>
      <c r="B1166" s="133"/>
      <c r="C1166" s="133"/>
      <c r="D1166" s="133"/>
      <c r="E1166" s="133"/>
      <c r="F1166" s="133"/>
      <c r="G1166" s="133"/>
      <c r="H1166" s="133"/>
      <c r="I1166" s="133"/>
    </row>
    <row r="1167" spans="1:9">
      <c r="A1167" s="133"/>
      <c r="B1167" s="133"/>
      <c r="C1167" s="133"/>
      <c r="D1167" s="133"/>
      <c r="E1167" s="133"/>
      <c r="F1167" s="133"/>
      <c r="G1167" s="133"/>
      <c r="H1167" s="133"/>
      <c r="I1167" s="133"/>
    </row>
    <row r="1168" spans="1:9">
      <c r="A1168" s="133"/>
      <c r="B1168" s="133"/>
      <c r="C1168" s="133"/>
      <c r="D1168" s="133"/>
      <c r="E1168" s="133"/>
      <c r="F1168" s="133"/>
      <c r="G1168" s="133"/>
      <c r="H1168" s="133"/>
      <c r="I1168" s="133"/>
    </row>
    <row r="1169" spans="1:9">
      <c r="A1169" s="133"/>
      <c r="B1169" s="133"/>
      <c r="C1169" s="133"/>
      <c r="D1169" s="133"/>
      <c r="E1169" s="133"/>
      <c r="F1169" s="133"/>
      <c r="G1169" s="133"/>
      <c r="H1169" s="133"/>
      <c r="I1169" s="133"/>
    </row>
    <row r="1170" spans="1:9">
      <c r="A1170" s="133"/>
      <c r="B1170" s="133"/>
      <c r="C1170" s="133"/>
      <c r="D1170" s="133"/>
      <c r="E1170" s="133"/>
      <c r="F1170" s="133"/>
      <c r="G1170" s="133"/>
      <c r="H1170" s="133"/>
      <c r="I1170" s="133"/>
    </row>
    <row r="1171" spans="1:9">
      <c r="A1171" s="133"/>
      <c r="B1171" s="133"/>
      <c r="C1171" s="133"/>
      <c r="D1171" s="133"/>
      <c r="E1171" s="133"/>
      <c r="F1171" s="133"/>
      <c r="G1171" s="133"/>
      <c r="H1171" s="133"/>
      <c r="I1171" s="133"/>
    </row>
    <row r="1172" spans="1:9">
      <c r="A1172" s="133"/>
      <c r="B1172" s="133"/>
      <c r="C1172" s="133"/>
      <c r="D1172" s="133"/>
      <c r="E1172" s="133"/>
      <c r="F1172" s="133"/>
      <c r="G1172" s="133"/>
      <c r="H1172" s="133"/>
      <c r="I1172" s="133"/>
    </row>
    <row r="1173" spans="1:9">
      <c r="A1173" s="133"/>
      <c r="B1173" s="133"/>
      <c r="C1173" s="133"/>
      <c r="D1173" s="133"/>
      <c r="E1173" s="133"/>
      <c r="F1173" s="133"/>
      <c r="G1173" s="133"/>
      <c r="H1173" s="133"/>
      <c r="I1173" s="133"/>
    </row>
    <row r="1174" spans="1:9">
      <c r="A1174" s="133"/>
      <c r="B1174" s="133"/>
      <c r="C1174" s="133"/>
      <c r="D1174" s="133"/>
      <c r="E1174" s="133"/>
      <c r="F1174" s="133"/>
      <c r="G1174" s="133"/>
      <c r="H1174" s="133"/>
      <c r="I1174" s="133"/>
    </row>
    <row r="1175" spans="1:9">
      <c r="A1175" s="133"/>
      <c r="B1175" s="133"/>
      <c r="C1175" s="133"/>
      <c r="D1175" s="133"/>
      <c r="E1175" s="133"/>
      <c r="F1175" s="133"/>
      <c r="G1175" s="133"/>
      <c r="H1175" s="133"/>
      <c r="I1175" s="133"/>
    </row>
    <row r="1176" spans="1:9">
      <c r="A1176" s="133"/>
      <c r="B1176" s="133"/>
      <c r="C1176" s="133"/>
      <c r="D1176" s="133"/>
      <c r="E1176" s="133"/>
      <c r="F1176" s="133"/>
      <c r="G1176" s="133"/>
      <c r="H1176" s="133"/>
      <c r="I1176" s="133"/>
    </row>
    <row r="1177" spans="1:9">
      <c r="A1177" s="133"/>
      <c r="B1177" s="133"/>
      <c r="C1177" s="133"/>
      <c r="D1177" s="133"/>
      <c r="E1177" s="133"/>
      <c r="F1177" s="133"/>
      <c r="G1177" s="133"/>
      <c r="H1177" s="133"/>
      <c r="I1177" s="133"/>
    </row>
    <row r="1178" spans="1:9">
      <c r="A1178" s="133"/>
      <c r="B1178" s="133"/>
      <c r="C1178" s="133"/>
      <c r="D1178" s="133"/>
      <c r="E1178" s="133"/>
      <c r="F1178" s="133"/>
      <c r="G1178" s="133"/>
      <c r="H1178" s="133"/>
      <c r="I1178" s="133"/>
    </row>
    <row r="1179" spans="1:9">
      <c r="A1179" s="133"/>
      <c r="B1179" s="133"/>
      <c r="C1179" s="133"/>
      <c r="D1179" s="133"/>
      <c r="E1179" s="133"/>
      <c r="F1179" s="133"/>
      <c r="G1179" s="133"/>
      <c r="H1179" s="133"/>
      <c r="I1179" s="133"/>
    </row>
    <row r="1180" spans="1:9">
      <c r="A1180" s="133"/>
      <c r="B1180" s="133"/>
      <c r="C1180" s="133"/>
      <c r="D1180" s="133"/>
      <c r="E1180" s="133"/>
      <c r="F1180" s="133"/>
      <c r="G1180" s="133"/>
      <c r="H1180" s="133"/>
      <c r="I1180" s="133"/>
    </row>
    <row r="1181" spans="1:9">
      <c r="A1181" s="133"/>
      <c r="B1181" s="133"/>
      <c r="C1181" s="133"/>
      <c r="D1181" s="133"/>
      <c r="E1181" s="133"/>
      <c r="F1181" s="133"/>
      <c r="G1181" s="133"/>
      <c r="H1181" s="133"/>
      <c r="I1181" s="133"/>
    </row>
    <row r="1182" spans="1:9">
      <c r="A1182" s="133"/>
      <c r="B1182" s="133"/>
      <c r="C1182" s="133"/>
      <c r="D1182" s="133"/>
      <c r="E1182" s="133"/>
      <c r="F1182" s="133"/>
      <c r="G1182" s="133"/>
      <c r="H1182" s="133"/>
      <c r="I1182" s="133"/>
    </row>
    <row r="1183" spans="1:9">
      <c r="A1183" s="133"/>
      <c r="B1183" s="133"/>
      <c r="C1183" s="133"/>
      <c r="D1183" s="133"/>
      <c r="E1183" s="133"/>
      <c r="F1183" s="133"/>
      <c r="G1183" s="133"/>
      <c r="H1183" s="133"/>
      <c r="I1183" s="133"/>
    </row>
    <row r="1184" spans="1:9">
      <c r="A1184" s="133"/>
      <c r="B1184" s="133"/>
      <c r="C1184" s="133"/>
      <c r="D1184" s="133"/>
      <c r="E1184" s="133"/>
      <c r="F1184" s="133"/>
      <c r="G1184" s="133"/>
      <c r="H1184" s="133"/>
      <c r="I1184" s="133"/>
    </row>
    <row r="1185" spans="1:9">
      <c r="A1185" s="133"/>
      <c r="B1185" s="133"/>
      <c r="C1185" s="133"/>
      <c r="D1185" s="133"/>
      <c r="E1185" s="133"/>
      <c r="F1185" s="133"/>
      <c r="G1185" s="133"/>
      <c r="H1185" s="133"/>
      <c r="I1185" s="133"/>
    </row>
    <row r="1186" spans="1:9">
      <c r="A1186" s="133"/>
      <c r="B1186" s="133"/>
      <c r="C1186" s="133"/>
      <c r="D1186" s="133"/>
      <c r="E1186" s="133"/>
      <c r="F1186" s="133"/>
      <c r="G1186" s="133"/>
      <c r="H1186" s="133"/>
      <c r="I1186" s="133"/>
    </row>
    <row r="1187" spans="1:9">
      <c r="A1187" s="133"/>
      <c r="B1187" s="133"/>
      <c r="C1187" s="133"/>
      <c r="D1187" s="133"/>
      <c r="E1187" s="133"/>
      <c r="F1187" s="133"/>
      <c r="G1187" s="133"/>
      <c r="H1187" s="133"/>
      <c r="I1187" s="133"/>
    </row>
    <row r="1188" spans="1:9">
      <c r="A1188" s="133"/>
      <c r="B1188" s="133"/>
      <c r="C1188" s="133"/>
      <c r="D1188" s="133"/>
      <c r="E1188" s="133"/>
      <c r="F1188" s="133"/>
      <c r="G1188" s="133"/>
      <c r="H1188" s="133"/>
      <c r="I1188" s="133"/>
    </row>
    <row r="1189" spans="1:9">
      <c r="A1189" s="133"/>
      <c r="B1189" s="133"/>
      <c r="C1189" s="133"/>
      <c r="D1189" s="133"/>
      <c r="E1189" s="133"/>
      <c r="F1189" s="133"/>
      <c r="G1189" s="133"/>
      <c r="H1189" s="133"/>
      <c r="I1189" s="133"/>
    </row>
    <row r="1190" spans="1:9">
      <c r="A1190" s="133"/>
      <c r="B1190" s="133"/>
      <c r="C1190" s="133"/>
      <c r="D1190" s="133"/>
      <c r="E1190" s="133"/>
      <c r="F1190" s="133"/>
      <c r="G1190" s="133"/>
      <c r="H1190" s="133"/>
      <c r="I1190" s="133"/>
    </row>
    <row r="1191" spans="1:9">
      <c r="A1191" s="133"/>
      <c r="B1191" s="133"/>
      <c r="C1191" s="133"/>
      <c r="D1191" s="133"/>
      <c r="E1191" s="133"/>
      <c r="F1191" s="133"/>
      <c r="G1191" s="133"/>
      <c r="H1191" s="133"/>
      <c r="I1191" s="133"/>
    </row>
    <row r="1192" spans="1:9">
      <c r="A1192" s="133"/>
      <c r="B1192" s="133"/>
      <c r="C1192" s="133"/>
      <c r="D1192" s="133"/>
      <c r="E1192" s="133"/>
      <c r="F1192" s="133"/>
      <c r="G1192" s="133"/>
      <c r="H1192" s="133"/>
      <c r="I1192" s="133"/>
    </row>
    <row r="1193" spans="1:9">
      <c r="A1193" s="133"/>
      <c r="B1193" s="133"/>
      <c r="C1193" s="133"/>
      <c r="D1193" s="133"/>
      <c r="E1193" s="133"/>
      <c r="F1193" s="133"/>
      <c r="G1193" s="133"/>
      <c r="H1193" s="133"/>
      <c r="I1193" s="133"/>
    </row>
    <row r="1194" spans="1:9">
      <c r="A1194" s="133"/>
      <c r="B1194" s="133"/>
      <c r="C1194" s="133"/>
      <c r="D1194" s="133"/>
      <c r="E1194" s="133"/>
      <c r="F1194" s="133"/>
      <c r="G1194" s="133"/>
      <c r="H1194" s="133"/>
      <c r="I1194" s="133"/>
    </row>
    <row r="1195" spans="1:9">
      <c r="A1195" s="133"/>
      <c r="B1195" s="133"/>
      <c r="C1195" s="133"/>
      <c r="D1195" s="133"/>
      <c r="E1195" s="133"/>
      <c r="F1195" s="133"/>
      <c r="G1195" s="133"/>
      <c r="H1195" s="133"/>
      <c r="I1195" s="133"/>
    </row>
    <row r="1196" spans="1:9">
      <c r="A1196" s="133"/>
      <c r="B1196" s="133"/>
      <c r="C1196" s="133"/>
      <c r="D1196" s="133"/>
      <c r="E1196" s="133"/>
      <c r="F1196" s="133"/>
      <c r="G1196" s="133"/>
      <c r="H1196" s="133"/>
      <c r="I1196" s="133"/>
    </row>
    <row r="1197" spans="1:9">
      <c r="A1197" s="133"/>
      <c r="B1197" s="133"/>
      <c r="C1197" s="133"/>
      <c r="D1197" s="133"/>
      <c r="E1197" s="133"/>
      <c r="F1197" s="133"/>
      <c r="G1197" s="133"/>
      <c r="H1197" s="133"/>
      <c r="I1197" s="133"/>
    </row>
    <row r="1198" spans="1:9">
      <c r="A1198" s="133"/>
      <c r="B1198" s="133"/>
      <c r="C1198" s="133"/>
      <c r="D1198" s="133"/>
      <c r="E1198" s="133"/>
      <c r="F1198" s="133"/>
      <c r="G1198" s="133"/>
      <c r="H1198" s="133"/>
      <c r="I1198" s="133"/>
    </row>
    <row r="1199" spans="1:9">
      <c r="A1199" s="133"/>
      <c r="B1199" s="133"/>
      <c r="C1199" s="133"/>
      <c r="D1199" s="133"/>
      <c r="E1199" s="133"/>
      <c r="F1199" s="133"/>
      <c r="G1199" s="133"/>
      <c r="H1199" s="133"/>
      <c r="I1199" s="133"/>
    </row>
    <row r="1200" spans="1:9">
      <c r="A1200" s="133"/>
      <c r="B1200" s="133"/>
      <c r="C1200" s="133"/>
      <c r="D1200" s="133"/>
      <c r="E1200" s="133"/>
      <c r="F1200" s="133"/>
      <c r="G1200" s="133"/>
      <c r="H1200" s="133"/>
      <c r="I1200" s="133"/>
    </row>
    <row r="1201" spans="1:9">
      <c r="A1201" s="133"/>
      <c r="B1201" s="133"/>
      <c r="C1201" s="133"/>
      <c r="D1201" s="133"/>
      <c r="E1201" s="133"/>
      <c r="F1201" s="133"/>
      <c r="G1201" s="133"/>
      <c r="H1201" s="133"/>
      <c r="I1201" s="133"/>
    </row>
    <row r="1202" spans="1:9">
      <c r="A1202" s="133"/>
      <c r="B1202" s="133"/>
      <c r="C1202" s="133"/>
      <c r="D1202" s="133"/>
      <c r="E1202" s="133"/>
      <c r="F1202" s="133"/>
      <c r="G1202" s="133"/>
      <c r="H1202" s="133"/>
      <c r="I1202" s="133"/>
    </row>
    <row r="1203" spans="1:9">
      <c r="A1203" s="133"/>
      <c r="B1203" s="133"/>
      <c r="C1203" s="133"/>
      <c r="D1203" s="133"/>
      <c r="E1203" s="133"/>
      <c r="F1203" s="133"/>
      <c r="G1203" s="133"/>
      <c r="H1203" s="133"/>
      <c r="I1203" s="133"/>
    </row>
    <row r="1204" spans="1:9">
      <c r="A1204" s="133"/>
      <c r="B1204" s="133"/>
      <c r="C1204" s="133"/>
      <c r="D1204" s="133"/>
      <c r="E1204" s="133"/>
      <c r="F1204" s="133"/>
      <c r="G1204" s="133"/>
      <c r="H1204" s="133"/>
      <c r="I1204" s="133"/>
    </row>
    <row r="1205" spans="1:9">
      <c r="A1205" s="133"/>
      <c r="B1205" s="133"/>
      <c r="C1205" s="133"/>
      <c r="D1205" s="133"/>
      <c r="E1205" s="133"/>
      <c r="F1205" s="133"/>
      <c r="G1205" s="133"/>
      <c r="H1205" s="133"/>
      <c r="I1205" s="133"/>
    </row>
    <row r="1206" spans="1:9">
      <c r="A1206" s="133"/>
      <c r="B1206" s="133"/>
      <c r="C1206" s="133"/>
      <c r="D1206" s="133"/>
      <c r="E1206" s="133"/>
      <c r="F1206" s="133"/>
      <c r="G1206" s="133"/>
      <c r="H1206" s="133"/>
      <c r="I1206" s="133"/>
    </row>
    <row r="1207" spans="1:9">
      <c r="A1207" s="133"/>
      <c r="B1207" s="133"/>
      <c r="C1207" s="133"/>
      <c r="D1207" s="133"/>
      <c r="E1207" s="133"/>
      <c r="F1207" s="133"/>
      <c r="G1207" s="133"/>
      <c r="H1207" s="133"/>
      <c r="I1207" s="133"/>
    </row>
    <row r="1208" spans="1:9">
      <c r="A1208" s="133"/>
      <c r="B1208" s="133"/>
      <c r="C1208" s="133"/>
      <c r="D1208" s="133"/>
      <c r="E1208" s="133"/>
      <c r="F1208" s="133"/>
      <c r="G1208" s="133"/>
      <c r="H1208" s="133"/>
      <c r="I1208" s="133"/>
    </row>
    <row r="1209" spans="1:9">
      <c r="A1209" s="133"/>
      <c r="B1209" s="133"/>
      <c r="C1209" s="133"/>
      <c r="D1209" s="133"/>
      <c r="E1209" s="133"/>
      <c r="F1209" s="133"/>
      <c r="G1209" s="133"/>
      <c r="H1209" s="133"/>
      <c r="I1209" s="133"/>
    </row>
    <row r="1210" spans="1:9">
      <c r="A1210" s="133"/>
      <c r="B1210" s="133"/>
      <c r="C1210" s="133"/>
      <c r="D1210" s="133"/>
      <c r="E1210" s="133"/>
      <c r="F1210" s="133"/>
      <c r="G1210" s="133"/>
      <c r="H1210" s="133"/>
      <c r="I1210" s="133"/>
    </row>
    <row r="1211" spans="1:9">
      <c r="A1211" s="133"/>
      <c r="B1211" s="133"/>
      <c r="C1211" s="133"/>
      <c r="D1211" s="133"/>
      <c r="E1211" s="133"/>
      <c r="F1211" s="133"/>
      <c r="G1211" s="133"/>
      <c r="H1211" s="133"/>
      <c r="I1211" s="133"/>
    </row>
    <row r="1212" spans="1:9">
      <c r="A1212" s="133"/>
      <c r="B1212" s="133"/>
      <c r="C1212" s="133"/>
      <c r="D1212" s="133"/>
      <c r="E1212" s="133"/>
      <c r="F1212" s="133"/>
      <c r="G1212" s="133"/>
      <c r="H1212" s="133"/>
      <c r="I1212" s="133"/>
    </row>
    <row r="1213" spans="1:9">
      <c r="A1213" s="133"/>
      <c r="B1213" s="133"/>
      <c r="C1213" s="133"/>
      <c r="D1213" s="133"/>
      <c r="E1213" s="133"/>
      <c r="F1213" s="133"/>
      <c r="G1213" s="133"/>
      <c r="H1213" s="133"/>
      <c r="I1213" s="133"/>
    </row>
    <row r="1214" spans="1:9">
      <c r="A1214" s="133"/>
      <c r="B1214" s="133"/>
      <c r="C1214" s="133"/>
      <c r="D1214" s="133"/>
      <c r="E1214" s="133"/>
      <c r="F1214" s="133"/>
      <c r="G1214" s="133"/>
      <c r="H1214" s="133"/>
      <c r="I1214" s="133"/>
    </row>
    <row r="1215" spans="1:9">
      <c r="A1215" s="133"/>
      <c r="B1215" s="133"/>
      <c r="C1215" s="133"/>
      <c r="D1215" s="133"/>
      <c r="E1215" s="133"/>
      <c r="F1215" s="133"/>
      <c r="G1215" s="133"/>
      <c r="H1215" s="133"/>
      <c r="I1215" s="133"/>
    </row>
    <row r="1216" spans="1:9">
      <c r="A1216" s="133"/>
      <c r="B1216" s="133"/>
      <c r="C1216" s="133"/>
      <c r="D1216" s="133"/>
      <c r="E1216" s="133"/>
      <c r="F1216" s="133"/>
      <c r="G1216" s="133"/>
      <c r="H1216" s="133"/>
      <c r="I1216" s="133"/>
    </row>
    <row r="1217" spans="1:9">
      <c r="A1217" s="133"/>
      <c r="B1217" s="133"/>
      <c r="C1217" s="133"/>
      <c r="D1217" s="133"/>
      <c r="E1217" s="133"/>
      <c r="F1217" s="133"/>
      <c r="G1217" s="133"/>
      <c r="H1217" s="133"/>
      <c r="I1217" s="133"/>
    </row>
    <row r="1218" spans="1:9">
      <c r="A1218" s="133"/>
      <c r="B1218" s="133"/>
      <c r="C1218" s="133"/>
      <c r="D1218" s="133"/>
      <c r="E1218" s="133"/>
      <c r="F1218" s="133"/>
      <c r="G1218" s="133"/>
      <c r="H1218" s="133"/>
      <c r="I1218" s="133"/>
    </row>
    <row r="1219" spans="1:9">
      <c r="A1219" s="133"/>
      <c r="B1219" s="133"/>
      <c r="C1219" s="133"/>
      <c r="D1219" s="133"/>
      <c r="E1219" s="133"/>
      <c r="F1219" s="133"/>
      <c r="G1219" s="133"/>
      <c r="H1219" s="133"/>
      <c r="I1219" s="133"/>
    </row>
    <row r="1220" spans="1:9">
      <c r="A1220" s="133"/>
      <c r="B1220" s="133"/>
      <c r="C1220" s="133"/>
      <c r="D1220" s="133"/>
      <c r="E1220" s="133"/>
      <c r="F1220" s="133"/>
      <c r="G1220" s="133"/>
      <c r="H1220" s="133"/>
      <c r="I1220" s="133"/>
    </row>
    <row r="1221" spans="1:9">
      <c r="A1221" s="133"/>
      <c r="B1221" s="133"/>
      <c r="C1221" s="133"/>
      <c r="D1221" s="133"/>
      <c r="E1221" s="133"/>
      <c r="F1221" s="133"/>
      <c r="G1221" s="133"/>
      <c r="H1221" s="133"/>
      <c r="I1221" s="133"/>
    </row>
    <row r="1222" spans="1:9">
      <c r="A1222" s="133"/>
      <c r="B1222" s="133"/>
      <c r="C1222" s="133"/>
      <c r="D1222" s="133"/>
      <c r="E1222" s="133"/>
      <c r="F1222" s="133"/>
      <c r="G1222" s="133"/>
      <c r="H1222" s="133"/>
      <c r="I1222" s="133"/>
    </row>
    <row r="1223" spans="1:9">
      <c r="A1223" s="133"/>
      <c r="B1223" s="133"/>
      <c r="C1223" s="133"/>
      <c r="D1223" s="133"/>
      <c r="E1223" s="133"/>
      <c r="F1223" s="133"/>
      <c r="G1223" s="133"/>
      <c r="H1223" s="133"/>
      <c r="I1223" s="133"/>
    </row>
    <row r="1224" spans="1:9">
      <c r="A1224" s="133"/>
      <c r="B1224" s="133"/>
      <c r="C1224" s="133"/>
      <c r="D1224" s="133"/>
      <c r="E1224" s="133"/>
      <c r="F1224" s="133"/>
      <c r="G1224" s="133"/>
      <c r="H1224" s="133"/>
      <c r="I1224" s="133"/>
    </row>
    <row r="1225" spans="1:9">
      <c r="A1225" s="133"/>
      <c r="B1225" s="133"/>
      <c r="C1225" s="133"/>
      <c r="D1225" s="133"/>
      <c r="E1225" s="133"/>
      <c r="F1225" s="133"/>
      <c r="G1225" s="133"/>
      <c r="H1225" s="133"/>
      <c r="I1225" s="133"/>
    </row>
    <row r="1226" spans="1:9">
      <c r="A1226" s="133"/>
      <c r="B1226" s="133"/>
      <c r="C1226" s="133"/>
      <c r="D1226" s="133"/>
      <c r="E1226" s="133"/>
      <c r="F1226" s="133"/>
      <c r="G1226" s="133"/>
      <c r="H1226" s="133"/>
      <c r="I1226" s="133"/>
    </row>
    <row r="1227" spans="1:9">
      <c r="A1227" s="133"/>
      <c r="B1227" s="133"/>
      <c r="C1227" s="133"/>
      <c r="D1227" s="133"/>
      <c r="E1227" s="133"/>
      <c r="F1227" s="133"/>
      <c r="G1227" s="133"/>
      <c r="H1227" s="133"/>
      <c r="I1227" s="133"/>
    </row>
    <row r="1228" spans="1:9">
      <c r="A1228" s="133"/>
      <c r="B1228" s="133"/>
      <c r="C1228" s="133"/>
      <c r="D1228" s="133"/>
      <c r="E1228" s="133"/>
      <c r="F1228" s="133"/>
      <c r="G1228" s="133"/>
      <c r="H1228" s="133"/>
      <c r="I1228" s="133"/>
    </row>
    <row r="1229" spans="1:9">
      <c r="A1229" s="133"/>
      <c r="B1229" s="133"/>
      <c r="C1229" s="133"/>
      <c r="D1229" s="133"/>
      <c r="E1229" s="133"/>
      <c r="F1229" s="133"/>
      <c r="G1229" s="133"/>
      <c r="H1229" s="133"/>
      <c r="I1229" s="133"/>
    </row>
    <row r="1230" spans="1:9">
      <c r="A1230" s="133"/>
      <c r="B1230" s="133"/>
      <c r="C1230" s="133"/>
      <c r="D1230" s="133"/>
      <c r="E1230" s="133"/>
      <c r="F1230" s="133"/>
      <c r="G1230" s="133"/>
      <c r="H1230" s="133"/>
      <c r="I1230" s="133"/>
    </row>
    <row r="1231" spans="1:9">
      <c r="A1231" s="133"/>
      <c r="B1231" s="133"/>
      <c r="C1231" s="133"/>
      <c r="D1231" s="133"/>
      <c r="E1231" s="133"/>
      <c r="F1231" s="133"/>
      <c r="G1231" s="133"/>
      <c r="H1231" s="133"/>
      <c r="I1231" s="133"/>
    </row>
    <row r="1232" spans="1:9">
      <c r="A1232" s="133"/>
      <c r="B1232" s="133"/>
      <c r="C1232" s="133"/>
      <c r="D1232" s="133"/>
      <c r="E1232" s="133"/>
      <c r="F1232" s="133"/>
      <c r="G1232" s="133"/>
      <c r="H1232" s="133"/>
      <c r="I1232" s="133"/>
    </row>
    <row r="1233" spans="1:9">
      <c r="A1233" s="133"/>
      <c r="B1233" s="133"/>
      <c r="C1233" s="133"/>
      <c r="D1233" s="133"/>
      <c r="E1233" s="133"/>
      <c r="F1233" s="133"/>
      <c r="G1233" s="133"/>
      <c r="H1233" s="133"/>
      <c r="I1233" s="133"/>
    </row>
    <row r="1234" spans="1:9">
      <c r="A1234" s="133"/>
      <c r="B1234" s="133"/>
      <c r="C1234" s="133"/>
      <c r="D1234" s="133"/>
      <c r="E1234" s="133"/>
      <c r="F1234" s="133"/>
      <c r="G1234" s="133"/>
      <c r="H1234" s="133"/>
      <c r="I1234" s="133"/>
    </row>
    <row r="1235" spans="1:9">
      <c r="A1235" s="133"/>
      <c r="B1235" s="133"/>
      <c r="C1235" s="133"/>
      <c r="D1235" s="133"/>
      <c r="E1235" s="133"/>
      <c r="F1235" s="133"/>
      <c r="G1235" s="133"/>
      <c r="H1235" s="133"/>
      <c r="I1235" s="133"/>
    </row>
    <row r="1236" spans="1:9">
      <c r="A1236" s="133"/>
      <c r="B1236" s="133"/>
      <c r="C1236" s="133"/>
      <c r="D1236" s="133"/>
      <c r="E1236" s="133"/>
      <c r="F1236" s="133"/>
      <c r="G1236" s="133"/>
      <c r="H1236" s="133"/>
      <c r="I1236" s="133"/>
    </row>
    <row r="1237" spans="1:9">
      <c r="A1237" s="133"/>
      <c r="B1237" s="133"/>
      <c r="C1237" s="133"/>
      <c r="D1237" s="133"/>
      <c r="E1237" s="133"/>
      <c r="F1237" s="133"/>
      <c r="G1237" s="133"/>
      <c r="H1237" s="133"/>
      <c r="I1237" s="133"/>
    </row>
    <row r="1238" spans="1:9">
      <c r="A1238" s="133"/>
      <c r="B1238" s="133"/>
      <c r="C1238" s="133"/>
      <c r="D1238" s="133"/>
      <c r="E1238" s="133"/>
      <c r="F1238" s="133"/>
      <c r="G1238" s="133"/>
      <c r="H1238" s="133"/>
      <c r="I1238" s="133"/>
    </row>
    <row r="1239" spans="1:9">
      <c r="A1239" s="133"/>
      <c r="B1239" s="133"/>
      <c r="C1239" s="133"/>
      <c r="D1239" s="133"/>
      <c r="E1239" s="133"/>
      <c r="F1239" s="133"/>
      <c r="G1239" s="133"/>
      <c r="H1239" s="133"/>
      <c r="I1239" s="133"/>
    </row>
    <row r="1240" spans="1:9">
      <c r="A1240" s="133"/>
      <c r="B1240" s="133"/>
      <c r="C1240" s="133"/>
      <c r="D1240" s="133"/>
      <c r="E1240" s="133"/>
      <c r="F1240" s="133"/>
      <c r="G1240" s="133"/>
      <c r="H1240" s="133"/>
      <c r="I1240" s="133"/>
    </row>
    <row r="1241" spans="1:9">
      <c r="A1241" s="133"/>
      <c r="B1241" s="133"/>
      <c r="C1241" s="133"/>
      <c r="D1241" s="133"/>
      <c r="E1241" s="133"/>
      <c r="F1241" s="133"/>
      <c r="G1241" s="133"/>
      <c r="H1241" s="133"/>
      <c r="I1241" s="133"/>
    </row>
    <row r="1242" spans="1:9">
      <c r="A1242" s="133"/>
      <c r="B1242" s="133"/>
      <c r="C1242" s="133"/>
      <c r="D1242" s="133"/>
      <c r="E1242" s="133"/>
      <c r="F1242" s="133"/>
      <c r="G1242" s="133"/>
      <c r="H1242" s="133"/>
      <c r="I1242" s="133"/>
    </row>
    <row r="1243" spans="1:9">
      <c r="A1243" s="133"/>
      <c r="B1243" s="133"/>
      <c r="C1243" s="133"/>
      <c r="D1243" s="133"/>
      <c r="E1243" s="133"/>
      <c r="F1243" s="133"/>
      <c r="G1243" s="133"/>
      <c r="H1243" s="133"/>
      <c r="I1243" s="133"/>
    </row>
    <row r="1244" spans="1:9">
      <c r="A1244" s="133"/>
      <c r="B1244" s="133"/>
      <c r="C1244" s="133"/>
      <c r="D1244" s="133"/>
      <c r="E1244" s="133"/>
      <c r="F1244" s="133"/>
      <c r="G1244" s="133"/>
      <c r="H1244" s="133"/>
      <c r="I1244" s="133"/>
    </row>
    <row r="1245" spans="1:9">
      <c r="A1245" s="133"/>
      <c r="B1245" s="133"/>
      <c r="C1245" s="133"/>
      <c r="D1245" s="133"/>
      <c r="E1245" s="133"/>
      <c r="F1245" s="133"/>
      <c r="G1245" s="133"/>
      <c r="H1245" s="133"/>
      <c r="I1245" s="133"/>
    </row>
    <row r="1246" spans="1:9">
      <c r="A1246" s="133"/>
      <c r="B1246" s="133"/>
      <c r="C1246" s="133"/>
      <c r="D1246" s="133"/>
      <c r="E1246" s="133"/>
      <c r="F1246" s="133"/>
      <c r="G1246" s="133"/>
      <c r="H1246" s="133"/>
      <c r="I1246" s="133"/>
    </row>
    <row r="1247" spans="1:9">
      <c r="A1247" s="133"/>
      <c r="B1247" s="133"/>
      <c r="C1247" s="133"/>
      <c r="D1247" s="133"/>
      <c r="E1247" s="133"/>
      <c r="F1247" s="133"/>
      <c r="G1247" s="133"/>
      <c r="H1247" s="133"/>
      <c r="I1247" s="133"/>
    </row>
    <row r="1248" spans="1:9">
      <c r="A1248" s="133"/>
      <c r="B1248" s="133"/>
      <c r="C1248" s="133"/>
      <c r="D1248" s="133"/>
      <c r="E1248" s="133"/>
      <c r="F1248" s="133"/>
      <c r="G1248" s="133"/>
      <c r="H1248" s="133"/>
      <c r="I1248" s="133"/>
    </row>
    <row r="1249" spans="1:9">
      <c r="A1249" s="133"/>
      <c r="B1249" s="133"/>
      <c r="C1249" s="133"/>
      <c r="D1249" s="133"/>
      <c r="E1249" s="133"/>
      <c r="F1249" s="133"/>
      <c r="G1249" s="133"/>
      <c r="H1249" s="133"/>
      <c r="I1249" s="133"/>
    </row>
    <row r="1250" spans="1:9">
      <c r="A1250" s="133"/>
      <c r="B1250" s="133"/>
      <c r="C1250" s="133"/>
      <c r="D1250" s="133"/>
      <c r="E1250" s="133"/>
      <c r="F1250" s="133"/>
      <c r="G1250" s="133"/>
      <c r="H1250" s="133"/>
      <c r="I1250" s="133"/>
    </row>
    <row r="1251" spans="1:9">
      <c r="A1251" s="133"/>
      <c r="B1251" s="133"/>
      <c r="C1251" s="133"/>
      <c r="D1251" s="133"/>
      <c r="E1251" s="133"/>
      <c r="F1251" s="133"/>
      <c r="G1251" s="133"/>
      <c r="H1251" s="133"/>
      <c r="I1251" s="133"/>
    </row>
    <row r="1252" spans="1:9">
      <c r="A1252" s="133"/>
      <c r="B1252" s="133"/>
      <c r="C1252" s="133"/>
      <c r="D1252" s="133"/>
      <c r="E1252" s="133"/>
      <c r="F1252" s="133"/>
      <c r="G1252" s="133"/>
      <c r="H1252" s="133"/>
      <c r="I1252" s="133"/>
    </row>
    <row r="1253" spans="1:9">
      <c r="A1253" s="133"/>
      <c r="B1253" s="133"/>
      <c r="C1253" s="133"/>
      <c r="D1253" s="133"/>
      <c r="E1253" s="133"/>
      <c r="F1253" s="133"/>
      <c r="G1253" s="133"/>
      <c r="H1253" s="133"/>
      <c r="I1253" s="133"/>
    </row>
    <row r="1254" spans="1:9">
      <c r="A1254" s="133"/>
      <c r="B1254" s="133"/>
      <c r="C1254" s="133"/>
      <c r="D1254" s="133"/>
      <c r="E1254" s="133"/>
      <c r="F1254" s="133"/>
      <c r="G1254" s="133"/>
      <c r="H1254" s="133"/>
      <c r="I1254" s="133"/>
    </row>
    <row r="1255" spans="1:9">
      <c r="A1255" s="133"/>
      <c r="B1255" s="133"/>
      <c r="C1255" s="133"/>
      <c r="D1255" s="133"/>
      <c r="E1255" s="133"/>
      <c r="F1255" s="133"/>
      <c r="G1255" s="133"/>
      <c r="H1255" s="133"/>
      <c r="I1255" s="133"/>
    </row>
    <row r="1256" spans="1:9">
      <c r="A1256" s="133"/>
      <c r="B1256" s="133"/>
      <c r="C1256" s="133"/>
      <c r="D1256" s="133"/>
      <c r="E1256" s="133"/>
      <c r="F1256" s="133"/>
      <c r="G1256" s="133"/>
      <c r="H1256" s="133"/>
      <c r="I1256" s="133"/>
    </row>
    <row r="1257" spans="1:9">
      <c r="A1257" s="133"/>
      <c r="B1257" s="133"/>
      <c r="C1257" s="133"/>
      <c r="D1257" s="133"/>
      <c r="E1257" s="133"/>
      <c r="F1257" s="133"/>
      <c r="G1257" s="133"/>
      <c r="H1257" s="133"/>
      <c r="I1257" s="133"/>
    </row>
    <row r="1258" spans="1:9">
      <c r="A1258" s="133"/>
      <c r="B1258" s="133"/>
      <c r="C1258" s="133"/>
      <c r="D1258" s="133"/>
      <c r="E1258" s="133"/>
      <c r="F1258" s="133"/>
      <c r="G1258" s="133"/>
      <c r="H1258" s="133"/>
      <c r="I1258" s="133"/>
    </row>
    <row r="1259" spans="1:9">
      <c r="A1259" s="133"/>
      <c r="B1259" s="133"/>
      <c r="C1259" s="133"/>
      <c r="D1259" s="133"/>
      <c r="E1259" s="133"/>
      <c r="F1259" s="133"/>
      <c r="G1259" s="133"/>
      <c r="H1259" s="133"/>
      <c r="I1259" s="133"/>
    </row>
    <row r="1260" spans="1:9">
      <c r="A1260" s="133"/>
      <c r="B1260" s="133"/>
      <c r="C1260" s="133"/>
      <c r="D1260" s="133"/>
      <c r="E1260" s="133"/>
      <c r="F1260" s="133"/>
      <c r="G1260" s="133"/>
      <c r="H1260" s="133"/>
      <c r="I1260" s="133"/>
    </row>
    <row r="1261" spans="1:9">
      <c r="A1261" s="133"/>
      <c r="B1261" s="133"/>
      <c r="C1261" s="133"/>
      <c r="D1261" s="133"/>
      <c r="E1261" s="133"/>
      <c r="F1261" s="133"/>
      <c r="G1261" s="133"/>
      <c r="H1261" s="133"/>
      <c r="I1261" s="133"/>
    </row>
    <row r="1262" spans="1:9">
      <c r="A1262" s="133"/>
      <c r="B1262" s="133"/>
      <c r="C1262" s="133"/>
      <c r="D1262" s="133"/>
      <c r="E1262" s="133"/>
      <c r="F1262" s="133"/>
      <c r="G1262" s="133"/>
      <c r="H1262" s="133"/>
      <c r="I1262" s="133"/>
    </row>
    <row r="1263" spans="1:9">
      <c r="A1263" s="133"/>
      <c r="B1263" s="133"/>
      <c r="C1263" s="133"/>
      <c r="D1263" s="133"/>
      <c r="E1263" s="133"/>
      <c r="F1263" s="133"/>
      <c r="G1263" s="133"/>
      <c r="H1263" s="133"/>
      <c r="I1263" s="133"/>
    </row>
    <row r="1264" spans="1:9">
      <c r="A1264" s="133"/>
      <c r="B1264" s="133"/>
      <c r="C1264" s="133"/>
      <c r="D1264" s="133"/>
      <c r="E1264" s="133"/>
      <c r="F1264" s="133"/>
      <c r="G1264" s="133"/>
      <c r="H1264" s="133"/>
      <c r="I1264" s="133"/>
    </row>
    <row r="1265" spans="1:9">
      <c r="A1265" s="133"/>
      <c r="B1265" s="133"/>
      <c r="C1265" s="133"/>
      <c r="D1265" s="133"/>
      <c r="E1265" s="133"/>
      <c r="F1265" s="133"/>
      <c r="G1265" s="133"/>
      <c r="H1265" s="133"/>
      <c r="I1265" s="133"/>
    </row>
    <row r="1266" spans="1:9">
      <c r="A1266" s="133"/>
      <c r="B1266" s="133"/>
      <c r="C1266" s="133"/>
      <c r="D1266" s="133"/>
      <c r="E1266" s="133"/>
      <c r="F1266" s="133"/>
      <c r="G1266" s="133"/>
      <c r="H1266" s="133"/>
      <c r="I1266" s="133"/>
    </row>
    <row r="1267" spans="1:9">
      <c r="A1267" s="133"/>
      <c r="B1267" s="133"/>
      <c r="C1267" s="133"/>
      <c r="D1267" s="133"/>
      <c r="E1267" s="133"/>
      <c r="F1267" s="133"/>
      <c r="G1267" s="133"/>
      <c r="H1267" s="133"/>
      <c r="I1267" s="133"/>
    </row>
    <row r="1268" spans="1:9">
      <c r="A1268" s="133"/>
      <c r="B1268" s="133"/>
      <c r="C1268" s="133"/>
      <c r="D1268" s="133"/>
      <c r="E1268" s="133"/>
      <c r="F1268" s="133"/>
      <c r="G1268" s="133"/>
      <c r="H1268" s="133"/>
      <c r="I1268" s="133"/>
    </row>
    <row r="1269" spans="1:9">
      <c r="A1269" s="133"/>
      <c r="B1269" s="133"/>
      <c r="C1269" s="133"/>
      <c r="D1269" s="133"/>
      <c r="E1269" s="133"/>
      <c r="F1269" s="133"/>
      <c r="G1269" s="133"/>
      <c r="H1269" s="133"/>
      <c r="I1269" s="133"/>
    </row>
    <row r="1270" spans="1:9">
      <c r="A1270" s="133"/>
      <c r="B1270" s="133"/>
      <c r="C1270" s="133"/>
      <c r="D1270" s="133"/>
      <c r="E1270" s="133"/>
      <c r="F1270" s="133"/>
      <c r="G1270" s="133"/>
      <c r="H1270" s="133"/>
      <c r="I1270" s="133"/>
    </row>
    <row r="1271" spans="1:9">
      <c r="A1271" s="133"/>
      <c r="B1271" s="133"/>
      <c r="C1271" s="133"/>
      <c r="D1271" s="133"/>
      <c r="E1271" s="133"/>
      <c r="F1271" s="133"/>
      <c r="G1271" s="133"/>
      <c r="H1271" s="133"/>
      <c r="I1271" s="133"/>
    </row>
    <row r="1272" spans="1:9">
      <c r="A1272" s="133"/>
      <c r="B1272" s="133"/>
      <c r="C1272" s="133"/>
      <c r="D1272" s="133"/>
      <c r="E1272" s="133"/>
      <c r="F1272" s="133"/>
      <c r="G1272" s="133"/>
      <c r="H1272" s="133"/>
      <c r="I1272" s="133"/>
    </row>
    <row r="1273" spans="1:9">
      <c r="A1273" s="133"/>
      <c r="B1273" s="133"/>
      <c r="C1273" s="133"/>
      <c r="D1273" s="133"/>
      <c r="E1273" s="133"/>
      <c r="F1273" s="133"/>
      <c r="G1273" s="133"/>
      <c r="H1273" s="133"/>
      <c r="I1273" s="133"/>
    </row>
    <row r="1274" spans="1:9">
      <c r="A1274" s="133"/>
      <c r="B1274" s="133"/>
      <c r="C1274" s="133"/>
      <c r="D1274" s="133"/>
      <c r="E1274" s="133"/>
      <c r="F1274" s="133"/>
      <c r="G1274" s="133"/>
      <c r="H1274" s="133"/>
      <c r="I1274" s="133"/>
    </row>
    <row r="1275" spans="1:9">
      <c r="A1275" s="133"/>
      <c r="B1275" s="133"/>
      <c r="C1275" s="133"/>
      <c r="D1275" s="133"/>
      <c r="E1275" s="133"/>
      <c r="F1275" s="133"/>
      <c r="G1275" s="133"/>
      <c r="H1275" s="133"/>
      <c r="I1275" s="133"/>
    </row>
    <row r="1276" spans="1:9">
      <c r="A1276" s="133"/>
      <c r="B1276" s="133"/>
      <c r="C1276" s="133"/>
      <c r="D1276" s="133"/>
      <c r="E1276" s="133"/>
      <c r="F1276" s="133"/>
      <c r="G1276" s="133"/>
      <c r="H1276" s="133"/>
      <c r="I1276" s="133"/>
    </row>
    <row r="1277" spans="1:9">
      <c r="A1277" s="133"/>
      <c r="B1277" s="133"/>
      <c r="C1277" s="133"/>
      <c r="D1277" s="133"/>
      <c r="E1277" s="133"/>
      <c r="F1277" s="133"/>
      <c r="G1277" s="133"/>
      <c r="H1277" s="133"/>
      <c r="I1277" s="133"/>
    </row>
    <row r="1278" spans="1:9">
      <c r="A1278" s="133"/>
      <c r="B1278" s="133"/>
      <c r="C1278" s="133"/>
      <c r="D1278" s="133"/>
      <c r="E1278" s="133"/>
      <c r="F1278" s="133"/>
      <c r="G1278" s="133"/>
      <c r="H1278" s="133"/>
      <c r="I1278" s="133"/>
    </row>
    <row r="1279" spans="1:9">
      <c r="A1279" s="133"/>
      <c r="B1279" s="133"/>
      <c r="C1279" s="133"/>
      <c r="D1279" s="133"/>
      <c r="E1279" s="133"/>
      <c r="F1279" s="133"/>
      <c r="G1279" s="133"/>
      <c r="H1279" s="133"/>
      <c r="I1279" s="133"/>
    </row>
    <row r="1280" spans="1:9">
      <c r="A1280" s="133"/>
      <c r="B1280" s="133"/>
      <c r="C1280" s="133"/>
      <c r="D1280" s="133"/>
      <c r="E1280" s="133"/>
      <c r="F1280" s="133"/>
      <c r="G1280" s="133"/>
      <c r="H1280" s="133"/>
      <c r="I1280" s="133"/>
    </row>
    <row r="1281" spans="1:9">
      <c r="A1281" s="133"/>
      <c r="B1281" s="133"/>
      <c r="C1281" s="133"/>
      <c r="D1281" s="133"/>
      <c r="E1281" s="133"/>
      <c r="F1281" s="133"/>
      <c r="G1281" s="133"/>
      <c r="H1281" s="133"/>
      <c r="I1281" s="133"/>
    </row>
    <row r="1282" spans="1:9">
      <c r="A1282" s="133"/>
      <c r="B1282" s="133"/>
      <c r="C1282" s="133"/>
      <c r="D1282" s="133"/>
      <c r="E1282" s="133"/>
      <c r="F1282" s="133"/>
      <c r="G1282" s="133"/>
      <c r="H1282" s="133"/>
      <c r="I1282" s="133"/>
    </row>
    <row r="1283" spans="1:9">
      <c r="A1283" s="133"/>
      <c r="B1283" s="133"/>
      <c r="C1283" s="133"/>
      <c r="D1283" s="133"/>
      <c r="E1283" s="133"/>
      <c r="F1283" s="133"/>
      <c r="G1283" s="133"/>
      <c r="H1283" s="133"/>
      <c r="I1283" s="133"/>
    </row>
    <row r="1284" spans="1:9">
      <c r="A1284" s="133"/>
      <c r="B1284" s="133"/>
      <c r="C1284" s="133"/>
      <c r="D1284" s="133"/>
      <c r="E1284" s="133"/>
      <c r="F1284" s="133"/>
      <c r="G1284" s="133"/>
      <c r="H1284" s="133"/>
      <c r="I1284" s="133"/>
    </row>
    <row r="1285" spans="1:9">
      <c r="A1285" s="133"/>
      <c r="B1285" s="133"/>
      <c r="C1285" s="133"/>
      <c r="D1285" s="133"/>
      <c r="E1285" s="133"/>
      <c r="F1285" s="133"/>
      <c r="G1285" s="133"/>
      <c r="H1285" s="133"/>
      <c r="I1285" s="133"/>
    </row>
    <row r="1286" spans="1:9">
      <c r="A1286" s="133"/>
      <c r="B1286" s="133"/>
      <c r="C1286" s="133"/>
      <c r="D1286" s="133"/>
      <c r="E1286" s="133"/>
      <c r="F1286" s="133"/>
      <c r="G1286" s="133"/>
      <c r="H1286" s="133"/>
      <c r="I1286" s="133"/>
    </row>
    <row r="1287" spans="1:9">
      <c r="A1287" s="133"/>
      <c r="B1287" s="133"/>
      <c r="C1287" s="133"/>
      <c r="D1287" s="133"/>
      <c r="E1287" s="133"/>
      <c r="F1287" s="133"/>
      <c r="G1287" s="133"/>
      <c r="H1287" s="133"/>
      <c r="I1287" s="133"/>
    </row>
    <row r="1288" spans="1:9">
      <c r="A1288" s="133"/>
      <c r="B1288" s="133"/>
      <c r="C1288" s="133"/>
      <c r="D1288" s="133"/>
      <c r="E1288" s="133"/>
      <c r="F1288" s="133"/>
      <c r="G1288" s="133"/>
      <c r="H1288" s="133"/>
      <c r="I1288" s="133"/>
    </row>
    <row r="1289" spans="1:9">
      <c r="A1289" s="133"/>
      <c r="B1289" s="133"/>
      <c r="C1289" s="133"/>
      <c r="D1289" s="133"/>
      <c r="E1289" s="133"/>
      <c r="F1289" s="133"/>
      <c r="G1289" s="133"/>
      <c r="H1289" s="133"/>
      <c r="I1289" s="133"/>
    </row>
    <row r="1290" spans="1:9">
      <c r="A1290" s="133"/>
      <c r="B1290" s="133"/>
      <c r="C1290" s="133"/>
      <c r="D1290" s="133"/>
      <c r="E1290" s="133"/>
      <c r="F1290" s="133"/>
      <c r="G1290" s="133"/>
      <c r="H1290" s="133"/>
      <c r="I1290" s="133"/>
    </row>
    <row r="1291" spans="1:9">
      <c r="A1291" s="133"/>
      <c r="B1291" s="133"/>
      <c r="C1291" s="133"/>
      <c r="D1291" s="133"/>
      <c r="E1291" s="133"/>
      <c r="F1291" s="133"/>
      <c r="G1291" s="133"/>
      <c r="H1291" s="133"/>
      <c r="I1291" s="133"/>
    </row>
    <row r="1292" spans="1:9">
      <c r="A1292" s="133"/>
      <c r="B1292" s="133"/>
      <c r="C1292" s="133"/>
      <c r="D1292" s="133"/>
      <c r="E1292" s="133"/>
      <c r="F1292" s="133"/>
      <c r="G1292" s="133"/>
      <c r="H1292" s="133"/>
      <c r="I1292" s="133"/>
    </row>
    <row r="1293" spans="1:9">
      <c r="A1293" s="133"/>
      <c r="B1293" s="133"/>
      <c r="C1293" s="133"/>
      <c r="D1293" s="133"/>
      <c r="E1293" s="133"/>
      <c r="F1293" s="133"/>
      <c r="G1293" s="133"/>
      <c r="H1293" s="133"/>
      <c r="I1293" s="133"/>
    </row>
    <row r="1294" spans="1:9">
      <c r="A1294" s="133"/>
      <c r="B1294" s="133"/>
      <c r="C1294" s="133"/>
      <c r="D1294" s="133"/>
      <c r="E1294" s="133"/>
      <c r="F1294" s="133"/>
      <c r="G1294" s="133"/>
      <c r="H1294" s="133"/>
      <c r="I1294" s="133"/>
    </row>
    <row r="1295" spans="1:9">
      <c r="A1295" s="133"/>
      <c r="B1295" s="133"/>
      <c r="C1295" s="133"/>
      <c r="D1295" s="133"/>
      <c r="E1295" s="133"/>
      <c r="F1295" s="133"/>
      <c r="G1295" s="133"/>
      <c r="H1295" s="133"/>
      <c r="I1295" s="133"/>
    </row>
    <row r="1296" spans="1:9">
      <c r="A1296" s="133"/>
      <c r="B1296" s="133"/>
      <c r="C1296" s="133"/>
      <c r="D1296" s="133"/>
      <c r="E1296" s="133"/>
      <c r="F1296" s="133"/>
      <c r="G1296" s="133"/>
      <c r="H1296" s="133"/>
      <c r="I1296" s="133"/>
    </row>
    <row r="1297" spans="1:9">
      <c r="A1297" s="133"/>
      <c r="B1297" s="133"/>
      <c r="C1297" s="133"/>
      <c r="D1297" s="133"/>
      <c r="E1297" s="133"/>
      <c r="F1297" s="133"/>
      <c r="G1297" s="133"/>
      <c r="H1297" s="133"/>
      <c r="I1297" s="133"/>
    </row>
    <row r="1298" spans="1:9">
      <c r="A1298" s="133"/>
      <c r="B1298" s="133"/>
      <c r="C1298" s="133"/>
      <c r="D1298" s="133"/>
      <c r="E1298" s="133"/>
      <c r="F1298" s="133"/>
      <c r="G1298" s="133"/>
      <c r="H1298" s="133"/>
      <c r="I1298" s="133"/>
    </row>
    <row r="1299" spans="1:9">
      <c r="A1299" s="133"/>
      <c r="B1299" s="133"/>
      <c r="C1299" s="133"/>
      <c r="D1299" s="133"/>
      <c r="E1299" s="133"/>
      <c r="F1299" s="133"/>
      <c r="G1299" s="133"/>
      <c r="H1299" s="133"/>
      <c r="I1299" s="133"/>
    </row>
    <row r="1300" spans="1:9">
      <c r="A1300" s="133"/>
      <c r="B1300" s="133"/>
      <c r="C1300" s="133"/>
      <c r="D1300" s="133"/>
      <c r="E1300" s="133"/>
      <c r="F1300" s="133"/>
      <c r="G1300" s="133"/>
      <c r="H1300" s="133"/>
      <c r="I1300" s="133"/>
    </row>
    <row r="1301" spans="1:9">
      <c r="A1301" s="133"/>
      <c r="B1301" s="133"/>
      <c r="C1301" s="133"/>
      <c r="D1301" s="133"/>
      <c r="E1301" s="133"/>
      <c r="F1301" s="133"/>
      <c r="G1301" s="133"/>
      <c r="H1301" s="133"/>
      <c r="I1301" s="133"/>
    </row>
    <row r="1302" spans="1:9">
      <c r="A1302" s="133"/>
      <c r="B1302" s="133"/>
      <c r="C1302" s="133"/>
      <c r="D1302" s="133"/>
      <c r="E1302" s="133"/>
      <c r="F1302" s="133"/>
      <c r="G1302" s="133"/>
      <c r="H1302" s="133"/>
      <c r="I1302" s="133"/>
    </row>
    <row r="1303" spans="1:9">
      <c r="A1303" s="133"/>
      <c r="B1303" s="133"/>
      <c r="C1303" s="133"/>
      <c r="D1303" s="133"/>
      <c r="E1303" s="133"/>
      <c r="F1303" s="133"/>
      <c r="G1303" s="133"/>
      <c r="H1303" s="133"/>
      <c r="I1303" s="133"/>
    </row>
    <row r="1304" spans="1:9">
      <c r="A1304" s="133"/>
      <c r="B1304" s="133"/>
      <c r="C1304" s="133"/>
      <c r="D1304" s="133"/>
      <c r="E1304" s="133"/>
      <c r="F1304" s="133"/>
      <c r="G1304" s="133"/>
      <c r="H1304" s="133"/>
      <c r="I1304" s="133"/>
    </row>
    <row r="1305" spans="1:9">
      <c r="A1305" s="133"/>
      <c r="B1305" s="133"/>
      <c r="C1305" s="133"/>
      <c r="D1305" s="133"/>
      <c r="E1305" s="133"/>
      <c r="F1305" s="133"/>
      <c r="G1305" s="133"/>
      <c r="H1305" s="133"/>
      <c r="I1305" s="133"/>
    </row>
    <row r="1306" spans="1:9">
      <c r="A1306" s="133"/>
      <c r="B1306" s="133"/>
      <c r="C1306" s="133"/>
      <c r="D1306" s="133"/>
      <c r="E1306" s="133"/>
      <c r="F1306" s="133"/>
      <c r="G1306" s="133"/>
      <c r="H1306" s="133"/>
      <c r="I1306" s="133"/>
    </row>
    <row r="1307" spans="1:9">
      <c r="A1307" s="133"/>
      <c r="B1307" s="133"/>
      <c r="C1307" s="133"/>
      <c r="D1307" s="133"/>
      <c r="E1307" s="133"/>
      <c r="F1307" s="133"/>
      <c r="G1307" s="133"/>
      <c r="H1307" s="133"/>
      <c r="I1307" s="133"/>
    </row>
    <row r="1308" spans="1:9">
      <c r="A1308" s="133"/>
      <c r="B1308" s="133"/>
      <c r="C1308" s="133"/>
      <c r="D1308" s="133"/>
      <c r="E1308" s="133"/>
      <c r="F1308" s="133"/>
      <c r="G1308" s="133"/>
      <c r="H1308" s="133"/>
      <c r="I1308" s="133"/>
    </row>
    <row r="1309" spans="1:9">
      <c r="A1309" s="133"/>
      <c r="B1309" s="133"/>
      <c r="C1309" s="133"/>
      <c r="D1309" s="133"/>
      <c r="E1309" s="133"/>
      <c r="F1309" s="133"/>
      <c r="G1309" s="133"/>
      <c r="H1309" s="133"/>
      <c r="I1309" s="133"/>
    </row>
    <row r="1310" spans="1:9">
      <c r="A1310" s="133"/>
      <c r="B1310" s="133"/>
      <c r="C1310" s="133"/>
      <c r="D1310" s="133"/>
      <c r="E1310" s="133"/>
      <c r="F1310" s="133"/>
      <c r="G1310" s="133"/>
      <c r="H1310" s="133"/>
      <c r="I1310" s="133"/>
    </row>
    <row r="1311" spans="1:9">
      <c r="A1311" s="133"/>
      <c r="B1311" s="133"/>
      <c r="C1311" s="133"/>
      <c r="D1311" s="133"/>
      <c r="E1311" s="133"/>
      <c r="F1311" s="133"/>
      <c r="G1311" s="133"/>
      <c r="H1311" s="133"/>
      <c r="I1311" s="133"/>
    </row>
    <row r="1312" spans="1:9">
      <c r="A1312" s="133"/>
      <c r="B1312" s="133"/>
      <c r="C1312" s="133"/>
      <c r="D1312" s="133"/>
      <c r="E1312" s="133"/>
      <c r="F1312" s="133"/>
      <c r="G1312" s="133"/>
      <c r="H1312" s="133"/>
      <c r="I1312" s="133"/>
    </row>
    <row r="1313" spans="1:9">
      <c r="A1313" s="133"/>
      <c r="B1313" s="133"/>
      <c r="C1313" s="133"/>
      <c r="D1313" s="133"/>
      <c r="E1313" s="133"/>
      <c r="F1313" s="133"/>
      <c r="G1313" s="133"/>
      <c r="H1313" s="133"/>
      <c r="I1313" s="133"/>
    </row>
    <row r="1314" spans="1:9">
      <c r="A1314" s="133"/>
      <c r="B1314" s="133"/>
      <c r="C1314" s="133"/>
      <c r="D1314" s="133"/>
      <c r="E1314" s="133"/>
      <c r="F1314" s="133"/>
      <c r="G1314" s="133"/>
      <c r="H1314" s="133"/>
      <c r="I1314" s="133"/>
    </row>
    <row r="1315" spans="1:9">
      <c r="A1315" s="133"/>
      <c r="B1315" s="133"/>
      <c r="C1315" s="133"/>
      <c r="D1315" s="133"/>
      <c r="E1315" s="133"/>
      <c r="F1315" s="133"/>
      <c r="G1315" s="133"/>
      <c r="H1315" s="133"/>
      <c r="I1315" s="133"/>
    </row>
    <row r="1316" spans="1:9">
      <c r="A1316" s="133"/>
      <c r="B1316" s="133"/>
      <c r="C1316" s="133"/>
      <c r="D1316" s="133"/>
      <c r="E1316" s="133"/>
      <c r="F1316" s="133"/>
      <c r="G1316" s="133"/>
      <c r="H1316" s="133"/>
      <c r="I1316" s="133"/>
    </row>
    <row r="1317" spans="1:9">
      <c r="A1317" s="133"/>
      <c r="B1317" s="133"/>
      <c r="C1317" s="133"/>
      <c r="D1317" s="133"/>
      <c r="E1317" s="133"/>
      <c r="F1317" s="133"/>
      <c r="G1317" s="133"/>
      <c r="H1317" s="133"/>
      <c r="I1317" s="133"/>
    </row>
    <row r="1318" spans="1:9">
      <c r="A1318" s="133"/>
      <c r="B1318" s="133"/>
      <c r="C1318" s="133"/>
      <c r="D1318" s="133"/>
      <c r="E1318" s="133"/>
      <c r="F1318" s="133"/>
      <c r="G1318" s="133"/>
      <c r="H1318" s="133"/>
      <c r="I1318" s="133"/>
    </row>
    <row r="1319" spans="1:9">
      <c r="A1319" s="133"/>
      <c r="B1319" s="133"/>
      <c r="C1319" s="133"/>
      <c r="D1319" s="133"/>
      <c r="E1319" s="133"/>
      <c r="F1319" s="133"/>
      <c r="G1319" s="133"/>
      <c r="H1319" s="133"/>
      <c r="I1319" s="133"/>
    </row>
    <row r="1320" spans="1:9">
      <c r="A1320" s="133"/>
      <c r="B1320" s="133"/>
      <c r="C1320" s="133"/>
      <c r="D1320" s="133"/>
      <c r="E1320" s="133"/>
      <c r="F1320" s="133"/>
      <c r="G1320" s="133"/>
      <c r="H1320" s="133"/>
      <c r="I1320" s="133"/>
    </row>
    <row r="1321" spans="1:9">
      <c r="A1321" s="133"/>
      <c r="B1321" s="133"/>
      <c r="C1321" s="133"/>
      <c r="D1321" s="133"/>
      <c r="E1321" s="133"/>
      <c r="F1321" s="133"/>
      <c r="G1321" s="133"/>
      <c r="H1321" s="133"/>
      <c r="I1321" s="133"/>
    </row>
    <row r="1322" spans="1:9">
      <c r="A1322" s="133"/>
      <c r="B1322" s="133"/>
      <c r="C1322" s="133"/>
      <c r="D1322" s="133"/>
      <c r="E1322" s="133"/>
      <c r="F1322" s="133"/>
      <c r="G1322" s="133"/>
      <c r="H1322" s="133"/>
      <c r="I1322" s="133"/>
    </row>
    <row r="1323" spans="1:9">
      <c r="A1323" s="133"/>
      <c r="B1323" s="133"/>
      <c r="C1323" s="133"/>
      <c r="D1323" s="133"/>
      <c r="E1323" s="133"/>
      <c r="F1323" s="133"/>
      <c r="G1323" s="133"/>
      <c r="H1323" s="133"/>
      <c r="I1323" s="133"/>
    </row>
    <row r="1324" spans="1:9">
      <c r="A1324" s="133"/>
      <c r="B1324" s="133"/>
      <c r="C1324" s="133"/>
      <c r="D1324" s="133"/>
      <c r="E1324" s="133"/>
      <c r="F1324" s="133"/>
      <c r="G1324" s="133"/>
      <c r="H1324" s="133"/>
      <c r="I1324" s="133"/>
    </row>
    <row r="1325" spans="1:9">
      <c r="A1325" s="133"/>
      <c r="B1325" s="133"/>
      <c r="C1325" s="133"/>
      <c r="D1325" s="133"/>
      <c r="E1325" s="133"/>
      <c r="F1325" s="133"/>
      <c r="G1325" s="133"/>
      <c r="H1325" s="133"/>
      <c r="I1325" s="133"/>
    </row>
    <row r="1326" spans="1:9">
      <c r="A1326" s="133"/>
      <c r="B1326" s="133"/>
      <c r="C1326" s="133"/>
      <c r="D1326" s="133"/>
      <c r="E1326" s="133"/>
      <c r="F1326" s="133"/>
      <c r="G1326" s="133"/>
      <c r="H1326" s="133"/>
      <c r="I1326" s="133"/>
    </row>
    <row r="1327" spans="1:9">
      <c r="A1327" s="133"/>
      <c r="B1327" s="133"/>
      <c r="C1327" s="133"/>
      <c r="D1327" s="133"/>
      <c r="E1327" s="133"/>
      <c r="F1327" s="133"/>
      <c r="G1327" s="133"/>
      <c r="H1327" s="133"/>
      <c r="I1327" s="133"/>
    </row>
    <row r="1328" spans="1:9">
      <c r="A1328" s="133"/>
      <c r="B1328" s="133"/>
      <c r="C1328" s="133"/>
      <c r="D1328" s="133"/>
      <c r="E1328" s="133"/>
      <c r="F1328" s="133"/>
      <c r="G1328" s="133"/>
      <c r="H1328" s="133"/>
      <c r="I1328" s="133"/>
    </row>
    <row r="1329" spans="1:9">
      <c r="A1329" s="133"/>
      <c r="B1329" s="133"/>
      <c r="C1329" s="133"/>
      <c r="D1329" s="133"/>
      <c r="E1329" s="133"/>
      <c r="F1329" s="133"/>
      <c r="G1329" s="133"/>
      <c r="H1329" s="133"/>
      <c r="I1329" s="133"/>
    </row>
    <row r="1330" spans="1:9">
      <c r="A1330" s="133"/>
      <c r="B1330" s="133"/>
      <c r="C1330" s="133"/>
      <c r="D1330" s="133"/>
      <c r="E1330" s="133"/>
      <c r="F1330" s="133"/>
      <c r="G1330" s="133"/>
      <c r="H1330" s="133"/>
      <c r="I1330" s="133"/>
    </row>
    <row r="1331" spans="1:9">
      <c r="A1331" s="133"/>
      <c r="B1331" s="133"/>
      <c r="C1331" s="133"/>
      <c r="D1331" s="133"/>
      <c r="E1331" s="133"/>
      <c r="F1331" s="133"/>
      <c r="G1331" s="133"/>
      <c r="H1331" s="133"/>
      <c r="I1331" s="133"/>
    </row>
    <row r="1332" spans="1:9">
      <c r="A1332" s="133"/>
      <c r="B1332" s="133"/>
      <c r="C1332" s="133"/>
      <c r="D1332" s="133"/>
      <c r="E1332" s="133"/>
      <c r="F1332" s="133"/>
      <c r="G1332" s="133"/>
      <c r="H1332" s="133"/>
      <c r="I1332" s="133"/>
    </row>
    <row r="1333" spans="1:9">
      <c r="A1333" s="133"/>
      <c r="B1333" s="133"/>
      <c r="C1333" s="133"/>
      <c r="D1333" s="133"/>
      <c r="E1333" s="133"/>
      <c r="F1333" s="133"/>
      <c r="G1333" s="133"/>
      <c r="H1333" s="133"/>
      <c r="I1333" s="133"/>
    </row>
    <row r="1334" spans="1:9">
      <c r="A1334" s="133"/>
      <c r="B1334" s="133"/>
      <c r="C1334" s="133"/>
      <c r="D1334" s="133"/>
      <c r="E1334" s="133"/>
      <c r="F1334" s="133"/>
      <c r="G1334" s="133"/>
      <c r="H1334" s="133"/>
      <c r="I1334" s="133"/>
    </row>
    <row r="1335" spans="1:9">
      <c r="A1335" s="133"/>
      <c r="B1335" s="133"/>
      <c r="C1335" s="133"/>
      <c r="D1335" s="133"/>
      <c r="E1335" s="133"/>
      <c r="F1335" s="133"/>
      <c r="G1335" s="133"/>
      <c r="H1335" s="133"/>
      <c r="I1335" s="133"/>
    </row>
    <row r="1336" spans="1:9">
      <c r="A1336" s="133"/>
      <c r="B1336" s="133"/>
      <c r="C1336" s="133"/>
      <c r="D1336" s="133"/>
      <c r="E1336" s="133"/>
      <c r="F1336" s="133"/>
      <c r="G1336" s="133"/>
      <c r="H1336" s="133"/>
      <c r="I1336" s="133"/>
    </row>
    <row r="1337" spans="1:9">
      <c r="A1337" s="133"/>
      <c r="B1337" s="133"/>
      <c r="C1337" s="133"/>
      <c r="D1337" s="133"/>
      <c r="E1337" s="133"/>
      <c r="F1337" s="133"/>
      <c r="G1337" s="133"/>
      <c r="H1337" s="133"/>
      <c r="I1337" s="133"/>
    </row>
    <row r="1338" spans="1:9">
      <c r="A1338" s="133"/>
      <c r="B1338" s="133"/>
      <c r="C1338" s="133"/>
      <c r="D1338" s="133"/>
      <c r="E1338" s="133"/>
      <c r="F1338" s="133"/>
      <c r="G1338" s="133"/>
      <c r="H1338" s="133"/>
      <c r="I1338" s="133"/>
    </row>
    <row r="1339" spans="1:9">
      <c r="A1339" s="133"/>
      <c r="B1339" s="133"/>
      <c r="C1339" s="133"/>
      <c r="D1339" s="133"/>
      <c r="E1339" s="133"/>
      <c r="F1339" s="133"/>
      <c r="G1339" s="133"/>
      <c r="H1339" s="133"/>
      <c r="I1339" s="133"/>
    </row>
    <row r="1340" spans="1:9">
      <c r="A1340" s="133"/>
      <c r="B1340" s="133"/>
      <c r="C1340" s="133"/>
      <c r="D1340" s="133"/>
      <c r="E1340" s="133"/>
      <c r="F1340" s="133"/>
      <c r="G1340" s="133"/>
      <c r="H1340" s="133"/>
      <c r="I1340" s="133"/>
    </row>
    <row r="1341" spans="1:9">
      <c r="A1341" s="133"/>
      <c r="B1341" s="133"/>
      <c r="C1341" s="133"/>
      <c r="D1341" s="133"/>
      <c r="E1341" s="133"/>
      <c r="F1341" s="133"/>
      <c r="G1341" s="133"/>
      <c r="H1341" s="133"/>
      <c r="I1341" s="133"/>
    </row>
    <row r="1342" spans="1:9">
      <c r="A1342" s="133"/>
      <c r="B1342" s="133"/>
      <c r="C1342" s="133"/>
      <c r="D1342" s="133"/>
      <c r="E1342" s="133"/>
      <c r="F1342" s="133"/>
      <c r="G1342" s="133"/>
      <c r="H1342" s="133"/>
      <c r="I1342" s="133"/>
    </row>
    <row r="1343" spans="1:9">
      <c r="A1343" s="133"/>
      <c r="B1343" s="133"/>
      <c r="C1343" s="133"/>
      <c r="D1343" s="133"/>
      <c r="E1343" s="133"/>
      <c r="F1343" s="133"/>
      <c r="G1343" s="133"/>
      <c r="H1343" s="133"/>
      <c r="I1343" s="133"/>
    </row>
    <row r="1344" spans="1:9">
      <c r="A1344" s="133"/>
      <c r="B1344" s="133"/>
      <c r="C1344" s="133"/>
      <c r="D1344" s="133"/>
      <c r="E1344" s="133"/>
      <c r="F1344" s="133"/>
      <c r="G1344" s="133"/>
      <c r="H1344" s="133"/>
      <c r="I1344" s="133"/>
    </row>
    <row r="1345" spans="1:9">
      <c r="A1345" s="133"/>
      <c r="B1345" s="133"/>
      <c r="C1345" s="133"/>
      <c r="D1345" s="133"/>
      <c r="E1345" s="133"/>
      <c r="F1345" s="133"/>
      <c r="G1345" s="133"/>
      <c r="H1345" s="133"/>
      <c r="I1345" s="133"/>
    </row>
    <row r="1346" spans="1:9">
      <c r="A1346" s="133"/>
      <c r="B1346" s="133"/>
      <c r="C1346" s="133"/>
      <c r="D1346" s="133"/>
      <c r="E1346" s="133"/>
      <c r="F1346" s="133"/>
      <c r="G1346" s="133"/>
      <c r="H1346" s="133"/>
      <c r="I1346" s="133"/>
    </row>
    <row r="1347" spans="1:9">
      <c r="A1347" s="133"/>
      <c r="B1347" s="133"/>
      <c r="C1347" s="133"/>
      <c r="D1347" s="133"/>
      <c r="E1347" s="133"/>
      <c r="F1347" s="133"/>
      <c r="G1347" s="133"/>
      <c r="H1347" s="133"/>
      <c r="I1347" s="133"/>
    </row>
    <row r="1348" spans="1:9">
      <c r="A1348" s="133"/>
      <c r="B1348" s="133"/>
      <c r="C1348" s="133"/>
      <c r="D1348" s="133"/>
      <c r="E1348" s="133"/>
      <c r="F1348" s="133"/>
      <c r="G1348" s="133"/>
      <c r="H1348" s="133"/>
      <c r="I1348" s="133"/>
    </row>
    <row r="1349" spans="1:9">
      <c r="A1349" s="133"/>
      <c r="B1349" s="133"/>
      <c r="C1349" s="133"/>
      <c r="D1349" s="133"/>
      <c r="E1349" s="133"/>
      <c r="F1349" s="133"/>
      <c r="G1349" s="133"/>
      <c r="H1349" s="133"/>
      <c r="I1349" s="133"/>
    </row>
    <row r="1350" spans="1:9">
      <c r="A1350" s="133"/>
      <c r="B1350" s="133"/>
      <c r="C1350" s="133"/>
      <c r="D1350" s="133"/>
      <c r="E1350" s="133"/>
      <c r="F1350" s="133"/>
      <c r="G1350" s="133"/>
      <c r="H1350" s="133"/>
      <c r="I1350" s="133"/>
    </row>
    <row r="1351" spans="1:9">
      <c r="A1351" s="133"/>
      <c r="B1351" s="133"/>
      <c r="C1351" s="133"/>
      <c r="D1351" s="133"/>
      <c r="E1351" s="133"/>
      <c r="F1351" s="133"/>
      <c r="G1351" s="133"/>
      <c r="H1351" s="133"/>
      <c r="I1351" s="133"/>
    </row>
    <row r="1352" spans="1:9">
      <c r="A1352" s="133"/>
      <c r="B1352" s="133"/>
      <c r="C1352" s="133"/>
      <c r="D1352" s="133"/>
      <c r="E1352" s="133"/>
      <c r="F1352" s="133"/>
      <c r="G1352" s="133"/>
      <c r="H1352" s="133"/>
      <c r="I1352" s="133"/>
    </row>
    <row r="1353" spans="1:9">
      <c r="A1353" s="133"/>
      <c r="B1353" s="133"/>
      <c r="C1353" s="133"/>
      <c r="D1353" s="133"/>
      <c r="E1353" s="133"/>
      <c r="F1353" s="133"/>
      <c r="G1353" s="133"/>
      <c r="H1353" s="133"/>
      <c r="I1353" s="133"/>
    </row>
    <row r="1354" spans="1:9">
      <c r="A1354" s="133"/>
      <c r="B1354" s="133"/>
      <c r="C1354" s="133"/>
      <c r="D1354" s="133"/>
      <c r="E1354" s="133"/>
      <c r="F1354" s="133"/>
      <c r="G1354" s="133"/>
      <c r="H1354" s="133"/>
      <c r="I1354" s="133"/>
    </row>
    <row r="1355" spans="1:9">
      <c r="A1355" s="133"/>
      <c r="B1355" s="133"/>
      <c r="C1355" s="133"/>
      <c r="D1355" s="133"/>
      <c r="E1355" s="133"/>
      <c r="F1355" s="133"/>
      <c r="G1355" s="133"/>
      <c r="H1355" s="133"/>
      <c r="I1355" s="133"/>
    </row>
    <row r="1356" spans="1:9">
      <c r="A1356" s="133"/>
      <c r="B1356" s="133"/>
      <c r="C1356" s="133"/>
      <c r="D1356" s="133"/>
      <c r="E1356" s="133"/>
      <c r="F1356" s="133"/>
      <c r="G1356" s="133"/>
      <c r="H1356" s="133"/>
      <c r="I1356" s="133"/>
    </row>
    <row r="1357" spans="1:9">
      <c r="A1357" s="133"/>
      <c r="B1357" s="133"/>
      <c r="C1357" s="133"/>
      <c r="D1357" s="133"/>
      <c r="E1357" s="133"/>
      <c r="F1357" s="133"/>
      <c r="G1357" s="133"/>
      <c r="H1357" s="133"/>
      <c r="I1357" s="133"/>
    </row>
    <row r="1358" spans="1:9">
      <c r="A1358" s="133"/>
      <c r="B1358" s="133"/>
      <c r="C1358" s="133"/>
      <c r="D1358" s="133"/>
      <c r="E1358" s="133"/>
      <c r="F1358" s="133"/>
      <c r="G1358" s="133"/>
      <c r="H1358" s="133"/>
      <c r="I1358" s="133"/>
    </row>
    <row r="1359" spans="1:9">
      <c r="A1359" s="133"/>
      <c r="B1359" s="133"/>
      <c r="C1359" s="133"/>
      <c r="D1359" s="133"/>
      <c r="E1359" s="133"/>
      <c r="F1359" s="133"/>
      <c r="G1359" s="133"/>
      <c r="H1359" s="133"/>
      <c r="I1359" s="133"/>
    </row>
    <row r="1360" spans="1:9">
      <c r="A1360" s="133"/>
      <c r="B1360" s="133"/>
      <c r="C1360" s="133"/>
      <c r="D1360" s="133"/>
      <c r="E1360" s="133"/>
      <c r="F1360" s="133"/>
      <c r="G1360" s="133"/>
      <c r="H1360" s="133"/>
      <c r="I1360" s="133"/>
    </row>
    <row r="1361" spans="1:9">
      <c r="A1361" s="133"/>
      <c r="B1361" s="133"/>
      <c r="C1361" s="133"/>
      <c r="D1361" s="133"/>
      <c r="E1361" s="133"/>
      <c r="F1361" s="133"/>
      <c r="G1361" s="133"/>
      <c r="H1361" s="133"/>
      <c r="I1361" s="133"/>
    </row>
    <row r="1362" spans="1:9">
      <c r="A1362" s="133"/>
      <c r="B1362" s="133"/>
      <c r="C1362" s="133"/>
      <c r="D1362" s="133"/>
      <c r="E1362" s="133"/>
      <c r="F1362" s="133"/>
      <c r="G1362" s="133"/>
      <c r="H1362" s="133"/>
      <c r="I1362" s="133"/>
    </row>
    <row r="1363" spans="1:9">
      <c r="A1363" s="133"/>
      <c r="B1363" s="133"/>
      <c r="C1363" s="133"/>
      <c r="D1363" s="133"/>
      <c r="E1363" s="133"/>
      <c r="F1363" s="133"/>
      <c r="G1363" s="133"/>
      <c r="H1363" s="133"/>
      <c r="I1363" s="133"/>
    </row>
    <row r="1364" spans="1:9">
      <c r="A1364" s="133"/>
      <c r="B1364" s="133"/>
      <c r="C1364" s="133"/>
      <c r="D1364" s="133"/>
      <c r="E1364" s="133"/>
      <c r="F1364" s="133"/>
      <c r="G1364" s="133"/>
      <c r="H1364" s="133"/>
      <c r="I1364" s="133"/>
    </row>
    <row r="1365" spans="1:9">
      <c r="A1365" s="133"/>
      <c r="B1365" s="133"/>
      <c r="C1365" s="133"/>
      <c r="D1365" s="133"/>
      <c r="E1365" s="133"/>
      <c r="F1365" s="133"/>
      <c r="G1365" s="133"/>
      <c r="H1365" s="133"/>
      <c r="I1365" s="133"/>
    </row>
    <row r="1366" spans="1:9">
      <c r="A1366" s="133"/>
      <c r="B1366" s="133"/>
      <c r="C1366" s="133"/>
      <c r="D1366" s="133"/>
      <c r="E1366" s="133"/>
      <c r="F1366" s="133"/>
      <c r="G1366" s="133"/>
      <c r="H1366" s="133"/>
      <c r="I1366" s="133"/>
    </row>
    <row r="1367" spans="1:9">
      <c r="A1367" s="133"/>
      <c r="B1367" s="133"/>
      <c r="C1367" s="133"/>
      <c r="D1367" s="133"/>
      <c r="E1367" s="133"/>
      <c r="F1367" s="133"/>
      <c r="G1367" s="133"/>
      <c r="H1367" s="133"/>
      <c r="I1367" s="133"/>
    </row>
    <row r="1368" spans="1:9">
      <c r="A1368" s="133"/>
      <c r="B1368" s="133"/>
      <c r="C1368" s="133"/>
      <c r="D1368" s="133"/>
      <c r="E1368" s="133"/>
      <c r="F1368" s="133"/>
      <c r="G1368" s="133"/>
      <c r="H1368" s="133"/>
      <c r="I1368" s="133"/>
    </row>
    <row r="1369" spans="1:9">
      <c r="A1369" s="133"/>
      <c r="B1369" s="133"/>
      <c r="C1369" s="133"/>
      <c r="D1369" s="133"/>
      <c r="E1369" s="133"/>
      <c r="F1369" s="133"/>
      <c r="G1369" s="133"/>
      <c r="H1369" s="133"/>
      <c r="I1369" s="133"/>
    </row>
    <row r="1370" spans="1:9">
      <c r="A1370" s="133"/>
      <c r="B1370" s="133"/>
      <c r="C1370" s="133"/>
      <c r="D1370" s="133"/>
      <c r="E1370" s="133"/>
      <c r="F1370" s="133"/>
      <c r="G1370" s="133"/>
      <c r="H1370" s="133"/>
      <c r="I1370" s="133"/>
    </row>
    <row r="1371" spans="1:9">
      <c r="A1371" s="133"/>
      <c r="B1371" s="133"/>
      <c r="C1371" s="133"/>
      <c r="D1371" s="133"/>
      <c r="E1371" s="133"/>
      <c r="F1371" s="133"/>
      <c r="G1371" s="133"/>
      <c r="H1371" s="133"/>
      <c r="I1371" s="133"/>
    </row>
    <row r="1372" spans="1:9">
      <c r="A1372" s="133"/>
      <c r="B1372" s="133"/>
      <c r="C1372" s="133"/>
      <c r="D1372" s="133"/>
      <c r="E1372" s="133"/>
      <c r="F1372" s="133"/>
      <c r="G1372" s="133"/>
      <c r="H1372" s="133"/>
      <c r="I1372" s="133"/>
    </row>
    <row r="1373" spans="1:9">
      <c r="A1373" s="133"/>
      <c r="B1373" s="133"/>
      <c r="C1373" s="133"/>
      <c r="D1373" s="133"/>
      <c r="E1373" s="133"/>
      <c r="F1373" s="133"/>
      <c r="G1373" s="133"/>
      <c r="H1373" s="133"/>
      <c r="I1373" s="133"/>
    </row>
    <row r="1374" spans="1:9">
      <c r="A1374" s="133"/>
      <c r="B1374" s="133"/>
      <c r="C1374" s="133"/>
      <c r="D1374" s="133"/>
      <c r="E1374" s="133"/>
      <c r="F1374" s="133"/>
      <c r="G1374" s="133"/>
      <c r="H1374" s="133"/>
      <c r="I1374" s="133"/>
    </row>
    <row r="1375" spans="1:9">
      <c r="A1375" s="133"/>
      <c r="B1375" s="133"/>
      <c r="C1375" s="133"/>
      <c r="D1375" s="133"/>
      <c r="E1375" s="133"/>
      <c r="F1375" s="133"/>
      <c r="G1375" s="133"/>
      <c r="H1375" s="133"/>
      <c r="I1375" s="133"/>
    </row>
    <row r="1376" spans="1:9">
      <c r="A1376" s="133"/>
      <c r="B1376" s="133"/>
      <c r="C1376" s="133"/>
      <c r="D1376" s="133"/>
      <c r="E1376" s="133"/>
      <c r="F1376" s="133"/>
      <c r="G1376" s="133"/>
      <c r="H1376" s="133"/>
      <c r="I1376" s="133"/>
    </row>
    <row r="1377" spans="1:9">
      <c r="A1377" s="133"/>
      <c r="B1377" s="133"/>
      <c r="C1377" s="133"/>
      <c r="D1377" s="133"/>
      <c r="E1377" s="133"/>
      <c r="F1377" s="133"/>
      <c r="G1377" s="133"/>
      <c r="H1377" s="133"/>
      <c r="I1377" s="133"/>
    </row>
    <row r="1378" spans="1:9">
      <c r="A1378" s="133"/>
      <c r="B1378" s="133"/>
      <c r="C1378" s="133"/>
      <c r="D1378" s="133"/>
      <c r="E1378" s="133"/>
      <c r="F1378" s="133"/>
      <c r="G1378" s="133"/>
      <c r="H1378" s="133"/>
      <c r="I1378" s="133"/>
    </row>
    <row r="1379" spans="1:9">
      <c r="A1379" s="133"/>
      <c r="B1379" s="133"/>
      <c r="C1379" s="133"/>
      <c r="D1379" s="133"/>
      <c r="E1379" s="133"/>
      <c r="F1379" s="133"/>
      <c r="G1379" s="133"/>
      <c r="H1379" s="133"/>
      <c r="I1379" s="133"/>
    </row>
    <row r="1380" spans="1:9">
      <c r="A1380" s="133"/>
      <c r="B1380" s="133"/>
      <c r="C1380" s="133"/>
      <c r="D1380" s="133"/>
      <c r="E1380" s="133"/>
      <c r="F1380" s="133"/>
      <c r="G1380" s="133"/>
      <c r="H1380" s="133"/>
      <c r="I1380" s="133"/>
    </row>
    <row r="1381" spans="1:9">
      <c r="A1381" s="133"/>
      <c r="B1381" s="133"/>
      <c r="C1381" s="133"/>
      <c r="D1381" s="133"/>
      <c r="E1381" s="133"/>
      <c r="F1381" s="133"/>
      <c r="G1381" s="133"/>
      <c r="H1381" s="133"/>
      <c r="I1381" s="133"/>
    </row>
    <row r="1382" spans="1:9">
      <c r="A1382" s="133"/>
      <c r="B1382" s="133"/>
      <c r="C1382" s="133"/>
      <c r="D1382" s="133"/>
      <c r="E1382" s="133"/>
      <c r="F1382" s="133"/>
      <c r="G1382" s="133"/>
      <c r="H1382" s="133"/>
      <c r="I1382" s="133"/>
    </row>
    <row r="1383" spans="1:9">
      <c r="A1383" s="133"/>
      <c r="B1383" s="133"/>
      <c r="C1383" s="133"/>
      <c r="D1383" s="133"/>
      <c r="E1383" s="133"/>
      <c r="F1383" s="133"/>
      <c r="G1383" s="133"/>
      <c r="H1383" s="133"/>
      <c r="I1383" s="133"/>
    </row>
    <row r="1384" spans="1:9">
      <c r="A1384" s="133"/>
      <c r="B1384" s="133"/>
      <c r="C1384" s="133"/>
      <c r="D1384" s="133"/>
      <c r="E1384" s="133"/>
      <c r="F1384" s="133"/>
      <c r="G1384" s="133"/>
      <c r="H1384" s="133"/>
      <c r="I1384" s="133"/>
    </row>
    <row r="1385" spans="1:9">
      <c r="A1385" s="133"/>
      <c r="B1385" s="133"/>
      <c r="C1385" s="133"/>
      <c r="D1385" s="133"/>
      <c r="E1385" s="133"/>
      <c r="F1385" s="133"/>
      <c r="G1385" s="133"/>
      <c r="H1385" s="133"/>
      <c r="I1385" s="133"/>
    </row>
    <row r="1386" spans="1:9">
      <c r="A1386" s="133"/>
      <c r="B1386" s="133"/>
      <c r="C1386" s="133"/>
      <c r="D1386" s="133"/>
      <c r="E1386" s="133"/>
      <c r="F1386" s="133"/>
      <c r="G1386" s="133"/>
      <c r="H1386" s="133"/>
      <c r="I1386" s="133"/>
    </row>
    <row r="1387" spans="1:9">
      <c r="A1387" s="133"/>
      <c r="B1387" s="133"/>
      <c r="C1387" s="133"/>
      <c r="D1387" s="133"/>
      <c r="E1387" s="133"/>
      <c r="F1387" s="133"/>
      <c r="G1387" s="133"/>
      <c r="H1387" s="133"/>
      <c r="I1387" s="133"/>
    </row>
    <row r="1388" spans="1:9">
      <c r="A1388" s="133"/>
      <c r="B1388" s="133"/>
      <c r="C1388" s="133"/>
      <c r="D1388" s="133"/>
      <c r="E1388" s="133"/>
      <c r="F1388" s="133"/>
      <c r="G1388" s="133"/>
      <c r="H1388" s="133"/>
      <c r="I1388" s="133"/>
    </row>
    <row r="1389" spans="1:9">
      <c r="A1389" s="133"/>
      <c r="B1389" s="133"/>
      <c r="C1389" s="133"/>
      <c r="D1389" s="133"/>
      <c r="E1389" s="133"/>
      <c r="F1389" s="133"/>
      <c r="G1389" s="133"/>
      <c r="H1389" s="133"/>
      <c r="I1389" s="133"/>
    </row>
    <row r="1390" spans="1:9">
      <c r="A1390" s="133"/>
      <c r="B1390" s="133"/>
      <c r="C1390" s="133"/>
      <c r="D1390" s="133"/>
      <c r="E1390" s="133"/>
      <c r="F1390" s="133"/>
      <c r="G1390" s="133"/>
      <c r="H1390" s="133"/>
      <c r="I1390" s="133"/>
    </row>
    <row r="1391" spans="1:9">
      <c r="A1391" s="133"/>
      <c r="B1391" s="133"/>
      <c r="C1391" s="133"/>
      <c r="D1391" s="133"/>
      <c r="E1391" s="133"/>
      <c r="F1391" s="133"/>
      <c r="G1391" s="133"/>
      <c r="H1391" s="133"/>
      <c r="I1391" s="133"/>
    </row>
    <row r="1392" spans="1:9">
      <c r="A1392" s="133"/>
      <c r="B1392" s="133"/>
      <c r="C1392" s="133"/>
      <c r="D1392" s="133"/>
      <c r="E1392" s="133"/>
      <c r="F1392" s="133"/>
      <c r="G1392" s="133"/>
      <c r="H1392" s="133"/>
      <c r="I1392" s="133"/>
    </row>
    <row r="1393" spans="1:9">
      <c r="A1393" s="133"/>
      <c r="B1393" s="133"/>
      <c r="C1393" s="133"/>
      <c r="D1393" s="133"/>
      <c r="E1393" s="133"/>
      <c r="F1393" s="133"/>
      <c r="G1393" s="133"/>
      <c r="H1393" s="133"/>
      <c r="I1393" s="133"/>
    </row>
    <row r="1394" spans="1:9">
      <c r="A1394" s="133"/>
      <c r="B1394" s="133"/>
      <c r="C1394" s="133"/>
      <c r="D1394" s="133"/>
      <c r="E1394" s="133"/>
      <c r="F1394" s="133"/>
      <c r="G1394" s="133"/>
      <c r="H1394" s="133"/>
      <c r="I1394" s="133"/>
    </row>
    <row r="1395" spans="1:9">
      <c r="A1395" s="133"/>
      <c r="B1395" s="133"/>
      <c r="C1395" s="133"/>
      <c r="D1395" s="133"/>
      <c r="E1395" s="133"/>
      <c r="F1395" s="133"/>
      <c r="G1395" s="133"/>
      <c r="H1395" s="133"/>
      <c r="I1395" s="133"/>
    </row>
    <row r="1396" spans="1:9">
      <c r="A1396" s="133"/>
      <c r="B1396" s="133"/>
      <c r="C1396" s="133"/>
      <c r="D1396" s="133"/>
      <c r="E1396" s="133"/>
      <c r="F1396" s="133"/>
      <c r="G1396" s="133"/>
      <c r="H1396" s="133"/>
      <c r="I1396" s="133"/>
    </row>
    <row r="1397" spans="1:9">
      <c r="A1397" s="133"/>
      <c r="B1397" s="133"/>
      <c r="C1397" s="133"/>
      <c r="D1397" s="133"/>
      <c r="E1397" s="133"/>
      <c r="F1397" s="133"/>
      <c r="G1397" s="133"/>
      <c r="H1397" s="133"/>
      <c r="I1397" s="133"/>
    </row>
    <row r="1398" spans="1:9">
      <c r="A1398" s="133"/>
      <c r="B1398" s="133"/>
      <c r="C1398" s="133"/>
      <c r="D1398" s="133"/>
      <c r="E1398" s="133"/>
      <c r="F1398" s="133"/>
      <c r="G1398" s="133"/>
      <c r="H1398" s="133"/>
      <c r="I1398" s="133"/>
    </row>
    <row r="1399" spans="1:9">
      <c r="A1399" s="133"/>
      <c r="B1399" s="133"/>
      <c r="C1399" s="133"/>
      <c r="D1399" s="133"/>
      <c r="E1399" s="133"/>
      <c r="F1399" s="133"/>
      <c r="G1399" s="133"/>
      <c r="H1399" s="133"/>
      <c r="I1399" s="133"/>
    </row>
    <row r="1400" spans="1:9">
      <c r="A1400" s="133"/>
      <c r="B1400" s="133"/>
      <c r="C1400" s="133"/>
      <c r="D1400" s="133"/>
      <c r="E1400" s="133"/>
      <c r="F1400" s="133"/>
      <c r="G1400" s="133"/>
      <c r="H1400" s="133"/>
      <c r="I1400" s="133"/>
    </row>
    <row r="1401" spans="1:9">
      <c r="A1401" s="133"/>
      <c r="B1401" s="133"/>
      <c r="C1401" s="133"/>
      <c r="D1401" s="133"/>
      <c r="E1401" s="133"/>
      <c r="F1401" s="133"/>
      <c r="G1401" s="133"/>
      <c r="H1401" s="133"/>
      <c r="I1401" s="133"/>
    </row>
    <row r="1402" spans="1:9">
      <c r="A1402" s="133"/>
      <c r="B1402" s="133"/>
      <c r="C1402" s="133"/>
      <c r="D1402" s="133"/>
      <c r="E1402" s="133"/>
      <c r="F1402" s="133"/>
      <c r="G1402" s="133"/>
      <c r="H1402" s="133"/>
      <c r="I1402" s="133"/>
    </row>
    <row r="1403" spans="1:9">
      <c r="A1403" s="133"/>
      <c r="B1403" s="133"/>
      <c r="C1403" s="133"/>
      <c r="D1403" s="133"/>
      <c r="E1403" s="133"/>
      <c r="F1403" s="133"/>
      <c r="G1403" s="133"/>
      <c r="H1403" s="133"/>
      <c r="I1403" s="133"/>
    </row>
    <row r="1404" spans="1:9">
      <c r="A1404" s="133"/>
      <c r="B1404" s="133"/>
      <c r="C1404" s="133"/>
      <c r="D1404" s="133"/>
      <c r="E1404" s="133"/>
      <c r="F1404" s="133"/>
      <c r="G1404" s="133"/>
      <c r="H1404" s="133"/>
      <c r="I1404" s="133"/>
    </row>
    <row r="1405" spans="1:9">
      <c r="A1405" s="133"/>
      <c r="B1405" s="133"/>
      <c r="C1405" s="133"/>
      <c r="D1405" s="133"/>
      <c r="E1405" s="133"/>
      <c r="F1405" s="133"/>
      <c r="G1405" s="133"/>
      <c r="H1405" s="133"/>
      <c r="I1405" s="133"/>
    </row>
    <row r="1406" spans="1:9">
      <c r="A1406" s="133"/>
      <c r="B1406" s="133"/>
      <c r="C1406" s="133"/>
      <c r="D1406" s="133"/>
      <c r="E1406" s="133"/>
      <c r="F1406" s="133"/>
      <c r="G1406" s="133"/>
      <c r="H1406" s="133"/>
      <c r="I1406" s="133"/>
    </row>
    <row r="1407" spans="1:9">
      <c r="A1407" s="133"/>
      <c r="B1407" s="133"/>
      <c r="C1407" s="133"/>
      <c r="D1407" s="133"/>
      <c r="E1407" s="133"/>
      <c r="F1407" s="133"/>
      <c r="G1407" s="133"/>
      <c r="H1407" s="133"/>
      <c r="I1407" s="133"/>
    </row>
    <row r="1408" spans="1:9">
      <c r="A1408" s="133"/>
      <c r="B1408" s="133"/>
      <c r="C1408" s="133"/>
      <c r="D1408" s="133"/>
      <c r="E1408" s="133"/>
      <c r="F1408" s="133"/>
      <c r="G1408" s="133"/>
      <c r="H1408" s="133"/>
      <c r="I1408" s="133"/>
    </row>
    <row r="1409" spans="1:9">
      <c r="A1409" s="133"/>
      <c r="B1409" s="133"/>
      <c r="C1409" s="133"/>
      <c r="D1409" s="133"/>
      <c r="E1409" s="133"/>
      <c r="F1409" s="133"/>
      <c r="G1409" s="133"/>
      <c r="H1409" s="133"/>
      <c r="I1409" s="133"/>
    </row>
    <row r="1410" spans="1:9">
      <c r="A1410" s="133"/>
      <c r="B1410" s="133"/>
      <c r="C1410" s="133"/>
      <c r="D1410" s="133"/>
      <c r="E1410" s="133"/>
      <c r="F1410" s="133"/>
      <c r="G1410" s="133"/>
      <c r="H1410" s="133"/>
      <c r="I1410" s="133"/>
    </row>
    <row r="1411" spans="1:9">
      <c r="A1411" s="133"/>
      <c r="B1411" s="133"/>
      <c r="C1411" s="133"/>
      <c r="D1411" s="133"/>
      <c r="E1411" s="133"/>
      <c r="F1411" s="133"/>
      <c r="G1411" s="133"/>
      <c r="H1411" s="133"/>
      <c r="I1411" s="133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50"/>
  </sheetPr>
  <dimension ref="A1:IT1418"/>
  <sheetViews>
    <sheetView view="pageBreakPreview" zoomScale="80" zoomScaleNormal="80" topLeftCell="A33" workbookViewId="0">
      <selection activeCell="N37" sqref="N37"/>
    </sheetView>
  </sheetViews>
  <sheetFormatPr defaultColWidth="9" defaultRowHeight="13.2"/>
  <cols>
    <col min="1" max="1" width="36.9074074074074" style="118" customWidth="1"/>
    <col min="2" max="2" width="90.5648148148148" style="118" customWidth="1"/>
    <col min="3" max="3" width="15.8611111111111" style="118" customWidth="1"/>
    <col min="4" max="4" width="16.287037037037" style="118" customWidth="1"/>
    <col min="5" max="5" width="15.7037037037037" style="118" customWidth="1"/>
    <col min="6" max="6" width="15.4259259259259" style="118" customWidth="1"/>
    <col min="7" max="7" width="13.8611111111111" style="118" customWidth="1"/>
    <col min="8" max="8" width="21.1388888888889" style="118" customWidth="1"/>
    <col min="9" max="9" width="0.564814814814815" style="118" customWidth="1"/>
    <col min="10" max="10" width="9.13888888888889" style="118"/>
    <col min="11" max="14" width="13.0277777777778" style="118" customWidth="1"/>
    <col min="15" max="254" width="9.13888888888889" style="118"/>
    <col min="255" max="255" width="32.5648148148148" style="118" customWidth="1"/>
    <col min="256" max="256" width="13.1388888888889" style="118" customWidth="1"/>
    <col min="257" max="257" width="15.5648148148148" style="118" customWidth="1"/>
    <col min="258" max="258" width="5.86111111111111" style="118" customWidth="1"/>
    <col min="259" max="259" width="15.8611111111111" style="118" customWidth="1"/>
    <col min="260" max="260" width="14.5648148148148" style="118" customWidth="1"/>
    <col min="261" max="261" width="17.8611111111111" style="118" customWidth="1"/>
    <col min="262" max="262" width="18.1388888888889" style="118" customWidth="1"/>
    <col min="263" max="263" width="22.5648148148148" style="118" customWidth="1"/>
    <col min="264" max="264" width="21.1388888888889" style="118" customWidth="1"/>
    <col min="265" max="265" width="0.564814814814815" style="118" customWidth="1"/>
    <col min="266" max="266" width="9.13888888888889" style="118"/>
    <col min="267" max="267" width="15.4259259259259" style="118" customWidth="1"/>
    <col min="268" max="510" width="9.13888888888889" style="118"/>
    <col min="511" max="511" width="32.5648148148148" style="118" customWidth="1"/>
    <col min="512" max="512" width="13.1388888888889" style="118" customWidth="1"/>
    <col min="513" max="513" width="15.5648148148148" style="118" customWidth="1"/>
    <col min="514" max="514" width="5.86111111111111" style="118" customWidth="1"/>
    <col min="515" max="515" width="15.8611111111111" style="118" customWidth="1"/>
    <col min="516" max="516" width="14.5648148148148" style="118" customWidth="1"/>
    <col min="517" max="517" width="17.8611111111111" style="118" customWidth="1"/>
    <col min="518" max="518" width="18.1388888888889" style="118" customWidth="1"/>
    <col min="519" max="519" width="22.5648148148148" style="118" customWidth="1"/>
    <col min="520" max="520" width="21.1388888888889" style="118" customWidth="1"/>
    <col min="521" max="521" width="0.564814814814815" style="118" customWidth="1"/>
    <col min="522" max="522" width="9.13888888888889" style="118"/>
    <col min="523" max="523" width="15.4259259259259" style="118" customWidth="1"/>
    <col min="524" max="766" width="9.13888888888889" style="118"/>
    <col min="767" max="767" width="32.5648148148148" style="118" customWidth="1"/>
    <col min="768" max="768" width="13.1388888888889" style="118" customWidth="1"/>
    <col min="769" max="769" width="15.5648148148148" style="118" customWidth="1"/>
    <col min="770" max="770" width="5.86111111111111" style="118" customWidth="1"/>
    <col min="771" max="771" width="15.8611111111111" style="118" customWidth="1"/>
    <col min="772" max="772" width="14.5648148148148" style="118" customWidth="1"/>
    <col min="773" max="773" width="17.8611111111111" style="118" customWidth="1"/>
    <col min="774" max="774" width="18.1388888888889" style="118" customWidth="1"/>
    <col min="775" max="775" width="22.5648148148148" style="118" customWidth="1"/>
    <col min="776" max="776" width="21.1388888888889" style="118" customWidth="1"/>
    <col min="777" max="777" width="0.564814814814815" style="118" customWidth="1"/>
    <col min="778" max="778" width="9.13888888888889" style="118"/>
    <col min="779" max="779" width="15.4259259259259" style="118" customWidth="1"/>
    <col min="780" max="1022" width="9.13888888888889" style="118"/>
    <col min="1023" max="1023" width="32.5648148148148" style="118" customWidth="1"/>
    <col min="1024" max="1024" width="13.1388888888889" style="118" customWidth="1"/>
    <col min="1025" max="1025" width="15.5648148148148" style="118" customWidth="1"/>
    <col min="1026" max="1026" width="5.86111111111111" style="118" customWidth="1"/>
    <col min="1027" max="1027" width="15.8611111111111" style="118" customWidth="1"/>
    <col min="1028" max="1028" width="14.5648148148148" style="118" customWidth="1"/>
    <col min="1029" max="1029" width="17.8611111111111" style="118" customWidth="1"/>
    <col min="1030" max="1030" width="18.1388888888889" style="118" customWidth="1"/>
    <col min="1031" max="1031" width="22.5648148148148" style="118" customWidth="1"/>
    <col min="1032" max="1032" width="21.1388888888889" style="118" customWidth="1"/>
    <col min="1033" max="1033" width="0.564814814814815" style="118" customWidth="1"/>
    <col min="1034" max="1034" width="9.13888888888889" style="118"/>
    <col min="1035" max="1035" width="15.4259259259259" style="118" customWidth="1"/>
    <col min="1036" max="1278" width="9.13888888888889" style="118"/>
    <col min="1279" max="1279" width="32.5648148148148" style="118" customWidth="1"/>
    <col min="1280" max="1280" width="13.1388888888889" style="118" customWidth="1"/>
    <col min="1281" max="1281" width="15.5648148148148" style="118" customWidth="1"/>
    <col min="1282" max="1282" width="5.86111111111111" style="118" customWidth="1"/>
    <col min="1283" max="1283" width="15.8611111111111" style="118" customWidth="1"/>
    <col min="1284" max="1284" width="14.5648148148148" style="118" customWidth="1"/>
    <col min="1285" max="1285" width="17.8611111111111" style="118" customWidth="1"/>
    <col min="1286" max="1286" width="18.1388888888889" style="118" customWidth="1"/>
    <col min="1287" max="1287" width="22.5648148148148" style="118" customWidth="1"/>
    <col min="1288" max="1288" width="21.1388888888889" style="118" customWidth="1"/>
    <col min="1289" max="1289" width="0.564814814814815" style="118" customWidth="1"/>
    <col min="1290" max="1290" width="9.13888888888889" style="118"/>
    <col min="1291" max="1291" width="15.4259259259259" style="118" customWidth="1"/>
    <col min="1292" max="1534" width="9.13888888888889" style="118"/>
    <col min="1535" max="1535" width="32.5648148148148" style="118" customWidth="1"/>
    <col min="1536" max="1536" width="13.1388888888889" style="118" customWidth="1"/>
    <col min="1537" max="1537" width="15.5648148148148" style="118" customWidth="1"/>
    <col min="1538" max="1538" width="5.86111111111111" style="118" customWidth="1"/>
    <col min="1539" max="1539" width="15.8611111111111" style="118" customWidth="1"/>
    <col min="1540" max="1540" width="14.5648148148148" style="118" customWidth="1"/>
    <col min="1541" max="1541" width="17.8611111111111" style="118" customWidth="1"/>
    <col min="1542" max="1542" width="18.1388888888889" style="118" customWidth="1"/>
    <col min="1543" max="1543" width="22.5648148148148" style="118" customWidth="1"/>
    <col min="1544" max="1544" width="21.1388888888889" style="118" customWidth="1"/>
    <col min="1545" max="1545" width="0.564814814814815" style="118" customWidth="1"/>
    <col min="1546" max="1546" width="9.13888888888889" style="118"/>
    <col min="1547" max="1547" width="15.4259259259259" style="118" customWidth="1"/>
    <col min="1548" max="1790" width="9.13888888888889" style="118"/>
    <col min="1791" max="1791" width="32.5648148148148" style="118" customWidth="1"/>
    <col min="1792" max="1792" width="13.1388888888889" style="118" customWidth="1"/>
    <col min="1793" max="1793" width="15.5648148148148" style="118" customWidth="1"/>
    <col min="1794" max="1794" width="5.86111111111111" style="118" customWidth="1"/>
    <col min="1795" max="1795" width="15.8611111111111" style="118" customWidth="1"/>
    <col min="1796" max="1796" width="14.5648148148148" style="118" customWidth="1"/>
    <col min="1797" max="1797" width="17.8611111111111" style="118" customWidth="1"/>
    <col min="1798" max="1798" width="18.1388888888889" style="118" customWidth="1"/>
    <col min="1799" max="1799" width="22.5648148148148" style="118" customWidth="1"/>
    <col min="1800" max="1800" width="21.1388888888889" style="118" customWidth="1"/>
    <col min="1801" max="1801" width="0.564814814814815" style="118" customWidth="1"/>
    <col min="1802" max="1802" width="9.13888888888889" style="118"/>
    <col min="1803" max="1803" width="15.4259259259259" style="118" customWidth="1"/>
    <col min="1804" max="2046" width="9.13888888888889" style="118"/>
    <col min="2047" max="2047" width="32.5648148148148" style="118" customWidth="1"/>
    <col min="2048" max="2048" width="13.1388888888889" style="118" customWidth="1"/>
    <col min="2049" max="2049" width="15.5648148148148" style="118" customWidth="1"/>
    <col min="2050" max="2050" width="5.86111111111111" style="118" customWidth="1"/>
    <col min="2051" max="2051" width="15.8611111111111" style="118" customWidth="1"/>
    <col min="2052" max="2052" width="14.5648148148148" style="118" customWidth="1"/>
    <col min="2053" max="2053" width="17.8611111111111" style="118" customWidth="1"/>
    <col min="2054" max="2054" width="18.1388888888889" style="118" customWidth="1"/>
    <col min="2055" max="2055" width="22.5648148148148" style="118" customWidth="1"/>
    <col min="2056" max="2056" width="21.1388888888889" style="118" customWidth="1"/>
    <col min="2057" max="2057" width="0.564814814814815" style="118" customWidth="1"/>
    <col min="2058" max="2058" width="9.13888888888889" style="118"/>
    <col min="2059" max="2059" width="15.4259259259259" style="118" customWidth="1"/>
    <col min="2060" max="2302" width="9.13888888888889" style="118"/>
    <col min="2303" max="2303" width="32.5648148148148" style="118" customWidth="1"/>
    <col min="2304" max="2304" width="13.1388888888889" style="118" customWidth="1"/>
    <col min="2305" max="2305" width="15.5648148148148" style="118" customWidth="1"/>
    <col min="2306" max="2306" width="5.86111111111111" style="118" customWidth="1"/>
    <col min="2307" max="2307" width="15.8611111111111" style="118" customWidth="1"/>
    <col min="2308" max="2308" width="14.5648148148148" style="118" customWidth="1"/>
    <col min="2309" max="2309" width="17.8611111111111" style="118" customWidth="1"/>
    <col min="2310" max="2310" width="18.1388888888889" style="118" customWidth="1"/>
    <col min="2311" max="2311" width="22.5648148148148" style="118" customWidth="1"/>
    <col min="2312" max="2312" width="21.1388888888889" style="118" customWidth="1"/>
    <col min="2313" max="2313" width="0.564814814814815" style="118" customWidth="1"/>
    <col min="2314" max="2314" width="9.13888888888889" style="118"/>
    <col min="2315" max="2315" width="15.4259259259259" style="118" customWidth="1"/>
    <col min="2316" max="2558" width="9.13888888888889" style="118"/>
    <col min="2559" max="2559" width="32.5648148148148" style="118" customWidth="1"/>
    <col min="2560" max="2560" width="13.1388888888889" style="118" customWidth="1"/>
    <col min="2561" max="2561" width="15.5648148148148" style="118" customWidth="1"/>
    <col min="2562" max="2562" width="5.86111111111111" style="118" customWidth="1"/>
    <col min="2563" max="2563" width="15.8611111111111" style="118" customWidth="1"/>
    <col min="2564" max="2564" width="14.5648148148148" style="118" customWidth="1"/>
    <col min="2565" max="2565" width="17.8611111111111" style="118" customWidth="1"/>
    <col min="2566" max="2566" width="18.1388888888889" style="118" customWidth="1"/>
    <col min="2567" max="2567" width="22.5648148148148" style="118" customWidth="1"/>
    <col min="2568" max="2568" width="21.1388888888889" style="118" customWidth="1"/>
    <col min="2569" max="2569" width="0.564814814814815" style="118" customWidth="1"/>
    <col min="2570" max="2570" width="9.13888888888889" style="118"/>
    <col min="2571" max="2571" width="15.4259259259259" style="118" customWidth="1"/>
    <col min="2572" max="2814" width="9.13888888888889" style="118"/>
    <col min="2815" max="2815" width="32.5648148148148" style="118" customWidth="1"/>
    <col min="2816" max="2816" width="13.1388888888889" style="118" customWidth="1"/>
    <col min="2817" max="2817" width="15.5648148148148" style="118" customWidth="1"/>
    <col min="2818" max="2818" width="5.86111111111111" style="118" customWidth="1"/>
    <col min="2819" max="2819" width="15.8611111111111" style="118" customWidth="1"/>
    <col min="2820" max="2820" width="14.5648148148148" style="118" customWidth="1"/>
    <col min="2821" max="2821" width="17.8611111111111" style="118" customWidth="1"/>
    <col min="2822" max="2822" width="18.1388888888889" style="118" customWidth="1"/>
    <col min="2823" max="2823" width="22.5648148148148" style="118" customWidth="1"/>
    <col min="2824" max="2824" width="21.1388888888889" style="118" customWidth="1"/>
    <col min="2825" max="2825" width="0.564814814814815" style="118" customWidth="1"/>
    <col min="2826" max="2826" width="9.13888888888889" style="118"/>
    <col min="2827" max="2827" width="15.4259259259259" style="118" customWidth="1"/>
    <col min="2828" max="3070" width="9.13888888888889" style="118"/>
    <col min="3071" max="3071" width="32.5648148148148" style="118" customWidth="1"/>
    <col min="3072" max="3072" width="13.1388888888889" style="118" customWidth="1"/>
    <col min="3073" max="3073" width="15.5648148148148" style="118" customWidth="1"/>
    <col min="3074" max="3074" width="5.86111111111111" style="118" customWidth="1"/>
    <col min="3075" max="3075" width="15.8611111111111" style="118" customWidth="1"/>
    <col min="3076" max="3076" width="14.5648148148148" style="118" customWidth="1"/>
    <col min="3077" max="3077" width="17.8611111111111" style="118" customWidth="1"/>
    <col min="3078" max="3078" width="18.1388888888889" style="118" customWidth="1"/>
    <col min="3079" max="3079" width="22.5648148148148" style="118" customWidth="1"/>
    <col min="3080" max="3080" width="21.1388888888889" style="118" customWidth="1"/>
    <col min="3081" max="3081" width="0.564814814814815" style="118" customWidth="1"/>
    <col min="3082" max="3082" width="9.13888888888889" style="118"/>
    <col min="3083" max="3083" width="15.4259259259259" style="118" customWidth="1"/>
    <col min="3084" max="3326" width="9.13888888888889" style="118"/>
    <col min="3327" max="3327" width="32.5648148148148" style="118" customWidth="1"/>
    <col min="3328" max="3328" width="13.1388888888889" style="118" customWidth="1"/>
    <col min="3329" max="3329" width="15.5648148148148" style="118" customWidth="1"/>
    <col min="3330" max="3330" width="5.86111111111111" style="118" customWidth="1"/>
    <col min="3331" max="3331" width="15.8611111111111" style="118" customWidth="1"/>
    <col min="3332" max="3332" width="14.5648148148148" style="118" customWidth="1"/>
    <col min="3333" max="3333" width="17.8611111111111" style="118" customWidth="1"/>
    <col min="3334" max="3334" width="18.1388888888889" style="118" customWidth="1"/>
    <col min="3335" max="3335" width="22.5648148148148" style="118" customWidth="1"/>
    <col min="3336" max="3336" width="21.1388888888889" style="118" customWidth="1"/>
    <col min="3337" max="3337" width="0.564814814814815" style="118" customWidth="1"/>
    <col min="3338" max="3338" width="9.13888888888889" style="118"/>
    <col min="3339" max="3339" width="15.4259259259259" style="118" customWidth="1"/>
    <col min="3340" max="3582" width="9.13888888888889" style="118"/>
    <col min="3583" max="3583" width="32.5648148148148" style="118" customWidth="1"/>
    <col min="3584" max="3584" width="13.1388888888889" style="118" customWidth="1"/>
    <col min="3585" max="3585" width="15.5648148148148" style="118" customWidth="1"/>
    <col min="3586" max="3586" width="5.86111111111111" style="118" customWidth="1"/>
    <col min="3587" max="3587" width="15.8611111111111" style="118" customWidth="1"/>
    <col min="3588" max="3588" width="14.5648148148148" style="118" customWidth="1"/>
    <col min="3589" max="3589" width="17.8611111111111" style="118" customWidth="1"/>
    <col min="3590" max="3590" width="18.1388888888889" style="118" customWidth="1"/>
    <col min="3591" max="3591" width="22.5648148148148" style="118" customWidth="1"/>
    <col min="3592" max="3592" width="21.1388888888889" style="118" customWidth="1"/>
    <col min="3593" max="3593" width="0.564814814814815" style="118" customWidth="1"/>
    <col min="3594" max="3594" width="9.13888888888889" style="118"/>
    <col min="3595" max="3595" width="15.4259259259259" style="118" customWidth="1"/>
    <col min="3596" max="3838" width="9.13888888888889" style="118"/>
    <col min="3839" max="3839" width="32.5648148148148" style="118" customWidth="1"/>
    <col min="3840" max="3840" width="13.1388888888889" style="118" customWidth="1"/>
    <col min="3841" max="3841" width="15.5648148148148" style="118" customWidth="1"/>
    <col min="3842" max="3842" width="5.86111111111111" style="118" customWidth="1"/>
    <col min="3843" max="3843" width="15.8611111111111" style="118" customWidth="1"/>
    <col min="3844" max="3844" width="14.5648148148148" style="118" customWidth="1"/>
    <col min="3845" max="3845" width="17.8611111111111" style="118" customWidth="1"/>
    <col min="3846" max="3846" width="18.1388888888889" style="118" customWidth="1"/>
    <col min="3847" max="3847" width="22.5648148148148" style="118" customWidth="1"/>
    <col min="3848" max="3848" width="21.1388888888889" style="118" customWidth="1"/>
    <col min="3849" max="3849" width="0.564814814814815" style="118" customWidth="1"/>
    <col min="3850" max="3850" width="9.13888888888889" style="118"/>
    <col min="3851" max="3851" width="15.4259259259259" style="118" customWidth="1"/>
    <col min="3852" max="4094" width="9.13888888888889" style="118"/>
    <col min="4095" max="4095" width="32.5648148148148" style="118" customWidth="1"/>
    <col min="4096" max="4096" width="13.1388888888889" style="118" customWidth="1"/>
    <col min="4097" max="4097" width="15.5648148148148" style="118" customWidth="1"/>
    <col min="4098" max="4098" width="5.86111111111111" style="118" customWidth="1"/>
    <col min="4099" max="4099" width="15.8611111111111" style="118" customWidth="1"/>
    <col min="4100" max="4100" width="14.5648148148148" style="118" customWidth="1"/>
    <col min="4101" max="4101" width="17.8611111111111" style="118" customWidth="1"/>
    <col min="4102" max="4102" width="18.1388888888889" style="118" customWidth="1"/>
    <col min="4103" max="4103" width="22.5648148148148" style="118" customWidth="1"/>
    <col min="4104" max="4104" width="21.1388888888889" style="118" customWidth="1"/>
    <col min="4105" max="4105" width="0.564814814814815" style="118" customWidth="1"/>
    <col min="4106" max="4106" width="9.13888888888889" style="118"/>
    <col min="4107" max="4107" width="15.4259259259259" style="118" customWidth="1"/>
    <col min="4108" max="4350" width="9.13888888888889" style="118"/>
    <col min="4351" max="4351" width="32.5648148148148" style="118" customWidth="1"/>
    <col min="4352" max="4352" width="13.1388888888889" style="118" customWidth="1"/>
    <col min="4353" max="4353" width="15.5648148148148" style="118" customWidth="1"/>
    <col min="4354" max="4354" width="5.86111111111111" style="118" customWidth="1"/>
    <col min="4355" max="4355" width="15.8611111111111" style="118" customWidth="1"/>
    <col min="4356" max="4356" width="14.5648148148148" style="118" customWidth="1"/>
    <col min="4357" max="4357" width="17.8611111111111" style="118" customWidth="1"/>
    <col min="4358" max="4358" width="18.1388888888889" style="118" customWidth="1"/>
    <col min="4359" max="4359" width="22.5648148148148" style="118" customWidth="1"/>
    <col min="4360" max="4360" width="21.1388888888889" style="118" customWidth="1"/>
    <col min="4361" max="4361" width="0.564814814814815" style="118" customWidth="1"/>
    <col min="4362" max="4362" width="9.13888888888889" style="118"/>
    <col min="4363" max="4363" width="15.4259259259259" style="118" customWidth="1"/>
    <col min="4364" max="4606" width="9.13888888888889" style="118"/>
    <col min="4607" max="4607" width="32.5648148148148" style="118" customWidth="1"/>
    <col min="4608" max="4608" width="13.1388888888889" style="118" customWidth="1"/>
    <col min="4609" max="4609" width="15.5648148148148" style="118" customWidth="1"/>
    <col min="4610" max="4610" width="5.86111111111111" style="118" customWidth="1"/>
    <col min="4611" max="4611" width="15.8611111111111" style="118" customWidth="1"/>
    <col min="4612" max="4612" width="14.5648148148148" style="118" customWidth="1"/>
    <col min="4613" max="4613" width="17.8611111111111" style="118" customWidth="1"/>
    <col min="4614" max="4614" width="18.1388888888889" style="118" customWidth="1"/>
    <col min="4615" max="4615" width="22.5648148148148" style="118" customWidth="1"/>
    <col min="4616" max="4616" width="21.1388888888889" style="118" customWidth="1"/>
    <col min="4617" max="4617" width="0.564814814814815" style="118" customWidth="1"/>
    <col min="4618" max="4618" width="9.13888888888889" style="118"/>
    <col min="4619" max="4619" width="15.4259259259259" style="118" customWidth="1"/>
    <col min="4620" max="4862" width="9.13888888888889" style="118"/>
    <col min="4863" max="4863" width="32.5648148148148" style="118" customWidth="1"/>
    <col min="4864" max="4864" width="13.1388888888889" style="118" customWidth="1"/>
    <col min="4865" max="4865" width="15.5648148148148" style="118" customWidth="1"/>
    <col min="4866" max="4866" width="5.86111111111111" style="118" customWidth="1"/>
    <col min="4867" max="4867" width="15.8611111111111" style="118" customWidth="1"/>
    <col min="4868" max="4868" width="14.5648148148148" style="118" customWidth="1"/>
    <col min="4869" max="4869" width="17.8611111111111" style="118" customWidth="1"/>
    <col min="4870" max="4870" width="18.1388888888889" style="118" customWidth="1"/>
    <col min="4871" max="4871" width="22.5648148148148" style="118" customWidth="1"/>
    <col min="4872" max="4872" width="21.1388888888889" style="118" customWidth="1"/>
    <col min="4873" max="4873" width="0.564814814814815" style="118" customWidth="1"/>
    <col min="4874" max="4874" width="9.13888888888889" style="118"/>
    <col min="4875" max="4875" width="15.4259259259259" style="118" customWidth="1"/>
    <col min="4876" max="5118" width="9.13888888888889" style="118"/>
    <col min="5119" max="5119" width="32.5648148148148" style="118" customWidth="1"/>
    <col min="5120" max="5120" width="13.1388888888889" style="118" customWidth="1"/>
    <col min="5121" max="5121" width="15.5648148148148" style="118" customWidth="1"/>
    <col min="5122" max="5122" width="5.86111111111111" style="118" customWidth="1"/>
    <col min="5123" max="5123" width="15.8611111111111" style="118" customWidth="1"/>
    <col min="5124" max="5124" width="14.5648148148148" style="118" customWidth="1"/>
    <col min="5125" max="5125" width="17.8611111111111" style="118" customWidth="1"/>
    <col min="5126" max="5126" width="18.1388888888889" style="118" customWidth="1"/>
    <col min="5127" max="5127" width="22.5648148148148" style="118" customWidth="1"/>
    <col min="5128" max="5128" width="21.1388888888889" style="118" customWidth="1"/>
    <col min="5129" max="5129" width="0.564814814814815" style="118" customWidth="1"/>
    <col min="5130" max="5130" width="9.13888888888889" style="118"/>
    <col min="5131" max="5131" width="15.4259259259259" style="118" customWidth="1"/>
    <col min="5132" max="5374" width="9.13888888888889" style="118"/>
    <col min="5375" max="5375" width="32.5648148148148" style="118" customWidth="1"/>
    <col min="5376" max="5376" width="13.1388888888889" style="118" customWidth="1"/>
    <col min="5377" max="5377" width="15.5648148148148" style="118" customWidth="1"/>
    <col min="5378" max="5378" width="5.86111111111111" style="118" customWidth="1"/>
    <col min="5379" max="5379" width="15.8611111111111" style="118" customWidth="1"/>
    <col min="5380" max="5380" width="14.5648148148148" style="118" customWidth="1"/>
    <col min="5381" max="5381" width="17.8611111111111" style="118" customWidth="1"/>
    <col min="5382" max="5382" width="18.1388888888889" style="118" customWidth="1"/>
    <col min="5383" max="5383" width="22.5648148148148" style="118" customWidth="1"/>
    <col min="5384" max="5384" width="21.1388888888889" style="118" customWidth="1"/>
    <col min="5385" max="5385" width="0.564814814814815" style="118" customWidth="1"/>
    <col min="5386" max="5386" width="9.13888888888889" style="118"/>
    <col min="5387" max="5387" width="15.4259259259259" style="118" customWidth="1"/>
    <col min="5388" max="5630" width="9.13888888888889" style="118"/>
    <col min="5631" max="5631" width="32.5648148148148" style="118" customWidth="1"/>
    <col min="5632" max="5632" width="13.1388888888889" style="118" customWidth="1"/>
    <col min="5633" max="5633" width="15.5648148148148" style="118" customWidth="1"/>
    <col min="5634" max="5634" width="5.86111111111111" style="118" customWidth="1"/>
    <col min="5635" max="5635" width="15.8611111111111" style="118" customWidth="1"/>
    <col min="5636" max="5636" width="14.5648148148148" style="118" customWidth="1"/>
    <col min="5637" max="5637" width="17.8611111111111" style="118" customWidth="1"/>
    <col min="5638" max="5638" width="18.1388888888889" style="118" customWidth="1"/>
    <col min="5639" max="5639" width="22.5648148148148" style="118" customWidth="1"/>
    <col min="5640" max="5640" width="21.1388888888889" style="118" customWidth="1"/>
    <col min="5641" max="5641" width="0.564814814814815" style="118" customWidth="1"/>
    <col min="5642" max="5642" width="9.13888888888889" style="118"/>
    <col min="5643" max="5643" width="15.4259259259259" style="118" customWidth="1"/>
    <col min="5644" max="5886" width="9.13888888888889" style="118"/>
    <col min="5887" max="5887" width="32.5648148148148" style="118" customWidth="1"/>
    <col min="5888" max="5888" width="13.1388888888889" style="118" customWidth="1"/>
    <col min="5889" max="5889" width="15.5648148148148" style="118" customWidth="1"/>
    <col min="5890" max="5890" width="5.86111111111111" style="118" customWidth="1"/>
    <col min="5891" max="5891" width="15.8611111111111" style="118" customWidth="1"/>
    <col min="5892" max="5892" width="14.5648148148148" style="118" customWidth="1"/>
    <col min="5893" max="5893" width="17.8611111111111" style="118" customWidth="1"/>
    <col min="5894" max="5894" width="18.1388888888889" style="118" customWidth="1"/>
    <col min="5895" max="5895" width="22.5648148148148" style="118" customWidth="1"/>
    <col min="5896" max="5896" width="21.1388888888889" style="118" customWidth="1"/>
    <col min="5897" max="5897" width="0.564814814814815" style="118" customWidth="1"/>
    <col min="5898" max="5898" width="9.13888888888889" style="118"/>
    <col min="5899" max="5899" width="15.4259259259259" style="118" customWidth="1"/>
    <col min="5900" max="6142" width="9.13888888888889" style="118"/>
    <col min="6143" max="6143" width="32.5648148148148" style="118" customWidth="1"/>
    <col min="6144" max="6144" width="13.1388888888889" style="118" customWidth="1"/>
    <col min="6145" max="6145" width="15.5648148148148" style="118" customWidth="1"/>
    <col min="6146" max="6146" width="5.86111111111111" style="118" customWidth="1"/>
    <col min="6147" max="6147" width="15.8611111111111" style="118" customWidth="1"/>
    <col min="6148" max="6148" width="14.5648148148148" style="118" customWidth="1"/>
    <col min="6149" max="6149" width="17.8611111111111" style="118" customWidth="1"/>
    <col min="6150" max="6150" width="18.1388888888889" style="118" customWidth="1"/>
    <col min="6151" max="6151" width="22.5648148148148" style="118" customWidth="1"/>
    <col min="6152" max="6152" width="21.1388888888889" style="118" customWidth="1"/>
    <col min="6153" max="6153" width="0.564814814814815" style="118" customWidth="1"/>
    <col min="6154" max="6154" width="9.13888888888889" style="118"/>
    <col min="6155" max="6155" width="15.4259259259259" style="118" customWidth="1"/>
    <col min="6156" max="6398" width="9.13888888888889" style="118"/>
    <col min="6399" max="6399" width="32.5648148148148" style="118" customWidth="1"/>
    <col min="6400" max="6400" width="13.1388888888889" style="118" customWidth="1"/>
    <col min="6401" max="6401" width="15.5648148148148" style="118" customWidth="1"/>
    <col min="6402" max="6402" width="5.86111111111111" style="118" customWidth="1"/>
    <col min="6403" max="6403" width="15.8611111111111" style="118" customWidth="1"/>
    <col min="6404" max="6404" width="14.5648148148148" style="118" customWidth="1"/>
    <col min="6405" max="6405" width="17.8611111111111" style="118" customWidth="1"/>
    <col min="6406" max="6406" width="18.1388888888889" style="118" customWidth="1"/>
    <col min="6407" max="6407" width="22.5648148148148" style="118" customWidth="1"/>
    <col min="6408" max="6408" width="21.1388888888889" style="118" customWidth="1"/>
    <col min="6409" max="6409" width="0.564814814814815" style="118" customWidth="1"/>
    <col min="6410" max="6410" width="9.13888888888889" style="118"/>
    <col min="6411" max="6411" width="15.4259259259259" style="118" customWidth="1"/>
    <col min="6412" max="6654" width="9.13888888888889" style="118"/>
    <col min="6655" max="6655" width="32.5648148148148" style="118" customWidth="1"/>
    <col min="6656" max="6656" width="13.1388888888889" style="118" customWidth="1"/>
    <col min="6657" max="6657" width="15.5648148148148" style="118" customWidth="1"/>
    <col min="6658" max="6658" width="5.86111111111111" style="118" customWidth="1"/>
    <col min="6659" max="6659" width="15.8611111111111" style="118" customWidth="1"/>
    <col min="6660" max="6660" width="14.5648148148148" style="118" customWidth="1"/>
    <col min="6661" max="6661" width="17.8611111111111" style="118" customWidth="1"/>
    <col min="6662" max="6662" width="18.1388888888889" style="118" customWidth="1"/>
    <col min="6663" max="6663" width="22.5648148148148" style="118" customWidth="1"/>
    <col min="6664" max="6664" width="21.1388888888889" style="118" customWidth="1"/>
    <col min="6665" max="6665" width="0.564814814814815" style="118" customWidth="1"/>
    <col min="6666" max="6666" width="9.13888888888889" style="118"/>
    <col min="6667" max="6667" width="15.4259259259259" style="118" customWidth="1"/>
    <col min="6668" max="6910" width="9.13888888888889" style="118"/>
    <col min="6911" max="6911" width="32.5648148148148" style="118" customWidth="1"/>
    <col min="6912" max="6912" width="13.1388888888889" style="118" customWidth="1"/>
    <col min="6913" max="6913" width="15.5648148148148" style="118" customWidth="1"/>
    <col min="6914" max="6914" width="5.86111111111111" style="118" customWidth="1"/>
    <col min="6915" max="6915" width="15.8611111111111" style="118" customWidth="1"/>
    <col min="6916" max="6916" width="14.5648148148148" style="118" customWidth="1"/>
    <col min="6917" max="6917" width="17.8611111111111" style="118" customWidth="1"/>
    <col min="6918" max="6918" width="18.1388888888889" style="118" customWidth="1"/>
    <col min="6919" max="6919" width="22.5648148148148" style="118" customWidth="1"/>
    <col min="6920" max="6920" width="21.1388888888889" style="118" customWidth="1"/>
    <col min="6921" max="6921" width="0.564814814814815" style="118" customWidth="1"/>
    <col min="6922" max="6922" width="9.13888888888889" style="118"/>
    <col min="6923" max="6923" width="15.4259259259259" style="118" customWidth="1"/>
    <col min="6924" max="7166" width="9.13888888888889" style="118"/>
    <col min="7167" max="7167" width="32.5648148148148" style="118" customWidth="1"/>
    <col min="7168" max="7168" width="13.1388888888889" style="118" customWidth="1"/>
    <col min="7169" max="7169" width="15.5648148148148" style="118" customWidth="1"/>
    <col min="7170" max="7170" width="5.86111111111111" style="118" customWidth="1"/>
    <col min="7171" max="7171" width="15.8611111111111" style="118" customWidth="1"/>
    <col min="7172" max="7172" width="14.5648148148148" style="118" customWidth="1"/>
    <col min="7173" max="7173" width="17.8611111111111" style="118" customWidth="1"/>
    <col min="7174" max="7174" width="18.1388888888889" style="118" customWidth="1"/>
    <col min="7175" max="7175" width="22.5648148148148" style="118" customWidth="1"/>
    <col min="7176" max="7176" width="21.1388888888889" style="118" customWidth="1"/>
    <col min="7177" max="7177" width="0.564814814814815" style="118" customWidth="1"/>
    <col min="7178" max="7178" width="9.13888888888889" style="118"/>
    <col min="7179" max="7179" width="15.4259259259259" style="118" customWidth="1"/>
    <col min="7180" max="7422" width="9.13888888888889" style="118"/>
    <col min="7423" max="7423" width="32.5648148148148" style="118" customWidth="1"/>
    <col min="7424" max="7424" width="13.1388888888889" style="118" customWidth="1"/>
    <col min="7425" max="7425" width="15.5648148148148" style="118" customWidth="1"/>
    <col min="7426" max="7426" width="5.86111111111111" style="118" customWidth="1"/>
    <col min="7427" max="7427" width="15.8611111111111" style="118" customWidth="1"/>
    <col min="7428" max="7428" width="14.5648148148148" style="118" customWidth="1"/>
    <col min="7429" max="7429" width="17.8611111111111" style="118" customWidth="1"/>
    <col min="7430" max="7430" width="18.1388888888889" style="118" customWidth="1"/>
    <col min="7431" max="7431" width="22.5648148148148" style="118" customWidth="1"/>
    <col min="7432" max="7432" width="21.1388888888889" style="118" customWidth="1"/>
    <col min="7433" max="7433" width="0.564814814814815" style="118" customWidth="1"/>
    <col min="7434" max="7434" width="9.13888888888889" style="118"/>
    <col min="7435" max="7435" width="15.4259259259259" style="118" customWidth="1"/>
    <col min="7436" max="7678" width="9.13888888888889" style="118"/>
    <col min="7679" max="7679" width="32.5648148148148" style="118" customWidth="1"/>
    <col min="7680" max="7680" width="13.1388888888889" style="118" customWidth="1"/>
    <col min="7681" max="7681" width="15.5648148148148" style="118" customWidth="1"/>
    <col min="7682" max="7682" width="5.86111111111111" style="118" customWidth="1"/>
    <col min="7683" max="7683" width="15.8611111111111" style="118" customWidth="1"/>
    <col min="7684" max="7684" width="14.5648148148148" style="118" customWidth="1"/>
    <col min="7685" max="7685" width="17.8611111111111" style="118" customWidth="1"/>
    <col min="7686" max="7686" width="18.1388888888889" style="118" customWidth="1"/>
    <col min="7687" max="7687" width="22.5648148148148" style="118" customWidth="1"/>
    <col min="7688" max="7688" width="21.1388888888889" style="118" customWidth="1"/>
    <col min="7689" max="7689" width="0.564814814814815" style="118" customWidth="1"/>
    <col min="7690" max="7690" width="9.13888888888889" style="118"/>
    <col min="7691" max="7691" width="15.4259259259259" style="118" customWidth="1"/>
    <col min="7692" max="7934" width="9.13888888888889" style="118"/>
    <col min="7935" max="7935" width="32.5648148148148" style="118" customWidth="1"/>
    <col min="7936" max="7936" width="13.1388888888889" style="118" customWidth="1"/>
    <col min="7937" max="7937" width="15.5648148148148" style="118" customWidth="1"/>
    <col min="7938" max="7938" width="5.86111111111111" style="118" customWidth="1"/>
    <col min="7939" max="7939" width="15.8611111111111" style="118" customWidth="1"/>
    <col min="7940" max="7940" width="14.5648148148148" style="118" customWidth="1"/>
    <col min="7941" max="7941" width="17.8611111111111" style="118" customWidth="1"/>
    <col min="7942" max="7942" width="18.1388888888889" style="118" customWidth="1"/>
    <col min="7943" max="7943" width="22.5648148148148" style="118" customWidth="1"/>
    <col min="7944" max="7944" width="21.1388888888889" style="118" customWidth="1"/>
    <col min="7945" max="7945" width="0.564814814814815" style="118" customWidth="1"/>
    <col min="7946" max="7946" width="9.13888888888889" style="118"/>
    <col min="7947" max="7947" width="15.4259259259259" style="118" customWidth="1"/>
    <col min="7948" max="8190" width="9.13888888888889" style="118"/>
    <col min="8191" max="8191" width="32.5648148148148" style="118" customWidth="1"/>
    <col min="8192" max="8192" width="13.1388888888889" style="118" customWidth="1"/>
    <col min="8193" max="8193" width="15.5648148148148" style="118" customWidth="1"/>
    <col min="8194" max="8194" width="5.86111111111111" style="118" customWidth="1"/>
    <col min="8195" max="8195" width="15.8611111111111" style="118" customWidth="1"/>
    <col min="8196" max="8196" width="14.5648148148148" style="118" customWidth="1"/>
    <col min="8197" max="8197" width="17.8611111111111" style="118" customWidth="1"/>
    <col min="8198" max="8198" width="18.1388888888889" style="118" customWidth="1"/>
    <col min="8199" max="8199" width="22.5648148148148" style="118" customWidth="1"/>
    <col min="8200" max="8200" width="21.1388888888889" style="118" customWidth="1"/>
    <col min="8201" max="8201" width="0.564814814814815" style="118" customWidth="1"/>
    <col min="8202" max="8202" width="9.13888888888889" style="118"/>
    <col min="8203" max="8203" width="15.4259259259259" style="118" customWidth="1"/>
    <col min="8204" max="8446" width="9.13888888888889" style="118"/>
    <col min="8447" max="8447" width="32.5648148148148" style="118" customWidth="1"/>
    <col min="8448" max="8448" width="13.1388888888889" style="118" customWidth="1"/>
    <col min="8449" max="8449" width="15.5648148148148" style="118" customWidth="1"/>
    <col min="8450" max="8450" width="5.86111111111111" style="118" customWidth="1"/>
    <col min="8451" max="8451" width="15.8611111111111" style="118" customWidth="1"/>
    <col min="8452" max="8452" width="14.5648148148148" style="118" customWidth="1"/>
    <col min="8453" max="8453" width="17.8611111111111" style="118" customWidth="1"/>
    <col min="8454" max="8454" width="18.1388888888889" style="118" customWidth="1"/>
    <col min="8455" max="8455" width="22.5648148148148" style="118" customWidth="1"/>
    <col min="8456" max="8456" width="21.1388888888889" style="118" customWidth="1"/>
    <col min="8457" max="8457" width="0.564814814814815" style="118" customWidth="1"/>
    <col min="8458" max="8458" width="9.13888888888889" style="118"/>
    <col min="8459" max="8459" width="15.4259259259259" style="118" customWidth="1"/>
    <col min="8460" max="8702" width="9.13888888888889" style="118"/>
    <col min="8703" max="8703" width="32.5648148148148" style="118" customWidth="1"/>
    <col min="8704" max="8704" width="13.1388888888889" style="118" customWidth="1"/>
    <col min="8705" max="8705" width="15.5648148148148" style="118" customWidth="1"/>
    <col min="8706" max="8706" width="5.86111111111111" style="118" customWidth="1"/>
    <col min="8707" max="8707" width="15.8611111111111" style="118" customWidth="1"/>
    <col min="8708" max="8708" width="14.5648148148148" style="118" customWidth="1"/>
    <col min="8709" max="8709" width="17.8611111111111" style="118" customWidth="1"/>
    <col min="8710" max="8710" width="18.1388888888889" style="118" customWidth="1"/>
    <col min="8711" max="8711" width="22.5648148148148" style="118" customWidth="1"/>
    <col min="8712" max="8712" width="21.1388888888889" style="118" customWidth="1"/>
    <col min="8713" max="8713" width="0.564814814814815" style="118" customWidth="1"/>
    <col min="8714" max="8714" width="9.13888888888889" style="118"/>
    <col min="8715" max="8715" width="15.4259259259259" style="118" customWidth="1"/>
    <col min="8716" max="8958" width="9.13888888888889" style="118"/>
    <col min="8959" max="8959" width="32.5648148148148" style="118" customWidth="1"/>
    <col min="8960" max="8960" width="13.1388888888889" style="118" customWidth="1"/>
    <col min="8961" max="8961" width="15.5648148148148" style="118" customWidth="1"/>
    <col min="8962" max="8962" width="5.86111111111111" style="118" customWidth="1"/>
    <col min="8963" max="8963" width="15.8611111111111" style="118" customWidth="1"/>
    <col min="8964" max="8964" width="14.5648148148148" style="118" customWidth="1"/>
    <col min="8965" max="8965" width="17.8611111111111" style="118" customWidth="1"/>
    <col min="8966" max="8966" width="18.1388888888889" style="118" customWidth="1"/>
    <col min="8967" max="8967" width="22.5648148148148" style="118" customWidth="1"/>
    <col min="8968" max="8968" width="21.1388888888889" style="118" customWidth="1"/>
    <col min="8969" max="8969" width="0.564814814814815" style="118" customWidth="1"/>
    <col min="8970" max="8970" width="9.13888888888889" style="118"/>
    <col min="8971" max="8971" width="15.4259259259259" style="118" customWidth="1"/>
    <col min="8972" max="9214" width="9.13888888888889" style="118"/>
    <col min="9215" max="9215" width="32.5648148148148" style="118" customWidth="1"/>
    <col min="9216" max="9216" width="13.1388888888889" style="118" customWidth="1"/>
    <col min="9217" max="9217" width="15.5648148148148" style="118" customWidth="1"/>
    <col min="9218" max="9218" width="5.86111111111111" style="118" customWidth="1"/>
    <col min="9219" max="9219" width="15.8611111111111" style="118" customWidth="1"/>
    <col min="9220" max="9220" width="14.5648148148148" style="118" customWidth="1"/>
    <col min="9221" max="9221" width="17.8611111111111" style="118" customWidth="1"/>
    <col min="9222" max="9222" width="18.1388888888889" style="118" customWidth="1"/>
    <col min="9223" max="9223" width="22.5648148148148" style="118" customWidth="1"/>
    <col min="9224" max="9224" width="21.1388888888889" style="118" customWidth="1"/>
    <col min="9225" max="9225" width="0.564814814814815" style="118" customWidth="1"/>
    <col min="9226" max="9226" width="9.13888888888889" style="118"/>
    <col min="9227" max="9227" width="15.4259259259259" style="118" customWidth="1"/>
    <col min="9228" max="9470" width="9.13888888888889" style="118"/>
    <col min="9471" max="9471" width="32.5648148148148" style="118" customWidth="1"/>
    <col min="9472" max="9472" width="13.1388888888889" style="118" customWidth="1"/>
    <col min="9473" max="9473" width="15.5648148148148" style="118" customWidth="1"/>
    <col min="9474" max="9474" width="5.86111111111111" style="118" customWidth="1"/>
    <col min="9475" max="9475" width="15.8611111111111" style="118" customWidth="1"/>
    <col min="9476" max="9476" width="14.5648148148148" style="118" customWidth="1"/>
    <col min="9477" max="9477" width="17.8611111111111" style="118" customWidth="1"/>
    <col min="9478" max="9478" width="18.1388888888889" style="118" customWidth="1"/>
    <col min="9479" max="9479" width="22.5648148148148" style="118" customWidth="1"/>
    <col min="9480" max="9480" width="21.1388888888889" style="118" customWidth="1"/>
    <col min="9481" max="9481" width="0.564814814814815" style="118" customWidth="1"/>
    <col min="9482" max="9482" width="9.13888888888889" style="118"/>
    <col min="9483" max="9483" width="15.4259259259259" style="118" customWidth="1"/>
    <col min="9484" max="9726" width="9.13888888888889" style="118"/>
    <col min="9727" max="9727" width="32.5648148148148" style="118" customWidth="1"/>
    <col min="9728" max="9728" width="13.1388888888889" style="118" customWidth="1"/>
    <col min="9729" max="9729" width="15.5648148148148" style="118" customWidth="1"/>
    <col min="9730" max="9730" width="5.86111111111111" style="118" customWidth="1"/>
    <col min="9731" max="9731" width="15.8611111111111" style="118" customWidth="1"/>
    <col min="9732" max="9732" width="14.5648148148148" style="118" customWidth="1"/>
    <col min="9733" max="9733" width="17.8611111111111" style="118" customWidth="1"/>
    <col min="9734" max="9734" width="18.1388888888889" style="118" customWidth="1"/>
    <col min="9735" max="9735" width="22.5648148148148" style="118" customWidth="1"/>
    <col min="9736" max="9736" width="21.1388888888889" style="118" customWidth="1"/>
    <col min="9737" max="9737" width="0.564814814814815" style="118" customWidth="1"/>
    <col min="9738" max="9738" width="9.13888888888889" style="118"/>
    <col min="9739" max="9739" width="15.4259259259259" style="118" customWidth="1"/>
    <col min="9740" max="9982" width="9.13888888888889" style="118"/>
    <col min="9983" max="9983" width="32.5648148148148" style="118" customWidth="1"/>
    <col min="9984" max="9984" width="13.1388888888889" style="118" customWidth="1"/>
    <col min="9985" max="9985" width="15.5648148148148" style="118" customWidth="1"/>
    <col min="9986" max="9986" width="5.86111111111111" style="118" customWidth="1"/>
    <col min="9987" max="9987" width="15.8611111111111" style="118" customWidth="1"/>
    <col min="9988" max="9988" width="14.5648148148148" style="118" customWidth="1"/>
    <col min="9989" max="9989" width="17.8611111111111" style="118" customWidth="1"/>
    <col min="9990" max="9990" width="18.1388888888889" style="118" customWidth="1"/>
    <col min="9991" max="9991" width="22.5648148148148" style="118" customWidth="1"/>
    <col min="9992" max="9992" width="21.1388888888889" style="118" customWidth="1"/>
    <col min="9993" max="9993" width="0.564814814814815" style="118" customWidth="1"/>
    <col min="9994" max="9994" width="9.13888888888889" style="118"/>
    <col min="9995" max="9995" width="15.4259259259259" style="118" customWidth="1"/>
    <col min="9996" max="10238" width="9.13888888888889" style="118"/>
    <col min="10239" max="10239" width="32.5648148148148" style="118" customWidth="1"/>
    <col min="10240" max="10240" width="13.1388888888889" style="118" customWidth="1"/>
    <col min="10241" max="10241" width="15.5648148148148" style="118" customWidth="1"/>
    <col min="10242" max="10242" width="5.86111111111111" style="118" customWidth="1"/>
    <col min="10243" max="10243" width="15.8611111111111" style="118" customWidth="1"/>
    <col min="10244" max="10244" width="14.5648148148148" style="118" customWidth="1"/>
    <col min="10245" max="10245" width="17.8611111111111" style="118" customWidth="1"/>
    <col min="10246" max="10246" width="18.1388888888889" style="118" customWidth="1"/>
    <col min="10247" max="10247" width="22.5648148148148" style="118" customWidth="1"/>
    <col min="10248" max="10248" width="21.1388888888889" style="118" customWidth="1"/>
    <col min="10249" max="10249" width="0.564814814814815" style="118" customWidth="1"/>
    <col min="10250" max="10250" width="9.13888888888889" style="118"/>
    <col min="10251" max="10251" width="15.4259259259259" style="118" customWidth="1"/>
    <col min="10252" max="10494" width="9.13888888888889" style="118"/>
    <col min="10495" max="10495" width="32.5648148148148" style="118" customWidth="1"/>
    <col min="10496" max="10496" width="13.1388888888889" style="118" customWidth="1"/>
    <col min="10497" max="10497" width="15.5648148148148" style="118" customWidth="1"/>
    <col min="10498" max="10498" width="5.86111111111111" style="118" customWidth="1"/>
    <col min="10499" max="10499" width="15.8611111111111" style="118" customWidth="1"/>
    <col min="10500" max="10500" width="14.5648148148148" style="118" customWidth="1"/>
    <col min="10501" max="10501" width="17.8611111111111" style="118" customWidth="1"/>
    <col min="10502" max="10502" width="18.1388888888889" style="118" customWidth="1"/>
    <col min="10503" max="10503" width="22.5648148148148" style="118" customWidth="1"/>
    <col min="10504" max="10504" width="21.1388888888889" style="118" customWidth="1"/>
    <col min="10505" max="10505" width="0.564814814814815" style="118" customWidth="1"/>
    <col min="10506" max="10506" width="9.13888888888889" style="118"/>
    <col min="10507" max="10507" width="15.4259259259259" style="118" customWidth="1"/>
    <col min="10508" max="10750" width="9.13888888888889" style="118"/>
    <col min="10751" max="10751" width="32.5648148148148" style="118" customWidth="1"/>
    <col min="10752" max="10752" width="13.1388888888889" style="118" customWidth="1"/>
    <col min="10753" max="10753" width="15.5648148148148" style="118" customWidth="1"/>
    <col min="10754" max="10754" width="5.86111111111111" style="118" customWidth="1"/>
    <col min="10755" max="10755" width="15.8611111111111" style="118" customWidth="1"/>
    <col min="10756" max="10756" width="14.5648148148148" style="118" customWidth="1"/>
    <col min="10757" max="10757" width="17.8611111111111" style="118" customWidth="1"/>
    <col min="10758" max="10758" width="18.1388888888889" style="118" customWidth="1"/>
    <col min="10759" max="10759" width="22.5648148148148" style="118" customWidth="1"/>
    <col min="10760" max="10760" width="21.1388888888889" style="118" customWidth="1"/>
    <col min="10761" max="10761" width="0.564814814814815" style="118" customWidth="1"/>
    <col min="10762" max="10762" width="9.13888888888889" style="118"/>
    <col min="10763" max="10763" width="15.4259259259259" style="118" customWidth="1"/>
    <col min="10764" max="11006" width="9.13888888888889" style="118"/>
    <col min="11007" max="11007" width="32.5648148148148" style="118" customWidth="1"/>
    <col min="11008" max="11008" width="13.1388888888889" style="118" customWidth="1"/>
    <col min="11009" max="11009" width="15.5648148148148" style="118" customWidth="1"/>
    <col min="11010" max="11010" width="5.86111111111111" style="118" customWidth="1"/>
    <col min="11011" max="11011" width="15.8611111111111" style="118" customWidth="1"/>
    <col min="11012" max="11012" width="14.5648148148148" style="118" customWidth="1"/>
    <col min="11013" max="11013" width="17.8611111111111" style="118" customWidth="1"/>
    <col min="11014" max="11014" width="18.1388888888889" style="118" customWidth="1"/>
    <col min="11015" max="11015" width="22.5648148148148" style="118" customWidth="1"/>
    <col min="11016" max="11016" width="21.1388888888889" style="118" customWidth="1"/>
    <col min="11017" max="11017" width="0.564814814814815" style="118" customWidth="1"/>
    <col min="11018" max="11018" width="9.13888888888889" style="118"/>
    <col min="11019" max="11019" width="15.4259259259259" style="118" customWidth="1"/>
    <col min="11020" max="11262" width="9.13888888888889" style="118"/>
    <col min="11263" max="11263" width="32.5648148148148" style="118" customWidth="1"/>
    <col min="11264" max="11264" width="13.1388888888889" style="118" customWidth="1"/>
    <col min="11265" max="11265" width="15.5648148148148" style="118" customWidth="1"/>
    <col min="11266" max="11266" width="5.86111111111111" style="118" customWidth="1"/>
    <col min="11267" max="11267" width="15.8611111111111" style="118" customWidth="1"/>
    <col min="11268" max="11268" width="14.5648148148148" style="118" customWidth="1"/>
    <col min="11269" max="11269" width="17.8611111111111" style="118" customWidth="1"/>
    <col min="11270" max="11270" width="18.1388888888889" style="118" customWidth="1"/>
    <col min="11271" max="11271" width="22.5648148148148" style="118" customWidth="1"/>
    <col min="11272" max="11272" width="21.1388888888889" style="118" customWidth="1"/>
    <col min="11273" max="11273" width="0.564814814814815" style="118" customWidth="1"/>
    <col min="11274" max="11274" width="9.13888888888889" style="118"/>
    <col min="11275" max="11275" width="15.4259259259259" style="118" customWidth="1"/>
    <col min="11276" max="11518" width="9.13888888888889" style="118"/>
    <col min="11519" max="11519" width="32.5648148148148" style="118" customWidth="1"/>
    <col min="11520" max="11520" width="13.1388888888889" style="118" customWidth="1"/>
    <col min="11521" max="11521" width="15.5648148148148" style="118" customWidth="1"/>
    <col min="11522" max="11522" width="5.86111111111111" style="118" customWidth="1"/>
    <col min="11523" max="11523" width="15.8611111111111" style="118" customWidth="1"/>
    <col min="11524" max="11524" width="14.5648148148148" style="118" customWidth="1"/>
    <col min="11525" max="11525" width="17.8611111111111" style="118" customWidth="1"/>
    <col min="11526" max="11526" width="18.1388888888889" style="118" customWidth="1"/>
    <col min="11527" max="11527" width="22.5648148148148" style="118" customWidth="1"/>
    <col min="11528" max="11528" width="21.1388888888889" style="118" customWidth="1"/>
    <col min="11529" max="11529" width="0.564814814814815" style="118" customWidth="1"/>
    <col min="11530" max="11530" width="9.13888888888889" style="118"/>
    <col min="11531" max="11531" width="15.4259259259259" style="118" customWidth="1"/>
    <col min="11532" max="11774" width="9.13888888888889" style="118"/>
    <col min="11775" max="11775" width="32.5648148148148" style="118" customWidth="1"/>
    <col min="11776" max="11776" width="13.1388888888889" style="118" customWidth="1"/>
    <col min="11777" max="11777" width="15.5648148148148" style="118" customWidth="1"/>
    <col min="11778" max="11778" width="5.86111111111111" style="118" customWidth="1"/>
    <col min="11779" max="11779" width="15.8611111111111" style="118" customWidth="1"/>
    <col min="11780" max="11780" width="14.5648148148148" style="118" customWidth="1"/>
    <col min="11781" max="11781" width="17.8611111111111" style="118" customWidth="1"/>
    <col min="11782" max="11782" width="18.1388888888889" style="118" customWidth="1"/>
    <col min="11783" max="11783" width="22.5648148148148" style="118" customWidth="1"/>
    <col min="11784" max="11784" width="21.1388888888889" style="118" customWidth="1"/>
    <col min="11785" max="11785" width="0.564814814814815" style="118" customWidth="1"/>
    <col min="11786" max="11786" width="9.13888888888889" style="118"/>
    <col min="11787" max="11787" width="15.4259259259259" style="118" customWidth="1"/>
    <col min="11788" max="12030" width="9.13888888888889" style="118"/>
    <col min="12031" max="12031" width="32.5648148148148" style="118" customWidth="1"/>
    <col min="12032" max="12032" width="13.1388888888889" style="118" customWidth="1"/>
    <col min="12033" max="12033" width="15.5648148148148" style="118" customWidth="1"/>
    <col min="12034" max="12034" width="5.86111111111111" style="118" customWidth="1"/>
    <col min="12035" max="12035" width="15.8611111111111" style="118" customWidth="1"/>
    <col min="12036" max="12036" width="14.5648148148148" style="118" customWidth="1"/>
    <col min="12037" max="12037" width="17.8611111111111" style="118" customWidth="1"/>
    <col min="12038" max="12038" width="18.1388888888889" style="118" customWidth="1"/>
    <col min="12039" max="12039" width="22.5648148148148" style="118" customWidth="1"/>
    <col min="12040" max="12040" width="21.1388888888889" style="118" customWidth="1"/>
    <col min="12041" max="12041" width="0.564814814814815" style="118" customWidth="1"/>
    <col min="12042" max="12042" width="9.13888888888889" style="118"/>
    <col min="12043" max="12043" width="15.4259259259259" style="118" customWidth="1"/>
    <col min="12044" max="12286" width="9.13888888888889" style="118"/>
    <col min="12287" max="12287" width="32.5648148148148" style="118" customWidth="1"/>
    <col min="12288" max="12288" width="13.1388888888889" style="118" customWidth="1"/>
    <col min="12289" max="12289" width="15.5648148148148" style="118" customWidth="1"/>
    <col min="12290" max="12290" width="5.86111111111111" style="118" customWidth="1"/>
    <col min="12291" max="12291" width="15.8611111111111" style="118" customWidth="1"/>
    <col min="12292" max="12292" width="14.5648148148148" style="118" customWidth="1"/>
    <col min="12293" max="12293" width="17.8611111111111" style="118" customWidth="1"/>
    <col min="12294" max="12294" width="18.1388888888889" style="118" customWidth="1"/>
    <col min="12295" max="12295" width="22.5648148148148" style="118" customWidth="1"/>
    <col min="12296" max="12296" width="21.1388888888889" style="118" customWidth="1"/>
    <col min="12297" max="12297" width="0.564814814814815" style="118" customWidth="1"/>
    <col min="12298" max="12298" width="9.13888888888889" style="118"/>
    <col min="12299" max="12299" width="15.4259259259259" style="118" customWidth="1"/>
    <col min="12300" max="12542" width="9.13888888888889" style="118"/>
    <col min="12543" max="12543" width="32.5648148148148" style="118" customWidth="1"/>
    <col min="12544" max="12544" width="13.1388888888889" style="118" customWidth="1"/>
    <col min="12545" max="12545" width="15.5648148148148" style="118" customWidth="1"/>
    <col min="12546" max="12546" width="5.86111111111111" style="118" customWidth="1"/>
    <col min="12547" max="12547" width="15.8611111111111" style="118" customWidth="1"/>
    <col min="12548" max="12548" width="14.5648148148148" style="118" customWidth="1"/>
    <col min="12549" max="12549" width="17.8611111111111" style="118" customWidth="1"/>
    <col min="12550" max="12550" width="18.1388888888889" style="118" customWidth="1"/>
    <col min="12551" max="12551" width="22.5648148148148" style="118" customWidth="1"/>
    <col min="12552" max="12552" width="21.1388888888889" style="118" customWidth="1"/>
    <col min="12553" max="12553" width="0.564814814814815" style="118" customWidth="1"/>
    <col min="12554" max="12554" width="9.13888888888889" style="118"/>
    <col min="12555" max="12555" width="15.4259259259259" style="118" customWidth="1"/>
    <col min="12556" max="12798" width="9.13888888888889" style="118"/>
    <col min="12799" max="12799" width="32.5648148148148" style="118" customWidth="1"/>
    <col min="12800" max="12800" width="13.1388888888889" style="118" customWidth="1"/>
    <col min="12801" max="12801" width="15.5648148148148" style="118" customWidth="1"/>
    <col min="12802" max="12802" width="5.86111111111111" style="118" customWidth="1"/>
    <col min="12803" max="12803" width="15.8611111111111" style="118" customWidth="1"/>
    <col min="12804" max="12804" width="14.5648148148148" style="118" customWidth="1"/>
    <col min="12805" max="12805" width="17.8611111111111" style="118" customWidth="1"/>
    <col min="12806" max="12806" width="18.1388888888889" style="118" customWidth="1"/>
    <col min="12807" max="12807" width="22.5648148148148" style="118" customWidth="1"/>
    <col min="12808" max="12808" width="21.1388888888889" style="118" customWidth="1"/>
    <col min="12809" max="12809" width="0.564814814814815" style="118" customWidth="1"/>
    <col min="12810" max="12810" width="9.13888888888889" style="118"/>
    <col min="12811" max="12811" width="15.4259259259259" style="118" customWidth="1"/>
    <col min="12812" max="13054" width="9.13888888888889" style="118"/>
    <col min="13055" max="13055" width="32.5648148148148" style="118" customWidth="1"/>
    <col min="13056" max="13056" width="13.1388888888889" style="118" customWidth="1"/>
    <col min="13057" max="13057" width="15.5648148148148" style="118" customWidth="1"/>
    <col min="13058" max="13058" width="5.86111111111111" style="118" customWidth="1"/>
    <col min="13059" max="13059" width="15.8611111111111" style="118" customWidth="1"/>
    <col min="13060" max="13060" width="14.5648148148148" style="118" customWidth="1"/>
    <col min="13061" max="13061" width="17.8611111111111" style="118" customWidth="1"/>
    <col min="13062" max="13062" width="18.1388888888889" style="118" customWidth="1"/>
    <col min="13063" max="13063" width="22.5648148148148" style="118" customWidth="1"/>
    <col min="13064" max="13064" width="21.1388888888889" style="118" customWidth="1"/>
    <col min="13065" max="13065" width="0.564814814814815" style="118" customWidth="1"/>
    <col min="13066" max="13066" width="9.13888888888889" style="118"/>
    <col min="13067" max="13067" width="15.4259259259259" style="118" customWidth="1"/>
    <col min="13068" max="13310" width="9.13888888888889" style="118"/>
    <col min="13311" max="13311" width="32.5648148148148" style="118" customWidth="1"/>
    <col min="13312" max="13312" width="13.1388888888889" style="118" customWidth="1"/>
    <col min="13313" max="13313" width="15.5648148148148" style="118" customWidth="1"/>
    <col min="13314" max="13314" width="5.86111111111111" style="118" customWidth="1"/>
    <col min="13315" max="13315" width="15.8611111111111" style="118" customWidth="1"/>
    <col min="13316" max="13316" width="14.5648148148148" style="118" customWidth="1"/>
    <col min="13317" max="13317" width="17.8611111111111" style="118" customWidth="1"/>
    <col min="13318" max="13318" width="18.1388888888889" style="118" customWidth="1"/>
    <col min="13319" max="13319" width="22.5648148148148" style="118" customWidth="1"/>
    <col min="13320" max="13320" width="21.1388888888889" style="118" customWidth="1"/>
    <col min="13321" max="13321" width="0.564814814814815" style="118" customWidth="1"/>
    <col min="13322" max="13322" width="9.13888888888889" style="118"/>
    <col min="13323" max="13323" width="15.4259259259259" style="118" customWidth="1"/>
    <col min="13324" max="13566" width="9.13888888888889" style="118"/>
    <col min="13567" max="13567" width="32.5648148148148" style="118" customWidth="1"/>
    <col min="13568" max="13568" width="13.1388888888889" style="118" customWidth="1"/>
    <col min="13569" max="13569" width="15.5648148148148" style="118" customWidth="1"/>
    <col min="13570" max="13570" width="5.86111111111111" style="118" customWidth="1"/>
    <col min="13571" max="13571" width="15.8611111111111" style="118" customWidth="1"/>
    <col min="13572" max="13572" width="14.5648148148148" style="118" customWidth="1"/>
    <col min="13573" max="13573" width="17.8611111111111" style="118" customWidth="1"/>
    <col min="13574" max="13574" width="18.1388888888889" style="118" customWidth="1"/>
    <col min="13575" max="13575" width="22.5648148148148" style="118" customWidth="1"/>
    <col min="13576" max="13576" width="21.1388888888889" style="118" customWidth="1"/>
    <col min="13577" max="13577" width="0.564814814814815" style="118" customWidth="1"/>
    <col min="13578" max="13578" width="9.13888888888889" style="118"/>
    <col min="13579" max="13579" width="15.4259259259259" style="118" customWidth="1"/>
    <col min="13580" max="13822" width="9.13888888888889" style="118"/>
    <col min="13823" max="13823" width="32.5648148148148" style="118" customWidth="1"/>
    <col min="13824" max="13824" width="13.1388888888889" style="118" customWidth="1"/>
    <col min="13825" max="13825" width="15.5648148148148" style="118" customWidth="1"/>
    <col min="13826" max="13826" width="5.86111111111111" style="118" customWidth="1"/>
    <col min="13827" max="13827" width="15.8611111111111" style="118" customWidth="1"/>
    <col min="13828" max="13828" width="14.5648148148148" style="118" customWidth="1"/>
    <col min="13829" max="13829" width="17.8611111111111" style="118" customWidth="1"/>
    <col min="13830" max="13830" width="18.1388888888889" style="118" customWidth="1"/>
    <col min="13831" max="13831" width="22.5648148148148" style="118" customWidth="1"/>
    <col min="13832" max="13832" width="21.1388888888889" style="118" customWidth="1"/>
    <col min="13833" max="13833" width="0.564814814814815" style="118" customWidth="1"/>
    <col min="13834" max="13834" width="9.13888888888889" style="118"/>
    <col min="13835" max="13835" width="15.4259259259259" style="118" customWidth="1"/>
    <col min="13836" max="14078" width="9.13888888888889" style="118"/>
    <col min="14079" max="14079" width="32.5648148148148" style="118" customWidth="1"/>
    <col min="14080" max="14080" width="13.1388888888889" style="118" customWidth="1"/>
    <col min="14081" max="14081" width="15.5648148148148" style="118" customWidth="1"/>
    <col min="14082" max="14082" width="5.86111111111111" style="118" customWidth="1"/>
    <col min="14083" max="14083" width="15.8611111111111" style="118" customWidth="1"/>
    <col min="14084" max="14084" width="14.5648148148148" style="118" customWidth="1"/>
    <col min="14085" max="14085" width="17.8611111111111" style="118" customWidth="1"/>
    <col min="14086" max="14086" width="18.1388888888889" style="118" customWidth="1"/>
    <col min="14087" max="14087" width="22.5648148148148" style="118" customWidth="1"/>
    <col min="14088" max="14088" width="21.1388888888889" style="118" customWidth="1"/>
    <col min="14089" max="14089" width="0.564814814814815" style="118" customWidth="1"/>
    <col min="14090" max="14090" width="9.13888888888889" style="118"/>
    <col min="14091" max="14091" width="15.4259259259259" style="118" customWidth="1"/>
    <col min="14092" max="14334" width="9.13888888888889" style="118"/>
    <col min="14335" max="14335" width="32.5648148148148" style="118" customWidth="1"/>
    <col min="14336" max="14336" width="13.1388888888889" style="118" customWidth="1"/>
    <col min="14337" max="14337" width="15.5648148148148" style="118" customWidth="1"/>
    <col min="14338" max="14338" width="5.86111111111111" style="118" customWidth="1"/>
    <col min="14339" max="14339" width="15.8611111111111" style="118" customWidth="1"/>
    <col min="14340" max="14340" width="14.5648148148148" style="118" customWidth="1"/>
    <col min="14341" max="14341" width="17.8611111111111" style="118" customWidth="1"/>
    <col min="14342" max="14342" width="18.1388888888889" style="118" customWidth="1"/>
    <col min="14343" max="14343" width="22.5648148148148" style="118" customWidth="1"/>
    <col min="14344" max="14344" width="21.1388888888889" style="118" customWidth="1"/>
    <col min="14345" max="14345" width="0.564814814814815" style="118" customWidth="1"/>
    <col min="14346" max="14346" width="9.13888888888889" style="118"/>
    <col min="14347" max="14347" width="15.4259259259259" style="118" customWidth="1"/>
    <col min="14348" max="14590" width="9.13888888888889" style="118"/>
    <col min="14591" max="14591" width="32.5648148148148" style="118" customWidth="1"/>
    <col min="14592" max="14592" width="13.1388888888889" style="118" customWidth="1"/>
    <col min="14593" max="14593" width="15.5648148148148" style="118" customWidth="1"/>
    <col min="14594" max="14594" width="5.86111111111111" style="118" customWidth="1"/>
    <col min="14595" max="14595" width="15.8611111111111" style="118" customWidth="1"/>
    <col min="14596" max="14596" width="14.5648148148148" style="118" customWidth="1"/>
    <col min="14597" max="14597" width="17.8611111111111" style="118" customWidth="1"/>
    <col min="14598" max="14598" width="18.1388888888889" style="118" customWidth="1"/>
    <col min="14599" max="14599" width="22.5648148148148" style="118" customWidth="1"/>
    <col min="14600" max="14600" width="21.1388888888889" style="118" customWidth="1"/>
    <col min="14601" max="14601" width="0.564814814814815" style="118" customWidth="1"/>
    <col min="14602" max="14602" width="9.13888888888889" style="118"/>
    <col min="14603" max="14603" width="15.4259259259259" style="118" customWidth="1"/>
    <col min="14604" max="14846" width="9.13888888888889" style="118"/>
    <col min="14847" max="14847" width="32.5648148148148" style="118" customWidth="1"/>
    <col min="14848" max="14848" width="13.1388888888889" style="118" customWidth="1"/>
    <col min="14849" max="14849" width="15.5648148148148" style="118" customWidth="1"/>
    <col min="14850" max="14850" width="5.86111111111111" style="118" customWidth="1"/>
    <col min="14851" max="14851" width="15.8611111111111" style="118" customWidth="1"/>
    <col min="14852" max="14852" width="14.5648148148148" style="118" customWidth="1"/>
    <col min="14853" max="14853" width="17.8611111111111" style="118" customWidth="1"/>
    <col min="14854" max="14854" width="18.1388888888889" style="118" customWidth="1"/>
    <col min="14855" max="14855" width="22.5648148148148" style="118" customWidth="1"/>
    <col min="14856" max="14856" width="21.1388888888889" style="118" customWidth="1"/>
    <col min="14857" max="14857" width="0.564814814814815" style="118" customWidth="1"/>
    <col min="14858" max="14858" width="9.13888888888889" style="118"/>
    <col min="14859" max="14859" width="15.4259259259259" style="118" customWidth="1"/>
    <col min="14860" max="15102" width="9.13888888888889" style="118"/>
    <col min="15103" max="15103" width="32.5648148148148" style="118" customWidth="1"/>
    <col min="15104" max="15104" width="13.1388888888889" style="118" customWidth="1"/>
    <col min="15105" max="15105" width="15.5648148148148" style="118" customWidth="1"/>
    <col min="15106" max="15106" width="5.86111111111111" style="118" customWidth="1"/>
    <col min="15107" max="15107" width="15.8611111111111" style="118" customWidth="1"/>
    <col min="15108" max="15108" width="14.5648148148148" style="118" customWidth="1"/>
    <col min="15109" max="15109" width="17.8611111111111" style="118" customWidth="1"/>
    <col min="15110" max="15110" width="18.1388888888889" style="118" customWidth="1"/>
    <col min="15111" max="15111" width="22.5648148148148" style="118" customWidth="1"/>
    <col min="15112" max="15112" width="21.1388888888889" style="118" customWidth="1"/>
    <col min="15113" max="15113" width="0.564814814814815" style="118" customWidth="1"/>
    <col min="15114" max="15114" width="9.13888888888889" style="118"/>
    <col min="15115" max="15115" width="15.4259259259259" style="118" customWidth="1"/>
    <col min="15116" max="15358" width="9.13888888888889" style="118"/>
    <col min="15359" max="15359" width="32.5648148148148" style="118" customWidth="1"/>
    <col min="15360" max="15360" width="13.1388888888889" style="118" customWidth="1"/>
    <col min="15361" max="15361" width="15.5648148148148" style="118" customWidth="1"/>
    <col min="15362" max="15362" width="5.86111111111111" style="118" customWidth="1"/>
    <col min="15363" max="15363" width="15.8611111111111" style="118" customWidth="1"/>
    <col min="15364" max="15364" width="14.5648148148148" style="118" customWidth="1"/>
    <col min="15365" max="15365" width="17.8611111111111" style="118" customWidth="1"/>
    <col min="15366" max="15366" width="18.1388888888889" style="118" customWidth="1"/>
    <col min="15367" max="15367" width="22.5648148148148" style="118" customWidth="1"/>
    <col min="15368" max="15368" width="21.1388888888889" style="118" customWidth="1"/>
    <col min="15369" max="15369" width="0.564814814814815" style="118" customWidth="1"/>
    <col min="15370" max="15370" width="9.13888888888889" style="118"/>
    <col min="15371" max="15371" width="15.4259259259259" style="118" customWidth="1"/>
    <col min="15372" max="15614" width="9.13888888888889" style="118"/>
    <col min="15615" max="15615" width="32.5648148148148" style="118" customWidth="1"/>
    <col min="15616" max="15616" width="13.1388888888889" style="118" customWidth="1"/>
    <col min="15617" max="15617" width="15.5648148148148" style="118" customWidth="1"/>
    <col min="15618" max="15618" width="5.86111111111111" style="118" customWidth="1"/>
    <col min="15619" max="15619" width="15.8611111111111" style="118" customWidth="1"/>
    <col min="15620" max="15620" width="14.5648148148148" style="118" customWidth="1"/>
    <col min="15621" max="15621" width="17.8611111111111" style="118" customWidth="1"/>
    <col min="15622" max="15622" width="18.1388888888889" style="118" customWidth="1"/>
    <col min="15623" max="15623" width="22.5648148148148" style="118" customWidth="1"/>
    <col min="15624" max="15624" width="21.1388888888889" style="118" customWidth="1"/>
    <col min="15625" max="15625" width="0.564814814814815" style="118" customWidth="1"/>
    <col min="15626" max="15626" width="9.13888888888889" style="118"/>
    <col min="15627" max="15627" width="15.4259259259259" style="118" customWidth="1"/>
    <col min="15628" max="15870" width="9.13888888888889" style="118"/>
    <col min="15871" max="15871" width="32.5648148148148" style="118" customWidth="1"/>
    <col min="15872" max="15872" width="13.1388888888889" style="118" customWidth="1"/>
    <col min="15873" max="15873" width="15.5648148148148" style="118" customWidth="1"/>
    <col min="15874" max="15874" width="5.86111111111111" style="118" customWidth="1"/>
    <col min="15875" max="15875" width="15.8611111111111" style="118" customWidth="1"/>
    <col min="15876" max="15876" width="14.5648148148148" style="118" customWidth="1"/>
    <col min="15877" max="15877" width="17.8611111111111" style="118" customWidth="1"/>
    <col min="15878" max="15878" width="18.1388888888889" style="118" customWidth="1"/>
    <col min="15879" max="15879" width="22.5648148148148" style="118" customWidth="1"/>
    <col min="15880" max="15880" width="21.1388888888889" style="118" customWidth="1"/>
    <col min="15881" max="15881" width="0.564814814814815" style="118" customWidth="1"/>
    <col min="15882" max="15882" width="9.13888888888889" style="118"/>
    <col min="15883" max="15883" width="15.4259259259259" style="118" customWidth="1"/>
    <col min="15884" max="16126" width="9.13888888888889" style="118"/>
    <col min="16127" max="16127" width="32.5648148148148" style="118" customWidth="1"/>
    <col min="16128" max="16128" width="13.1388888888889" style="118" customWidth="1"/>
    <col min="16129" max="16129" width="15.5648148148148" style="118" customWidth="1"/>
    <col min="16130" max="16130" width="5.86111111111111" style="118" customWidth="1"/>
    <col min="16131" max="16131" width="15.8611111111111" style="118" customWidth="1"/>
    <col min="16132" max="16132" width="14.5648148148148" style="118" customWidth="1"/>
    <col min="16133" max="16133" width="17.8611111111111" style="118" customWidth="1"/>
    <col min="16134" max="16134" width="18.1388888888889" style="118" customWidth="1"/>
    <col min="16135" max="16135" width="22.5648148148148" style="118" customWidth="1"/>
    <col min="16136" max="16136" width="21.1388888888889" style="118" customWidth="1"/>
    <col min="16137" max="16137" width="0.564814814814815" style="118" customWidth="1"/>
    <col min="16138" max="16138" width="9.13888888888889" style="118"/>
    <col min="16139" max="16139" width="15.4259259259259" style="118" customWidth="1"/>
    <col min="16140" max="16382" width="9.13888888888889" style="118"/>
    <col min="16383" max="16384" width="9" style="118"/>
  </cols>
  <sheetData>
    <row r="1" ht="6.6" customHeight="1"/>
    <row r="2" ht="44.45" customHeight="1" spans="1:9">
      <c r="A2" s="119" t="s">
        <v>70</v>
      </c>
      <c r="B2" s="119"/>
      <c r="C2" s="119"/>
      <c r="D2" s="119"/>
      <c r="E2" s="119"/>
      <c r="F2" s="119"/>
      <c r="G2" s="119"/>
      <c r="H2" s="119"/>
    </row>
    <row r="3" ht="21.6" customHeight="1" spans="1:9">
      <c r="A3" s="120"/>
      <c r="B3" s="120"/>
      <c r="C3" s="121"/>
      <c r="G3" s="122"/>
      <c r="H3" s="123"/>
    </row>
    <row r="4" ht="18" spans="1:9">
      <c r="A4" s="124" t="s">
        <v>71</v>
      </c>
      <c r="B4" s="125"/>
      <c r="C4" s="126"/>
      <c r="G4" s="127" t="str">
        <f>'GDI-CI'!J26</f>
        <v>No.:  SC/GDI-SIGD260241</v>
      </c>
    </row>
    <row r="5" ht="20.25" customHeight="1" spans="1:9">
      <c r="A5" s="128" t="s">
        <v>72</v>
      </c>
      <c r="B5" s="128"/>
      <c r="C5" s="126"/>
      <c r="D5" s="129"/>
      <c r="E5" s="129"/>
      <c r="F5" s="129"/>
      <c r="G5" s="130" t="str">
        <f>'GDI-CI'!J27</f>
        <v>Date: 2026/09/22</v>
      </c>
      <c r="H5" s="129"/>
    </row>
    <row r="6" ht="23.45" customHeight="1" spans="1:9">
      <c r="A6" s="131" t="str">
        <f>'GDI-CI'!B5</f>
        <v>LOT C1, C2, C3, C5, C6 C7-2  ROAD N6 TMTC INDUSTRIAL</v>
      </c>
      <c r="B6" s="131"/>
      <c r="C6" s="132"/>
      <c r="D6" s="133"/>
      <c r="E6" s="133"/>
      <c r="F6" s="133"/>
      <c r="G6" s="130"/>
      <c r="H6" s="133"/>
      <c r="I6" s="133"/>
    </row>
    <row r="7" ht="21" customHeight="1" spans="1:9">
      <c r="A7" s="131" t="str">
        <f>'GDI-CI'!B6</f>
        <v>PARK, MOC BAI BORDER GATE ECONOMIC ZONE,</v>
      </c>
      <c r="B7" s="131"/>
      <c r="C7" s="134"/>
      <c r="D7" s="120"/>
      <c r="E7" s="120"/>
      <c r="F7" s="120"/>
      <c r="G7" s="127"/>
      <c r="H7" s="135"/>
      <c r="I7" s="135"/>
    </row>
    <row r="8" ht="21" customHeight="1" spans="1:9">
      <c r="A8" s="131" t="str">
        <f>'GDI-CI'!B7</f>
        <v>THUAN DONG HAMLET, BEN CAU COMMUNE, TAY NINH PROVINCE, VIETNAM</v>
      </c>
      <c r="B8" s="131"/>
      <c r="C8" s="134"/>
      <c r="D8" s="120"/>
      <c r="E8" s="120"/>
      <c r="F8" s="120"/>
      <c r="G8" s="127"/>
      <c r="H8" s="135"/>
      <c r="I8" s="135"/>
    </row>
    <row r="9" ht="18" spans="1:9">
      <c r="A9" s="124" t="s">
        <v>75</v>
      </c>
      <c r="B9" s="125"/>
      <c r="C9" s="126"/>
      <c r="G9" s="127"/>
    </row>
    <row r="10" ht="18" spans="1:9">
      <c r="A10" s="136" t="str">
        <f>'GDI-CI'!B9</f>
        <v>GDI HK LIMITED</v>
      </c>
      <c r="B10" s="137"/>
      <c r="C10" s="126"/>
      <c r="G10" s="127"/>
    </row>
    <row r="11" ht="20.25" customHeight="1" spans="1:9">
      <c r="A11" s="136" t="str">
        <f>'GDI-CI'!B10</f>
        <v>(Old Company Name: SIGD LIMITED)</v>
      </c>
      <c r="B11" s="128"/>
      <c r="C11" s="126"/>
      <c r="D11" s="129"/>
      <c r="E11" s="129"/>
      <c r="F11" s="129"/>
      <c r="G11" s="130"/>
      <c r="H11" s="129"/>
    </row>
    <row r="12" ht="24" customHeight="1" spans="1:9">
      <c r="A12" s="138" t="str">
        <f>'GDI-CI'!B11</f>
        <v>FLAT H, 2/F MANSION INDUSTRIAL BUILDING,</v>
      </c>
      <c r="B12" s="131"/>
      <c r="C12" s="132"/>
      <c r="D12" s="133"/>
      <c r="E12" s="133"/>
      <c r="F12" s="133"/>
      <c r="G12" s="130"/>
      <c r="H12" s="133"/>
      <c r="I12" s="133"/>
    </row>
    <row r="13" ht="21" customHeight="1" spans="1:9">
      <c r="A13" s="138" t="str">
        <f>'GDI-CI'!B12</f>
        <v>8 A KUNG NGAM VILLAGE LANE, SHAU KEI WAN, HONG KONG</v>
      </c>
      <c r="B13" s="131"/>
      <c r="C13" s="134"/>
      <c r="D13" s="120"/>
      <c r="E13" s="120"/>
      <c r="F13" s="120"/>
      <c r="G13" s="127"/>
      <c r="H13" s="135"/>
      <c r="I13" s="135"/>
    </row>
    <row r="14" ht="22.8" spans="1:9">
      <c r="A14" s="128"/>
      <c r="B14" s="139"/>
      <c r="C14" s="134"/>
      <c r="D14" s="120"/>
      <c r="E14" s="120"/>
      <c r="F14" s="120"/>
      <c r="G14" s="130"/>
      <c r="H14" s="135"/>
      <c r="I14" s="135"/>
    </row>
    <row r="15" ht="18" spans="1:9">
      <c r="A15" s="124" t="s">
        <v>76</v>
      </c>
      <c r="B15" s="125"/>
      <c r="C15" s="124"/>
      <c r="G15" s="127"/>
    </row>
    <row r="16" ht="20.25" customHeight="1" spans="1:9">
      <c r="A16" s="138" t="str">
        <f>'GDI-CI'!B15</f>
        <v>PT Nirwana Alabare Garment</v>
      </c>
      <c r="B16" s="128"/>
      <c r="D16" s="128"/>
      <c r="E16" s="128"/>
      <c r="F16" s="128"/>
      <c r="G16" s="130"/>
      <c r="H16" s="129"/>
    </row>
    <row r="17" ht="24" customHeight="1" spans="1:9">
      <c r="A17" s="138" t="str">
        <f>'GDI-CI'!B16</f>
        <v>Jl. Raya Rancaekek - Majalaya No.289 Desa Solokan Jeruk ,Kecamatan Solokan Jeruk,</v>
      </c>
      <c r="B17" s="131"/>
      <c r="D17" s="131"/>
      <c r="E17" s="131"/>
      <c r="F17" s="131"/>
      <c r="G17" s="130"/>
      <c r="H17" s="133"/>
      <c r="I17" s="133"/>
    </row>
    <row r="18" ht="24" customHeight="1" spans="1:9">
      <c r="A18" s="138" t="str">
        <f>'GDI-CI'!B17</f>
        <v>Kabupaten Bandung Jawa Barat 40382,Indonesia</v>
      </c>
      <c r="B18" s="131"/>
      <c r="D18" s="131"/>
      <c r="E18" s="131"/>
      <c r="F18" s="131"/>
      <c r="G18" s="130"/>
      <c r="H18" s="133"/>
      <c r="I18" s="133"/>
    </row>
    <row r="19" ht="24" customHeight="1" spans="1:9">
      <c r="A19" s="138" t="str">
        <f>'GDI-CI'!B18</f>
        <v>Tel: +62 285962076</v>
      </c>
      <c r="B19" s="131"/>
      <c r="D19" s="131"/>
      <c r="E19" s="131"/>
      <c r="F19" s="131"/>
      <c r="G19" s="130"/>
      <c r="H19" s="133"/>
      <c r="I19" s="133"/>
    </row>
    <row r="20" ht="21" customHeight="1" spans="1:9">
      <c r="A20" s="128"/>
      <c r="B20" s="131"/>
      <c r="D20" s="131"/>
      <c r="E20" s="131"/>
      <c r="F20" s="131"/>
      <c r="G20" s="127"/>
      <c r="H20" s="135"/>
      <c r="I20" s="135"/>
    </row>
    <row r="21" ht="14.45" customHeight="1" spans="1:9">
      <c r="A21" s="128"/>
      <c r="B21" s="140"/>
      <c r="C21" s="120"/>
      <c r="D21" s="140"/>
      <c r="E21" s="140"/>
      <c r="F21" s="140"/>
      <c r="H21" s="135"/>
      <c r="I21" s="135"/>
    </row>
    <row r="22" ht="3" customHeight="1" spans="1:9">
      <c r="A22" s="141"/>
      <c r="B22" s="141"/>
      <c r="C22" s="142"/>
      <c r="D22" s="142"/>
      <c r="E22" s="142"/>
      <c r="F22" s="142"/>
      <c r="G22" s="143" t="s">
        <v>7</v>
      </c>
      <c r="H22" s="144" t="s">
        <v>7</v>
      </c>
      <c r="I22" s="135"/>
    </row>
    <row r="23" s="113" customFormat="1" ht="22.5" customHeight="1" spans="1:9">
      <c r="A23" s="145" t="s">
        <v>77</v>
      </c>
      <c r="B23" s="145"/>
      <c r="C23" s="146" t="s">
        <v>78</v>
      </c>
      <c r="D23" s="147"/>
      <c r="E23" s="147"/>
      <c r="F23" s="147"/>
      <c r="G23" s="148"/>
      <c r="H23" s="148"/>
      <c r="I23" s="145"/>
    </row>
    <row r="24" s="113" customFormat="1" ht="22.5" customHeight="1" spans="1:9">
      <c r="A24" s="145"/>
      <c r="B24" s="145"/>
      <c r="C24" s="149" t="s">
        <v>106</v>
      </c>
      <c r="D24" s="124"/>
      <c r="E24" s="124"/>
      <c r="F24" s="124"/>
      <c r="G24" s="150"/>
      <c r="H24" s="150"/>
      <c r="I24" s="145"/>
    </row>
    <row r="25" s="113" customFormat="1" ht="22.5" customHeight="1" spans="1:9">
      <c r="A25" s="145"/>
      <c r="B25" s="145"/>
      <c r="C25" s="151" t="s">
        <v>80</v>
      </c>
      <c r="D25" s="152"/>
      <c r="E25" s="152"/>
      <c r="F25" s="152"/>
      <c r="G25" s="153"/>
      <c r="H25" s="153"/>
      <c r="I25" s="145"/>
    </row>
    <row r="26" s="113" customFormat="1" ht="22.5" customHeight="1" spans="1:9">
      <c r="A26" s="154"/>
      <c r="B26" s="154"/>
      <c r="C26" s="155" t="s">
        <v>81</v>
      </c>
      <c r="D26" s="156" t="s">
        <v>20</v>
      </c>
      <c r="E26" s="156"/>
      <c r="F26" s="156"/>
      <c r="G26" s="157"/>
      <c r="H26" s="157"/>
      <c r="I26" s="145"/>
    </row>
    <row r="27" s="114" customFormat="1" ht="39.6" customHeight="1" spans="1:9">
      <c r="A27" s="158" t="s">
        <v>82</v>
      </c>
      <c r="B27" s="159" t="s">
        <v>83</v>
      </c>
      <c r="C27" s="160" t="s">
        <v>84</v>
      </c>
      <c r="D27" s="160" t="s">
        <v>85</v>
      </c>
      <c r="E27" s="158" t="s">
        <v>107</v>
      </c>
      <c r="F27" s="160" t="s">
        <v>108</v>
      </c>
      <c r="G27" s="160" t="s">
        <v>109</v>
      </c>
      <c r="H27" s="159" t="s">
        <v>87</v>
      </c>
      <c r="I27" s="161"/>
    </row>
    <row r="28" s="115" customFormat="1" ht="62" customHeight="1" spans="1:9">
      <c r="A28" s="162" t="str">
        <f>'GDI-CI'!F35</f>
        <v>GDI260819008
PO#KD00465
Ref#265K0127(1ST MB), S/769950</v>
      </c>
      <c r="B28" s="163" t="str">
        <f>'GDI-CI'!G35</f>
        <v>26S/1 60% BCI COTTON  40%POLYESTER  JERSEY (LACOSTE EDGE) 70/72“ 160GSM</v>
      </c>
      <c r="C28" s="162">
        <f>'GDI-CI'!J35</f>
        <v>1225.6</v>
      </c>
      <c r="D28" s="163">
        <f>'GDI-CI'!K35</f>
        <v>4580.6</v>
      </c>
      <c r="E28" s="164">
        <f>'GDI-CI'!L35</f>
        <v>2701.9</v>
      </c>
      <c r="F28" s="165">
        <f>'GDI-CI'!M35</f>
        <v>4188.50064</v>
      </c>
      <c r="G28" s="166">
        <f>'GDI-CI'!N35</f>
        <v>1.99</v>
      </c>
      <c r="H28" s="167">
        <f>'GDI-CI'!O35</f>
        <v>5376.78</v>
      </c>
      <c r="I28" s="168"/>
    </row>
    <row r="29" s="115" customFormat="1" ht="62" customHeight="1" spans="1:9">
      <c r="A29" s="162" t="str">
        <f>'GDI-CI'!F36</f>
        <v>GDI260819010
PO#KD00468
Ref#265K0125-A~D(1ST MB), S/416363</v>
      </c>
      <c r="B29" s="163" t="str">
        <f>'GDI-CI'!G36</f>
        <v>60% BETTER COTTON (BCI) 40% POLYESTER CONVENTIONAL  CVC 26S/1 JERSEY(LACOSTE EDGE) 70/72“ 160GSM</v>
      </c>
      <c r="C29" s="162">
        <f>'GDI-CI'!J36</f>
        <v>2053.1</v>
      </c>
      <c r="D29" s="163">
        <f>'GDI-CI'!K36</f>
        <v>7673.7</v>
      </c>
      <c r="E29" s="164">
        <f>'GDI-CI'!L36</f>
        <v>4526.14</v>
      </c>
      <c r="F29" s="165">
        <f>'GDI-CI'!M36</f>
        <v>7016.83128</v>
      </c>
      <c r="G29" s="166">
        <f>'GDI-CI'!N36</f>
        <v>1.99</v>
      </c>
      <c r="H29" s="167">
        <f>'GDI-CI'!O36</f>
        <v>9007.02</v>
      </c>
      <c r="I29" s="168"/>
    </row>
    <row r="30" s="115" customFormat="1" ht="62" customHeight="1" spans="1:9">
      <c r="A30" s="162" t="str">
        <f>'GDI-CI'!F37</f>
        <v>GDI260819010
PO#KD00468
Ref#265K0125-A~D(1ST MB), S/416363</v>
      </c>
      <c r="B30" s="163" t="str">
        <f>'GDI-CI'!G37</f>
        <v>60% BETTER COTTON (BCI) 40% POLYESTER CONVENTIONAL  CVC 30S/1 JERSEY(LACOSTE EDGE) 69/71" 145GSM</v>
      </c>
      <c r="C30" s="162">
        <f>'GDI-CI'!J37</f>
        <v>670.1</v>
      </c>
      <c r="D30" s="163">
        <f>'GDI-CI'!K37</f>
        <v>2802.2</v>
      </c>
      <c r="E30" s="164">
        <f>'GDI-CI'!L37</f>
        <v>1477.22</v>
      </c>
      <c r="F30" s="165">
        <f>'GDI-CI'!M37</f>
        <v>2562.33168</v>
      </c>
      <c r="G30" s="166">
        <f>'GDI-CI'!N37</f>
        <v>1.99</v>
      </c>
      <c r="H30" s="167">
        <f>'GDI-CI'!O37</f>
        <v>2939.67</v>
      </c>
      <c r="I30" s="168"/>
    </row>
    <row r="31" s="115" customFormat="1" ht="62" customHeight="1" spans="1:9">
      <c r="A31" s="162" t="str">
        <f>'GDI-CI'!F38</f>
        <v>GDI260819010
PO#KD00468
Ref#265K0125-A~D(1ST MB), S/416363</v>
      </c>
      <c r="B31" s="163" t="str">
        <f>'GDI-CI'!G38</f>
        <v>60% BETTER COTTON (BCI) 40% POLYESTER CONVENTIONAL  CVC 30S/1 JERSEY(LACOSTE EDGE) 69/71" 145GSM</v>
      </c>
      <c r="C31" s="162">
        <f>'GDI-CI'!J38</f>
        <v>1234.2</v>
      </c>
      <c r="D31" s="163">
        <f>'GDI-CI'!K38</f>
        <v>5161.8</v>
      </c>
      <c r="E31" s="164">
        <f>'GDI-CI'!L38</f>
        <v>2720.83</v>
      </c>
      <c r="F31" s="165">
        <f>'GDI-CI'!M38</f>
        <v>4719.94992</v>
      </c>
      <c r="G31" s="166">
        <f>'GDI-CI'!N38</f>
        <v>1.99</v>
      </c>
      <c r="H31" s="167">
        <f>'GDI-CI'!O38</f>
        <v>5414.45</v>
      </c>
      <c r="I31" s="168"/>
    </row>
    <row r="32" s="115" customFormat="1" ht="62" customHeight="1" spans="1:9">
      <c r="A32" s="162" t="str">
        <f>'GDI-CI'!F39</f>
        <v>GDI260819010
PO#KD00468
Ref#265K0125-A~D(1ST MB), S/416363</v>
      </c>
      <c r="B32" s="163" t="str">
        <f>'GDI-CI'!G39</f>
        <v>60% BETTER COTTON (BCI) 40% POLYESTER CONVENTIONAL  CVC 30S/1 JERSEY(LACOSTE EDGE) 69/71" 145GSM</v>
      </c>
      <c r="C32" s="162">
        <f>'GDI-CI'!J39</f>
        <v>860.3</v>
      </c>
      <c r="D32" s="163">
        <f>'GDI-CI'!K39</f>
        <v>3597.8</v>
      </c>
      <c r="E32" s="164">
        <f>'GDI-CI'!L39</f>
        <v>1896.59</v>
      </c>
      <c r="F32" s="165">
        <f>'GDI-CI'!M39</f>
        <v>3289.82832</v>
      </c>
      <c r="G32" s="166">
        <f>'GDI-CI'!N39</f>
        <v>1.99</v>
      </c>
      <c r="H32" s="167">
        <f>'GDI-CI'!O39</f>
        <v>3774.21</v>
      </c>
      <c r="I32" s="168"/>
    </row>
    <row r="33" s="115" customFormat="1" ht="62" customHeight="1" spans="1:14">
      <c r="A33" s="162" t="str">
        <f>'GDI-CI'!F40</f>
        <v>GDI260819010
PO#KD00468
Ref#265K0125-A~D(1ST MB), S/416363</v>
      </c>
      <c r="B33" s="163" t="str">
        <f>'GDI-CI'!G40</f>
        <v>60% BETTER COTTON (BCI) 40% POLYESTER CONVENTIONAL  CVC 30S/1 JERSEY(LACOSTE EDGE) 69/71" 145GSM</v>
      </c>
      <c r="C33" s="162">
        <f>'GDI-CI'!J40</f>
        <v>880.3</v>
      </c>
      <c r="D33" s="163">
        <f>'GDI-CI'!K40</f>
        <v>3681.8</v>
      </c>
      <c r="E33" s="164">
        <f>'GDI-CI'!L40</f>
        <v>1940.63</v>
      </c>
      <c r="F33" s="165">
        <f>'GDI-CI'!M40</f>
        <v>3366.63792</v>
      </c>
      <c r="G33" s="166">
        <f>'GDI-CI'!N40</f>
        <v>1.99</v>
      </c>
      <c r="H33" s="167">
        <f>'GDI-CI'!O40</f>
        <v>3861.85</v>
      </c>
      <c r="I33" s="168"/>
    </row>
    <row r="34" s="115" customFormat="1" ht="62" customHeight="1" spans="1:14">
      <c r="A34" s="162" t="str">
        <f>'GDI-CI'!F41</f>
        <v>GDI260819010
PO#KD00468
Ref#265K0125-A~D(1ST MB), S/416363</v>
      </c>
      <c r="B34" s="163" t="str">
        <f>'GDI-CI'!G41</f>
        <v>60% BETTER COTTON (BCI) 40% POLYESTER CONVENTIONAL  CVC 30S/1 JERSEY(LACOSTE EDGE) 69/71" 145GSM</v>
      </c>
      <c r="C34" s="162">
        <f>'GDI-CI'!J41</f>
        <v>631.9</v>
      </c>
      <c r="D34" s="163">
        <f>'GDI-CI'!K41</f>
        <v>2642.9</v>
      </c>
      <c r="E34" s="164">
        <f>'GDI-CI'!L41</f>
        <v>1393.07</v>
      </c>
      <c r="F34" s="165">
        <f>'GDI-CI'!M41</f>
        <v>2416.66776</v>
      </c>
      <c r="G34" s="166">
        <f>'GDI-CI'!N41</f>
        <v>1.99</v>
      </c>
      <c r="H34" s="167">
        <f>'GDI-CI'!O41</f>
        <v>2772.21</v>
      </c>
      <c r="I34" s="168"/>
    </row>
    <row r="35" s="115" customFormat="1" ht="62" customHeight="1" spans="1:14">
      <c r="A35" s="162" t="str">
        <f>'GDI-CI'!F42</f>
        <v>GDI260810010
PO#KD00452
Ref#265K0107-b , S/905994</v>
      </c>
      <c r="B35" s="163" t="str">
        <f>'GDI-CI'!G42</f>
        <v>60% BCI COTTON 40% RECYCLED POLYESTER 32S/1 JERSEY 69/71" 125GSM</v>
      </c>
      <c r="C35" s="162">
        <f>'GDI-CI'!J42</f>
        <v>897.4</v>
      </c>
      <c r="D35" s="163">
        <f>'GDI-CI'!K42</f>
        <v>4353</v>
      </c>
      <c r="E35" s="164">
        <f>'GDI-CI'!L42</f>
        <v>1978.37</v>
      </c>
      <c r="F35" s="165">
        <f>'GDI-CI'!M42</f>
        <v>3980.3832</v>
      </c>
      <c r="G35" s="166">
        <f>'GDI-CI'!N42</f>
        <v>2.12</v>
      </c>
      <c r="H35" s="167">
        <f>'GDI-CI'!O42</f>
        <v>4194.14</v>
      </c>
      <c r="I35" s="168"/>
    </row>
    <row r="36" s="115" customFormat="1" ht="62" customHeight="1" spans="1:14">
      <c r="A36" s="162" t="str">
        <f>'GDI-CI'!F43</f>
        <v>GDI260904001
PO#KD00475
Ref#265K0093-Ba, S/878746</v>
      </c>
      <c r="B36" s="163" t="str">
        <f>'GDI-CI'!G43</f>
        <v>60% BCI COTTON 40% RECYCLED POLYESTER 32S/1 JERSEY 69/71“ 125GSM</v>
      </c>
      <c r="C36" s="162">
        <f>'GDI-CI'!J43</f>
        <v>1021.8</v>
      </c>
      <c r="D36" s="163">
        <f>'GDI-CI'!K43</f>
        <v>4957.1</v>
      </c>
      <c r="E36" s="164">
        <f>'GDI-CI'!L43</f>
        <v>2252.64</v>
      </c>
      <c r="F36" s="165">
        <f>'GDI-CI'!M43</f>
        <v>4532.77224</v>
      </c>
      <c r="G36" s="166">
        <f>'GDI-CI'!N43</f>
        <v>2.12</v>
      </c>
      <c r="H36" s="167">
        <f>'GDI-CI'!O43</f>
        <v>4775.6</v>
      </c>
      <c r="I36" s="168"/>
    </row>
    <row r="37" s="115" customFormat="1" ht="62" customHeight="1" spans="1:14">
      <c r="A37" s="162" t="str">
        <f>'GDI-CI'!F44</f>
        <v>GDI260904002
PO#KD00474
Ref#265K0092 -Ba, S/867788</v>
      </c>
      <c r="B37" s="163" t="str">
        <f>'GDI-CI'!G44</f>
        <v>60% BCI COTTON 40% RECYCLED POLYESTER 32S/1 JERSEY 69/71“ 125GSM</v>
      </c>
      <c r="C37" s="162">
        <f>'GDI-CI'!J44</f>
        <v>155.7</v>
      </c>
      <c r="D37" s="163">
        <f>'GDI-CI'!K44</f>
        <v>755.3</v>
      </c>
      <c r="E37" s="164">
        <f>'GDI-CI'!L44</f>
        <v>343.26</v>
      </c>
      <c r="F37" s="165">
        <f>'GDI-CI'!M44</f>
        <v>690.64632</v>
      </c>
      <c r="G37" s="166">
        <f>'GDI-CI'!N44</f>
        <v>2.12</v>
      </c>
      <c r="H37" s="167">
        <f>'GDI-CI'!O44</f>
        <v>727.71</v>
      </c>
      <c r="I37" s="168"/>
    </row>
    <row r="38" s="115" customFormat="1" ht="62" customHeight="1" spans="1:14">
      <c r="A38" s="162" t="str">
        <f>'GDI-CI'!F45</f>
        <v>GDI260904002
PO#KD00474
Ref#265K0092 -Ba, S/867788</v>
      </c>
      <c r="B38" s="163" t="str">
        <f>'GDI-CI'!G45</f>
        <v>60% BCI COTTON 40% RECYCLED POLYESTER 32S/1 JERSEY 69/71“ 125GSM</v>
      </c>
      <c r="C38" s="162">
        <f>'GDI-CI'!J45</f>
        <v>452.2</v>
      </c>
      <c r="D38" s="163">
        <f>'GDI-CI'!K45</f>
        <v>2193.7</v>
      </c>
      <c r="E38" s="164">
        <f>'GDI-CI'!L45</f>
        <v>996.92</v>
      </c>
      <c r="F38" s="165">
        <f>'GDI-CI'!M45</f>
        <v>2005.91928</v>
      </c>
      <c r="G38" s="166">
        <f>'GDI-CI'!N45</f>
        <v>2.12</v>
      </c>
      <c r="H38" s="167">
        <f>'GDI-CI'!O45</f>
        <v>2113.47</v>
      </c>
      <c r="I38" s="168"/>
    </row>
    <row r="39" s="115" customFormat="1" ht="62" customHeight="1" spans="1:14">
      <c r="A39" s="162" t="str">
        <f>'GDI-CI'!F46</f>
        <v>GDI260904002
PO#KD00474
Ref#265K0092 -Ba, S/867788</v>
      </c>
      <c r="B39" s="163" t="str">
        <f>'GDI-CI'!G46</f>
        <v>60% BCI COTTON 40% POLYESTER 32S/1 JERSEY(LACOSTE EDGE) 62/64" 145GSM</v>
      </c>
      <c r="C39" s="162">
        <f>'GDI-CI'!J46</f>
        <v>563.3</v>
      </c>
      <c r="D39" s="163">
        <f>'GDI-CI'!K46</f>
        <v>2613.3</v>
      </c>
      <c r="E39" s="164">
        <f>'GDI-CI'!L46</f>
        <v>1241.81</v>
      </c>
      <c r="F39" s="165">
        <f>'GDI-CI'!M46</f>
        <v>2389.60152</v>
      </c>
      <c r="G39" s="166">
        <f>'GDI-CI'!N46</f>
        <v>2.12</v>
      </c>
      <c r="H39" s="167">
        <f>'GDI-CI'!O46</f>
        <v>2632.64</v>
      </c>
      <c r="I39" s="168"/>
    </row>
    <row r="40" s="115" customFormat="1" ht="62" customHeight="1" spans="1:14">
      <c r="A40" s="162" t="str">
        <f>'GDI-CI'!F47</f>
        <v>SIOB260507007
PO#KD00433
Ref#265K0077-2ND MB  S/767468</v>
      </c>
      <c r="B40" s="163" t="str">
        <f>'GDI-CI'!G47</f>
        <v>60% BCI COTTON 40%POLYESTER 26S/1 JERSEY (LACOSTE EDGE) 70/72" 160GSM</v>
      </c>
      <c r="C40" s="162">
        <f>'GDI-CI'!J47</f>
        <v>68.1</v>
      </c>
      <c r="D40" s="163">
        <f>'GDI-CI'!K47</f>
        <v>254.5</v>
      </c>
      <c r="E40" s="164">
        <f>'GDI-CI'!L47</f>
        <v>150.14</v>
      </c>
      <c r="F40" s="165">
        <f>'GDI-CI'!M47</f>
        <v>232.7148</v>
      </c>
      <c r="G40" s="166">
        <f>'GDI-CI'!N47</f>
        <v>1.99</v>
      </c>
      <c r="H40" s="167">
        <f>'GDI-CI'!O47</f>
        <v>298.78</v>
      </c>
      <c r="I40" s="168"/>
    </row>
    <row r="41" s="115" customFormat="1" ht="22" customHeight="1" spans="1:14">
      <c r="A41" s="162"/>
      <c r="B41" s="163"/>
      <c r="C41" s="162"/>
      <c r="D41" s="163"/>
      <c r="E41" s="164"/>
      <c r="F41" s="165"/>
      <c r="G41" s="166"/>
      <c r="H41" s="167"/>
      <c r="I41" s="168"/>
    </row>
    <row r="42" s="116" customFormat="1" ht="21" customHeight="1" spans="1:14">
      <c r="A42" s="169"/>
      <c r="B42" s="170" t="s">
        <v>57</v>
      </c>
      <c r="C42" s="171">
        <f>SUM(C28:C41)</f>
        <v>10714</v>
      </c>
      <c r="D42" s="171">
        <f>SUM(D28:D41)</f>
        <v>45267.7</v>
      </c>
      <c r="E42" s="171">
        <f>SUM(E28:E41)</f>
        <v>23619.52</v>
      </c>
      <c r="F42" s="171">
        <f>SUM(F28:F41)</f>
        <v>41392.78488</v>
      </c>
      <c r="G42" s="171"/>
      <c r="H42" s="172">
        <f>'GDI-CI'!O49</f>
        <v>47888.53</v>
      </c>
      <c r="I42" s="173"/>
      <c r="K42" s="174"/>
    </row>
    <row r="43" s="113" customFormat="1" ht="8.45" customHeight="1" spans="1:14">
      <c r="A43" s="175"/>
      <c r="B43" s="175"/>
      <c r="C43" s="176"/>
      <c r="D43" s="177"/>
      <c r="E43" s="177"/>
      <c r="F43" s="177"/>
      <c r="G43" s="178"/>
      <c r="H43" s="178"/>
      <c r="I43" s="179"/>
    </row>
    <row r="44" s="113" customFormat="1" ht="25.5" customHeight="1" spans="1:14">
      <c r="A44" s="180" t="s">
        <v>110</v>
      </c>
      <c r="B44" s="175"/>
      <c r="C44" s="176"/>
      <c r="D44" s="177"/>
      <c r="E44" s="177"/>
      <c r="F44" s="177"/>
      <c r="G44" s="178"/>
      <c r="H44" s="178"/>
      <c r="I44" s="179"/>
      <c r="K44" s="181" t="s">
        <v>59</v>
      </c>
      <c r="L44" s="181" t="s">
        <v>60</v>
      </c>
      <c r="M44" s="181" t="s">
        <v>61</v>
      </c>
      <c r="N44" s="181" t="s">
        <v>62</v>
      </c>
    </row>
    <row r="45" s="113" customFormat="1" ht="25.5" customHeight="1" spans="1:14">
      <c r="A45" s="175" t="s">
        <v>89</v>
      </c>
      <c r="B45" s="175"/>
      <c r="C45" s="176"/>
      <c r="D45" s="177"/>
      <c r="E45" s="177"/>
      <c r="F45" s="177"/>
      <c r="G45" s="178"/>
      <c r="H45" s="178"/>
      <c r="I45" s="179"/>
      <c r="K45" s="181" t="b">
        <f>C42='GDI-Total'!H39</f>
        <v>1</v>
      </c>
      <c r="L45" s="181" t="b">
        <f>D42='GDI-Total'!I39</f>
        <v>1</v>
      </c>
      <c r="M45" s="181" t="b">
        <f>E42='GDI-Total'!J39</f>
        <v>1</v>
      </c>
      <c r="N45" s="181" t="b">
        <f>H42='GDI-CI'!O49</f>
        <v>1</v>
      </c>
    </row>
    <row r="46" ht="3" customHeight="1" spans="1:14">
      <c r="A46" s="182"/>
      <c r="B46" s="182"/>
      <c r="C46" s="183"/>
      <c r="D46" s="184"/>
      <c r="E46" s="184"/>
      <c r="F46" s="184"/>
      <c r="G46" s="185"/>
      <c r="H46" s="186"/>
      <c r="I46" s="173"/>
    </row>
    <row r="47" ht="24" customHeight="1" spans="1:14">
      <c r="A47" s="187" t="s">
        <v>90</v>
      </c>
      <c r="B47" s="187"/>
      <c r="C47" s="188"/>
      <c r="D47" s="188"/>
      <c r="E47" s="188"/>
      <c r="F47" s="188"/>
      <c r="H47" s="186"/>
      <c r="I47" s="189"/>
    </row>
    <row r="48" ht="24" customHeight="1" spans="1:14">
      <c r="A48" s="190" t="s">
        <v>91</v>
      </c>
      <c r="B48" s="190"/>
      <c r="C48" s="191"/>
      <c r="D48" s="191"/>
      <c r="E48" s="192"/>
      <c r="F48" s="192"/>
      <c r="G48" s="193"/>
      <c r="H48" s="194"/>
      <c r="I48" s="189"/>
    </row>
    <row r="49" ht="24" customHeight="1" spans="1:254">
      <c r="A49" s="187" t="s">
        <v>92</v>
      </c>
      <c r="B49" s="187"/>
      <c r="C49" s="191"/>
      <c r="D49" s="191"/>
      <c r="E49" s="192"/>
      <c r="F49" s="192"/>
      <c r="G49" s="195"/>
      <c r="H49" s="196"/>
      <c r="I49" s="189"/>
    </row>
    <row r="50" ht="24" customHeight="1" spans="1:254">
      <c r="A50" s="187" t="s">
        <v>93</v>
      </c>
      <c r="B50" s="187"/>
      <c r="C50" s="191"/>
      <c r="D50" s="191"/>
      <c r="E50" s="192"/>
      <c r="F50" s="192"/>
      <c r="G50" s="195"/>
      <c r="H50" s="196"/>
      <c r="I50" s="189"/>
    </row>
    <row r="51" ht="8.1" customHeight="1" spans="1:254">
      <c r="A51" s="191"/>
      <c r="B51" s="191"/>
      <c r="C51" s="191"/>
      <c r="D51" s="191"/>
      <c r="E51" s="192"/>
      <c r="F51" s="192"/>
      <c r="G51" s="197"/>
      <c r="H51" s="196"/>
      <c r="I51" s="189"/>
    </row>
    <row r="52" ht="3.95" customHeight="1" spans="1:254">
      <c r="A52" s="191"/>
      <c r="B52" s="191"/>
      <c r="C52" s="191"/>
      <c r="D52" s="198"/>
      <c r="E52" s="199"/>
      <c r="F52" s="199"/>
      <c r="G52" s="188"/>
      <c r="H52" s="196"/>
      <c r="I52" s="189"/>
    </row>
    <row r="53" ht="29.25" customHeight="1" spans="1:254">
      <c r="A53" s="200" t="s">
        <v>94</v>
      </c>
      <c r="B53" s="200"/>
      <c r="C53" s="201"/>
      <c r="D53" s="201"/>
      <c r="E53" s="201"/>
      <c r="F53" s="201"/>
      <c r="G53" s="202"/>
      <c r="H53" s="196"/>
      <c r="I53" s="189"/>
      <c r="M53" s="203"/>
    </row>
    <row r="54" s="117" customFormat="1" ht="22.5" customHeight="1" spans="1:254">
      <c r="A54" s="204" t="s">
        <v>95</v>
      </c>
      <c r="B54" s="205" t="s">
        <v>96</v>
      </c>
      <c r="C54" s="206"/>
      <c r="D54" s="206"/>
      <c r="E54" s="206"/>
      <c r="F54" s="206"/>
      <c r="G54" s="140"/>
      <c r="H54" s="207"/>
      <c r="I54" s="207"/>
    </row>
    <row r="55" s="117" customFormat="1" ht="22.5" customHeight="1" spans="1:254">
      <c r="A55" s="204"/>
      <c r="B55" s="208" t="s">
        <v>73</v>
      </c>
      <c r="C55" s="206"/>
      <c r="D55" s="206"/>
      <c r="E55" s="206"/>
      <c r="F55" s="206"/>
      <c r="G55" s="207"/>
      <c r="H55" s="207"/>
      <c r="I55" s="207"/>
    </row>
    <row r="56" s="117" customFormat="1" ht="22.5" customHeight="1" spans="1:254">
      <c r="A56" s="204"/>
      <c r="B56" s="208" t="s">
        <v>74</v>
      </c>
      <c r="C56" s="206"/>
      <c r="D56" s="206"/>
      <c r="E56" s="206"/>
      <c r="F56" s="206"/>
      <c r="G56" s="207"/>
      <c r="H56" s="207"/>
      <c r="I56" s="207"/>
    </row>
    <row r="57" s="117" customFormat="1" ht="22.5" customHeight="1" spans="1:254">
      <c r="A57" s="204" t="s">
        <v>97</v>
      </c>
      <c r="B57" s="205" t="s">
        <v>98</v>
      </c>
      <c r="C57" s="206"/>
      <c r="D57" s="206"/>
      <c r="E57" s="206"/>
      <c r="F57" s="206"/>
      <c r="G57" s="140"/>
      <c r="H57" s="140"/>
      <c r="I57" s="207"/>
    </row>
    <row r="58" s="117" customFormat="1" ht="22.5" customHeight="1" spans="1:254">
      <c r="A58" s="204" t="s">
        <v>99</v>
      </c>
      <c r="B58" s="205" t="s">
        <v>100</v>
      </c>
      <c r="C58" s="140"/>
      <c r="D58" s="140"/>
      <c r="E58" s="140"/>
      <c r="F58" s="140"/>
      <c r="I58" s="207"/>
    </row>
    <row r="59" s="117" customFormat="1" ht="22.5" customHeight="1" spans="1:254">
      <c r="A59" s="204" t="s">
        <v>101</v>
      </c>
      <c r="B59" s="206" t="s">
        <v>102</v>
      </c>
      <c r="C59" s="140"/>
      <c r="D59" s="140"/>
      <c r="E59" s="140"/>
      <c r="F59" s="140"/>
      <c r="I59" s="207"/>
    </row>
    <row r="60" s="117" customFormat="1" ht="22.5" customHeight="1" spans="1:254">
      <c r="A60" s="204" t="s">
        <v>103</v>
      </c>
      <c r="B60" s="205" t="s">
        <v>104</v>
      </c>
      <c r="C60" s="140"/>
      <c r="D60" s="140"/>
      <c r="E60" s="140"/>
      <c r="F60" s="140"/>
      <c r="I60" s="140"/>
    </row>
    <row r="61" ht="22.5" customHeight="1" spans="1:254">
      <c r="A61" s="209"/>
      <c r="B61" s="209"/>
      <c r="C61" s="188"/>
      <c r="D61" s="188"/>
      <c r="E61" s="188"/>
      <c r="F61" s="188"/>
      <c r="I61" s="188"/>
    </row>
    <row r="62" s="113" customFormat="1" ht="17.25" customHeight="1" spans="1:254">
      <c r="A62" s="210"/>
      <c r="B62" s="179" t="s">
        <v>3</v>
      </c>
      <c r="C62" s="152"/>
      <c r="D62" s="152"/>
      <c r="E62" s="152" t="str">
        <f>'GDI-CI'!B9</f>
        <v>GDI HK LIMITED</v>
      </c>
      <c r="F62" s="152"/>
      <c r="G62" s="152"/>
      <c r="H62" s="145"/>
      <c r="I62" s="145"/>
    </row>
    <row r="63" ht="17.25" customHeight="1" spans="1:254">
      <c r="A63" s="189"/>
      <c r="B63" s="189"/>
      <c r="C63" s="211"/>
      <c r="D63" s="212"/>
      <c r="E63" s="212"/>
      <c r="F63" s="212"/>
      <c r="G63" s="213"/>
      <c r="H63" s="213"/>
      <c r="I63" s="189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  <c r="CO63" s="214"/>
      <c r="CP63" s="214"/>
      <c r="CQ63" s="214"/>
      <c r="CR63" s="214"/>
      <c r="CS63" s="214"/>
      <c r="CT63" s="214"/>
      <c r="CU63" s="214"/>
      <c r="CV63" s="214"/>
      <c r="CW63" s="214"/>
      <c r="CX63" s="214"/>
      <c r="CY63" s="214"/>
      <c r="CZ63" s="214"/>
      <c r="DA63" s="214"/>
      <c r="DB63" s="214"/>
      <c r="DC63" s="214"/>
      <c r="DD63" s="214"/>
      <c r="DE63" s="214"/>
      <c r="DF63" s="214"/>
      <c r="DG63" s="214"/>
      <c r="DH63" s="214"/>
      <c r="DI63" s="214"/>
      <c r="DJ63" s="214"/>
      <c r="DK63" s="214"/>
      <c r="DL63" s="214"/>
      <c r="DM63" s="214"/>
      <c r="DN63" s="214"/>
      <c r="DO63" s="214"/>
      <c r="DP63" s="214"/>
      <c r="DQ63" s="214"/>
      <c r="DR63" s="214"/>
      <c r="DS63" s="214"/>
      <c r="DT63" s="214"/>
      <c r="DU63" s="214"/>
      <c r="DV63" s="214"/>
      <c r="DW63" s="214"/>
      <c r="DX63" s="214"/>
      <c r="DY63" s="214"/>
      <c r="DZ63" s="214"/>
      <c r="EA63" s="214"/>
      <c r="EB63" s="214"/>
      <c r="EC63" s="214"/>
      <c r="ED63" s="214"/>
      <c r="EE63" s="214"/>
      <c r="EF63" s="214"/>
      <c r="EG63" s="214"/>
      <c r="EH63" s="214"/>
      <c r="EI63" s="214"/>
      <c r="EJ63" s="214"/>
      <c r="EK63" s="214"/>
      <c r="EL63" s="214"/>
      <c r="EM63" s="214"/>
      <c r="EN63" s="214"/>
      <c r="EO63" s="214"/>
      <c r="EP63" s="214"/>
      <c r="EQ63" s="214"/>
      <c r="ER63" s="214"/>
      <c r="ES63" s="214"/>
      <c r="ET63" s="214"/>
      <c r="EU63" s="214"/>
      <c r="EV63" s="214"/>
      <c r="EW63" s="214"/>
      <c r="EX63" s="214"/>
      <c r="EY63" s="214"/>
      <c r="EZ63" s="214"/>
      <c r="FA63" s="214"/>
      <c r="FB63" s="214"/>
      <c r="FC63" s="214"/>
      <c r="FD63" s="214"/>
      <c r="FE63" s="214"/>
      <c r="FF63" s="214"/>
      <c r="FG63" s="214"/>
      <c r="FH63" s="214"/>
      <c r="FI63" s="214"/>
      <c r="FJ63" s="214"/>
      <c r="FK63" s="214"/>
      <c r="FL63" s="214"/>
      <c r="FM63" s="214"/>
      <c r="FN63" s="214"/>
      <c r="FO63" s="214"/>
      <c r="FP63" s="214"/>
      <c r="FQ63" s="214"/>
      <c r="FR63" s="214"/>
      <c r="FS63" s="214"/>
      <c r="FT63" s="214"/>
      <c r="FU63" s="214"/>
      <c r="FV63" s="214"/>
      <c r="FW63" s="214"/>
      <c r="FX63" s="214"/>
      <c r="FY63" s="214"/>
      <c r="FZ63" s="214"/>
      <c r="GA63" s="214"/>
      <c r="GB63" s="214"/>
      <c r="GC63" s="214"/>
      <c r="GD63" s="214"/>
      <c r="GE63" s="214"/>
      <c r="GF63" s="214"/>
      <c r="GG63" s="214"/>
      <c r="GH63" s="214"/>
      <c r="GI63" s="214"/>
      <c r="GJ63" s="214"/>
      <c r="GK63" s="214"/>
      <c r="GL63" s="214"/>
      <c r="GM63" s="214"/>
      <c r="GN63" s="214"/>
      <c r="GO63" s="214"/>
      <c r="GP63" s="214"/>
      <c r="GQ63" s="214"/>
      <c r="GR63" s="214"/>
      <c r="GS63" s="214"/>
      <c r="GT63" s="214"/>
      <c r="GU63" s="214"/>
      <c r="GV63" s="214"/>
      <c r="GW63" s="214"/>
      <c r="GX63" s="214"/>
      <c r="GY63" s="214"/>
      <c r="GZ63" s="214"/>
      <c r="HA63" s="214"/>
      <c r="HB63" s="214"/>
      <c r="HC63" s="214"/>
      <c r="HD63" s="214"/>
      <c r="HE63" s="214"/>
      <c r="HF63" s="214"/>
      <c r="HG63" s="214"/>
      <c r="HH63" s="214"/>
      <c r="HI63" s="214"/>
      <c r="HJ63" s="214"/>
      <c r="HK63" s="214"/>
      <c r="HL63" s="214"/>
      <c r="HM63" s="214"/>
      <c r="HN63" s="214"/>
      <c r="HO63" s="214"/>
      <c r="HP63" s="214"/>
      <c r="HQ63" s="214"/>
      <c r="HR63" s="214"/>
      <c r="HS63" s="214"/>
      <c r="HT63" s="214"/>
      <c r="HU63" s="214"/>
      <c r="HV63" s="214"/>
      <c r="HW63" s="214"/>
      <c r="HX63" s="214"/>
      <c r="HY63" s="214"/>
      <c r="HZ63" s="214"/>
      <c r="IA63" s="214"/>
      <c r="IB63" s="214"/>
      <c r="IC63" s="214"/>
      <c r="ID63" s="214"/>
      <c r="IE63" s="214"/>
      <c r="IF63" s="214"/>
      <c r="IG63" s="214"/>
      <c r="IH63" s="214"/>
      <c r="II63" s="214"/>
      <c r="IJ63" s="214"/>
      <c r="IK63" s="214"/>
      <c r="IL63" s="214"/>
      <c r="IM63" s="214"/>
      <c r="IN63" s="214"/>
      <c r="IO63" s="214"/>
      <c r="IP63" s="214"/>
      <c r="IQ63" s="214"/>
      <c r="IR63" s="214"/>
      <c r="IS63" s="214"/>
      <c r="IT63" s="214"/>
    </row>
    <row r="64" ht="17.25" customHeight="1" spans="1:254">
      <c r="A64" s="189"/>
      <c r="B64" s="189"/>
      <c r="C64" s="211"/>
      <c r="D64" s="212"/>
      <c r="E64" s="212"/>
      <c r="F64" s="212"/>
      <c r="G64" s="213"/>
      <c r="H64" s="213"/>
      <c r="I64" s="189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  <c r="CB64" s="214"/>
      <c r="CC64" s="214"/>
      <c r="CD64" s="214"/>
      <c r="CE64" s="214"/>
      <c r="CF64" s="214"/>
      <c r="CG64" s="214"/>
      <c r="CH64" s="214"/>
      <c r="CI64" s="214"/>
      <c r="CJ64" s="214"/>
      <c r="CK64" s="214"/>
      <c r="CL64" s="214"/>
      <c r="CM64" s="214"/>
      <c r="CN64" s="214"/>
      <c r="CO64" s="214"/>
      <c r="CP64" s="214"/>
      <c r="CQ64" s="214"/>
      <c r="CR64" s="214"/>
      <c r="CS64" s="214"/>
      <c r="CT64" s="214"/>
      <c r="CU64" s="214"/>
      <c r="CV64" s="214"/>
      <c r="CW64" s="214"/>
      <c r="CX64" s="214"/>
      <c r="CY64" s="214"/>
      <c r="CZ64" s="214"/>
      <c r="DA64" s="214"/>
      <c r="DB64" s="214"/>
      <c r="DC64" s="214"/>
      <c r="DD64" s="214"/>
      <c r="DE64" s="214"/>
      <c r="DF64" s="214"/>
      <c r="DG64" s="214"/>
      <c r="DH64" s="214"/>
      <c r="DI64" s="214"/>
      <c r="DJ64" s="214"/>
      <c r="DK64" s="214"/>
      <c r="DL64" s="214"/>
      <c r="DM64" s="214"/>
      <c r="DN64" s="214"/>
      <c r="DO64" s="214"/>
      <c r="DP64" s="214"/>
      <c r="DQ64" s="214"/>
      <c r="DR64" s="214"/>
      <c r="DS64" s="214"/>
      <c r="DT64" s="214"/>
      <c r="DU64" s="214"/>
      <c r="DV64" s="214"/>
      <c r="DW64" s="214"/>
      <c r="DX64" s="214"/>
      <c r="DY64" s="214"/>
      <c r="DZ64" s="214"/>
      <c r="EA64" s="214"/>
      <c r="EB64" s="214"/>
      <c r="EC64" s="214"/>
      <c r="ED64" s="214"/>
      <c r="EE64" s="214"/>
      <c r="EF64" s="214"/>
      <c r="EG64" s="214"/>
      <c r="EH64" s="214"/>
      <c r="EI64" s="214"/>
      <c r="EJ64" s="214"/>
      <c r="EK64" s="214"/>
      <c r="EL64" s="214"/>
      <c r="EM64" s="214"/>
      <c r="EN64" s="214"/>
      <c r="EO64" s="214"/>
      <c r="EP64" s="214"/>
      <c r="EQ64" s="214"/>
      <c r="ER64" s="214"/>
      <c r="ES64" s="214"/>
      <c r="ET64" s="214"/>
      <c r="EU64" s="214"/>
      <c r="EV64" s="214"/>
      <c r="EW64" s="214"/>
      <c r="EX64" s="214"/>
      <c r="EY64" s="214"/>
      <c r="EZ64" s="214"/>
      <c r="FA64" s="214"/>
      <c r="FB64" s="214"/>
      <c r="FC64" s="214"/>
      <c r="FD64" s="214"/>
      <c r="FE64" s="214"/>
      <c r="FF64" s="214"/>
      <c r="FG64" s="214"/>
      <c r="FH64" s="214"/>
      <c r="FI64" s="214"/>
      <c r="FJ64" s="214"/>
      <c r="FK64" s="214"/>
      <c r="FL64" s="214"/>
      <c r="FM64" s="214"/>
      <c r="FN64" s="214"/>
      <c r="FO64" s="214"/>
      <c r="FP64" s="214"/>
      <c r="FQ64" s="214"/>
      <c r="FR64" s="214"/>
      <c r="FS64" s="214"/>
      <c r="FT64" s="214"/>
      <c r="FU64" s="214"/>
      <c r="FV64" s="214"/>
      <c r="FW64" s="214"/>
      <c r="FX64" s="214"/>
      <c r="FY64" s="214"/>
      <c r="FZ64" s="214"/>
      <c r="GA64" s="214"/>
      <c r="GB64" s="214"/>
      <c r="GC64" s="214"/>
      <c r="GD64" s="214"/>
      <c r="GE64" s="214"/>
      <c r="GF64" s="214"/>
      <c r="GG64" s="214"/>
      <c r="GH64" s="214"/>
      <c r="GI64" s="214"/>
      <c r="GJ64" s="214"/>
      <c r="GK64" s="214"/>
      <c r="GL64" s="214"/>
      <c r="GM64" s="214"/>
      <c r="GN64" s="214"/>
      <c r="GO64" s="214"/>
      <c r="GP64" s="214"/>
      <c r="GQ64" s="214"/>
      <c r="GR64" s="214"/>
      <c r="GS64" s="214"/>
      <c r="GT64" s="214"/>
      <c r="GU64" s="214"/>
      <c r="GV64" s="214"/>
      <c r="GW64" s="214"/>
      <c r="GX64" s="214"/>
      <c r="GY64" s="214"/>
      <c r="GZ64" s="214"/>
      <c r="HA64" s="214"/>
      <c r="HB64" s="214"/>
      <c r="HC64" s="214"/>
      <c r="HD64" s="214"/>
      <c r="HE64" s="214"/>
      <c r="HF64" s="214"/>
      <c r="HG64" s="214"/>
      <c r="HH64" s="214"/>
      <c r="HI64" s="214"/>
      <c r="HJ64" s="214"/>
      <c r="HK64" s="214"/>
      <c r="HL64" s="214"/>
      <c r="HM64" s="214"/>
      <c r="HN64" s="214"/>
      <c r="HO64" s="214"/>
      <c r="HP64" s="214"/>
      <c r="HQ64" s="214"/>
      <c r="HR64" s="214"/>
      <c r="HS64" s="214"/>
      <c r="HT64" s="214"/>
      <c r="HU64" s="214"/>
      <c r="HV64" s="214"/>
      <c r="HW64" s="214"/>
      <c r="HX64" s="214"/>
      <c r="HY64" s="214"/>
      <c r="HZ64" s="214"/>
      <c r="IA64" s="214"/>
      <c r="IB64" s="214"/>
      <c r="IC64" s="214"/>
      <c r="ID64" s="214"/>
      <c r="IE64" s="214"/>
      <c r="IF64" s="214"/>
      <c r="IG64" s="214"/>
      <c r="IH64" s="214"/>
      <c r="II64" s="214"/>
      <c r="IJ64" s="214"/>
      <c r="IK64" s="214"/>
      <c r="IL64" s="214"/>
      <c r="IM64" s="214"/>
      <c r="IN64" s="214"/>
      <c r="IO64" s="214"/>
      <c r="IP64" s="214"/>
      <c r="IQ64" s="214"/>
      <c r="IR64" s="214"/>
      <c r="IS64" s="214"/>
      <c r="IT64" s="214"/>
    </row>
    <row r="65" ht="17.25" customHeight="1" spans="1:9">
      <c r="A65" s="215"/>
      <c r="B65" s="215"/>
      <c r="C65" s="216"/>
      <c r="D65" s="212"/>
      <c r="E65" s="212"/>
      <c r="F65" s="212"/>
      <c r="G65" s="213"/>
      <c r="H65" s="217"/>
      <c r="I65" s="215"/>
    </row>
    <row r="66" ht="40.5" customHeight="1" spans="1:9">
      <c r="A66" s="215"/>
      <c r="B66" s="215"/>
      <c r="C66" s="216"/>
      <c r="D66" s="212"/>
      <c r="E66" s="212"/>
      <c r="F66" s="212"/>
      <c r="G66" s="213"/>
      <c r="H66" s="213"/>
      <c r="I66" s="215"/>
    </row>
    <row r="67" ht="40.5" customHeight="1" spans="1:9">
      <c r="A67" s="215"/>
      <c r="B67" s="215"/>
      <c r="C67" s="216"/>
      <c r="D67" s="218"/>
      <c r="E67" s="218"/>
      <c r="F67" s="218"/>
      <c r="G67" s="213"/>
      <c r="H67" s="213"/>
      <c r="I67" s="215"/>
    </row>
    <row r="68" ht="40.5" customHeight="1" spans="1:9">
      <c r="A68" s="215"/>
      <c r="B68" s="215"/>
      <c r="C68" s="216"/>
      <c r="D68" s="218"/>
      <c r="E68" s="218"/>
      <c r="F68" s="218"/>
      <c r="G68" s="213"/>
      <c r="H68" s="213"/>
      <c r="I68" s="215"/>
    </row>
    <row r="69" ht="40.5" customHeight="1" spans="1:9">
      <c r="A69" s="215"/>
      <c r="B69" s="215"/>
      <c r="C69" s="216"/>
      <c r="D69" s="218"/>
      <c r="E69" s="218"/>
      <c r="F69" s="218"/>
      <c r="G69" s="213"/>
      <c r="H69" s="213"/>
      <c r="I69" s="215"/>
    </row>
    <row r="70" ht="15.6" spans="1:9">
      <c r="A70" s="215"/>
      <c r="B70" s="215"/>
      <c r="C70" s="216"/>
      <c r="D70" s="216"/>
      <c r="E70" s="216"/>
      <c r="F70" s="216"/>
      <c r="G70" s="219"/>
      <c r="H70" s="219"/>
      <c r="I70" s="215"/>
    </row>
    <row r="71" ht="17.4" spans="1:9">
      <c r="A71" s="215"/>
      <c r="B71" s="179"/>
      <c r="C71" s="216"/>
      <c r="D71" s="216"/>
      <c r="E71" s="216"/>
      <c r="F71" s="216"/>
      <c r="G71" s="219"/>
      <c r="H71" s="219"/>
      <c r="I71" s="215"/>
    </row>
    <row r="72" ht="15.6" spans="1:9">
      <c r="A72" s="215"/>
      <c r="B72" s="215"/>
      <c r="C72" s="220"/>
      <c r="G72" s="221"/>
      <c r="H72" s="221"/>
      <c r="I72" s="215"/>
    </row>
    <row r="73" ht="18" spans="1:9">
      <c r="A73" s="215"/>
      <c r="B73" s="215"/>
      <c r="C73" s="215"/>
      <c r="G73" s="220"/>
      <c r="H73" s="222"/>
      <c r="I73" s="215"/>
    </row>
    <row r="74" ht="15.6" spans="1:9">
      <c r="A74" s="215"/>
      <c r="B74" s="215"/>
      <c r="D74" s="218"/>
      <c r="E74" s="218"/>
      <c r="F74" s="218"/>
      <c r="G74" s="213"/>
      <c r="H74" s="215"/>
      <c r="I74" s="215"/>
    </row>
    <row r="75" ht="15.6" spans="1:9">
      <c r="A75" s="215"/>
      <c r="B75" s="215"/>
      <c r="C75" s="215"/>
      <c r="D75" s="223"/>
      <c r="E75" s="223"/>
      <c r="F75" s="223"/>
      <c r="G75" s="213"/>
      <c r="H75" s="215"/>
      <c r="I75" s="215"/>
    </row>
    <row r="76" ht="15.6" spans="1:9">
      <c r="A76" s="215"/>
      <c r="B76" s="215"/>
      <c r="C76" s="215"/>
      <c r="D76" s="224"/>
      <c r="E76" s="224"/>
      <c r="F76" s="224"/>
      <c r="G76" s="213"/>
      <c r="H76" s="215"/>
      <c r="I76" s="215"/>
    </row>
    <row r="77" spans="1:9">
      <c r="A77" s="215"/>
      <c r="B77" s="215"/>
      <c r="C77" s="215"/>
      <c r="D77" s="215"/>
      <c r="E77" s="215"/>
      <c r="F77" s="215"/>
      <c r="G77" s="215"/>
      <c r="H77" s="215"/>
      <c r="I77" s="215"/>
    </row>
    <row r="78" spans="1:9">
      <c r="A78" s="215"/>
      <c r="B78" s="215"/>
      <c r="C78" s="215"/>
      <c r="D78" s="215"/>
      <c r="E78" s="215"/>
      <c r="F78" s="215"/>
      <c r="G78" s="215"/>
      <c r="H78" s="215"/>
      <c r="I78" s="215"/>
    </row>
    <row r="79" spans="1:9">
      <c r="A79" s="215"/>
      <c r="B79" s="215"/>
      <c r="C79" s="215"/>
      <c r="D79" s="215"/>
      <c r="E79" s="215"/>
      <c r="F79" s="215"/>
      <c r="G79" s="215"/>
      <c r="H79" s="215"/>
      <c r="I79" s="215"/>
    </row>
    <row r="80" spans="1:9">
      <c r="A80" s="215"/>
      <c r="B80" s="215"/>
      <c r="C80" s="215"/>
      <c r="D80" s="215"/>
      <c r="E80" s="215"/>
      <c r="F80" s="215"/>
      <c r="G80" s="215"/>
      <c r="H80" s="215"/>
      <c r="I80" s="215"/>
    </row>
    <row r="81" spans="1:9">
      <c r="A81" s="215"/>
      <c r="B81" s="215"/>
      <c r="C81" s="215"/>
      <c r="D81" s="215"/>
      <c r="E81" s="215"/>
      <c r="F81" s="215"/>
      <c r="G81" s="215"/>
      <c r="H81" s="215"/>
      <c r="I81" s="215"/>
    </row>
    <row r="82" spans="1:9">
      <c r="A82" s="215"/>
      <c r="B82" s="215"/>
      <c r="C82" s="215"/>
      <c r="D82" s="215"/>
      <c r="E82" s="215"/>
      <c r="F82" s="215"/>
      <c r="G82" s="215"/>
      <c r="H82" s="215"/>
      <c r="I82" s="215"/>
    </row>
    <row r="83" spans="1:9">
      <c r="A83" s="215"/>
      <c r="B83" s="215"/>
      <c r="C83" s="215"/>
      <c r="D83" s="215"/>
      <c r="E83" s="215"/>
      <c r="F83" s="215"/>
      <c r="G83" s="215"/>
      <c r="H83" s="215"/>
      <c r="I83" s="215"/>
    </row>
    <row r="84" spans="1:9">
      <c r="A84" s="215"/>
      <c r="B84" s="215"/>
      <c r="C84" s="215"/>
      <c r="D84" s="215"/>
      <c r="E84" s="215"/>
      <c r="F84" s="215"/>
      <c r="G84" s="215"/>
      <c r="H84" s="215"/>
      <c r="I84" s="215"/>
    </row>
    <row r="85" spans="1:9">
      <c r="A85" s="215"/>
      <c r="B85" s="215"/>
      <c r="C85" s="215"/>
      <c r="D85" s="215"/>
      <c r="E85" s="215"/>
      <c r="F85" s="215"/>
      <c r="G85" s="215"/>
      <c r="H85" s="215"/>
      <c r="I85" s="215"/>
    </row>
    <row r="86" spans="1:9">
      <c r="A86" s="215"/>
      <c r="B86" s="215"/>
      <c r="C86" s="215"/>
      <c r="D86" s="215"/>
      <c r="E86" s="215"/>
      <c r="F86" s="215"/>
      <c r="G86" s="215"/>
      <c r="H86" s="215"/>
      <c r="I86" s="215"/>
    </row>
    <row r="87" spans="1:9">
      <c r="A87" s="215"/>
      <c r="B87" s="215"/>
      <c r="C87" s="215"/>
      <c r="D87" s="215"/>
      <c r="E87" s="215"/>
      <c r="F87" s="215"/>
      <c r="G87" s="215"/>
      <c r="H87" s="215"/>
      <c r="I87" s="215"/>
    </row>
    <row r="88" spans="1:9">
      <c r="A88" s="215"/>
      <c r="B88" s="215"/>
      <c r="C88" s="215"/>
      <c r="D88" s="215"/>
      <c r="E88" s="215"/>
      <c r="F88" s="215"/>
      <c r="G88" s="215"/>
      <c r="H88" s="215"/>
      <c r="I88" s="215"/>
    </row>
    <row r="89" spans="1:9">
      <c r="A89" s="215"/>
      <c r="B89" s="215"/>
      <c r="C89" s="215"/>
      <c r="D89" s="215"/>
      <c r="E89" s="215"/>
      <c r="F89" s="215"/>
      <c r="G89" s="215"/>
      <c r="H89" s="215"/>
      <c r="I89" s="215"/>
    </row>
    <row r="90" spans="1:9">
      <c r="A90" s="215"/>
      <c r="B90" s="215"/>
      <c r="C90" s="215"/>
      <c r="D90" s="215"/>
      <c r="E90" s="215"/>
      <c r="F90" s="215"/>
      <c r="G90" s="215"/>
      <c r="H90" s="215"/>
      <c r="I90" s="215"/>
    </row>
    <row r="91" spans="1:9">
      <c r="A91" s="215"/>
      <c r="B91" s="215"/>
      <c r="C91" s="215"/>
      <c r="D91" s="215"/>
      <c r="E91" s="215"/>
      <c r="F91" s="215"/>
      <c r="G91" s="215"/>
      <c r="H91" s="215"/>
      <c r="I91" s="215"/>
    </row>
    <row r="92" spans="1:9">
      <c r="A92" s="215"/>
      <c r="B92" s="215"/>
      <c r="C92" s="215"/>
      <c r="D92" s="215"/>
      <c r="E92" s="215"/>
      <c r="F92" s="215"/>
      <c r="G92" s="215"/>
      <c r="H92" s="215"/>
      <c r="I92" s="215"/>
    </row>
    <row r="93" spans="1:9">
      <c r="A93" s="215"/>
      <c r="B93" s="215"/>
      <c r="C93" s="215"/>
      <c r="D93" s="215"/>
      <c r="E93" s="215"/>
      <c r="F93" s="215"/>
      <c r="G93" s="215"/>
      <c r="H93" s="215"/>
      <c r="I93" s="215"/>
    </row>
    <row r="94" spans="1:9">
      <c r="A94" s="215"/>
      <c r="B94" s="215"/>
      <c r="C94" s="215"/>
      <c r="D94" s="215"/>
      <c r="E94" s="215"/>
      <c r="F94" s="215"/>
      <c r="G94" s="215"/>
      <c r="H94" s="215"/>
      <c r="I94" s="215"/>
    </row>
    <row r="95" spans="1:9">
      <c r="A95" s="215"/>
      <c r="B95" s="215"/>
      <c r="C95" s="215"/>
      <c r="D95" s="215"/>
      <c r="E95" s="215"/>
      <c r="F95" s="215"/>
      <c r="G95" s="215"/>
      <c r="H95" s="215"/>
      <c r="I95" s="215"/>
    </row>
    <row r="96" spans="1:9">
      <c r="A96" s="215"/>
      <c r="B96" s="215"/>
      <c r="C96" s="215"/>
      <c r="D96" s="215"/>
      <c r="E96" s="215"/>
      <c r="F96" s="215"/>
      <c r="G96" s="215"/>
      <c r="H96" s="215"/>
      <c r="I96" s="215"/>
    </row>
    <row r="97" spans="1:9">
      <c r="A97" s="215"/>
      <c r="B97" s="215"/>
      <c r="C97" s="215"/>
      <c r="D97" s="215"/>
      <c r="E97" s="215"/>
      <c r="F97" s="215"/>
      <c r="G97" s="215"/>
      <c r="H97" s="215"/>
      <c r="I97" s="215"/>
    </row>
    <row r="98" spans="1:9">
      <c r="A98" s="215"/>
      <c r="B98" s="215"/>
      <c r="C98" s="215"/>
      <c r="D98" s="215"/>
      <c r="E98" s="215"/>
      <c r="F98" s="215"/>
      <c r="G98" s="215"/>
      <c r="H98" s="215"/>
      <c r="I98" s="215"/>
    </row>
    <row r="99" spans="1:9">
      <c r="A99" s="215"/>
      <c r="B99" s="215"/>
      <c r="C99" s="215"/>
      <c r="D99" s="215"/>
      <c r="E99" s="215"/>
      <c r="F99" s="215"/>
      <c r="G99" s="215"/>
      <c r="H99" s="215"/>
      <c r="I99" s="215"/>
    </row>
    <row r="100" spans="1:9">
      <c r="A100" s="215"/>
      <c r="B100" s="215"/>
      <c r="C100" s="215"/>
      <c r="D100" s="215"/>
      <c r="E100" s="215"/>
      <c r="F100" s="215"/>
      <c r="G100" s="215"/>
      <c r="H100" s="215"/>
      <c r="I100" s="215"/>
    </row>
    <row r="101" spans="1:9">
      <c r="A101" s="215"/>
      <c r="B101" s="215"/>
      <c r="C101" s="215"/>
      <c r="D101" s="215"/>
      <c r="E101" s="215"/>
      <c r="F101" s="215"/>
      <c r="G101" s="215"/>
      <c r="H101" s="215"/>
      <c r="I101" s="215"/>
    </row>
    <row r="102" spans="1:9">
      <c r="A102" s="215"/>
      <c r="B102" s="215"/>
      <c r="C102" s="215"/>
      <c r="D102" s="215"/>
      <c r="E102" s="215"/>
      <c r="F102" s="215"/>
      <c r="G102" s="215"/>
      <c r="H102" s="215"/>
      <c r="I102" s="215"/>
    </row>
    <row r="103" spans="1:9">
      <c r="A103" s="215"/>
      <c r="B103" s="215"/>
      <c r="C103" s="215"/>
      <c r="D103" s="215"/>
      <c r="E103" s="215"/>
      <c r="F103" s="215"/>
      <c r="G103" s="215"/>
      <c r="H103" s="215"/>
      <c r="I103" s="215"/>
    </row>
    <row r="104" spans="1:9">
      <c r="A104" s="215"/>
      <c r="B104" s="215"/>
      <c r="C104" s="215"/>
      <c r="D104" s="215"/>
      <c r="E104" s="215"/>
      <c r="F104" s="215"/>
      <c r="G104" s="215"/>
      <c r="H104" s="215"/>
      <c r="I104" s="215"/>
    </row>
    <row r="105" spans="1:9">
      <c r="A105" s="215"/>
      <c r="B105" s="215"/>
      <c r="C105" s="215"/>
      <c r="D105" s="215"/>
      <c r="E105" s="215"/>
      <c r="F105" s="215"/>
      <c r="G105" s="215"/>
      <c r="H105" s="215"/>
      <c r="I105" s="215"/>
    </row>
    <row r="106" spans="1:9">
      <c r="A106" s="215"/>
      <c r="B106" s="215"/>
      <c r="C106" s="215"/>
      <c r="D106" s="215"/>
      <c r="E106" s="215"/>
      <c r="F106" s="215"/>
      <c r="G106" s="215"/>
      <c r="H106" s="215"/>
      <c r="I106" s="215"/>
    </row>
    <row r="107" spans="1:9">
      <c r="A107" s="215"/>
      <c r="B107" s="215"/>
      <c r="C107" s="215"/>
      <c r="D107" s="215"/>
      <c r="E107" s="215"/>
      <c r="F107" s="215"/>
      <c r="G107" s="215"/>
      <c r="H107" s="215"/>
      <c r="I107" s="215"/>
    </row>
    <row r="108" spans="1:9">
      <c r="A108" s="215"/>
      <c r="B108" s="215"/>
      <c r="C108" s="215"/>
      <c r="D108" s="215"/>
      <c r="E108" s="215"/>
      <c r="F108" s="215"/>
      <c r="G108" s="215"/>
      <c r="H108" s="215"/>
      <c r="I108" s="215"/>
    </row>
    <row r="109" spans="1:9">
      <c r="A109" s="215"/>
      <c r="B109" s="215"/>
      <c r="C109" s="215"/>
      <c r="D109" s="215"/>
      <c r="E109" s="215"/>
      <c r="F109" s="215"/>
      <c r="G109" s="215"/>
      <c r="H109" s="215"/>
      <c r="I109" s="215"/>
    </row>
    <row r="110" spans="1:9">
      <c r="A110" s="215"/>
      <c r="B110" s="215"/>
      <c r="C110" s="215"/>
      <c r="D110" s="215"/>
      <c r="E110" s="215"/>
      <c r="F110" s="215"/>
      <c r="G110" s="215"/>
      <c r="H110" s="215"/>
      <c r="I110" s="215"/>
    </row>
    <row r="111" spans="1:9">
      <c r="A111" s="215"/>
      <c r="B111" s="215"/>
      <c r="C111" s="215"/>
      <c r="D111" s="215"/>
      <c r="E111" s="215"/>
      <c r="F111" s="215"/>
      <c r="G111" s="215"/>
      <c r="H111" s="215"/>
      <c r="I111" s="215"/>
    </row>
    <row r="112" spans="1:9">
      <c r="A112" s="215"/>
      <c r="B112" s="215"/>
      <c r="C112" s="215"/>
      <c r="D112" s="215"/>
      <c r="E112" s="215"/>
      <c r="F112" s="215"/>
      <c r="G112" s="215"/>
      <c r="H112" s="215"/>
      <c r="I112" s="215"/>
    </row>
    <row r="113" spans="1:9">
      <c r="A113" s="215"/>
      <c r="B113" s="215"/>
      <c r="C113" s="215"/>
      <c r="D113" s="215"/>
      <c r="E113" s="215"/>
      <c r="F113" s="215"/>
      <c r="G113" s="215"/>
      <c r="H113" s="215"/>
      <c r="I113" s="215"/>
    </row>
    <row r="114" spans="1:9">
      <c r="A114" s="215"/>
      <c r="B114" s="215"/>
      <c r="C114" s="215"/>
      <c r="D114" s="215"/>
      <c r="E114" s="215"/>
      <c r="F114" s="215"/>
      <c r="G114" s="215"/>
      <c r="H114" s="215"/>
      <c r="I114" s="215"/>
    </row>
    <row r="115" spans="1:9">
      <c r="A115" s="215"/>
      <c r="B115" s="215"/>
      <c r="C115" s="215"/>
      <c r="D115" s="215"/>
      <c r="E115" s="215"/>
      <c r="F115" s="215"/>
      <c r="G115" s="215"/>
      <c r="H115" s="215"/>
      <c r="I115" s="215"/>
    </row>
    <row r="116" spans="1:9">
      <c r="A116" s="215"/>
      <c r="B116" s="215"/>
      <c r="C116" s="215"/>
      <c r="D116" s="215"/>
      <c r="E116" s="215"/>
      <c r="F116" s="215"/>
      <c r="G116" s="215"/>
      <c r="H116" s="215"/>
      <c r="I116" s="215"/>
    </row>
    <row r="117" spans="1:9">
      <c r="A117" s="215"/>
      <c r="B117" s="215"/>
      <c r="C117" s="215"/>
      <c r="D117" s="215"/>
      <c r="E117" s="215"/>
      <c r="F117" s="215"/>
      <c r="G117" s="215"/>
      <c r="H117" s="215"/>
      <c r="I117" s="215"/>
    </row>
    <row r="118" spans="1:9">
      <c r="A118" s="215"/>
      <c r="B118" s="215"/>
      <c r="C118" s="215"/>
      <c r="D118" s="215"/>
      <c r="E118" s="215"/>
      <c r="F118" s="215"/>
      <c r="G118" s="215"/>
      <c r="H118" s="215"/>
      <c r="I118" s="215"/>
    </row>
    <row r="119" spans="1:9">
      <c r="A119" s="215"/>
      <c r="B119" s="215"/>
      <c r="C119" s="215"/>
      <c r="D119" s="215"/>
      <c r="E119" s="215"/>
      <c r="F119" s="215"/>
      <c r="G119" s="215"/>
      <c r="H119" s="215"/>
      <c r="I119" s="215"/>
    </row>
    <row r="120" spans="1:9">
      <c r="A120" s="215"/>
      <c r="B120" s="215"/>
      <c r="C120" s="215"/>
      <c r="D120" s="215"/>
      <c r="E120" s="215"/>
      <c r="F120" s="215"/>
      <c r="G120" s="215"/>
      <c r="H120" s="215"/>
      <c r="I120" s="215"/>
    </row>
    <row r="121" spans="1:9">
      <c r="A121" s="215"/>
      <c r="B121" s="215"/>
      <c r="C121" s="215"/>
      <c r="D121" s="215"/>
      <c r="E121" s="215"/>
      <c r="F121" s="215"/>
      <c r="G121" s="215"/>
      <c r="H121" s="215"/>
      <c r="I121" s="215"/>
    </row>
    <row r="122" spans="1:9">
      <c r="A122" s="215"/>
      <c r="B122" s="215"/>
      <c r="C122" s="215"/>
      <c r="D122" s="215"/>
      <c r="E122" s="215"/>
      <c r="F122" s="215"/>
      <c r="G122" s="215"/>
      <c r="H122" s="215"/>
      <c r="I122" s="215"/>
    </row>
    <row r="123" spans="1:9">
      <c r="A123" s="215"/>
      <c r="B123" s="215"/>
      <c r="C123" s="215"/>
      <c r="D123" s="215"/>
      <c r="E123" s="215"/>
      <c r="F123" s="215"/>
      <c r="G123" s="215"/>
      <c r="H123" s="215"/>
      <c r="I123" s="215"/>
    </row>
    <row r="124" spans="1:9">
      <c r="A124" s="215"/>
      <c r="B124" s="215"/>
      <c r="C124" s="215"/>
      <c r="D124" s="215"/>
      <c r="E124" s="215"/>
      <c r="F124" s="215"/>
      <c r="G124" s="215"/>
      <c r="H124" s="215"/>
      <c r="I124" s="215"/>
    </row>
    <row r="125" spans="1:9">
      <c r="A125" s="215"/>
      <c r="B125" s="215"/>
      <c r="C125" s="215"/>
      <c r="D125" s="215"/>
      <c r="E125" s="215"/>
      <c r="F125" s="215"/>
      <c r="G125" s="215"/>
      <c r="H125" s="215"/>
      <c r="I125" s="215"/>
    </row>
    <row r="126" spans="1:9">
      <c r="A126" s="215"/>
      <c r="B126" s="215"/>
      <c r="C126" s="215"/>
      <c r="D126" s="215"/>
      <c r="E126" s="215"/>
      <c r="F126" s="215"/>
      <c r="G126" s="215"/>
      <c r="H126" s="215"/>
      <c r="I126" s="215"/>
    </row>
    <row r="127" spans="1:9">
      <c r="A127" s="215"/>
      <c r="B127" s="215"/>
      <c r="C127" s="215"/>
      <c r="D127" s="215"/>
      <c r="E127" s="215"/>
      <c r="F127" s="215"/>
      <c r="G127" s="215"/>
      <c r="H127" s="215"/>
      <c r="I127" s="215"/>
    </row>
    <row r="128" spans="1:9">
      <c r="A128" s="215"/>
      <c r="B128" s="215"/>
      <c r="C128" s="215"/>
      <c r="D128" s="215"/>
      <c r="E128" s="215"/>
      <c r="F128" s="215"/>
      <c r="G128" s="215"/>
      <c r="H128" s="215"/>
      <c r="I128" s="215"/>
    </row>
    <row r="129" spans="1:9">
      <c r="A129" s="215"/>
      <c r="B129" s="215"/>
      <c r="C129" s="215"/>
      <c r="D129" s="215"/>
      <c r="E129" s="215"/>
      <c r="F129" s="215"/>
      <c r="G129" s="215"/>
      <c r="H129" s="215"/>
      <c r="I129" s="215"/>
    </row>
    <row r="130" spans="1:9">
      <c r="A130" s="215"/>
      <c r="B130" s="215"/>
      <c r="C130" s="215"/>
      <c r="D130" s="215"/>
      <c r="E130" s="215"/>
      <c r="F130" s="215"/>
      <c r="G130" s="215"/>
      <c r="H130" s="215"/>
      <c r="I130" s="215"/>
    </row>
    <row r="131" spans="1:9">
      <c r="A131" s="215"/>
      <c r="B131" s="215"/>
      <c r="C131" s="215"/>
      <c r="D131" s="215"/>
      <c r="E131" s="215"/>
      <c r="F131" s="215"/>
      <c r="G131" s="215"/>
      <c r="H131" s="215"/>
      <c r="I131" s="215"/>
    </row>
    <row r="132" spans="1:9">
      <c r="A132" s="215"/>
      <c r="B132" s="215"/>
      <c r="C132" s="215"/>
      <c r="D132" s="215"/>
      <c r="E132" s="215"/>
      <c r="F132" s="215"/>
      <c r="G132" s="215"/>
      <c r="H132" s="215"/>
      <c r="I132" s="215"/>
    </row>
    <row r="133" spans="1:9">
      <c r="A133" s="215"/>
      <c r="B133" s="215"/>
      <c r="C133" s="215"/>
      <c r="D133" s="215"/>
      <c r="E133" s="215"/>
      <c r="F133" s="215"/>
      <c r="G133" s="215"/>
      <c r="H133" s="215"/>
      <c r="I133" s="215"/>
    </row>
    <row r="134" spans="1:9">
      <c r="A134" s="215"/>
      <c r="B134" s="215"/>
      <c r="C134" s="215"/>
      <c r="D134" s="215"/>
      <c r="E134" s="215"/>
      <c r="F134" s="215"/>
      <c r="G134" s="215"/>
      <c r="H134" s="215"/>
      <c r="I134" s="215"/>
    </row>
    <row r="135" spans="1:9">
      <c r="A135" s="215"/>
      <c r="B135" s="215"/>
      <c r="C135" s="215"/>
      <c r="D135" s="215"/>
      <c r="E135" s="215"/>
      <c r="F135" s="215"/>
      <c r="G135" s="215"/>
      <c r="H135" s="215"/>
      <c r="I135" s="215"/>
    </row>
    <row r="136" spans="1:9">
      <c r="A136" s="215"/>
      <c r="B136" s="215"/>
      <c r="C136" s="215"/>
      <c r="D136" s="215"/>
      <c r="E136" s="215"/>
      <c r="F136" s="215"/>
      <c r="G136" s="215"/>
      <c r="H136" s="215"/>
      <c r="I136" s="215"/>
    </row>
    <row r="137" spans="1:9">
      <c r="A137" s="215"/>
      <c r="B137" s="215"/>
      <c r="C137" s="215"/>
      <c r="D137" s="215"/>
      <c r="E137" s="215"/>
      <c r="F137" s="215"/>
      <c r="G137" s="215"/>
      <c r="H137" s="215"/>
      <c r="I137" s="215"/>
    </row>
    <row r="138" spans="1:9">
      <c r="A138" s="215"/>
      <c r="B138" s="215"/>
      <c r="C138" s="215"/>
      <c r="D138" s="215"/>
      <c r="E138" s="215"/>
      <c r="F138" s="215"/>
      <c r="G138" s="215"/>
      <c r="H138" s="215"/>
      <c r="I138" s="215"/>
    </row>
    <row r="139" spans="1:9">
      <c r="A139" s="215"/>
      <c r="B139" s="215"/>
      <c r="C139" s="215"/>
      <c r="D139" s="215"/>
      <c r="E139" s="215"/>
      <c r="F139" s="215"/>
      <c r="G139" s="215"/>
      <c r="H139" s="215"/>
      <c r="I139" s="215"/>
    </row>
    <row r="140" spans="1:9">
      <c r="A140" s="215"/>
      <c r="B140" s="215"/>
      <c r="C140" s="215"/>
      <c r="D140" s="215"/>
      <c r="E140" s="215"/>
      <c r="F140" s="215"/>
      <c r="G140" s="215"/>
      <c r="H140" s="215"/>
      <c r="I140" s="215"/>
    </row>
    <row r="141" spans="1:9">
      <c r="A141" s="215"/>
      <c r="B141" s="215"/>
      <c r="C141" s="215"/>
      <c r="D141" s="215"/>
      <c r="E141" s="215"/>
      <c r="F141" s="215"/>
      <c r="G141" s="215"/>
      <c r="H141" s="215"/>
      <c r="I141" s="215"/>
    </row>
    <row r="142" spans="1:9">
      <c r="A142" s="215"/>
      <c r="B142" s="215"/>
      <c r="C142" s="215"/>
      <c r="D142" s="215"/>
      <c r="E142" s="215"/>
      <c r="F142" s="215"/>
      <c r="G142" s="215"/>
      <c r="H142" s="215"/>
      <c r="I142" s="215"/>
    </row>
    <row r="143" spans="1:9">
      <c r="A143" s="215"/>
      <c r="B143" s="215"/>
      <c r="C143" s="215"/>
      <c r="D143" s="215"/>
      <c r="E143" s="215"/>
      <c r="F143" s="215"/>
      <c r="G143" s="215"/>
      <c r="H143" s="215"/>
      <c r="I143" s="215"/>
    </row>
    <row r="144" spans="1:9">
      <c r="A144" s="215"/>
      <c r="B144" s="215"/>
      <c r="C144" s="215"/>
      <c r="D144" s="215"/>
      <c r="E144" s="215"/>
      <c r="F144" s="215"/>
      <c r="G144" s="215"/>
      <c r="H144" s="215"/>
      <c r="I144" s="215"/>
    </row>
    <row r="145" spans="1:9">
      <c r="A145" s="215"/>
      <c r="B145" s="215"/>
      <c r="C145" s="215"/>
      <c r="D145" s="215"/>
      <c r="E145" s="215"/>
      <c r="F145" s="215"/>
      <c r="G145" s="215"/>
      <c r="H145" s="215"/>
      <c r="I145" s="215"/>
    </row>
    <row r="146" spans="1:9">
      <c r="A146" s="215"/>
      <c r="B146" s="215"/>
      <c r="C146" s="215"/>
      <c r="D146" s="215"/>
      <c r="E146" s="215"/>
      <c r="F146" s="215"/>
      <c r="G146" s="215"/>
      <c r="H146" s="215"/>
      <c r="I146" s="215"/>
    </row>
    <row r="147" spans="1:9">
      <c r="A147" s="215"/>
      <c r="B147" s="215"/>
      <c r="C147" s="215"/>
      <c r="D147" s="215"/>
      <c r="E147" s="215"/>
      <c r="F147" s="215"/>
      <c r="G147" s="215"/>
      <c r="H147" s="215"/>
      <c r="I147" s="215"/>
    </row>
    <row r="148" spans="1:9">
      <c r="A148" s="215"/>
      <c r="B148" s="215"/>
      <c r="C148" s="215"/>
      <c r="D148" s="215"/>
      <c r="E148" s="215"/>
      <c r="F148" s="215"/>
      <c r="G148" s="215"/>
      <c r="H148" s="215"/>
      <c r="I148" s="215"/>
    </row>
    <row r="149" spans="1:9">
      <c r="A149" s="215"/>
      <c r="B149" s="215"/>
      <c r="C149" s="215"/>
      <c r="D149" s="215"/>
      <c r="E149" s="215"/>
      <c r="F149" s="215"/>
      <c r="G149" s="215"/>
      <c r="H149" s="215"/>
      <c r="I149" s="215"/>
    </row>
    <row r="150" spans="1:9">
      <c r="A150" s="215"/>
      <c r="B150" s="215"/>
      <c r="C150" s="215"/>
      <c r="D150" s="215"/>
      <c r="E150" s="215"/>
      <c r="F150" s="215"/>
      <c r="G150" s="215"/>
      <c r="H150" s="215"/>
      <c r="I150" s="215"/>
    </row>
    <row r="151" spans="1:9">
      <c r="A151" s="215"/>
      <c r="B151" s="215"/>
      <c r="C151" s="215"/>
      <c r="D151" s="215"/>
      <c r="E151" s="215"/>
      <c r="F151" s="215"/>
      <c r="G151" s="215"/>
      <c r="H151" s="215"/>
      <c r="I151" s="215"/>
    </row>
    <row r="152" spans="1:9">
      <c r="A152" s="215"/>
      <c r="B152" s="215"/>
      <c r="C152" s="215"/>
      <c r="D152" s="215"/>
      <c r="E152" s="215"/>
      <c r="F152" s="215"/>
      <c r="G152" s="215"/>
      <c r="H152" s="215"/>
      <c r="I152" s="215"/>
    </row>
    <row r="153" spans="1:9">
      <c r="A153" s="215"/>
      <c r="B153" s="215"/>
      <c r="C153" s="215"/>
      <c r="D153" s="215"/>
      <c r="E153" s="215"/>
      <c r="F153" s="215"/>
      <c r="G153" s="215"/>
      <c r="H153" s="215"/>
      <c r="I153" s="215"/>
    </row>
    <row r="154" spans="1:9">
      <c r="A154" s="215"/>
      <c r="B154" s="215"/>
      <c r="C154" s="215"/>
      <c r="D154" s="215"/>
      <c r="E154" s="215"/>
      <c r="F154" s="215"/>
      <c r="G154" s="215"/>
      <c r="H154" s="215"/>
      <c r="I154" s="215"/>
    </row>
    <row r="155" spans="1:9">
      <c r="A155" s="215"/>
      <c r="B155" s="215"/>
      <c r="C155" s="215"/>
      <c r="D155" s="215"/>
      <c r="E155" s="215"/>
      <c r="F155" s="215"/>
      <c r="G155" s="215"/>
      <c r="H155" s="215"/>
      <c r="I155" s="215"/>
    </row>
    <row r="156" spans="1:9">
      <c r="A156" s="215"/>
      <c r="B156" s="215"/>
      <c r="C156" s="215"/>
      <c r="D156" s="215"/>
      <c r="E156" s="215"/>
      <c r="F156" s="215"/>
      <c r="G156" s="215"/>
      <c r="H156" s="215"/>
      <c r="I156" s="215"/>
    </row>
    <row r="157" spans="1:9">
      <c r="A157" s="215"/>
      <c r="B157" s="215"/>
      <c r="C157" s="215"/>
      <c r="D157" s="215"/>
      <c r="E157" s="215"/>
      <c r="F157" s="215"/>
      <c r="G157" s="215"/>
      <c r="H157" s="215"/>
      <c r="I157" s="215"/>
    </row>
    <row r="158" spans="1:9">
      <c r="A158" s="215"/>
      <c r="B158" s="215"/>
      <c r="C158" s="215"/>
      <c r="D158" s="215"/>
      <c r="E158" s="215"/>
      <c r="F158" s="215"/>
      <c r="G158" s="215"/>
      <c r="H158" s="215"/>
      <c r="I158" s="215"/>
    </row>
    <row r="159" spans="1:9">
      <c r="A159" s="215"/>
      <c r="B159" s="215"/>
      <c r="C159" s="215"/>
      <c r="D159" s="215"/>
      <c r="E159" s="215"/>
      <c r="F159" s="215"/>
      <c r="G159" s="215"/>
      <c r="H159" s="215"/>
      <c r="I159" s="215"/>
    </row>
    <row r="160" spans="1:9">
      <c r="A160" s="215"/>
      <c r="B160" s="215"/>
      <c r="C160" s="215"/>
      <c r="D160" s="215"/>
      <c r="E160" s="215"/>
      <c r="F160" s="215"/>
      <c r="G160" s="215"/>
      <c r="H160" s="215"/>
      <c r="I160" s="215"/>
    </row>
    <row r="161" spans="1:9">
      <c r="A161" s="215"/>
      <c r="B161" s="215"/>
      <c r="C161" s="215"/>
      <c r="D161" s="215"/>
      <c r="E161" s="215"/>
      <c r="F161" s="215"/>
      <c r="G161" s="215"/>
      <c r="H161" s="215"/>
      <c r="I161" s="215"/>
    </row>
    <row r="162" spans="1:9">
      <c r="A162" s="215"/>
      <c r="B162" s="215"/>
      <c r="C162" s="215"/>
      <c r="D162" s="215"/>
      <c r="E162" s="215"/>
      <c r="F162" s="215"/>
      <c r="G162" s="215"/>
      <c r="H162" s="215"/>
      <c r="I162" s="215"/>
    </row>
    <row r="163" spans="1:9">
      <c r="A163" s="215"/>
      <c r="B163" s="215"/>
      <c r="C163" s="215"/>
      <c r="D163" s="215"/>
      <c r="E163" s="215"/>
      <c r="F163" s="215"/>
      <c r="G163" s="215"/>
      <c r="H163" s="215"/>
      <c r="I163" s="215"/>
    </row>
    <row r="164" spans="1:9">
      <c r="A164" s="215"/>
      <c r="B164" s="215"/>
      <c r="C164" s="215"/>
      <c r="D164" s="215"/>
      <c r="E164" s="215"/>
      <c r="F164" s="215"/>
      <c r="G164" s="215"/>
      <c r="H164" s="215"/>
      <c r="I164" s="215"/>
    </row>
    <row r="165" spans="1:9">
      <c r="A165" s="215"/>
      <c r="B165" s="215"/>
      <c r="C165" s="215"/>
      <c r="D165" s="215"/>
      <c r="E165" s="215"/>
      <c r="F165" s="215"/>
      <c r="G165" s="215"/>
      <c r="H165" s="215"/>
      <c r="I165" s="215"/>
    </row>
    <row r="166" spans="1:9">
      <c r="A166" s="215"/>
      <c r="B166" s="215"/>
      <c r="C166" s="215"/>
      <c r="D166" s="215"/>
      <c r="E166" s="215"/>
      <c r="F166" s="215"/>
      <c r="G166" s="215"/>
      <c r="H166" s="215"/>
      <c r="I166" s="215"/>
    </row>
    <row r="167" spans="1:9">
      <c r="A167" s="215"/>
      <c r="B167" s="215"/>
      <c r="C167" s="215"/>
      <c r="D167" s="215"/>
      <c r="E167" s="215"/>
      <c r="F167" s="215"/>
      <c r="G167" s="215"/>
      <c r="H167" s="215"/>
      <c r="I167" s="215"/>
    </row>
    <row r="168" spans="1:9">
      <c r="A168" s="215"/>
      <c r="B168" s="215"/>
      <c r="C168" s="215"/>
      <c r="D168" s="215"/>
      <c r="E168" s="215"/>
      <c r="F168" s="215"/>
      <c r="G168" s="215"/>
      <c r="H168" s="215"/>
      <c r="I168" s="215"/>
    </row>
    <row r="169" spans="1:9">
      <c r="A169" s="215"/>
      <c r="B169" s="215"/>
      <c r="C169" s="215"/>
      <c r="D169" s="215"/>
      <c r="E169" s="215"/>
      <c r="F169" s="215"/>
      <c r="G169" s="215"/>
      <c r="H169" s="215"/>
      <c r="I169" s="215"/>
    </row>
    <row r="170" spans="1:9">
      <c r="A170" s="215"/>
      <c r="B170" s="215"/>
      <c r="C170" s="215"/>
      <c r="D170" s="215"/>
      <c r="E170" s="215"/>
      <c r="F170" s="215"/>
      <c r="G170" s="215"/>
      <c r="H170" s="215"/>
      <c r="I170" s="215"/>
    </row>
    <row r="171" spans="1:9">
      <c r="A171" s="215"/>
      <c r="B171" s="215"/>
      <c r="C171" s="215"/>
      <c r="D171" s="215"/>
      <c r="E171" s="215"/>
      <c r="F171" s="215"/>
      <c r="G171" s="215"/>
      <c r="H171" s="215"/>
      <c r="I171" s="215"/>
    </row>
    <row r="172" spans="1:9">
      <c r="A172" s="215"/>
      <c r="B172" s="215"/>
      <c r="C172" s="215"/>
      <c r="D172" s="215"/>
      <c r="E172" s="215"/>
      <c r="F172" s="215"/>
      <c r="G172" s="215"/>
      <c r="H172" s="215"/>
      <c r="I172" s="215"/>
    </row>
    <row r="173" spans="1:9">
      <c r="A173" s="215"/>
      <c r="B173" s="215"/>
      <c r="C173" s="215"/>
      <c r="D173" s="215"/>
      <c r="E173" s="215"/>
      <c r="F173" s="215"/>
      <c r="G173" s="215"/>
      <c r="H173" s="215"/>
      <c r="I173" s="215"/>
    </row>
    <row r="174" spans="1:9">
      <c r="A174" s="215"/>
      <c r="B174" s="215"/>
      <c r="C174" s="215"/>
      <c r="D174" s="215"/>
      <c r="E174" s="215"/>
      <c r="F174" s="215"/>
      <c r="G174" s="215"/>
      <c r="H174" s="215"/>
      <c r="I174" s="215"/>
    </row>
    <row r="175" spans="1:9">
      <c r="A175" s="215"/>
      <c r="B175" s="215"/>
      <c r="C175" s="215"/>
      <c r="D175" s="215"/>
      <c r="E175" s="215"/>
      <c r="F175" s="215"/>
      <c r="G175" s="215"/>
      <c r="H175" s="215"/>
      <c r="I175" s="215"/>
    </row>
    <row r="176" spans="1:9">
      <c r="A176" s="215"/>
      <c r="B176" s="215"/>
      <c r="C176" s="215"/>
      <c r="D176" s="215"/>
      <c r="E176" s="215"/>
      <c r="F176" s="215"/>
      <c r="G176" s="215"/>
      <c r="H176" s="215"/>
      <c r="I176" s="215"/>
    </row>
    <row r="177" spans="1:9">
      <c r="A177" s="215"/>
      <c r="B177" s="215"/>
      <c r="C177" s="215"/>
      <c r="D177" s="215"/>
      <c r="E177" s="215"/>
      <c r="F177" s="215"/>
      <c r="G177" s="215"/>
      <c r="H177" s="215"/>
      <c r="I177" s="215"/>
    </row>
    <row r="178" spans="1:9">
      <c r="A178" s="215"/>
      <c r="B178" s="215"/>
      <c r="C178" s="215"/>
      <c r="D178" s="215"/>
      <c r="E178" s="215"/>
      <c r="F178" s="215"/>
      <c r="G178" s="215"/>
      <c r="H178" s="215"/>
      <c r="I178" s="215"/>
    </row>
    <row r="179" spans="1:9">
      <c r="A179" s="215"/>
      <c r="B179" s="215"/>
      <c r="C179" s="215"/>
      <c r="D179" s="215"/>
      <c r="E179" s="215"/>
      <c r="F179" s="215"/>
      <c r="G179" s="215"/>
      <c r="H179" s="215"/>
      <c r="I179" s="215"/>
    </row>
    <row r="180" spans="1:9">
      <c r="A180" s="215"/>
      <c r="B180" s="215"/>
      <c r="C180" s="215"/>
      <c r="D180" s="215"/>
      <c r="E180" s="215"/>
      <c r="F180" s="215"/>
      <c r="G180" s="215"/>
      <c r="H180" s="215"/>
      <c r="I180" s="215"/>
    </row>
    <row r="181" spans="1:9">
      <c r="A181" s="215"/>
      <c r="B181" s="215"/>
      <c r="C181" s="215"/>
      <c r="D181" s="215"/>
      <c r="E181" s="215"/>
      <c r="F181" s="215"/>
      <c r="G181" s="215"/>
      <c r="H181" s="215"/>
      <c r="I181" s="215"/>
    </row>
    <row r="182" spans="1:9">
      <c r="A182" s="215"/>
      <c r="B182" s="215"/>
      <c r="C182" s="215"/>
      <c r="D182" s="215"/>
      <c r="E182" s="215"/>
      <c r="F182" s="215"/>
      <c r="G182" s="215"/>
      <c r="H182" s="215"/>
      <c r="I182" s="215"/>
    </row>
    <row r="183" spans="1:9">
      <c r="A183" s="215"/>
      <c r="B183" s="215"/>
      <c r="C183" s="215"/>
      <c r="D183" s="215"/>
      <c r="E183" s="215"/>
      <c r="F183" s="215"/>
      <c r="G183" s="215"/>
      <c r="H183" s="215"/>
      <c r="I183" s="215"/>
    </row>
    <row r="184" spans="1:9">
      <c r="A184" s="215"/>
      <c r="B184" s="215"/>
      <c r="C184" s="215"/>
      <c r="D184" s="215"/>
      <c r="E184" s="215"/>
      <c r="F184" s="215"/>
      <c r="G184" s="215"/>
      <c r="H184" s="215"/>
      <c r="I184" s="215"/>
    </row>
    <row r="185" spans="1:9">
      <c r="A185" s="215"/>
      <c r="B185" s="215"/>
      <c r="C185" s="215"/>
      <c r="D185" s="215"/>
      <c r="E185" s="215"/>
      <c r="F185" s="215"/>
      <c r="G185" s="215"/>
      <c r="H185" s="215"/>
      <c r="I185" s="215"/>
    </row>
    <row r="186" spans="1:9">
      <c r="A186" s="215"/>
      <c r="B186" s="215"/>
      <c r="C186" s="215"/>
      <c r="D186" s="215"/>
      <c r="E186" s="215"/>
      <c r="F186" s="215"/>
      <c r="G186" s="215"/>
      <c r="H186" s="215"/>
      <c r="I186" s="215"/>
    </row>
    <row r="187" spans="1:9">
      <c r="A187" s="215"/>
      <c r="B187" s="215"/>
      <c r="C187" s="215"/>
      <c r="D187" s="215"/>
      <c r="E187" s="215"/>
      <c r="F187" s="215"/>
      <c r="G187" s="215"/>
      <c r="H187" s="215"/>
      <c r="I187" s="215"/>
    </row>
    <row r="188" spans="1:9">
      <c r="A188" s="133"/>
      <c r="B188" s="133"/>
      <c r="C188" s="133"/>
      <c r="D188" s="133"/>
      <c r="E188" s="133"/>
      <c r="F188" s="133"/>
      <c r="G188" s="133"/>
      <c r="H188" s="133"/>
      <c r="I188" s="133"/>
    </row>
    <row r="189" spans="1:9">
      <c r="A189" s="133"/>
      <c r="B189" s="133"/>
      <c r="C189" s="133"/>
      <c r="D189" s="133"/>
      <c r="E189" s="133"/>
      <c r="F189" s="133"/>
      <c r="G189" s="133"/>
      <c r="H189" s="133"/>
      <c r="I189" s="133"/>
    </row>
    <row r="190" spans="1:9">
      <c r="A190" s="133"/>
      <c r="B190" s="133"/>
      <c r="C190" s="133"/>
      <c r="D190" s="133"/>
      <c r="E190" s="133"/>
      <c r="F190" s="133"/>
      <c r="G190" s="133"/>
      <c r="H190" s="133"/>
      <c r="I190" s="133"/>
    </row>
    <row r="191" spans="1:9">
      <c r="A191" s="133"/>
      <c r="B191" s="133"/>
      <c r="C191" s="133"/>
      <c r="D191" s="133"/>
      <c r="E191" s="133"/>
      <c r="F191" s="133"/>
      <c r="G191" s="133"/>
      <c r="H191" s="133"/>
      <c r="I191" s="133"/>
    </row>
    <row r="192" spans="1:9">
      <c r="A192" s="133"/>
      <c r="B192" s="133"/>
      <c r="C192" s="133"/>
      <c r="D192" s="133"/>
      <c r="E192" s="133"/>
      <c r="F192" s="133"/>
      <c r="G192" s="133"/>
      <c r="H192" s="133"/>
      <c r="I192" s="133"/>
    </row>
    <row r="193" spans="1:9">
      <c r="A193" s="133"/>
      <c r="B193" s="133"/>
      <c r="C193" s="133"/>
      <c r="D193" s="133"/>
      <c r="E193" s="133"/>
      <c r="F193" s="133"/>
      <c r="G193" s="133"/>
      <c r="H193" s="133"/>
      <c r="I193" s="133"/>
    </row>
    <row r="194" spans="1:9">
      <c r="A194" s="133"/>
      <c r="B194" s="133"/>
      <c r="C194" s="133"/>
      <c r="D194" s="133"/>
      <c r="E194" s="133"/>
      <c r="F194" s="133"/>
      <c r="G194" s="133"/>
      <c r="H194" s="133"/>
      <c r="I194" s="133"/>
    </row>
    <row r="195" spans="1:9">
      <c r="A195" s="133"/>
      <c r="B195" s="133"/>
      <c r="C195" s="133"/>
      <c r="D195" s="133"/>
      <c r="E195" s="133"/>
      <c r="F195" s="133"/>
      <c r="G195" s="133"/>
      <c r="H195" s="133"/>
      <c r="I195" s="133"/>
    </row>
    <row r="196" spans="1:9">
      <c r="A196" s="133"/>
      <c r="B196" s="133"/>
      <c r="C196" s="133"/>
      <c r="D196" s="133"/>
      <c r="E196" s="133"/>
      <c r="F196" s="133"/>
      <c r="G196" s="133"/>
      <c r="H196" s="133"/>
      <c r="I196" s="133"/>
    </row>
    <row r="197" spans="1:9">
      <c r="A197" s="133"/>
      <c r="B197" s="133"/>
      <c r="C197" s="133"/>
      <c r="D197" s="133"/>
      <c r="E197" s="133"/>
      <c r="F197" s="133"/>
      <c r="G197" s="133"/>
      <c r="H197" s="133"/>
      <c r="I197" s="133"/>
    </row>
    <row r="198" spans="1:9">
      <c r="A198" s="133"/>
      <c r="B198" s="133"/>
      <c r="C198" s="133"/>
      <c r="D198" s="133"/>
      <c r="E198" s="133"/>
      <c r="F198" s="133"/>
      <c r="G198" s="133"/>
      <c r="H198" s="133"/>
      <c r="I198" s="133"/>
    </row>
    <row r="199" spans="1:9">
      <c r="A199" s="133"/>
      <c r="B199" s="133"/>
      <c r="C199" s="133"/>
      <c r="D199" s="133"/>
      <c r="E199" s="133"/>
      <c r="F199" s="133"/>
      <c r="G199" s="133"/>
      <c r="H199" s="133"/>
      <c r="I199" s="133"/>
    </row>
    <row r="200" spans="1:9">
      <c r="A200" s="133"/>
      <c r="B200" s="133"/>
      <c r="C200" s="133"/>
      <c r="D200" s="133"/>
      <c r="E200" s="133"/>
      <c r="F200" s="133"/>
      <c r="G200" s="133"/>
      <c r="H200" s="133"/>
      <c r="I200" s="133"/>
    </row>
    <row r="201" spans="1:9">
      <c r="A201" s="133"/>
      <c r="B201" s="133"/>
      <c r="C201" s="133"/>
      <c r="D201" s="133"/>
      <c r="E201" s="133"/>
      <c r="F201" s="133"/>
      <c r="G201" s="133"/>
      <c r="H201" s="133"/>
      <c r="I201" s="133"/>
    </row>
    <row r="202" spans="1:9">
      <c r="A202" s="133"/>
      <c r="B202" s="133"/>
      <c r="C202" s="133"/>
      <c r="D202" s="133"/>
      <c r="E202" s="133"/>
      <c r="F202" s="133"/>
      <c r="G202" s="133"/>
      <c r="H202" s="133"/>
      <c r="I202" s="133"/>
    </row>
    <row r="203" spans="1:9">
      <c r="A203" s="133"/>
      <c r="B203" s="133"/>
      <c r="C203" s="133"/>
      <c r="D203" s="133"/>
      <c r="E203" s="133"/>
      <c r="F203" s="133"/>
      <c r="G203" s="133"/>
      <c r="H203" s="133"/>
      <c r="I203" s="133"/>
    </row>
    <row r="204" spans="1:9">
      <c r="A204" s="133"/>
      <c r="B204" s="133"/>
      <c r="C204" s="133"/>
      <c r="D204" s="133"/>
      <c r="E204" s="133"/>
      <c r="F204" s="133"/>
      <c r="G204" s="133"/>
      <c r="H204" s="133"/>
      <c r="I204" s="133"/>
    </row>
    <row r="205" spans="1:9">
      <c r="A205" s="133"/>
      <c r="B205" s="133"/>
      <c r="C205" s="133"/>
      <c r="D205" s="133"/>
      <c r="E205" s="133"/>
      <c r="F205" s="133"/>
      <c r="G205" s="133"/>
      <c r="H205" s="133"/>
      <c r="I205" s="133"/>
    </row>
    <row r="206" spans="1:9">
      <c r="A206" s="133"/>
      <c r="B206" s="133"/>
      <c r="C206" s="133"/>
      <c r="D206" s="133"/>
      <c r="E206" s="133"/>
      <c r="F206" s="133"/>
      <c r="G206" s="133"/>
      <c r="H206" s="133"/>
      <c r="I206" s="133"/>
    </row>
    <row r="207" spans="1:9">
      <c r="A207" s="133"/>
      <c r="B207" s="133"/>
      <c r="C207" s="133"/>
      <c r="D207" s="133"/>
      <c r="E207" s="133"/>
      <c r="F207" s="133"/>
      <c r="G207" s="133"/>
      <c r="H207" s="133"/>
      <c r="I207" s="133"/>
    </row>
    <row r="208" spans="1:9">
      <c r="A208" s="133"/>
      <c r="B208" s="133"/>
      <c r="C208" s="133"/>
      <c r="D208" s="133"/>
      <c r="E208" s="133"/>
      <c r="F208" s="133"/>
      <c r="G208" s="133"/>
      <c r="H208" s="133"/>
      <c r="I208" s="133"/>
    </row>
    <row r="209" spans="1:9">
      <c r="A209" s="133"/>
      <c r="B209" s="133"/>
      <c r="C209" s="133"/>
      <c r="D209" s="133"/>
      <c r="E209" s="133"/>
      <c r="F209" s="133"/>
      <c r="G209" s="133"/>
      <c r="H209" s="133"/>
      <c r="I209" s="133"/>
    </row>
    <row r="210" spans="1:9">
      <c r="A210" s="133"/>
      <c r="B210" s="133"/>
      <c r="C210" s="133"/>
      <c r="D210" s="133"/>
      <c r="E210" s="133"/>
      <c r="F210" s="133"/>
      <c r="G210" s="133"/>
      <c r="H210" s="133"/>
      <c r="I210" s="133"/>
    </row>
    <row r="211" spans="1:9">
      <c r="A211" s="133"/>
      <c r="B211" s="133"/>
      <c r="C211" s="133"/>
      <c r="D211" s="133"/>
      <c r="E211" s="133"/>
      <c r="F211" s="133"/>
      <c r="G211" s="133"/>
      <c r="H211" s="133"/>
      <c r="I211" s="133"/>
    </row>
    <row r="212" spans="1:9">
      <c r="A212" s="133"/>
      <c r="B212" s="133"/>
      <c r="C212" s="133"/>
      <c r="D212" s="133"/>
      <c r="E212" s="133"/>
      <c r="F212" s="133"/>
      <c r="G212" s="133"/>
      <c r="H212" s="133"/>
      <c r="I212" s="133"/>
    </row>
    <row r="213" spans="1:9">
      <c r="A213" s="133"/>
      <c r="B213" s="133"/>
      <c r="C213" s="133"/>
      <c r="D213" s="133"/>
      <c r="E213" s="133"/>
      <c r="F213" s="133"/>
      <c r="G213" s="133"/>
      <c r="H213" s="133"/>
      <c r="I213" s="133"/>
    </row>
    <row r="214" spans="1:9">
      <c r="A214" s="133"/>
      <c r="B214" s="133"/>
      <c r="C214" s="133"/>
      <c r="D214" s="133"/>
      <c r="E214" s="133"/>
      <c r="F214" s="133"/>
      <c r="G214" s="133"/>
      <c r="H214" s="133"/>
      <c r="I214" s="133"/>
    </row>
    <row r="215" spans="1:9">
      <c r="A215" s="133"/>
      <c r="B215" s="133"/>
      <c r="C215" s="133"/>
      <c r="D215" s="133"/>
      <c r="E215" s="133"/>
      <c r="F215" s="133"/>
      <c r="G215" s="133"/>
      <c r="H215" s="133"/>
      <c r="I215" s="133"/>
    </row>
    <row r="216" spans="1:9">
      <c r="A216" s="133"/>
      <c r="B216" s="133"/>
      <c r="C216" s="133"/>
      <c r="D216" s="133"/>
      <c r="E216" s="133"/>
      <c r="F216" s="133"/>
      <c r="G216" s="133"/>
      <c r="H216" s="133"/>
      <c r="I216" s="133"/>
    </row>
    <row r="217" spans="1:9">
      <c r="A217" s="133"/>
      <c r="B217" s="133"/>
      <c r="C217" s="133"/>
      <c r="D217" s="133"/>
      <c r="E217" s="133"/>
      <c r="F217" s="133"/>
      <c r="G217" s="133"/>
      <c r="H217" s="133"/>
      <c r="I217" s="133"/>
    </row>
    <row r="218" spans="1:9">
      <c r="A218" s="133"/>
      <c r="B218" s="133"/>
      <c r="C218" s="133"/>
      <c r="D218" s="133"/>
      <c r="E218" s="133"/>
      <c r="F218" s="133"/>
      <c r="G218" s="133"/>
      <c r="H218" s="133"/>
      <c r="I218" s="133"/>
    </row>
    <row r="219" spans="1:9">
      <c r="A219" s="133"/>
      <c r="B219" s="133"/>
      <c r="C219" s="133"/>
      <c r="D219" s="133"/>
      <c r="E219" s="133"/>
      <c r="F219" s="133"/>
      <c r="G219" s="133"/>
      <c r="H219" s="133"/>
      <c r="I219" s="133"/>
    </row>
    <row r="220" spans="1:9">
      <c r="A220" s="133"/>
      <c r="B220" s="133"/>
      <c r="C220" s="133"/>
      <c r="D220" s="133"/>
      <c r="E220" s="133"/>
      <c r="F220" s="133"/>
      <c r="G220" s="133"/>
      <c r="H220" s="133"/>
      <c r="I220" s="133"/>
    </row>
    <row r="221" spans="1:9">
      <c r="A221" s="133"/>
      <c r="B221" s="133"/>
      <c r="C221" s="133"/>
      <c r="D221" s="133"/>
      <c r="E221" s="133"/>
      <c r="F221" s="133"/>
      <c r="G221" s="133"/>
      <c r="H221" s="133"/>
      <c r="I221" s="133"/>
    </row>
    <row r="222" spans="1:9">
      <c r="A222" s="133"/>
      <c r="B222" s="133"/>
      <c r="C222" s="133"/>
      <c r="D222" s="133"/>
      <c r="E222" s="133"/>
      <c r="F222" s="133"/>
      <c r="G222" s="133"/>
      <c r="H222" s="133"/>
      <c r="I222" s="133"/>
    </row>
    <row r="223" spans="1:9">
      <c r="A223" s="133"/>
      <c r="B223" s="133"/>
      <c r="C223" s="133"/>
      <c r="D223" s="133"/>
      <c r="E223" s="133"/>
      <c r="F223" s="133"/>
      <c r="G223" s="133"/>
      <c r="H223" s="133"/>
      <c r="I223" s="133"/>
    </row>
    <row r="224" spans="1:9">
      <c r="A224" s="133"/>
      <c r="B224" s="133"/>
      <c r="C224" s="133"/>
      <c r="D224" s="133"/>
      <c r="E224" s="133"/>
      <c r="F224" s="133"/>
      <c r="G224" s="133"/>
      <c r="H224" s="133"/>
      <c r="I224" s="133"/>
    </row>
    <row r="225" spans="1:9">
      <c r="A225" s="133"/>
      <c r="B225" s="133"/>
      <c r="C225" s="133"/>
      <c r="D225" s="133"/>
      <c r="E225" s="133"/>
      <c r="F225" s="133"/>
      <c r="G225" s="133"/>
      <c r="H225" s="133"/>
      <c r="I225" s="133"/>
    </row>
    <row r="226" spans="1:9">
      <c r="A226" s="133"/>
      <c r="B226" s="133"/>
      <c r="C226" s="133"/>
      <c r="D226" s="133"/>
      <c r="E226" s="133"/>
      <c r="F226" s="133"/>
      <c r="G226" s="133"/>
      <c r="H226" s="133"/>
      <c r="I226" s="133"/>
    </row>
    <row r="227" spans="1:9">
      <c r="A227" s="133"/>
      <c r="B227" s="133"/>
      <c r="C227" s="133"/>
      <c r="D227" s="133"/>
      <c r="E227" s="133"/>
      <c r="F227" s="133"/>
      <c r="G227" s="133"/>
      <c r="H227" s="133"/>
      <c r="I227" s="133"/>
    </row>
    <row r="228" spans="1:9">
      <c r="A228" s="133"/>
      <c r="B228" s="133"/>
      <c r="C228" s="133"/>
      <c r="D228" s="133"/>
      <c r="E228" s="133"/>
      <c r="F228" s="133"/>
      <c r="G228" s="133"/>
      <c r="H228" s="133"/>
      <c r="I228" s="133"/>
    </row>
    <row r="229" spans="1:9">
      <c r="A229" s="133"/>
      <c r="B229" s="133"/>
      <c r="C229" s="133"/>
      <c r="D229" s="133"/>
      <c r="E229" s="133"/>
      <c r="F229" s="133"/>
      <c r="G229" s="133"/>
      <c r="H229" s="133"/>
      <c r="I229" s="133"/>
    </row>
    <row r="230" spans="1:9">
      <c r="A230" s="133"/>
      <c r="B230" s="133"/>
      <c r="C230" s="133"/>
      <c r="D230" s="133"/>
      <c r="E230" s="133"/>
      <c r="F230" s="133"/>
      <c r="G230" s="133"/>
      <c r="H230" s="133"/>
      <c r="I230" s="133"/>
    </row>
    <row r="231" spans="1:9">
      <c r="A231" s="133"/>
      <c r="B231" s="133"/>
      <c r="C231" s="133"/>
      <c r="D231" s="133"/>
      <c r="E231" s="133"/>
      <c r="F231" s="133"/>
      <c r="G231" s="133"/>
      <c r="H231" s="133"/>
      <c r="I231" s="133"/>
    </row>
    <row r="232" spans="1:9">
      <c r="A232" s="133"/>
      <c r="B232" s="133"/>
      <c r="C232" s="133"/>
      <c r="D232" s="133"/>
      <c r="E232" s="133"/>
      <c r="F232" s="133"/>
      <c r="G232" s="133"/>
      <c r="H232" s="133"/>
      <c r="I232" s="133"/>
    </row>
    <row r="233" spans="1:9">
      <c r="A233" s="133"/>
      <c r="B233" s="133"/>
      <c r="C233" s="133"/>
      <c r="D233" s="133"/>
      <c r="E233" s="133"/>
      <c r="F233" s="133"/>
      <c r="G233" s="133"/>
      <c r="H233" s="133"/>
      <c r="I233" s="133"/>
    </row>
    <row r="234" spans="1:9">
      <c r="A234" s="133"/>
      <c r="B234" s="133"/>
      <c r="C234" s="133"/>
      <c r="D234" s="133"/>
      <c r="E234" s="133"/>
      <c r="F234" s="133"/>
      <c r="G234" s="133"/>
      <c r="H234" s="133"/>
      <c r="I234" s="133"/>
    </row>
    <row r="235" spans="1:9">
      <c r="A235" s="133"/>
      <c r="B235" s="133"/>
      <c r="C235" s="133"/>
      <c r="D235" s="133"/>
      <c r="E235" s="133"/>
      <c r="F235" s="133"/>
      <c r="G235" s="133"/>
      <c r="H235" s="133"/>
      <c r="I235" s="133"/>
    </row>
    <row r="236" spans="1:9">
      <c r="A236" s="133"/>
      <c r="B236" s="133"/>
      <c r="C236" s="133"/>
      <c r="D236" s="133"/>
      <c r="E236" s="133"/>
      <c r="F236" s="133"/>
      <c r="G236" s="133"/>
      <c r="H236" s="133"/>
      <c r="I236" s="133"/>
    </row>
    <row r="237" spans="1:9">
      <c r="A237" s="133"/>
      <c r="B237" s="133"/>
      <c r="C237" s="133"/>
      <c r="D237" s="133"/>
      <c r="E237" s="133"/>
      <c r="F237" s="133"/>
      <c r="G237" s="133"/>
      <c r="H237" s="133"/>
      <c r="I237" s="133"/>
    </row>
    <row r="238" spans="1:9">
      <c r="A238" s="133"/>
      <c r="B238" s="133"/>
      <c r="C238" s="133"/>
      <c r="D238" s="133"/>
      <c r="E238" s="133"/>
      <c r="F238" s="133"/>
      <c r="G238" s="133"/>
      <c r="H238" s="133"/>
      <c r="I238" s="133"/>
    </row>
    <row r="239" spans="1:9">
      <c r="A239" s="133"/>
      <c r="B239" s="133"/>
      <c r="C239" s="133"/>
      <c r="D239" s="133"/>
      <c r="E239" s="133"/>
      <c r="F239" s="133"/>
      <c r="G239" s="133"/>
      <c r="H239" s="133"/>
      <c r="I239" s="133"/>
    </row>
    <row r="240" spans="1:9">
      <c r="A240" s="133"/>
      <c r="B240" s="133"/>
      <c r="C240" s="133"/>
      <c r="D240" s="133"/>
      <c r="E240" s="133"/>
      <c r="F240" s="133"/>
      <c r="G240" s="133"/>
      <c r="H240" s="133"/>
      <c r="I240" s="133"/>
    </row>
    <row r="241" spans="1:9">
      <c r="A241" s="133"/>
      <c r="B241" s="133"/>
      <c r="C241" s="133"/>
      <c r="D241" s="133"/>
      <c r="E241" s="133"/>
      <c r="F241" s="133"/>
      <c r="G241" s="133"/>
      <c r="H241" s="133"/>
      <c r="I241" s="133"/>
    </row>
    <row r="242" spans="1:9">
      <c r="A242" s="133"/>
      <c r="B242" s="133"/>
      <c r="C242" s="133"/>
      <c r="D242" s="133"/>
      <c r="E242" s="133"/>
      <c r="F242" s="133"/>
      <c r="G242" s="133"/>
      <c r="H242" s="133"/>
      <c r="I242" s="133"/>
    </row>
    <row r="243" spans="1:9">
      <c r="A243" s="133"/>
      <c r="B243" s="133"/>
      <c r="C243" s="133"/>
      <c r="D243" s="133"/>
      <c r="E243" s="133"/>
      <c r="F243" s="133"/>
      <c r="G243" s="133"/>
      <c r="H243" s="133"/>
      <c r="I243" s="133"/>
    </row>
    <row r="244" spans="1:9">
      <c r="A244" s="133"/>
      <c r="B244" s="133"/>
      <c r="C244" s="133"/>
      <c r="D244" s="133"/>
      <c r="E244" s="133"/>
      <c r="F244" s="133"/>
      <c r="G244" s="133"/>
      <c r="H244" s="133"/>
      <c r="I244" s="133"/>
    </row>
    <row r="245" spans="1:9">
      <c r="A245" s="133"/>
      <c r="B245" s="133"/>
      <c r="C245" s="133"/>
      <c r="D245" s="133"/>
      <c r="E245" s="133"/>
      <c r="F245" s="133"/>
      <c r="G245" s="133"/>
      <c r="H245" s="133"/>
      <c r="I245" s="133"/>
    </row>
    <row r="246" spans="1:9">
      <c r="A246" s="133"/>
      <c r="B246" s="133"/>
      <c r="C246" s="133"/>
      <c r="D246" s="133"/>
      <c r="E246" s="133"/>
      <c r="F246" s="133"/>
      <c r="G246" s="133"/>
      <c r="H246" s="133"/>
      <c r="I246" s="133"/>
    </row>
    <row r="247" spans="1:9">
      <c r="A247" s="133"/>
      <c r="B247" s="133"/>
      <c r="C247" s="133"/>
      <c r="D247" s="133"/>
      <c r="E247" s="133"/>
      <c r="F247" s="133"/>
      <c r="G247" s="133"/>
      <c r="H247" s="133"/>
      <c r="I247" s="133"/>
    </row>
    <row r="248" spans="1:9">
      <c r="A248" s="133"/>
      <c r="B248" s="133"/>
      <c r="C248" s="133"/>
      <c r="D248" s="133"/>
      <c r="E248" s="133"/>
      <c r="F248" s="133"/>
      <c r="G248" s="133"/>
      <c r="H248" s="133"/>
      <c r="I248" s="133"/>
    </row>
    <row r="249" spans="1:9">
      <c r="A249" s="133"/>
      <c r="B249" s="133"/>
      <c r="C249" s="133"/>
      <c r="D249" s="133"/>
      <c r="E249" s="133"/>
      <c r="F249" s="133"/>
      <c r="G249" s="133"/>
      <c r="H249" s="133"/>
      <c r="I249" s="133"/>
    </row>
    <row r="250" spans="1:9">
      <c r="A250" s="133"/>
      <c r="B250" s="133"/>
      <c r="C250" s="133"/>
      <c r="D250" s="133"/>
      <c r="E250" s="133"/>
      <c r="F250" s="133"/>
      <c r="G250" s="133"/>
      <c r="H250" s="133"/>
      <c r="I250" s="133"/>
    </row>
    <row r="251" spans="1:9">
      <c r="A251" s="133"/>
      <c r="B251" s="133"/>
      <c r="C251" s="133"/>
      <c r="D251" s="133"/>
      <c r="E251" s="133"/>
      <c r="F251" s="133"/>
      <c r="G251" s="133"/>
      <c r="H251" s="133"/>
      <c r="I251" s="133"/>
    </row>
    <row r="252" spans="1:9">
      <c r="A252" s="133"/>
      <c r="B252" s="133"/>
      <c r="C252" s="133"/>
      <c r="D252" s="133"/>
      <c r="E252" s="133"/>
      <c r="F252" s="133"/>
      <c r="G252" s="133"/>
      <c r="H252" s="133"/>
      <c r="I252" s="133"/>
    </row>
    <row r="253" spans="1:9">
      <c r="A253" s="133"/>
      <c r="B253" s="133"/>
      <c r="C253" s="133"/>
      <c r="D253" s="133"/>
      <c r="E253" s="133"/>
      <c r="F253" s="133"/>
      <c r="G253" s="133"/>
      <c r="H253" s="133"/>
      <c r="I253" s="133"/>
    </row>
    <row r="254" spans="1:9">
      <c r="A254" s="133"/>
      <c r="B254" s="133"/>
      <c r="C254" s="133"/>
      <c r="D254" s="133"/>
      <c r="E254" s="133"/>
      <c r="F254" s="133"/>
      <c r="G254" s="133"/>
      <c r="H254" s="133"/>
      <c r="I254" s="133"/>
    </row>
    <row r="255" spans="1:9">
      <c r="A255" s="133"/>
      <c r="B255" s="133"/>
      <c r="C255" s="133"/>
      <c r="D255" s="133"/>
      <c r="E255" s="133"/>
      <c r="F255" s="133"/>
      <c r="G255" s="133"/>
      <c r="H255" s="133"/>
      <c r="I255" s="133"/>
    </row>
    <row r="256" spans="1:9">
      <c r="A256" s="133"/>
      <c r="B256" s="133"/>
      <c r="C256" s="133"/>
      <c r="D256" s="133"/>
      <c r="E256" s="133"/>
      <c r="F256" s="133"/>
      <c r="G256" s="133"/>
      <c r="H256" s="133"/>
      <c r="I256" s="133"/>
    </row>
    <row r="257" spans="1:9">
      <c r="A257" s="133"/>
      <c r="B257" s="133"/>
      <c r="C257" s="133"/>
      <c r="D257" s="133"/>
      <c r="E257" s="133"/>
      <c r="F257" s="133"/>
      <c r="G257" s="133"/>
      <c r="H257" s="133"/>
      <c r="I257" s="133"/>
    </row>
    <row r="258" spans="1:9">
      <c r="A258" s="133"/>
      <c r="B258" s="133"/>
      <c r="C258" s="133"/>
      <c r="D258" s="133"/>
      <c r="E258" s="133"/>
      <c r="F258" s="133"/>
      <c r="G258" s="133"/>
      <c r="H258" s="133"/>
      <c r="I258" s="133"/>
    </row>
    <row r="259" spans="1:9">
      <c r="A259" s="133"/>
      <c r="B259" s="133"/>
      <c r="C259" s="133"/>
      <c r="D259" s="133"/>
      <c r="E259" s="133"/>
      <c r="F259" s="133"/>
      <c r="G259" s="133"/>
      <c r="H259" s="133"/>
      <c r="I259" s="133"/>
    </row>
    <row r="260" spans="1:9">
      <c r="A260" s="133"/>
      <c r="B260" s="133"/>
      <c r="C260" s="133"/>
      <c r="D260" s="133"/>
      <c r="E260" s="133"/>
      <c r="F260" s="133"/>
      <c r="G260" s="133"/>
      <c r="H260" s="133"/>
      <c r="I260" s="133"/>
    </row>
    <row r="261" spans="1:9">
      <c r="A261" s="133"/>
      <c r="B261" s="133"/>
      <c r="C261" s="133"/>
      <c r="D261" s="133"/>
      <c r="E261" s="133"/>
      <c r="F261" s="133"/>
      <c r="G261" s="133"/>
      <c r="H261" s="133"/>
      <c r="I261" s="133"/>
    </row>
    <row r="262" spans="1:9">
      <c r="A262" s="133"/>
      <c r="B262" s="133"/>
      <c r="C262" s="133"/>
      <c r="D262" s="133"/>
      <c r="E262" s="133"/>
      <c r="F262" s="133"/>
      <c r="G262" s="133"/>
      <c r="H262" s="133"/>
      <c r="I262" s="133"/>
    </row>
    <row r="263" spans="1:9">
      <c r="A263" s="133"/>
      <c r="B263" s="133"/>
      <c r="C263" s="133"/>
      <c r="D263" s="133"/>
      <c r="E263" s="133"/>
      <c r="F263" s="133"/>
      <c r="G263" s="133"/>
      <c r="H263" s="133"/>
      <c r="I263" s="133"/>
    </row>
    <row r="264" spans="1:9">
      <c r="A264" s="133"/>
      <c r="B264" s="133"/>
      <c r="C264" s="133"/>
      <c r="D264" s="133"/>
      <c r="E264" s="133"/>
      <c r="F264" s="133"/>
      <c r="G264" s="133"/>
      <c r="H264" s="133"/>
      <c r="I264" s="133"/>
    </row>
    <row r="265" spans="1:9">
      <c r="A265" s="133"/>
      <c r="B265" s="133"/>
      <c r="C265" s="133"/>
      <c r="D265" s="133"/>
      <c r="E265" s="133"/>
      <c r="F265" s="133"/>
      <c r="G265" s="133"/>
      <c r="H265" s="133"/>
      <c r="I265" s="133"/>
    </row>
    <row r="266" spans="1:9">
      <c r="A266" s="133"/>
      <c r="B266" s="133"/>
      <c r="C266" s="133"/>
      <c r="D266" s="133"/>
      <c r="E266" s="133"/>
      <c r="F266" s="133"/>
      <c r="G266" s="133"/>
      <c r="H266" s="133"/>
      <c r="I266" s="133"/>
    </row>
    <row r="267" spans="1:9">
      <c r="A267" s="133"/>
      <c r="B267" s="133"/>
      <c r="C267" s="133"/>
      <c r="D267" s="133"/>
      <c r="E267" s="133"/>
      <c r="F267" s="133"/>
      <c r="G267" s="133"/>
      <c r="H267" s="133"/>
      <c r="I267" s="133"/>
    </row>
    <row r="268" spans="1:9">
      <c r="A268" s="133"/>
      <c r="B268" s="133"/>
      <c r="C268" s="133"/>
      <c r="D268" s="133"/>
      <c r="E268" s="133"/>
      <c r="F268" s="133"/>
      <c r="G268" s="133"/>
      <c r="H268" s="133"/>
      <c r="I268" s="133"/>
    </row>
    <row r="269" spans="1:9">
      <c r="A269" s="133"/>
      <c r="B269" s="133"/>
      <c r="C269" s="133"/>
      <c r="D269" s="133"/>
      <c r="E269" s="133"/>
      <c r="F269" s="133"/>
      <c r="G269" s="133"/>
      <c r="H269" s="133"/>
      <c r="I269" s="133"/>
    </row>
    <row r="270" spans="1:9">
      <c r="A270" s="133"/>
      <c r="B270" s="133"/>
      <c r="C270" s="133"/>
      <c r="D270" s="133"/>
      <c r="E270" s="133"/>
      <c r="F270" s="133"/>
      <c r="G270" s="133"/>
      <c r="H270" s="133"/>
      <c r="I270" s="133"/>
    </row>
    <row r="271" spans="1:9">
      <c r="A271" s="133"/>
      <c r="B271" s="133"/>
      <c r="C271" s="133"/>
      <c r="D271" s="133"/>
      <c r="E271" s="133"/>
      <c r="F271" s="133"/>
      <c r="G271" s="133"/>
      <c r="H271" s="133"/>
      <c r="I271" s="133"/>
    </row>
    <row r="272" spans="1:9">
      <c r="A272" s="133"/>
      <c r="B272" s="133"/>
      <c r="C272" s="133"/>
      <c r="D272" s="133"/>
      <c r="E272" s="133"/>
      <c r="F272" s="133"/>
      <c r="G272" s="133"/>
      <c r="H272" s="133"/>
      <c r="I272" s="133"/>
    </row>
    <row r="273" spans="1:9">
      <c r="A273" s="133"/>
      <c r="B273" s="133"/>
      <c r="C273" s="133"/>
      <c r="D273" s="133"/>
      <c r="E273" s="133"/>
      <c r="F273" s="133"/>
      <c r="G273" s="133"/>
      <c r="H273" s="133"/>
      <c r="I273" s="133"/>
    </row>
    <row r="274" spans="1:9">
      <c r="A274" s="133"/>
      <c r="B274" s="133"/>
      <c r="C274" s="133"/>
      <c r="D274" s="133"/>
      <c r="E274" s="133"/>
      <c r="F274" s="133"/>
      <c r="G274" s="133"/>
      <c r="H274" s="133"/>
      <c r="I274" s="133"/>
    </row>
    <row r="275" spans="1:9">
      <c r="A275" s="133"/>
      <c r="B275" s="133"/>
      <c r="C275" s="133"/>
      <c r="D275" s="133"/>
      <c r="E275" s="133"/>
      <c r="F275" s="133"/>
      <c r="G275" s="133"/>
      <c r="H275" s="133"/>
      <c r="I275" s="133"/>
    </row>
    <row r="276" spans="1:9">
      <c r="A276" s="133"/>
      <c r="B276" s="133"/>
      <c r="C276" s="133"/>
      <c r="D276" s="133"/>
      <c r="E276" s="133"/>
      <c r="F276" s="133"/>
      <c r="G276" s="133"/>
      <c r="H276" s="133"/>
      <c r="I276" s="133"/>
    </row>
    <row r="277" spans="1:9">
      <c r="A277" s="133"/>
      <c r="B277" s="133"/>
      <c r="C277" s="133"/>
      <c r="D277" s="133"/>
      <c r="E277" s="133"/>
      <c r="F277" s="133"/>
      <c r="G277" s="133"/>
      <c r="H277" s="133"/>
      <c r="I277" s="133"/>
    </row>
    <row r="278" spans="1:9">
      <c r="A278" s="133"/>
      <c r="B278" s="133"/>
      <c r="C278" s="133"/>
      <c r="D278" s="133"/>
      <c r="E278" s="133"/>
      <c r="F278" s="133"/>
      <c r="G278" s="133"/>
      <c r="H278" s="133"/>
      <c r="I278" s="133"/>
    </row>
    <row r="279" spans="1:9">
      <c r="A279" s="133"/>
      <c r="B279" s="133"/>
      <c r="C279" s="133"/>
      <c r="D279" s="133"/>
      <c r="E279" s="133"/>
      <c r="F279" s="133"/>
      <c r="G279" s="133"/>
      <c r="H279" s="133"/>
      <c r="I279" s="133"/>
    </row>
    <row r="280" spans="1:9">
      <c r="A280" s="133"/>
      <c r="B280" s="133"/>
      <c r="C280" s="133"/>
      <c r="D280" s="133"/>
      <c r="E280" s="133"/>
      <c r="F280" s="133"/>
      <c r="G280" s="133"/>
      <c r="H280" s="133"/>
      <c r="I280" s="133"/>
    </row>
    <row r="281" spans="1:9">
      <c r="A281" s="133"/>
      <c r="B281" s="133"/>
      <c r="C281" s="133"/>
      <c r="D281" s="133"/>
      <c r="E281" s="133"/>
      <c r="F281" s="133"/>
      <c r="G281" s="133"/>
      <c r="H281" s="133"/>
      <c r="I281" s="133"/>
    </row>
    <row r="282" spans="1:9">
      <c r="A282" s="133"/>
      <c r="B282" s="133"/>
      <c r="C282" s="133"/>
      <c r="D282" s="133"/>
      <c r="E282" s="133"/>
      <c r="F282" s="133"/>
      <c r="G282" s="133"/>
      <c r="H282" s="133"/>
      <c r="I282" s="133"/>
    </row>
    <row r="283" spans="1:9">
      <c r="A283" s="133"/>
      <c r="B283" s="133"/>
      <c r="C283" s="133"/>
      <c r="D283" s="133"/>
      <c r="E283" s="133"/>
      <c r="F283" s="133"/>
      <c r="G283" s="133"/>
      <c r="H283" s="133"/>
      <c r="I283" s="133"/>
    </row>
    <row r="284" spans="1:9">
      <c r="A284" s="133"/>
      <c r="B284" s="133"/>
      <c r="C284" s="133"/>
      <c r="D284" s="133"/>
      <c r="E284" s="133"/>
      <c r="F284" s="133"/>
      <c r="G284" s="133"/>
      <c r="H284" s="133"/>
      <c r="I284" s="133"/>
    </row>
    <row r="285" spans="1:9">
      <c r="A285" s="133"/>
      <c r="B285" s="133"/>
      <c r="C285" s="133"/>
      <c r="D285" s="133"/>
      <c r="E285" s="133"/>
      <c r="F285" s="133"/>
      <c r="G285" s="133"/>
      <c r="H285" s="133"/>
      <c r="I285" s="133"/>
    </row>
    <row r="286" spans="1:9">
      <c r="A286" s="133"/>
      <c r="B286" s="133"/>
      <c r="C286" s="133"/>
      <c r="D286" s="133"/>
      <c r="E286" s="133"/>
      <c r="F286" s="133"/>
      <c r="G286" s="133"/>
      <c r="H286" s="133"/>
      <c r="I286" s="133"/>
    </row>
    <row r="287" spans="1:9">
      <c r="A287" s="133"/>
      <c r="B287" s="133"/>
      <c r="C287" s="133"/>
      <c r="D287" s="133"/>
      <c r="E287" s="133"/>
      <c r="F287" s="133"/>
      <c r="G287" s="133"/>
      <c r="H287" s="133"/>
      <c r="I287" s="133"/>
    </row>
    <row r="288" spans="1:9">
      <c r="A288" s="133"/>
      <c r="B288" s="133"/>
      <c r="C288" s="133"/>
      <c r="D288" s="133"/>
      <c r="E288" s="133"/>
      <c r="F288" s="133"/>
      <c r="G288" s="133"/>
      <c r="H288" s="133"/>
      <c r="I288" s="133"/>
    </row>
    <row r="289" spans="1:9">
      <c r="A289" s="133"/>
      <c r="B289" s="133"/>
      <c r="C289" s="133"/>
      <c r="D289" s="133"/>
      <c r="E289" s="133"/>
      <c r="F289" s="133"/>
      <c r="G289" s="133"/>
      <c r="H289" s="133"/>
      <c r="I289" s="133"/>
    </row>
    <row r="290" spans="1:9">
      <c r="A290" s="133"/>
      <c r="B290" s="133"/>
      <c r="C290" s="133"/>
      <c r="D290" s="133"/>
      <c r="E290" s="133"/>
      <c r="F290" s="133"/>
      <c r="G290" s="133"/>
      <c r="H290" s="133"/>
      <c r="I290" s="133"/>
    </row>
    <row r="291" spans="1:9">
      <c r="A291" s="133"/>
      <c r="B291" s="133"/>
      <c r="C291" s="133"/>
      <c r="D291" s="133"/>
      <c r="E291" s="133"/>
      <c r="F291" s="133"/>
      <c r="G291" s="133"/>
      <c r="H291" s="133"/>
      <c r="I291" s="133"/>
    </row>
    <row r="292" spans="1:9">
      <c r="A292" s="133"/>
      <c r="B292" s="133"/>
      <c r="C292" s="133"/>
      <c r="D292" s="133"/>
      <c r="E292" s="133"/>
      <c r="F292" s="133"/>
      <c r="G292" s="133"/>
      <c r="H292" s="133"/>
      <c r="I292" s="133"/>
    </row>
    <row r="293" spans="1:9">
      <c r="A293" s="133"/>
      <c r="B293" s="133"/>
      <c r="C293" s="133"/>
      <c r="D293" s="133"/>
      <c r="E293" s="133"/>
      <c r="F293" s="133"/>
      <c r="G293" s="133"/>
      <c r="H293" s="133"/>
      <c r="I293" s="133"/>
    </row>
    <row r="294" spans="1:9">
      <c r="A294" s="133"/>
      <c r="B294" s="133"/>
      <c r="C294" s="133"/>
      <c r="D294" s="133"/>
      <c r="E294" s="133"/>
      <c r="F294" s="133"/>
      <c r="G294" s="133"/>
      <c r="H294" s="133"/>
      <c r="I294" s="133"/>
    </row>
    <row r="295" spans="1:9">
      <c r="A295" s="133"/>
      <c r="B295" s="133"/>
      <c r="C295" s="133"/>
      <c r="D295" s="133"/>
      <c r="E295" s="133"/>
      <c r="F295" s="133"/>
      <c r="G295" s="133"/>
      <c r="H295" s="133"/>
      <c r="I295" s="133"/>
    </row>
    <row r="296" spans="1:9">
      <c r="A296" s="133"/>
      <c r="B296" s="133"/>
      <c r="C296" s="133"/>
      <c r="D296" s="133"/>
      <c r="E296" s="133"/>
      <c r="F296" s="133"/>
      <c r="G296" s="133"/>
      <c r="H296" s="133"/>
      <c r="I296" s="133"/>
    </row>
    <row r="297" spans="1:9">
      <c r="A297" s="133"/>
      <c r="B297" s="133"/>
      <c r="C297" s="133"/>
      <c r="D297" s="133"/>
      <c r="E297" s="133"/>
      <c r="F297" s="133"/>
      <c r="G297" s="133"/>
      <c r="H297" s="133"/>
      <c r="I297" s="133"/>
    </row>
    <row r="298" spans="1:9">
      <c r="A298" s="133"/>
      <c r="B298" s="133"/>
      <c r="C298" s="133"/>
      <c r="D298" s="133"/>
      <c r="E298" s="133"/>
      <c r="F298" s="133"/>
      <c r="G298" s="133"/>
      <c r="H298" s="133"/>
      <c r="I298" s="133"/>
    </row>
    <row r="299" spans="1:9">
      <c r="A299" s="133"/>
      <c r="B299" s="133"/>
      <c r="C299" s="133"/>
      <c r="D299" s="133"/>
      <c r="E299" s="133"/>
      <c r="F299" s="133"/>
      <c r="G299" s="133"/>
      <c r="H299" s="133"/>
      <c r="I299" s="133"/>
    </row>
    <row r="300" spans="1:9">
      <c r="A300" s="133"/>
      <c r="B300" s="133"/>
      <c r="C300" s="133"/>
      <c r="D300" s="133"/>
      <c r="E300" s="133"/>
      <c r="F300" s="133"/>
      <c r="G300" s="133"/>
      <c r="H300" s="133"/>
      <c r="I300" s="133"/>
    </row>
    <row r="301" spans="1:9">
      <c r="A301" s="133"/>
      <c r="B301" s="133"/>
      <c r="C301" s="133"/>
      <c r="D301" s="133"/>
      <c r="E301" s="133"/>
      <c r="F301" s="133"/>
      <c r="G301" s="133"/>
      <c r="H301" s="133"/>
      <c r="I301" s="133"/>
    </row>
    <row r="302" spans="1:9">
      <c r="A302" s="133"/>
      <c r="B302" s="133"/>
      <c r="C302" s="133"/>
      <c r="D302" s="133"/>
      <c r="E302" s="133"/>
      <c r="F302" s="133"/>
      <c r="G302" s="133"/>
      <c r="H302" s="133"/>
      <c r="I302" s="133"/>
    </row>
    <row r="303" spans="1:9">
      <c r="A303" s="133"/>
      <c r="B303" s="133"/>
      <c r="C303" s="133"/>
      <c r="D303" s="133"/>
      <c r="E303" s="133"/>
      <c r="F303" s="133"/>
      <c r="G303" s="133"/>
      <c r="H303" s="133"/>
      <c r="I303" s="133"/>
    </row>
    <row r="304" spans="1:9">
      <c r="A304" s="133"/>
      <c r="B304" s="133"/>
      <c r="C304" s="133"/>
      <c r="D304" s="133"/>
      <c r="E304" s="133"/>
      <c r="F304" s="133"/>
      <c r="G304" s="133"/>
      <c r="H304" s="133"/>
      <c r="I304" s="133"/>
    </row>
    <row r="305" spans="1:9">
      <c r="A305" s="133"/>
      <c r="B305" s="133"/>
      <c r="C305" s="133"/>
      <c r="D305" s="133"/>
      <c r="E305" s="133"/>
      <c r="F305" s="133"/>
      <c r="G305" s="133"/>
      <c r="H305" s="133"/>
      <c r="I305" s="133"/>
    </row>
    <row r="306" spans="1:9">
      <c r="A306" s="133"/>
      <c r="B306" s="133"/>
      <c r="C306" s="133"/>
      <c r="D306" s="133"/>
      <c r="E306" s="133"/>
      <c r="F306" s="133"/>
      <c r="G306" s="133"/>
      <c r="H306" s="133"/>
      <c r="I306" s="133"/>
    </row>
    <row r="307" spans="1:9">
      <c r="A307" s="133"/>
      <c r="B307" s="133"/>
      <c r="C307" s="133"/>
      <c r="D307" s="133"/>
      <c r="E307" s="133"/>
      <c r="F307" s="133"/>
      <c r="G307" s="133"/>
      <c r="H307" s="133"/>
      <c r="I307" s="133"/>
    </row>
    <row r="308" spans="1:9">
      <c r="A308" s="133"/>
      <c r="B308" s="133"/>
      <c r="C308" s="133"/>
      <c r="D308" s="133"/>
      <c r="E308" s="133"/>
      <c r="F308" s="133"/>
      <c r="G308" s="133"/>
      <c r="H308" s="133"/>
      <c r="I308" s="133"/>
    </row>
    <row r="309" spans="1:9">
      <c r="A309" s="133"/>
      <c r="B309" s="133"/>
      <c r="C309" s="133"/>
      <c r="D309" s="133"/>
      <c r="E309" s="133"/>
      <c r="F309" s="133"/>
      <c r="G309" s="133"/>
      <c r="H309" s="133"/>
      <c r="I309" s="133"/>
    </row>
    <row r="310" spans="1:9">
      <c r="A310" s="133"/>
      <c r="B310" s="133"/>
      <c r="C310" s="133"/>
      <c r="D310" s="133"/>
      <c r="E310" s="133"/>
      <c r="F310" s="133"/>
      <c r="G310" s="133"/>
      <c r="H310" s="133"/>
      <c r="I310" s="133"/>
    </row>
    <row r="311" spans="1:9">
      <c r="A311" s="133"/>
      <c r="B311" s="133"/>
      <c r="C311" s="133"/>
      <c r="D311" s="133"/>
      <c r="E311" s="133"/>
      <c r="F311" s="133"/>
      <c r="G311" s="133"/>
      <c r="H311" s="133"/>
      <c r="I311" s="133"/>
    </row>
    <row r="312" spans="1:9">
      <c r="A312" s="133"/>
      <c r="B312" s="133"/>
      <c r="C312" s="133"/>
      <c r="D312" s="133"/>
      <c r="E312" s="133"/>
      <c r="F312" s="133"/>
      <c r="G312" s="133"/>
      <c r="H312" s="133"/>
      <c r="I312" s="133"/>
    </row>
    <row r="313" spans="1:9">
      <c r="A313" s="133"/>
      <c r="B313" s="133"/>
      <c r="C313" s="133"/>
      <c r="D313" s="133"/>
      <c r="E313" s="133"/>
      <c r="F313" s="133"/>
      <c r="G313" s="133"/>
      <c r="H313" s="133"/>
      <c r="I313" s="133"/>
    </row>
    <row r="314" spans="1:9">
      <c r="A314" s="133"/>
      <c r="B314" s="133"/>
      <c r="C314" s="133"/>
      <c r="D314" s="133"/>
      <c r="E314" s="133"/>
      <c r="F314" s="133"/>
      <c r="G314" s="133"/>
      <c r="H314" s="133"/>
      <c r="I314" s="133"/>
    </row>
    <row r="315" spans="1:9">
      <c r="A315" s="133"/>
      <c r="B315" s="133"/>
      <c r="C315" s="133"/>
      <c r="D315" s="133"/>
      <c r="E315" s="133"/>
      <c r="F315" s="133"/>
      <c r="G315" s="133"/>
      <c r="H315" s="133"/>
      <c r="I315" s="133"/>
    </row>
    <row r="316" spans="1:9">
      <c r="A316" s="133"/>
      <c r="B316" s="133"/>
      <c r="C316" s="133"/>
      <c r="D316" s="133"/>
      <c r="E316" s="133"/>
      <c r="F316" s="133"/>
      <c r="G316" s="133"/>
      <c r="H316" s="133"/>
      <c r="I316" s="133"/>
    </row>
    <row r="317" spans="1:9">
      <c r="A317" s="133"/>
      <c r="B317" s="133"/>
      <c r="C317" s="133"/>
      <c r="D317" s="133"/>
      <c r="E317" s="133"/>
      <c r="F317" s="133"/>
      <c r="G317" s="133"/>
      <c r="H317" s="133"/>
      <c r="I317" s="133"/>
    </row>
    <row r="318" spans="1:9">
      <c r="A318" s="133"/>
      <c r="B318" s="133"/>
      <c r="C318" s="133"/>
      <c r="D318" s="133"/>
      <c r="E318" s="133"/>
      <c r="F318" s="133"/>
      <c r="G318" s="133"/>
      <c r="H318" s="133"/>
      <c r="I318" s="133"/>
    </row>
    <row r="319" spans="1:9">
      <c r="A319" s="133"/>
      <c r="B319" s="133"/>
      <c r="C319" s="133"/>
      <c r="D319" s="133"/>
      <c r="E319" s="133"/>
      <c r="F319" s="133"/>
      <c r="G319" s="133"/>
      <c r="H319" s="133"/>
      <c r="I319" s="133"/>
    </row>
    <row r="320" spans="1:9">
      <c r="A320" s="133"/>
      <c r="B320" s="133"/>
      <c r="C320" s="133"/>
      <c r="D320" s="133"/>
      <c r="E320" s="133"/>
      <c r="F320" s="133"/>
      <c r="G320" s="133"/>
      <c r="H320" s="133"/>
      <c r="I320" s="133"/>
    </row>
    <row r="321" spans="1:9">
      <c r="A321" s="133"/>
      <c r="B321" s="133"/>
      <c r="C321" s="133"/>
      <c r="D321" s="133"/>
      <c r="E321" s="133"/>
      <c r="F321" s="133"/>
      <c r="G321" s="133"/>
      <c r="H321" s="133"/>
      <c r="I321" s="133"/>
    </row>
    <row r="322" spans="1:9">
      <c r="A322" s="133"/>
      <c r="B322" s="133"/>
      <c r="C322" s="133"/>
      <c r="D322" s="133"/>
      <c r="E322" s="133"/>
      <c r="F322" s="133"/>
      <c r="G322" s="133"/>
      <c r="H322" s="133"/>
      <c r="I322" s="133"/>
    </row>
    <row r="323" spans="1:9">
      <c r="A323" s="133"/>
      <c r="B323" s="133"/>
      <c r="C323" s="133"/>
      <c r="D323" s="133"/>
      <c r="E323" s="133"/>
      <c r="F323" s="133"/>
      <c r="G323" s="133"/>
      <c r="H323" s="133"/>
      <c r="I323" s="133"/>
    </row>
    <row r="324" spans="1:9">
      <c r="A324" s="133"/>
      <c r="B324" s="133"/>
      <c r="C324" s="133"/>
      <c r="D324" s="133"/>
      <c r="E324" s="133"/>
      <c r="F324" s="133"/>
      <c r="G324" s="133"/>
      <c r="H324" s="133"/>
      <c r="I324" s="133"/>
    </row>
    <row r="325" spans="1:9">
      <c r="A325" s="133"/>
      <c r="B325" s="133"/>
      <c r="C325" s="133"/>
      <c r="D325" s="133"/>
      <c r="E325" s="133"/>
      <c r="F325" s="133"/>
      <c r="G325" s="133"/>
      <c r="H325" s="133"/>
      <c r="I325" s="133"/>
    </row>
    <row r="326" spans="1:9">
      <c r="A326" s="133"/>
      <c r="B326" s="133"/>
      <c r="C326" s="133"/>
      <c r="D326" s="133"/>
      <c r="E326" s="133"/>
      <c r="F326" s="133"/>
      <c r="G326" s="133"/>
      <c r="H326" s="133"/>
      <c r="I326" s="133"/>
    </row>
    <row r="327" spans="1:9">
      <c r="A327" s="133"/>
      <c r="B327" s="133"/>
      <c r="C327" s="133"/>
      <c r="D327" s="133"/>
      <c r="E327" s="133"/>
      <c r="F327" s="133"/>
      <c r="G327" s="133"/>
      <c r="H327" s="133"/>
      <c r="I327" s="133"/>
    </row>
    <row r="328" spans="1:9">
      <c r="A328" s="133"/>
      <c r="B328" s="133"/>
      <c r="C328" s="133"/>
      <c r="D328" s="133"/>
      <c r="E328" s="133"/>
      <c r="F328" s="133"/>
      <c r="G328" s="133"/>
      <c r="H328" s="133"/>
      <c r="I328" s="133"/>
    </row>
    <row r="329" spans="1:9">
      <c r="A329" s="133"/>
      <c r="B329" s="133"/>
      <c r="C329" s="133"/>
      <c r="D329" s="133"/>
      <c r="E329" s="133"/>
      <c r="F329" s="133"/>
      <c r="G329" s="133"/>
      <c r="H329" s="133"/>
      <c r="I329" s="133"/>
    </row>
    <row r="330" spans="1:9">
      <c r="A330" s="133"/>
      <c r="B330" s="133"/>
      <c r="C330" s="133"/>
      <c r="D330" s="133"/>
      <c r="E330" s="133"/>
      <c r="F330" s="133"/>
      <c r="G330" s="133"/>
      <c r="H330" s="133"/>
      <c r="I330" s="133"/>
    </row>
    <row r="331" spans="1:9">
      <c r="A331" s="133"/>
      <c r="B331" s="133"/>
      <c r="C331" s="133"/>
      <c r="D331" s="133"/>
      <c r="E331" s="133"/>
      <c r="F331" s="133"/>
      <c r="G331" s="133"/>
      <c r="H331" s="133"/>
      <c r="I331" s="133"/>
    </row>
    <row r="332" spans="1:9">
      <c r="A332" s="133"/>
      <c r="B332" s="133"/>
      <c r="C332" s="133"/>
      <c r="D332" s="133"/>
      <c r="E332" s="133"/>
      <c r="F332" s="133"/>
      <c r="G332" s="133"/>
      <c r="H332" s="133"/>
      <c r="I332" s="133"/>
    </row>
    <row r="333" spans="1:9">
      <c r="A333" s="133"/>
      <c r="B333" s="133"/>
      <c r="C333" s="133"/>
      <c r="D333" s="133"/>
      <c r="E333" s="133"/>
      <c r="F333" s="133"/>
      <c r="G333" s="133"/>
      <c r="H333" s="133"/>
      <c r="I333" s="133"/>
    </row>
    <row r="334" spans="1:9">
      <c r="A334" s="133"/>
      <c r="B334" s="133"/>
      <c r="C334" s="133"/>
      <c r="D334" s="133"/>
      <c r="E334" s="133"/>
      <c r="F334" s="133"/>
      <c r="G334" s="133"/>
      <c r="H334" s="133"/>
      <c r="I334" s="133"/>
    </row>
    <row r="335" spans="1:9">
      <c r="A335" s="133"/>
      <c r="B335" s="133"/>
      <c r="C335" s="133"/>
      <c r="D335" s="133"/>
      <c r="E335" s="133"/>
      <c r="F335" s="133"/>
      <c r="G335" s="133"/>
      <c r="H335" s="133"/>
      <c r="I335" s="133"/>
    </row>
    <row r="336" spans="1:9">
      <c r="A336" s="133"/>
      <c r="B336" s="133"/>
      <c r="C336" s="133"/>
      <c r="D336" s="133"/>
      <c r="E336" s="133"/>
      <c r="F336" s="133"/>
      <c r="G336" s="133"/>
      <c r="H336" s="133"/>
      <c r="I336" s="133"/>
    </row>
    <row r="337" spans="1:9">
      <c r="A337" s="133"/>
      <c r="B337" s="133"/>
      <c r="C337" s="133"/>
      <c r="D337" s="133"/>
      <c r="E337" s="133"/>
      <c r="F337" s="133"/>
      <c r="G337" s="133"/>
      <c r="H337" s="133"/>
      <c r="I337" s="133"/>
    </row>
    <row r="338" spans="1:9">
      <c r="A338" s="133"/>
      <c r="B338" s="133"/>
      <c r="C338" s="133"/>
      <c r="D338" s="133"/>
      <c r="E338" s="133"/>
      <c r="F338" s="133"/>
      <c r="G338" s="133"/>
      <c r="H338" s="133"/>
      <c r="I338" s="133"/>
    </row>
    <row r="339" spans="1:9">
      <c r="A339" s="133"/>
      <c r="B339" s="133"/>
      <c r="C339" s="133"/>
      <c r="D339" s="133"/>
      <c r="E339" s="133"/>
      <c r="F339" s="133"/>
      <c r="G339" s="133"/>
      <c r="H339" s="133"/>
      <c r="I339" s="133"/>
    </row>
    <row r="340" spans="1:9">
      <c r="A340" s="133"/>
      <c r="B340" s="133"/>
      <c r="C340" s="133"/>
      <c r="D340" s="133"/>
      <c r="E340" s="133"/>
      <c r="F340" s="133"/>
      <c r="G340" s="133"/>
      <c r="H340" s="133"/>
      <c r="I340" s="133"/>
    </row>
    <row r="341" spans="1:9">
      <c r="A341" s="133"/>
      <c r="B341" s="133"/>
      <c r="C341" s="133"/>
      <c r="D341" s="133"/>
      <c r="E341" s="133"/>
      <c r="F341" s="133"/>
      <c r="G341" s="133"/>
      <c r="H341" s="133"/>
      <c r="I341" s="133"/>
    </row>
    <row r="342" spans="1:9">
      <c r="A342" s="133"/>
      <c r="B342" s="133"/>
      <c r="C342" s="133"/>
      <c r="D342" s="133"/>
      <c r="E342" s="133"/>
      <c r="F342" s="133"/>
      <c r="G342" s="133"/>
      <c r="H342" s="133"/>
      <c r="I342" s="133"/>
    </row>
    <row r="343" spans="1:9">
      <c r="A343" s="133"/>
      <c r="B343" s="133"/>
      <c r="C343" s="133"/>
      <c r="D343" s="133"/>
      <c r="E343" s="133"/>
      <c r="F343" s="133"/>
      <c r="G343" s="133"/>
      <c r="H343" s="133"/>
      <c r="I343" s="133"/>
    </row>
    <row r="344" spans="1:9">
      <c r="A344" s="133"/>
      <c r="B344" s="133"/>
      <c r="C344" s="133"/>
      <c r="D344" s="133"/>
      <c r="E344" s="133"/>
      <c r="F344" s="133"/>
      <c r="G344" s="133"/>
      <c r="H344" s="133"/>
      <c r="I344" s="133"/>
    </row>
    <row r="345" spans="1:9">
      <c r="A345" s="133"/>
      <c r="B345" s="133"/>
      <c r="C345" s="133"/>
      <c r="D345" s="133"/>
      <c r="E345" s="133"/>
      <c r="F345" s="133"/>
      <c r="G345" s="133"/>
      <c r="H345" s="133"/>
      <c r="I345" s="133"/>
    </row>
    <row r="346" spans="1:9">
      <c r="A346" s="133"/>
      <c r="B346" s="133"/>
      <c r="C346" s="133"/>
      <c r="D346" s="133"/>
      <c r="E346" s="133"/>
      <c r="F346" s="133"/>
      <c r="G346" s="133"/>
      <c r="H346" s="133"/>
      <c r="I346" s="133"/>
    </row>
    <row r="347" spans="1:9">
      <c r="A347" s="133"/>
      <c r="B347" s="133"/>
      <c r="C347" s="133"/>
      <c r="D347" s="133"/>
      <c r="E347" s="133"/>
      <c r="F347" s="133"/>
      <c r="G347" s="133"/>
      <c r="H347" s="133"/>
      <c r="I347" s="133"/>
    </row>
    <row r="348" spans="1:9">
      <c r="A348" s="133"/>
      <c r="B348" s="133"/>
      <c r="C348" s="133"/>
      <c r="D348" s="133"/>
      <c r="E348" s="133"/>
      <c r="F348" s="133"/>
      <c r="G348" s="133"/>
      <c r="H348" s="133"/>
      <c r="I348" s="133"/>
    </row>
    <row r="349" spans="1:9">
      <c r="A349" s="133"/>
      <c r="B349" s="133"/>
      <c r="C349" s="133"/>
      <c r="D349" s="133"/>
      <c r="E349" s="133"/>
      <c r="F349" s="133"/>
      <c r="G349" s="133"/>
      <c r="H349" s="133"/>
      <c r="I349" s="133"/>
    </row>
    <row r="350" spans="1:9">
      <c r="A350" s="133"/>
      <c r="B350" s="133"/>
      <c r="C350" s="133"/>
      <c r="D350" s="133"/>
      <c r="E350" s="133"/>
      <c r="F350" s="133"/>
      <c r="G350" s="133"/>
      <c r="H350" s="133"/>
      <c r="I350" s="133"/>
    </row>
    <row r="351" spans="1:9">
      <c r="A351" s="133"/>
      <c r="B351" s="133"/>
      <c r="C351" s="133"/>
      <c r="D351" s="133"/>
      <c r="E351" s="133"/>
      <c r="F351" s="133"/>
      <c r="G351" s="133"/>
      <c r="H351" s="133"/>
      <c r="I351" s="133"/>
    </row>
    <row r="352" spans="1:9">
      <c r="A352" s="133"/>
      <c r="B352" s="133"/>
      <c r="C352" s="133"/>
      <c r="D352" s="133"/>
      <c r="E352" s="133"/>
      <c r="F352" s="133"/>
      <c r="G352" s="133"/>
      <c r="H352" s="133"/>
      <c r="I352" s="133"/>
    </row>
    <row r="353" spans="1:9">
      <c r="A353" s="133"/>
      <c r="B353" s="133"/>
      <c r="C353" s="133"/>
      <c r="D353" s="133"/>
      <c r="E353" s="133"/>
      <c r="F353" s="133"/>
      <c r="G353" s="133"/>
      <c r="H353" s="133"/>
      <c r="I353" s="133"/>
    </row>
    <row r="354" spans="1:9">
      <c r="A354" s="133"/>
      <c r="B354" s="133"/>
      <c r="C354" s="133"/>
      <c r="D354" s="133"/>
      <c r="E354" s="133"/>
      <c r="F354" s="133"/>
      <c r="G354" s="133"/>
      <c r="H354" s="133"/>
      <c r="I354" s="133"/>
    </row>
    <row r="355" spans="1:9">
      <c r="A355" s="133"/>
      <c r="B355" s="133"/>
      <c r="C355" s="133"/>
      <c r="D355" s="133"/>
      <c r="E355" s="133"/>
      <c r="F355" s="133"/>
      <c r="G355" s="133"/>
      <c r="H355" s="133"/>
      <c r="I355" s="133"/>
    </row>
    <row r="356" spans="1:9">
      <c r="A356" s="133"/>
      <c r="B356" s="133"/>
      <c r="C356" s="133"/>
      <c r="D356" s="133"/>
      <c r="E356" s="133"/>
      <c r="F356" s="133"/>
      <c r="G356" s="133"/>
      <c r="H356" s="133"/>
      <c r="I356" s="133"/>
    </row>
    <row r="357" spans="1:9">
      <c r="A357" s="133"/>
      <c r="B357" s="133"/>
      <c r="C357" s="133"/>
      <c r="D357" s="133"/>
      <c r="E357" s="133"/>
      <c r="F357" s="133"/>
      <c r="G357" s="133"/>
      <c r="H357" s="133"/>
      <c r="I357" s="133"/>
    </row>
    <row r="358" spans="1:9">
      <c r="A358" s="133"/>
      <c r="B358" s="133"/>
      <c r="C358" s="133"/>
      <c r="D358" s="133"/>
      <c r="E358" s="133"/>
      <c r="F358" s="133"/>
      <c r="G358" s="133"/>
      <c r="H358" s="133"/>
      <c r="I358" s="133"/>
    </row>
    <row r="359" spans="1:9">
      <c r="A359" s="133"/>
      <c r="B359" s="133"/>
      <c r="C359" s="133"/>
      <c r="D359" s="133"/>
      <c r="E359" s="133"/>
      <c r="F359" s="133"/>
      <c r="G359" s="133"/>
      <c r="H359" s="133"/>
      <c r="I359" s="133"/>
    </row>
    <row r="360" spans="1:9">
      <c r="A360" s="133"/>
      <c r="B360" s="133"/>
      <c r="C360" s="133"/>
      <c r="D360" s="133"/>
      <c r="E360" s="133"/>
      <c r="F360" s="133"/>
      <c r="G360" s="133"/>
      <c r="H360" s="133"/>
      <c r="I360" s="133"/>
    </row>
    <row r="361" spans="1:9">
      <c r="A361" s="133"/>
      <c r="B361" s="133"/>
      <c r="C361" s="133"/>
      <c r="D361" s="133"/>
      <c r="E361" s="133"/>
      <c r="F361" s="133"/>
      <c r="G361" s="133"/>
      <c r="H361" s="133"/>
      <c r="I361" s="133"/>
    </row>
    <row r="362" spans="1:9">
      <c r="A362" s="133"/>
      <c r="B362" s="133"/>
      <c r="C362" s="133"/>
      <c r="D362" s="133"/>
      <c r="E362" s="133"/>
      <c r="F362" s="133"/>
      <c r="G362" s="133"/>
      <c r="H362" s="133"/>
      <c r="I362" s="133"/>
    </row>
    <row r="363" spans="1:9">
      <c r="A363" s="133"/>
      <c r="B363" s="133"/>
      <c r="C363" s="133"/>
      <c r="D363" s="133"/>
      <c r="E363" s="133"/>
      <c r="F363" s="133"/>
      <c r="G363" s="133"/>
      <c r="H363" s="133"/>
      <c r="I363" s="133"/>
    </row>
    <row r="364" spans="1:9">
      <c r="A364" s="133"/>
      <c r="B364" s="133"/>
      <c r="C364" s="133"/>
      <c r="D364" s="133"/>
      <c r="E364" s="133"/>
      <c r="F364" s="133"/>
      <c r="G364" s="133"/>
      <c r="H364" s="133"/>
      <c r="I364" s="133"/>
    </row>
    <row r="365" spans="1:9">
      <c r="A365" s="133"/>
      <c r="B365" s="133"/>
      <c r="C365" s="133"/>
      <c r="D365" s="133"/>
      <c r="E365" s="133"/>
      <c r="F365" s="133"/>
      <c r="G365" s="133"/>
      <c r="H365" s="133"/>
      <c r="I365" s="133"/>
    </row>
    <row r="366" spans="1:9">
      <c r="A366" s="133"/>
      <c r="B366" s="133"/>
      <c r="C366" s="133"/>
      <c r="D366" s="133"/>
      <c r="E366" s="133"/>
      <c r="F366" s="133"/>
      <c r="G366" s="133"/>
      <c r="H366" s="133"/>
      <c r="I366" s="133"/>
    </row>
    <row r="367" spans="1:9">
      <c r="A367" s="133"/>
      <c r="B367" s="133"/>
      <c r="C367" s="133"/>
      <c r="D367" s="133"/>
      <c r="E367" s="133"/>
      <c r="F367" s="133"/>
      <c r="G367" s="133"/>
      <c r="H367" s="133"/>
      <c r="I367" s="133"/>
    </row>
    <row r="368" spans="1:9">
      <c r="A368" s="133"/>
      <c r="B368" s="133"/>
      <c r="C368" s="133"/>
      <c r="D368" s="133"/>
      <c r="E368" s="133"/>
      <c r="F368" s="133"/>
      <c r="G368" s="133"/>
      <c r="H368" s="133"/>
      <c r="I368" s="133"/>
    </row>
    <row r="369" spans="1:9">
      <c r="A369" s="133"/>
      <c r="B369" s="133"/>
      <c r="C369" s="133"/>
      <c r="D369" s="133"/>
      <c r="E369" s="133"/>
      <c r="F369" s="133"/>
      <c r="G369" s="133"/>
      <c r="H369" s="133"/>
      <c r="I369" s="133"/>
    </row>
    <row r="370" spans="1:9">
      <c r="A370" s="133"/>
      <c r="B370" s="133"/>
      <c r="C370" s="133"/>
      <c r="D370" s="133"/>
      <c r="E370" s="133"/>
      <c r="F370" s="133"/>
      <c r="G370" s="133"/>
      <c r="H370" s="133"/>
      <c r="I370" s="133"/>
    </row>
    <row r="371" spans="1:9">
      <c r="A371" s="133"/>
      <c r="B371" s="133"/>
      <c r="C371" s="133"/>
      <c r="D371" s="133"/>
      <c r="E371" s="133"/>
      <c r="F371" s="133"/>
      <c r="G371" s="133"/>
      <c r="H371" s="133"/>
      <c r="I371" s="133"/>
    </row>
    <row r="372" spans="1:9">
      <c r="A372" s="133"/>
      <c r="B372" s="133"/>
      <c r="C372" s="133"/>
      <c r="D372" s="133"/>
      <c r="E372" s="133"/>
      <c r="F372" s="133"/>
      <c r="G372" s="133"/>
      <c r="H372" s="133"/>
      <c r="I372" s="133"/>
    </row>
    <row r="373" spans="1:9">
      <c r="A373" s="133"/>
      <c r="B373" s="133"/>
      <c r="C373" s="133"/>
      <c r="D373" s="133"/>
      <c r="E373" s="133"/>
      <c r="F373" s="133"/>
      <c r="G373" s="133"/>
      <c r="H373" s="133"/>
      <c r="I373" s="133"/>
    </row>
    <row r="374" spans="1:9">
      <c r="A374" s="133"/>
      <c r="B374" s="133"/>
      <c r="C374" s="133"/>
      <c r="D374" s="133"/>
      <c r="E374" s="133"/>
      <c r="F374" s="133"/>
      <c r="G374" s="133"/>
      <c r="H374" s="133"/>
      <c r="I374" s="133"/>
    </row>
    <row r="375" spans="1:9">
      <c r="A375" s="133"/>
      <c r="B375" s="133"/>
      <c r="C375" s="133"/>
      <c r="D375" s="133"/>
      <c r="E375" s="133"/>
      <c r="F375" s="133"/>
      <c r="G375" s="133"/>
      <c r="H375" s="133"/>
      <c r="I375" s="133"/>
    </row>
    <row r="376" spans="1:9">
      <c r="A376" s="133"/>
      <c r="B376" s="133"/>
      <c r="C376" s="133"/>
      <c r="D376" s="133"/>
      <c r="E376" s="133"/>
      <c r="F376" s="133"/>
      <c r="G376" s="133"/>
      <c r="H376" s="133"/>
      <c r="I376" s="133"/>
    </row>
    <row r="377" spans="1:9">
      <c r="A377" s="133"/>
      <c r="B377" s="133"/>
      <c r="C377" s="133"/>
      <c r="D377" s="133"/>
      <c r="E377" s="133"/>
      <c r="F377" s="133"/>
      <c r="G377" s="133"/>
      <c r="H377" s="133"/>
      <c r="I377" s="133"/>
    </row>
    <row r="378" spans="1:9">
      <c r="A378" s="133"/>
      <c r="B378" s="133"/>
      <c r="C378" s="133"/>
      <c r="D378" s="133"/>
      <c r="E378" s="133"/>
      <c r="F378" s="133"/>
      <c r="G378" s="133"/>
      <c r="H378" s="133"/>
      <c r="I378" s="133"/>
    </row>
    <row r="379" spans="1:9">
      <c r="A379" s="133"/>
      <c r="B379" s="133"/>
      <c r="C379" s="133"/>
      <c r="D379" s="133"/>
      <c r="E379" s="133"/>
      <c r="F379" s="133"/>
      <c r="G379" s="133"/>
      <c r="H379" s="133"/>
      <c r="I379" s="133"/>
    </row>
    <row r="380" spans="1:9">
      <c r="A380" s="133"/>
      <c r="B380" s="133"/>
      <c r="C380" s="133"/>
      <c r="D380" s="133"/>
      <c r="E380" s="133"/>
      <c r="F380" s="133"/>
      <c r="G380" s="133"/>
      <c r="H380" s="133"/>
      <c r="I380" s="133"/>
    </row>
    <row r="381" spans="1:9">
      <c r="A381" s="133"/>
      <c r="B381" s="133"/>
      <c r="C381" s="133"/>
      <c r="D381" s="133"/>
      <c r="E381" s="133"/>
      <c r="F381" s="133"/>
      <c r="G381" s="133"/>
      <c r="H381" s="133"/>
      <c r="I381" s="133"/>
    </row>
    <row r="382" spans="1:9">
      <c r="A382" s="133"/>
      <c r="B382" s="133"/>
      <c r="C382" s="133"/>
      <c r="D382" s="133"/>
      <c r="E382" s="133"/>
      <c r="F382" s="133"/>
      <c r="G382" s="133"/>
      <c r="H382" s="133"/>
      <c r="I382" s="133"/>
    </row>
    <row r="383" spans="1:9">
      <c r="A383" s="133"/>
      <c r="B383" s="133"/>
      <c r="C383" s="133"/>
      <c r="D383" s="133"/>
      <c r="E383" s="133"/>
      <c r="F383" s="133"/>
      <c r="G383" s="133"/>
      <c r="H383" s="133"/>
      <c r="I383" s="133"/>
    </row>
    <row r="384" spans="1:9">
      <c r="A384" s="133"/>
      <c r="B384" s="133"/>
      <c r="C384" s="133"/>
      <c r="D384" s="133"/>
      <c r="E384" s="133"/>
      <c r="F384" s="133"/>
      <c r="G384" s="133"/>
      <c r="H384" s="133"/>
      <c r="I384" s="133"/>
    </row>
    <row r="385" spans="1:9">
      <c r="A385" s="133"/>
      <c r="B385" s="133"/>
      <c r="C385" s="133"/>
      <c r="D385" s="133"/>
      <c r="E385" s="133"/>
      <c r="F385" s="133"/>
      <c r="G385" s="133"/>
      <c r="H385" s="133"/>
      <c r="I385" s="133"/>
    </row>
    <row r="386" spans="1:9">
      <c r="A386" s="133"/>
      <c r="B386" s="133"/>
      <c r="C386" s="133"/>
      <c r="D386" s="133"/>
      <c r="E386" s="133"/>
      <c r="F386" s="133"/>
      <c r="G386" s="133"/>
      <c r="H386" s="133"/>
      <c r="I386" s="133"/>
    </row>
    <row r="387" spans="1:9">
      <c r="A387" s="133"/>
      <c r="B387" s="133"/>
      <c r="C387" s="133"/>
      <c r="D387" s="133"/>
      <c r="E387" s="133"/>
      <c r="F387" s="133"/>
      <c r="G387" s="133"/>
      <c r="H387" s="133"/>
      <c r="I387" s="133"/>
    </row>
    <row r="388" spans="1:9">
      <c r="A388" s="133"/>
      <c r="B388" s="133"/>
      <c r="C388" s="133"/>
      <c r="D388" s="133"/>
      <c r="E388" s="133"/>
      <c r="F388" s="133"/>
      <c r="G388" s="133"/>
      <c r="H388" s="133"/>
      <c r="I388" s="133"/>
    </row>
    <row r="389" spans="1:9">
      <c r="A389" s="133"/>
      <c r="B389" s="133"/>
      <c r="C389" s="133"/>
      <c r="D389" s="133"/>
      <c r="E389" s="133"/>
      <c r="F389" s="133"/>
      <c r="G389" s="133"/>
      <c r="H389" s="133"/>
      <c r="I389" s="133"/>
    </row>
    <row r="390" spans="1:9">
      <c r="A390" s="133"/>
      <c r="B390" s="133"/>
      <c r="C390" s="133"/>
      <c r="D390" s="133"/>
      <c r="E390" s="133"/>
      <c r="F390" s="133"/>
      <c r="G390" s="133"/>
      <c r="H390" s="133"/>
      <c r="I390" s="133"/>
    </row>
    <row r="391" spans="1:9">
      <c r="A391" s="133"/>
      <c r="B391" s="133"/>
      <c r="C391" s="133"/>
      <c r="D391" s="133"/>
      <c r="E391" s="133"/>
      <c r="F391" s="133"/>
      <c r="G391" s="133"/>
      <c r="H391" s="133"/>
      <c r="I391" s="133"/>
    </row>
    <row r="392" spans="1:9">
      <c r="A392" s="133"/>
      <c r="B392" s="133"/>
      <c r="C392" s="133"/>
      <c r="D392" s="133"/>
      <c r="E392" s="133"/>
      <c r="F392" s="133"/>
      <c r="G392" s="133"/>
      <c r="H392" s="133"/>
      <c r="I392" s="133"/>
    </row>
    <row r="393" spans="1:9">
      <c r="A393" s="133"/>
      <c r="B393" s="133"/>
      <c r="C393" s="133"/>
      <c r="D393" s="133"/>
      <c r="E393" s="133"/>
      <c r="F393" s="133"/>
      <c r="G393" s="133"/>
      <c r="H393" s="133"/>
      <c r="I393" s="133"/>
    </row>
    <row r="394" spans="1:9">
      <c r="A394" s="133"/>
      <c r="B394" s="133"/>
      <c r="C394" s="133"/>
      <c r="D394" s="133"/>
      <c r="E394" s="133"/>
      <c r="F394" s="133"/>
      <c r="G394" s="133"/>
      <c r="H394" s="133"/>
      <c r="I394" s="133"/>
    </row>
    <row r="395" spans="1:9">
      <c r="A395" s="133"/>
      <c r="B395" s="133"/>
      <c r="C395" s="133"/>
      <c r="D395" s="133"/>
      <c r="E395" s="133"/>
      <c r="F395" s="133"/>
      <c r="G395" s="133"/>
      <c r="H395" s="133"/>
      <c r="I395" s="133"/>
    </row>
    <row r="396" spans="1:9">
      <c r="A396" s="133"/>
      <c r="B396" s="133"/>
      <c r="C396" s="133"/>
      <c r="D396" s="133"/>
      <c r="E396" s="133"/>
      <c r="F396" s="133"/>
      <c r="G396" s="133"/>
      <c r="H396" s="133"/>
      <c r="I396" s="133"/>
    </row>
    <row r="397" spans="1:9">
      <c r="A397" s="133"/>
      <c r="B397" s="133"/>
      <c r="C397" s="133"/>
      <c r="D397" s="133"/>
      <c r="E397" s="133"/>
      <c r="F397" s="133"/>
      <c r="G397" s="133"/>
      <c r="H397" s="133"/>
      <c r="I397" s="133"/>
    </row>
    <row r="398" spans="1:9">
      <c r="A398" s="133"/>
      <c r="B398" s="133"/>
      <c r="C398" s="133"/>
      <c r="D398" s="133"/>
      <c r="E398" s="133"/>
      <c r="F398" s="133"/>
      <c r="G398" s="133"/>
      <c r="H398" s="133"/>
      <c r="I398" s="133"/>
    </row>
    <row r="399" spans="1:9">
      <c r="A399" s="133"/>
      <c r="B399" s="133"/>
      <c r="C399" s="133"/>
      <c r="D399" s="133"/>
      <c r="E399" s="133"/>
      <c r="F399" s="133"/>
      <c r="G399" s="133"/>
      <c r="H399" s="133"/>
      <c r="I399" s="133"/>
    </row>
    <row r="400" spans="1:9">
      <c r="A400" s="133"/>
      <c r="B400" s="133"/>
      <c r="C400" s="133"/>
      <c r="D400" s="133"/>
      <c r="E400" s="133"/>
      <c r="F400" s="133"/>
      <c r="G400" s="133"/>
      <c r="H400" s="133"/>
      <c r="I400" s="133"/>
    </row>
    <row r="401" spans="1:9">
      <c r="A401" s="133"/>
      <c r="B401" s="133"/>
      <c r="C401" s="133"/>
      <c r="D401" s="133"/>
      <c r="E401" s="133"/>
      <c r="F401" s="133"/>
      <c r="G401" s="133"/>
      <c r="H401" s="133"/>
      <c r="I401" s="133"/>
    </row>
    <row r="402" spans="1:9">
      <c r="A402" s="133"/>
      <c r="B402" s="133"/>
      <c r="C402" s="133"/>
      <c r="D402" s="133"/>
      <c r="E402" s="133"/>
      <c r="F402" s="133"/>
      <c r="G402" s="133"/>
      <c r="H402" s="133"/>
      <c r="I402" s="133"/>
    </row>
    <row r="403" spans="1:9">
      <c r="A403" s="133"/>
      <c r="B403" s="133"/>
      <c r="C403" s="133"/>
      <c r="D403" s="133"/>
      <c r="E403" s="133"/>
      <c r="F403" s="133"/>
      <c r="G403" s="133"/>
      <c r="H403" s="133"/>
      <c r="I403" s="133"/>
    </row>
    <row r="404" spans="1:9">
      <c r="A404" s="133"/>
      <c r="B404" s="133"/>
      <c r="C404" s="133"/>
      <c r="D404" s="133"/>
      <c r="E404" s="133"/>
      <c r="F404" s="133"/>
      <c r="G404" s="133"/>
      <c r="H404" s="133"/>
      <c r="I404" s="133"/>
    </row>
    <row r="405" spans="1:9">
      <c r="A405" s="133"/>
      <c r="B405" s="133"/>
      <c r="C405" s="133"/>
      <c r="D405" s="133"/>
      <c r="E405" s="133"/>
      <c r="F405" s="133"/>
      <c r="G405" s="133"/>
      <c r="H405" s="133"/>
      <c r="I405" s="133"/>
    </row>
    <row r="406" spans="1:9">
      <c r="A406" s="133"/>
      <c r="B406" s="133"/>
      <c r="C406" s="133"/>
      <c r="D406" s="133"/>
      <c r="E406" s="133"/>
      <c r="F406" s="133"/>
      <c r="G406" s="133"/>
      <c r="H406" s="133"/>
      <c r="I406" s="133"/>
    </row>
    <row r="407" spans="1:9">
      <c r="A407" s="133"/>
      <c r="B407" s="133"/>
      <c r="C407" s="133"/>
      <c r="D407" s="133"/>
      <c r="E407" s="133"/>
      <c r="F407" s="133"/>
      <c r="G407" s="133"/>
      <c r="H407" s="133"/>
      <c r="I407" s="133"/>
    </row>
    <row r="408" spans="1:9">
      <c r="A408" s="133"/>
      <c r="B408" s="133"/>
      <c r="C408" s="133"/>
      <c r="D408" s="133"/>
      <c r="E408" s="133"/>
      <c r="F408" s="133"/>
      <c r="G408" s="133"/>
      <c r="H408" s="133"/>
      <c r="I408" s="133"/>
    </row>
    <row r="409" spans="1:9">
      <c r="A409" s="133"/>
      <c r="B409" s="133"/>
      <c r="C409" s="133"/>
      <c r="D409" s="133"/>
      <c r="E409" s="133"/>
      <c r="F409" s="133"/>
      <c r="G409" s="133"/>
      <c r="H409" s="133"/>
      <c r="I409" s="133"/>
    </row>
    <row r="410" spans="1:9">
      <c r="A410" s="133"/>
      <c r="B410" s="133"/>
      <c r="C410" s="133"/>
      <c r="D410" s="133"/>
      <c r="E410" s="133"/>
      <c r="F410" s="133"/>
      <c r="G410" s="133"/>
      <c r="H410" s="133"/>
      <c r="I410" s="133"/>
    </row>
    <row r="411" spans="1:9">
      <c r="A411" s="133"/>
      <c r="B411" s="133"/>
      <c r="C411" s="133"/>
      <c r="D411" s="133"/>
      <c r="E411" s="133"/>
      <c r="F411" s="133"/>
      <c r="G411" s="133"/>
      <c r="H411" s="133"/>
      <c r="I411" s="133"/>
    </row>
    <row r="412" spans="1:9">
      <c r="A412" s="133"/>
      <c r="B412" s="133"/>
      <c r="C412" s="133"/>
      <c r="D412" s="133"/>
      <c r="E412" s="133"/>
      <c r="F412" s="133"/>
      <c r="G412" s="133"/>
      <c r="H412" s="133"/>
      <c r="I412" s="133"/>
    </row>
    <row r="413" spans="1:9">
      <c r="A413" s="133"/>
      <c r="B413" s="133"/>
      <c r="C413" s="133"/>
      <c r="D413" s="133"/>
      <c r="E413" s="133"/>
      <c r="F413" s="133"/>
      <c r="G413" s="133"/>
      <c r="H413" s="133"/>
      <c r="I413" s="133"/>
    </row>
    <row r="414" spans="1:9">
      <c r="A414" s="133"/>
      <c r="B414" s="133"/>
      <c r="C414" s="133"/>
      <c r="D414" s="133"/>
      <c r="E414" s="133"/>
      <c r="F414" s="133"/>
      <c r="G414" s="133"/>
      <c r="H414" s="133"/>
      <c r="I414" s="133"/>
    </row>
    <row r="415" spans="1:9">
      <c r="A415" s="133"/>
      <c r="B415" s="133"/>
      <c r="C415" s="133"/>
      <c r="D415" s="133"/>
      <c r="E415" s="133"/>
      <c r="F415" s="133"/>
      <c r="G415" s="133"/>
      <c r="H415" s="133"/>
      <c r="I415" s="133"/>
    </row>
    <row r="416" spans="1:9">
      <c r="A416" s="133"/>
      <c r="B416" s="133"/>
      <c r="C416" s="133"/>
      <c r="D416" s="133"/>
      <c r="E416" s="133"/>
      <c r="F416" s="133"/>
      <c r="G416" s="133"/>
      <c r="H416" s="133"/>
      <c r="I416" s="133"/>
    </row>
    <row r="417" spans="1:9">
      <c r="A417" s="133"/>
      <c r="B417" s="133"/>
      <c r="C417" s="133"/>
      <c r="D417" s="133"/>
      <c r="E417" s="133"/>
      <c r="F417" s="133"/>
      <c r="G417" s="133"/>
      <c r="H417" s="133"/>
      <c r="I417" s="133"/>
    </row>
    <row r="418" spans="1:9">
      <c r="A418" s="133"/>
      <c r="B418" s="133"/>
      <c r="C418" s="133"/>
      <c r="D418" s="133"/>
      <c r="E418" s="133"/>
      <c r="F418" s="133"/>
      <c r="G418" s="133"/>
      <c r="H418" s="133"/>
      <c r="I418" s="133"/>
    </row>
    <row r="419" spans="1:9">
      <c r="A419" s="133"/>
      <c r="B419" s="133"/>
      <c r="C419" s="133"/>
      <c r="D419" s="133"/>
      <c r="E419" s="133"/>
      <c r="F419" s="133"/>
      <c r="G419" s="133"/>
      <c r="H419" s="133"/>
      <c r="I419" s="133"/>
    </row>
    <row r="420" spans="1:9">
      <c r="A420" s="133"/>
      <c r="B420" s="133"/>
      <c r="C420" s="133"/>
      <c r="D420" s="133"/>
      <c r="E420" s="133"/>
      <c r="F420" s="133"/>
      <c r="G420" s="133"/>
      <c r="H420" s="133"/>
      <c r="I420" s="133"/>
    </row>
    <row r="421" spans="1:9">
      <c r="A421" s="133"/>
      <c r="B421" s="133"/>
      <c r="C421" s="133"/>
      <c r="D421" s="133"/>
      <c r="E421" s="133"/>
      <c r="F421" s="133"/>
      <c r="G421" s="133"/>
      <c r="H421" s="133"/>
      <c r="I421" s="133"/>
    </row>
    <row r="422" spans="1:9">
      <c r="A422" s="133"/>
      <c r="B422" s="133"/>
      <c r="C422" s="133"/>
      <c r="D422" s="133"/>
      <c r="E422" s="133"/>
      <c r="F422" s="133"/>
      <c r="G422" s="133"/>
      <c r="H422" s="133"/>
      <c r="I422" s="133"/>
    </row>
    <row r="423" spans="1:9">
      <c r="A423" s="133"/>
      <c r="B423" s="133"/>
      <c r="C423" s="133"/>
      <c r="D423" s="133"/>
      <c r="E423" s="133"/>
      <c r="F423" s="133"/>
      <c r="G423" s="133"/>
      <c r="H423" s="133"/>
      <c r="I423" s="133"/>
    </row>
    <row r="424" spans="1:9">
      <c r="A424" s="133"/>
      <c r="B424" s="133"/>
      <c r="C424" s="133"/>
      <c r="D424" s="133"/>
      <c r="E424" s="133"/>
      <c r="F424" s="133"/>
      <c r="G424" s="133"/>
      <c r="H424" s="133"/>
      <c r="I424" s="133"/>
    </row>
    <row r="425" spans="1:9">
      <c r="A425" s="133"/>
      <c r="B425" s="133"/>
      <c r="C425" s="133"/>
      <c r="D425" s="133"/>
      <c r="E425" s="133"/>
      <c r="F425" s="133"/>
      <c r="G425" s="133"/>
      <c r="H425" s="133"/>
      <c r="I425" s="133"/>
    </row>
    <row r="426" spans="1:9">
      <c r="A426" s="133"/>
      <c r="B426" s="133"/>
      <c r="C426" s="133"/>
      <c r="D426" s="133"/>
      <c r="E426" s="133"/>
      <c r="F426" s="133"/>
      <c r="G426" s="133"/>
      <c r="H426" s="133"/>
      <c r="I426" s="133"/>
    </row>
    <row r="427" spans="1:9">
      <c r="A427" s="133"/>
      <c r="B427" s="133"/>
      <c r="C427" s="133"/>
      <c r="D427" s="133"/>
      <c r="E427" s="133"/>
      <c r="F427" s="133"/>
      <c r="G427" s="133"/>
      <c r="H427" s="133"/>
      <c r="I427" s="133"/>
    </row>
    <row r="428" spans="1:9">
      <c r="A428" s="133"/>
      <c r="B428" s="133"/>
      <c r="C428" s="133"/>
      <c r="D428" s="133"/>
      <c r="E428" s="133"/>
      <c r="F428" s="133"/>
      <c r="G428" s="133"/>
      <c r="H428" s="133"/>
      <c r="I428" s="133"/>
    </row>
    <row r="429" spans="1:9">
      <c r="A429" s="133"/>
      <c r="B429" s="133"/>
      <c r="C429" s="133"/>
      <c r="D429" s="133"/>
      <c r="E429" s="133"/>
      <c r="F429" s="133"/>
      <c r="G429" s="133"/>
      <c r="H429" s="133"/>
      <c r="I429" s="133"/>
    </row>
    <row r="430" spans="1:9">
      <c r="A430" s="133"/>
      <c r="B430" s="133"/>
      <c r="C430" s="133"/>
      <c r="D430" s="133"/>
      <c r="E430" s="133"/>
      <c r="F430" s="133"/>
      <c r="G430" s="133"/>
      <c r="H430" s="133"/>
      <c r="I430" s="133"/>
    </row>
    <row r="431" spans="1:9">
      <c r="A431" s="133"/>
      <c r="B431" s="133"/>
      <c r="C431" s="133"/>
      <c r="D431" s="133"/>
      <c r="E431" s="133"/>
      <c r="F431" s="133"/>
      <c r="G431" s="133"/>
      <c r="H431" s="133"/>
      <c r="I431" s="133"/>
    </row>
    <row r="432" spans="1:9">
      <c r="A432" s="133"/>
      <c r="B432" s="133"/>
      <c r="C432" s="133"/>
      <c r="D432" s="133"/>
      <c r="E432" s="133"/>
      <c r="F432" s="133"/>
      <c r="G432" s="133"/>
      <c r="H432" s="133"/>
      <c r="I432" s="133"/>
    </row>
    <row r="433" spans="1:9">
      <c r="A433" s="133"/>
      <c r="B433" s="133"/>
      <c r="C433" s="133"/>
      <c r="D433" s="133"/>
      <c r="E433" s="133"/>
      <c r="F433" s="133"/>
      <c r="G433" s="133"/>
      <c r="H433" s="133"/>
      <c r="I433" s="133"/>
    </row>
    <row r="434" spans="1:9">
      <c r="A434" s="133"/>
      <c r="B434" s="133"/>
      <c r="C434" s="133"/>
      <c r="D434" s="133"/>
      <c r="E434" s="133"/>
      <c r="F434" s="133"/>
      <c r="G434" s="133"/>
      <c r="H434" s="133"/>
      <c r="I434" s="133"/>
    </row>
    <row r="435" spans="1:9">
      <c r="A435" s="133"/>
      <c r="B435" s="133"/>
      <c r="C435" s="133"/>
      <c r="D435" s="133"/>
      <c r="E435" s="133"/>
      <c r="F435" s="133"/>
      <c r="G435" s="133"/>
      <c r="H435" s="133"/>
      <c r="I435" s="133"/>
    </row>
    <row r="436" spans="1:9">
      <c r="A436" s="133"/>
      <c r="B436" s="133"/>
      <c r="C436" s="133"/>
      <c r="D436" s="133"/>
      <c r="E436" s="133"/>
      <c r="F436" s="133"/>
      <c r="G436" s="133"/>
      <c r="H436" s="133"/>
      <c r="I436" s="133"/>
    </row>
    <row r="437" spans="1:9">
      <c r="A437" s="133"/>
      <c r="B437" s="133"/>
      <c r="C437" s="133"/>
      <c r="D437" s="133"/>
      <c r="E437" s="133"/>
      <c r="F437" s="133"/>
      <c r="G437" s="133"/>
      <c r="H437" s="133"/>
      <c r="I437" s="133"/>
    </row>
    <row r="438" spans="1:9">
      <c r="A438" s="133"/>
      <c r="B438" s="133"/>
      <c r="C438" s="133"/>
      <c r="D438" s="133"/>
      <c r="E438" s="133"/>
      <c r="F438" s="133"/>
      <c r="G438" s="133"/>
      <c r="H438" s="133"/>
      <c r="I438" s="133"/>
    </row>
    <row r="439" spans="1:9">
      <c r="A439" s="133"/>
      <c r="B439" s="133"/>
      <c r="C439" s="133"/>
      <c r="D439" s="133"/>
      <c r="E439" s="133"/>
      <c r="F439" s="133"/>
      <c r="G439" s="133"/>
      <c r="H439" s="133"/>
      <c r="I439" s="133"/>
    </row>
    <row r="440" spans="1:9">
      <c r="A440" s="133"/>
      <c r="B440" s="133"/>
      <c r="C440" s="133"/>
      <c r="D440" s="133"/>
      <c r="E440" s="133"/>
      <c r="F440" s="133"/>
      <c r="G440" s="133"/>
      <c r="H440" s="133"/>
      <c r="I440" s="133"/>
    </row>
    <row r="441" spans="1:9">
      <c r="A441" s="133"/>
      <c r="B441" s="133"/>
      <c r="C441" s="133"/>
      <c r="D441" s="133"/>
      <c r="E441" s="133"/>
      <c r="F441" s="133"/>
      <c r="G441" s="133"/>
      <c r="H441" s="133"/>
      <c r="I441" s="133"/>
    </row>
    <row r="442" spans="1:9">
      <c r="A442" s="133"/>
      <c r="B442" s="133"/>
      <c r="C442" s="133"/>
      <c r="D442" s="133"/>
      <c r="E442" s="133"/>
      <c r="F442" s="133"/>
      <c r="G442" s="133"/>
      <c r="H442" s="133"/>
      <c r="I442" s="133"/>
    </row>
    <row r="443" spans="1:9">
      <c r="A443" s="133"/>
      <c r="B443" s="133"/>
      <c r="C443" s="133"/>
      <c r="D443" s="133"/>
      <c r="E443" s="133"/>
      <c r="F443" s="133"/>
      <c r="G443" s="133"/>
      <c r="H443" s="133"/>
      <c r="I443" s="133"/>
    </row>
    <row r="444" spans="1:9">
      <c r="A444" s="133"/>
      <c r="B444" s="133"/>
      <c r="C444" s="133"/>
      <c r="D444" s="133"/>
      <c r="E444" s="133"/>
      <c r="F444" s="133"/>
      <c r="G444" s="133"/>
      <c r="H444" s="133"/>
      <c r="I444" s="133"/>
    </row>
    <row r="445" spans="1:9">
      <c r="A445" s="133"/>
      <c r="B445" s="133"/>
      <c r="C445" s="133"/>
      <c r="D445" s="133"/>
      <c r="E445" s="133"/>
      <c r="F445" s="133"/>
      <c r="G445" s="133"/>
      <c r="H445" s="133"/>
      <c r="I445" s="133"/>
    </row>
    <row r="446" spans="1:9">
      <c r="A446" s="133"/>
      <c r="B446" s="133"/>
      <c r="C446" s="133"/>
      <c r="D446" s="133"/>
      <c r="E446" s="133"/>
      <c r="F446" s="133"/>
      <c r="G446" s="133"/>
      <c r="H446" s="133"/>
      <c r="I446" s="133"/>
    </row>
    <row r="447" spans="1:9">
      <c r="A447" s="133"/>
      <c r="B447" s="133"/>
      <c r="C447" s="133"/>
      <c r="D447" s="133"/>
      <c r="E447" s="133"/>
      <c r="F447" s="133"/>
      <c r="G447" s="133"/>
      <c r="H447" s="133"/>
      <c r="I447" s="133"/>
    </row>
    <row r="448" spans="1:9">
      <c r="A448" s="133"/>
      <c r="B448" s="133"/>
      <c r="C448" s="133"/>
      <c r="D448" s="133"/>
      <c r="E448" s="133"/>
      <c r="F448" s="133"/>
      <c r="G448" s="133"/>
      <c r="H448" s="133"/>
      <c r="I448" s="133"/>
    </row>
    <row r="449" spans="1:9">
      <c r="A449" s="133"/>
      <c r="B449" s="133"/>
      <c r="C449" s="133"/>
      <c r="D449" s="133"/>
      <c r="E449" s="133"/>
      <c r="F449" s="133"/>
      <c r="G449" s="133"/>
      <c r="H449" s="133"/>
      <c r="I449" s="133"/>
    </row>
    <row r="450" spans="1:9">
      <c r="A450" s="133"/>
      <c r="B450" s="133"/>
      <c r="C450" s="133"/>
      <c r="D450" s="133"/>
      <c r="E450" s="133"/>
      <c r="F450" s="133"/>
      <c r="G450" s="133"/>
      <c r="H450" s="133"/>
      <c r="I450" s="133"/>
    </row>
    <row r="451" spans="1:9">
      <c r="A451" s="133"/>
      <c r="B451" s="133"/>
      <c r="C451" s="133"/>
      <c r="D451" s="133"/>
      <c r="E451" s="133"/>
      <c r="F451" s="133"/>
      <c r="G451" s="133"/>
      <c r="H451" s="133"/>
      <c r="I451" s="133"/>
    </row>
    <row r="452" spans="1:9">
      <c r="A452" s="133"/>
      <c r="B452" s="133"/>
      <c r="C452" s="133"/>
      <c r="D452" s="133"/>
      <c r="E452" s="133"/>
      <c r="F452" s="133"/>
      <c r="G452" s="133"/>
      <c r="H452" s="133"/>
      <c r="I452" s="133"/>
    </row>
    <row r="453" spans="1:9">
      <c r="A453" s="133"/>
      <c r="B453" s="133"/>
      <c r="C453" s="133"/>
      <c r="D453" s="133"/>
      <c r="E453" s="133"/>
      <c r="F453" s="133"/>
      <c r="G453" s="133"/>
      <c r="H453" s="133"/>
      <c r="I453" s="133"/>
    </row>
    <row r="454" spans="1:9">
      <c r="A454" s="133"/>
      <c r="B454" s="133"/>
      <c r="C454" s="133"/>
      <c r="D454" s="133"/>
      <c r="E454" s="133"/>
      <c r="F454" s="133"/>
      <c r="G454" s="133"/>
      <c r="H454" s="133"/>
      <c r="I454" s="133"/>
    </row>
    <row r="455" spans="1:9">
      <c r="A455" s="133"/>
      <c r="B455" s="133"/>
      <c r="C455" s="133"/>
      <c r="D455" s="133"/>
      <c r="E455" s="133"/>
      <c r="F455" s="133"/>
      <c r="G455" s="133"/>
      <c r="H455" s="133"/>
      <c r="I455" s="133"/>
    </row>
    <row r="456" spans="1:9">
      <c r="A456" s="133"/>
      <c r="B456" s="133"/>
      <c r="C456" s="133"/>
      <c r="D456" s="133"/>
      <c r="E456" s="133"/>
      <c r="F456" s="133"/>
      <c r="G456" s="133"/>
      <c r="H456" s="133"/>
      <c r="I456" s="133"/>
    </row>
    <row r="457" spans="1:9">
      <c r="A457" s="133"/>
      <c r="B457" s="133"/>
      <c r="C457" s="133"/>
      <c r="D457" s="133"/>
      <c r="E457" s="133"/>
      <c r="F457" s="133"/>
      <c r="G457" s="133"/>
      <c r="H457" s="133"/>
      <c r="I457" s="133"/>
    </row>
    <row r="458" spans="1:9">
      <c r="A458" s="133"/>
      <c r="B458" s="133"/>
      <c r="C458" s="133"/>
      <c r="D458" s="133"/>
      <c r="E458" s="133"/>
      <c r="F458" s="133"/>
      <c r="G458" s="133"/>
      <c r="H458" s="133"/>
      <c r="I458" s="133"/>
    </row>
    <row r="459" spans="1:9">
      <c r="A459" s="133"/>
      <c r="B459" s="133"/>
      <c r="C459" s="133"/>
      <c r="D459" s="133"/>
      <c r="E459" s="133"/>
      <c r="F459" s="133"/>
      <c r="G459" s="133"/>
      <c r="H459" s="133"/>
      <c r="I459" s="133"/>
    </row>
    <row r="460" spans="1:9">
      <c r="A460" s="133"/>
      <c r="B460" s="133"/>
      <c r="C460" s="133"/>
      <c r="D460" s="133"/>
      <c r="E460" s="133"/>
      <c r="F460" s="133"/>
      <c r="G460" s="133"/>
      <c r="H460" s="133"/>
      <c r="I460" s="133"/>
    </row>
    <row r="461" spans="1:9">
      <c r="A461" s="133"/>
      <c r="B461" s="133"/>
      <c r="C461" s="133"/>
      <c r="D461" s="133"/>
      <c r="E461" s="133"/>
      <c r="F461" s="133"/>
      <c r="G461" s="133"/>
      <c r="H461" s="133"/>
      <c r="I461" s="133"/>
    </row>
    <row r="462" spans="1:9">
      <c r="A462" s="133"/>
      <c r="B462" s="133"/>
      <c r="C462" s="133"/>
      <c r="D462" s="133"/>
      <c r="E462" s="133"/>
      <c r="F462" s="133"/>
      <c r="G462" s="133"/>
      <c r="H462" s="133"/>
      <c r="I462" s="133"/>
    </row>
    <row r="463" spans="1:9">
      <c r="A463" s="133"/>
      <c r="B463" s="133"/>
      <c r="C463" s="133"/>
      <c r="D463" s="133"/>
      <c r="E463" s="133"/>
      <c r="F463" s="133"/>
      <c r="G463" s="133"/>
      <c r="H463" s="133"/>
      <c r="I463" s="133"/>
    </row>
    <row r="464" spans="1:9">
      <c r="A464" s="133"/>
      <c r="B464" s="133"/>
      <c r="C464" s="133"/>
      <c r="D464" s="133"/>
      <c r="E464" s="133"/>
      <c r="F464" s="133"/>
      <c r="G464" s="133"/>
      <c r="H464" s="133"/>
      <c r="I464" s="133"/>
    </row>
    <row r="465" spans="1:9">
      <c r="A465" s="133"/>
      <c r="B465" s="133"/>
      <c r="C465" s="133"/>
      <c r="D465" s="133"/>
      <c r="E465" s="133"/>
      <c r="F465" s="133"/>
      <c r="G465" s="133"/>
      <c r="H465" s="133"/>
      <c r="I465" s="133"/>
    </row>
    <row r="466" spans="1:9">
      <c r="A466" s="133"/>
      <c r="B466" s="133"/>
      <c r="C466" s="133"/>
      <c r="D466" s="133"/>
      <c r="E466" s="133"/>
      <c r="F466" s="133"/>
      <c r="G466" s="133"/>
      <c r="H466" s="133"/>
      <c r="I466" s="133"/>
    </row>
    <row r="467" spans="1:9">
      <c r="A467" s="133"/>
      <c r="B467" s="133"/>
      <c r="C467" s="133"/>
      <c r="D467" s="133"/>
      <c r="E467" s="133"/>
      <c r="F467" s="133"/>
      <c r="G467" s="133"/>
      <c r="H467" s="133"/>
      <c r="I467" s="133"/>
    </row>
    <row r="468" spans="1:9">
      <c r="A468" s="133"/>
      <c r="B468" s="133"/>
      <c r="C468" s="133"/>
      <c r="D468" s="133"/>
      <c r="E468" s="133"/>
      <c r="F468" s="133"/>
      <c r="G468" s="133"/>
      <c r="H468" s="133"/>
      <c r="I468" s="133"/>
    </row>
    <row r="469" spans="1:9">
      <c r="A469" s="133"/>
      <c r="B469" s="133"/>
      <c r="C469" s="133"/>
      <c r="D469" s="133"/>
      <c r="E469" s="133"/>
      <c r="F469" s="133"/>
      <c r="G469" s="133"/>
      <c r="H469" s="133"/>
      <c r="I469" s="133"/>
    </row>
    <row r="470" spans="1:9">
      <c r="A470" s="133"/>
      <c r="B470" s="133"/>
      <c r="C470" s="133"/>
      <c r="D470" s="133"/>
      <c r="E470" s="133"/>
      <c r="F470" s="133"/>
      <c r="G470" s="133"/>
      <c r="H470" s="133"/>
      <c r="I470" s="133"/>
    </row>
    <row r="471" spans="1:9">
      <c r="A471" s="133"/>
      <c r="B471" s="133"/>
      <c r="C471" s="133"/>
      <c r="D471" s="133"/>
      <c r="E471" s="133"/>
      <c r="F471" s="133"/>
      <c r="G471" s="133"/>
      <c r="H471" s="133"/>
      <c r="I471" s="133"/>
    </row>
    <row r="472" spans="1:9">
      <c r="A472" s="133"/>
      <c r="B472" s="133"/>
      <c r="C472" s="133"/>
      <c r="D472" s="133"/>
      <c r="E472" s="133"/>
      <c r="F472" s="133"/>
      <c r="G472" s="133"/>
      <c r="H472" s="133"/>
      <c r="I472" s="133"/>
    </row>
    <row r="473" spans="1:9">
      <c r="A473" s="133"/>
      <c r="B473" s="133"/>
      <c r="C473" s="133"/>
      <c r="D473" s="133"/>
      <c r="E473" s="133"/>
      <c r="F473" s="133"/>
      <c r="G473" s="133"/>
      <c r="H473" s="133"/>
      <c r="I473" s="133"/>
    </row>
    <row r="474" spans="1:9">
      <c r="A474" s="133"/>
      <c r="B474" s="133"/>
      <c r="C474" s="133"/>
      <c r="D474" s="133"/>
      <c r="E474" s="133"/>
      <c r="F474" s="133"/>
      <c r="G474" s="133"/>
      <c r="H474" s="133"/>
      <c r="I474" s="133"/>
    </row>
    <row r="475" spans="1:9">
      <c r="A475" s="133"/>
      <c r="B475" s="133"/>
      <c r="C475" s="133"/>
      <c r="D475" s="133"/>
      <c r="E475" s="133"/>
      <c r="F475" s="133"/>
      <c r="G475" s="133"/>
      <c r="H475" s="133"/>
      <c r="I475" s="133"/>
    </row>
    <row r="476" spans="1:9">
      <c r="A476" s="133"/>
      <c r="B476" s="133"/>
      <c r="C476" s="133"/>
      <c r="D476" s="133"/>
      <c r="E476" s="133"/>
      <c r="F476" s="133"/>
      <c r="G476" s="133"/>
      <c r="H476" s="133"/>
      <c r="I476" s="133"/>
    </row>
    <row r="477" spans="1:9">
      <c r="A477" s="133"/>
      <c r="B477" s="133"/>
      <c r="C477" s="133"/>
      <c r="D477" s="133"/>
      <c r="E477" s="133"/>
      <c r="F477" s="133"/>
      <c r="G477" s="133"/>
      <c r="H477" s="133"/>
      <c r="I477" s="133"/>
    </row>
    <row r="478" spans="1:9">
      <c r="A478" s="133"/>
      <c r="B478" s="133"/>
      <c r="C478" s="133"/>
      <c r="D478" s="133"/>
      <c r="E478" s="133"/>
      <c r="F478" s="133"/>
      <c r="G478" s="133"/>
      <c r="H478" s="133"/>
      <c r="I478" s="133"/>
    </row>
    <row r="479" spans="1:9">
      <c r="A479" s="133"/>
      <c r="B479" s="133"/>
      <c r="C479" s="133"/>
      <c r="D479" s="133"/>
      <c r="E479" s="133"/>
      <c r="F479" s="133"/>
      <c r="G479" s="133"/>
      <c r="H479" s="133"/>
      <c r="I479" s="133"/>
    </row>
    <row r="480" spans="1:9">
      <c r="A480" s="133"/>
      <c r="B480" s="133"/>
      <c r="C480" s="133"/>
      <c r="D480" s="133"/>
      <c r="E480" s="133"/>
      <c r="F480" s="133"/>
      <c r="G480" s="133"/>
      <c r="H480" s="133"/>
      <c r="I480" s="133"/>
    </row>
    <row r="481" spans="1:9">
      <c r="A481" s="133"/>
      <c r="B481" s="133"/>
      <c r="C481" s="133"/>
      <c r="D481" s="133"/>
      <c r="E481" s="133"/>
      <c r="F481" s="133"/>
      <c r="G481" s="133"/>
      <c r="H481" s="133"/>
      <c r="I481" s="133"/>
    </row>
    <row r="482" spans="1:9">
      <c r="A482" s="133"/>
      <c r="B482" s="133"/>
      <c r="C482" s="133"/>
      <c r="D482" s="133"/>
      <c r="E482" s="133"/>
      <c r="F482" s="133"/>
      <c r="G482" s="133"/>
      <c r="H482" s="133"/>
      <c r="I482" s="133"/>
    </row>
    <row r="483" spans="1:9">
      <c r="A483" s="133"/>
      <c r="B483" s="133"/>
      <c r="C483" s="133"/>
      <c r="D483" s="133"/>
      <c r="E483" s="133"/>
      <c r="F483" s="133"/>
      <c r="G483" s="133"/>
      <c r="H483" s="133"/>
      <c r="I483" s="133"/>
    </row>
    <row r="484" spans="1:9">
      <c r="A484" s="133"/>
      <c r="B484" s="133"/>
      <c r="C484" s="133"/>
      <c r="D484" s="133"/>
      <c r="E484" s="133"/>
      <c r="F484" s="133"/>
      <c r="G484" s="133"/>
      <c r="H484" s="133"/>
      <c r="I484" s="133"/>
    </row>
    <row r="485" spans="1:9">
      <c r="A485" s="133"/>
      <c r="B485" s="133"/>
      <c r="C485" s="133"/>
      <c r="D485" s="133"/>
      <c r="E485" s="133"/>
      <c r="F485" s="133"/>
      <c r="G485" s="133"/>
      <c r="H485" s="133"/>
      <c r="I485" s="133"/>
    </row>
    <row r="486" spans="1:9">
      <c r="A486" s="133"/>
      <c r="B486" s="133"/>
      <c r="C486" s="133"/>
      <c r="D486" s="133"/>
      <c r="E486" s="133"/>
      <c r="F486" s="133"/>
      <c r="G486" s="133"/>
      <c r="H486" s="133"/>
      <c r="I486" s="133"/>
    </row>
    <row r="487" spans="1:9">
      <c r="A487" s="133"/>
      <c r="B487" s="133"/>
      <c r="C487" s="133"/>
      <c r="D487" s="133"/>
      <c r="E487" s="133"/>
      <c r="F487" s="133"/>
      <c r="G487" s="133"/>
      <c r="H487" s="133"/>
      <c r="I487" s="133"/>
    </row>
    <row r="488" spans="1:9">
      <c r="A488" s="133"/>
      <c r="B488" s="133"/>
      <c r="C488" s="133"/>
      <c r="D488" s="133"/>
      <c r="E488" s="133"/>
      <c r="F488" s="133"/>
      <c r="G488" s="133"/>
      <c r="H488" s="133"/>
      <c r="I488" s="133"/>
    </row>
    <row r="489" spans="1:9">
      <c r="A489" s="133"/>
      <c r="B489" s="133"/>
      <c r="C489" s="133"/>
      <c r="D489" s="133"/>
      <c r="E489" s="133"/>
      <c r="F489" s="133"/>
      <c r="G489" s="133"/>
      <c r="H489" s="133"/>
      <c r="I489" s="133"/>
    </row>
    <row r="490" spans="1:9">
      <c r="A490" s="133"/>
      <c r="B490" s="133"/>
      <c r="C490" s="133"/>
      <c r="D490" s="133"/>
      <c r="E490" s="133"/>
      <c r="F490" s="133"/>
      <c r="G490" s="133"/>
      <c r="H490" s="133"/>
      <c r="I490" s="133"/>
    </row>
    <row r="491" spans="1:9">
      <c r="A491" s="133"/>
      <c r="B491" s="133"/>
      <c r="C491" s="133"/>
      <c r="D491" s="133"/>
      <c r="E491" s="133"/>
      <c r="F491" s="133"/>
      <c r="G491" s="133"/>
      <c r="H491" s="133"/>
      <c r="I491" s="133"/>
    </row>
    <row r="492" spans="1:9">
      <c r="A492" s="133"/>
      <c r="B492" s="133"/>
      <c r="C492" s="133"/>
      <c r="D492" s="133"/>
      <c r="E492" s="133"/>
      <c r="F492" s="133"/>
      <c r="G492" s="133"/>
      <c r="H492" s="133"/>
      <c r="I492" s="133"/>
    </row>
    <row r="493" spans="1:9">
      <c r="A493" s="133"/>
      <c r="B493" s="133"/>
      <c r="C493" s="133"/>
      <c r="D493" s="133"/>
      <c r="E493" s="133"/>
      <c r="F493" s="133"/>
      <c r="G493" s="133"/>
      <c r="H493" s="133"/>
      <c r="I493" s="133"/>
    </row>
    <row r="494" spans="1:9">
      <c r="A494" s="133"/>
      <c r="B494" s="133"/>
      <c r="C494" s="133"/>
      <c r="D494" s="133"/>
      <c r="E494" s="133"/>
      <c r="F494" s="133"/>
      <c r="G494" s="133"/>
      <c r="H494" s="133"/>
      <c r="I494" s="133"/>
    </row>
    <row r="495" spans="1:9">
      <c r="A495" s="133"/>
      <c r="B495" s="133"/>
      <c r="C495" s="133"/>
      <c r="D495" s="133"/>
      <c r="E495" s="133"/>
      <c r="F495" s="133"/>
      <c r="G495" s="133"/>
      <c r="H495" s="133"/>
      <c r="I495" s="133"/>
    </row>
    <row r="496" spans="1:9">
      <c r="A496" s="133"/>
      <c r="B496" s="133"/>
      <c r="C496" s="133"/>
      <c r="D496" s="133"/>
      <c r="E496" s="133"/>
      <c r="F496" s="133"/>
      <c r="G496" s="133"/>
      <c r="H496" s="133"/>
      <c r="I496" s="133"/>
    </row>
    <row r="497" spans="1:9">
      <c r="A497" s="133"/>
      <c r="B497" s="133"/>
      <c r="C497" s="133"/>
      <c r="D497" s="133"/>
      <c r="E497" s="133"/>
      <c r="F497" s="133"/>
      <c r="G497" s="133"/>
      <c r="H497" s="133"/>
      <c r="I497" s="133"/>
    </row>
    <row r="498" spans="1:9">
      <c r="A498" s="133"/>
      <c r="B498" s="133"/>
      <c r="C498" s="133"/>
      <c r="D498" s="133"/>
      <c r="E498" s="133"/>
      <c r="F498" s="133"/>
      <c r="G498" s="133"/>
      <c r="H498" s="133"/>
      <c r="I498" s="133"/>
    </row>
    <row r="499" spans="1:9">
      <c r="A499" s="133"/>
      <c r="B499" s="133"/>
      <c r="C499" s="133"/>
      <c r="D499" s="133"/>
      <c r="E499" s="133"/>
      <c r="F499" s="133"/>
      <c r="G499" s="133"/>
      <c r="H499" s="133"/>
      <c r="I499" s="133"/>
    </row>
    <row r="500" spans="1:9">
      <c r="A500" s="133"/>
      <c r="B500" s="133"/>
      <c r="C500" s="133"/>
      <c r="D500" s="133"/>
      <c r="E500" s="133"/>
      <c r="F500" s="133"/>
      <c r="G500" s="133"/>
      <c r="H500" s="133"/>
      <c r="I500" s="133"/>
    </row>
    <row r="501" spans="1:9">
      <c r="A501" s="133"/>
      <c r="B501" s="133"/>
      <c r="C501" s="133"/>
      <c r="D501" s="133"/>
      <c r="E501" s="133"/>
      <c r="F501" s="133"/>
      <c r="G501" s="133"/>
      <c r="H501" s="133"/>
      <c r="I501" s="133"/>
    </row>
    <row r="502" spans="1:9">
      <c r="A502" s="133"/>
      <c r="B502" s="133"/>
      <c r="C502" s="133"/>
      <c r="D502" s="133"/>
      <c r="E502" s="133"/>
      <c r="F502" s="133"/>
      <c r="G502" s="133"/>
      <c r="H502" s="133"/>
      <c r="I502" s="133"/>
    </row>
    <row r="503" spans="1:9">
      <c r="A503" s="133"/>
      <c r="B503" s="133"/>
      <c r="C503" s="133"/>
      <c r="D503" s="133"/>
      <c r="E503" s="133"/>
      <c r="F503" s="133"/>
      <c r="G503" s="133"/>
      <c r="H503" s="133"/>
      <c r="I503" s="133"/>
    </row>
    <row r="504" spans="1:9">
      <c r="A504" s="133"/>
      <c r="B504" s="133"/>
      <c r="C504" s="133"/>
      <c r="D504" s="133"/>
      <c r="E504" s="133"/>
      <c r="F504" s="133"/>
      <c r="G504" s="133"/>
      <c r="H504" s="133"/>
      <c r="I504" s="133"/>
    </row>
    <row r="505" spans="1:9">
      <c r="A505" s="133"/>
      <c r="B505" s="133"/>
      <c r="C505" s="133"/>
      <c r="D505" s="133"/>
      <c r="E505" s="133"/>
      <c r="F505" s="133"/>
      <c r="G505" s="133"/>
      <c r="H505" s="133"/>
      <c r="I505" s="133"/>
    </row>
    <row r="506" spans="1:9">
      <c r="A506" s="133"/>
      <c r="B506" s="133"/>
      <c r="C506" s="133"/>
      <c r="D506" s="133"/>
      <c r="E506" s="133"/>
      <c r="F506" s="133"/>
      <c r="G506" s="133"/>
      <c r="H506" s="133"/>
      <c r="I506" s="133"/>
    </row>
    <row r="507" spans="1:9">
      <c r="A507" s="133"/>
      <c r="B507" s="133"/>
      <c r="C507" s="133"/>
      <c r="D507" s="133"/>
      <c r="E507" s="133"/>
      <c r="F507" s="133"/>
      <c r="G507" s="133"/>
      <c r="H507" s="133"/>
      <c r="I507" s="133"/>
    </row>
    <row r="508" spans="1:9">
      <c r="A508" s="133"/>
      <c r="B508" s="133"/>
      <c r="C508" s="133"/>
      <c r="D508" s="133"/>
      <c r="E508" s="133"/>
      <c r="F508" s="133"/>
      <c r="G508" s="133"/>
      <c r="H508" s="133"/>
      <c r="I508" s="133"/>
    </row>
    <row r="509" spans="1:9">
      <c r="A509" s="133"/>
      <c r="B509" s="133"/>
      <c r="C509" s="133"/>
      <c r="D509" s="133"/>
      <c r="E509" s="133"/>
      <c r="F509" s="133"/>
      <c r="G509" s="133"/>
      <c r="H509" s="133"/>
      <c r="I509" s="133"/>
    </row>
    <row r="510" spans="1:9">
      <c r="A510" s="133"/>
      <c r="B510" s="133"/>
      <c r="C510" s="133"/>
      <c r="D510" s="133"/>
      <c r="E510" s="133"/>
      <c r="F510" s="133"/>
      <c r="G510" s="133"/>
      <c r="H510" s="133"/>
      <c r="I510" s="133"/>
    </row>
    <row r="511" spans="1:9">
      <c r="A511" s="133"/>
      <c r="B511" s="133"/>
      <c r="C511" s="133"/>
      <c r="D511" s="133"/>
      <c r="E511" s="133"/>
      <c r="F511" s="133"/>
      <c r="G511" s="133"/>
      <c r="H511" s="133"/>
      <c r="I511" s="133"/>
    </row>
    <row r="512" spans="1:9">
      <c r="A512" s="133"/>
      <c r="B512" s="133"/>
      <c r="C512" s="133"/>
      <c r="D512" s="133"/>
      <c r="E512" s="133"/>
      <c r="F512" s="133"/>
      <c r="G512" s="133"/>
      <c r="H512" s="133"/>
      <c r="I512" s="133"/>
    </row>
    <row r="513" spans="1:9">
      <c r="A513" s="133"/>
      <c r="B513" s="133"/>
      <c r="C513" s="133"/>
      <c r="D513" s="133"/>
      <c r="E513" s="133"/>
      <c r="F513" s="133"/>
      <c r="G513" s="133"/>
      <c r="H513" s="133"/>
      <c r="I513" s="133"/>
    </row>
    <row r="514" spans="1:9">
      <c r="A514" s="133"/>
      <c r="B514" s="133"/>
      <c r="C514" s="133"/>
      <c r="D514" s="133"/>
      <c r="E514" s="133"/>
      <c r="F514" s="133"/>
      <c r="G514" s="133"/>
      <c r="H514" s="133"/>
      <c r="I514" s="133"/>
    </row>
    <row r="515" spans="1:9">
      <c r="A515" s="133"/>
      <c r="B515" s="133"/>
      <c r="C515" s="133"/>
      <c r="D515" s="133"/>
      <c r="E515" s="133"/>
      <c r="F515" s="133"/>
      <c r="G515" s="133"/>
      <c r="H515" s="133"/>
      <c r="I515" s="133"/>
    </row>
    <row r="516" spans="1:9">
      <c r="A516" s="133"/>
      <c r="B516" s="133"/>
      <c r="C516" s="133"/>
      <c r="D516" s="133"/>
      <c r="E516" s="133"/>
      <c r="F516" s="133"/>
      <c r="G516" s="133"/>
      <c r="H516" s="133"/>
      <c r="I516" s="133"/>
    </row>
    <row r="517" spans="1:9">
      <c r="A517" s="133"/>
      <c r="B517" s="133"/>
      <c r="C517" s="133"/>
      <c r="D517" s="133"/>
      <c r="E517" s="133"/>
      <c r="F517" s="133"/>
      <c r="G517" s="133"/>
      <c r="H517" s="133"/>
      <c r="I517" s="133"/>
    </row>
    <row r="518" spans="1:9">
      <c r="A518" s="133"/>
      <c r="B518" s="133"/>
      <c r="C518" s="133"/>
      <c r="D518" s="133"/>
      <c r="E518" s="133"/>
      <c r="F518" s="133"/>
      <c r="G518" s="133"/>
      <c r="H518" s="133"/>
      <c r="I518" s="133"/>
    </row>
    <row r="519" spans="1:9">
      <c r="A519" s="133"/>
      <c r="B519" s="133"/>
      <c r="C519" s="133"/>
      <c r="D519" s="133"/>
      <c r="E519" s="133"/>
      <c r="F519" s="133"/>
      <c r="G519" s="133"/>
      <c r="H519" s="133"/>
      <c r="I519" s="133"/>
    </row>
    <row r="520" spans="1:9">
      <c r="A520" s="133"/>
      <c r="B520" s="133"/>
      <c r="C520" s="133"/>
      <c r="D520" s="133"/>
      <c r="E520" s="133"/>
      <c r="F520" s="133"/>
      <c r="G520" s="133"/>
      <c r="H520" s="133"/>
      <c r="I520" s="133"/>
    </row>
    <row r="521" spans="1:9">
      <c r="A521" s="133"/>
      <c r="B521" s="133"/>
      <c r="C521" s="133"/>
      <c r="D521" s="133"/>
      <c r="E521" s="133"/>
      <c r="F521" s="133"/>
      <c r="G521" s="133"/>
      <c r="H521" s="133"/>
      <c r="I521" s="133"/>
    </row>
    <row r="522" spans="1:9">
      <c r="A522" s="133"/>
      <c r="B522" s="133"/>
      <c r="C522" s="133"/>
      <c r="D522" s="133"/>
      <c r="E522" s="133"/>
      <c r="F522" s="133"/>
      <c r="G522" s="133"/>
      <c r="H522" s="133"/>
      <c r="I522" s="133"/>
    </row>
    <row r="523" spans="1:9">
      <c r="A523" s="133"/>
      <c r="B523" s="133"/>
      <c r="C523" s="133"/>
      <c r="D523" s="133"/>
      <c r="E523" s="133"/>
      <c r="F523" s="133"/>
      <c r="G523" s="133"/>
      <c r="H523" s="133"/>
      <c r="I523" s="133"/>
    </row>
    <row r="524" spans="1:9">
      <c r="A524" s="133"/>
      <c r="B524" s="133"/>
      <c r="C524" s="133"/>
      <c r="D524" s="133"/>
      <c r="E524" s="133"/>
      <c r="F524" s="133"/>
      <c r="G524" s="133"/>
      <c r="H524" s="133"/>
      <c r="I524" s="133"/>
    </row>
    <row r="525" spans="1:9">
      <c r="A525" s="133"/>
      <c r="B525" s="133"/>
      <c r="C525" s="133"/>
      <c r="D525" s="133"/>
      <c r="E525" s="133"/>
      <c r="F525" s="133"/>
      <c r="G525" s="133"/>
      <c r="H525" s="133"/>
      <c r="I525" s="133"/>
    </row>
    <row r="526" spans="1:9">
      <c r="A526" s="133"/>
      <c r="B526" s="133"/>
      <c r="C526" s="133"/>
      <c r="D526" s="133"/>
      <c r="E526" s="133"/>
      <c r="F526" s="133"/>
      <c r="G526" s="133"/>
      <c r="H526" s="133"/>
      <c r="I526" s="133"/>
    </row>
    <row r="527" spans="1:9">
      <c r="A527" s="133"/>
      <c r="B527" s="133"/>
      <c r="C527" s="133"/>
      <c r="D527" s="133"/>
      <c r="E527" s="133"/>
      <c r="F527" s="133"/>
      <c r="G527" s="133"/>
      <c r="H527" s="133"/>
      <c r="I527" s="133"/>
    </row>
    <row r="528" spans="1:9">
      <c r="A528" s="133"/>
      <c r="B528" s="133"/>
      <c r="C528" s="133"/>
      <c r="D528" s="133"/>
      <c r="E528" s="133"/>
      <c r="F528" s="133"/>
      <c r="G528" s="133"/>
      <c r="H528" s="133"/>
      <c r="I528" s="133"/>
    </row>
    <row r="529" spans="1:9">
      <c r="A529" s="133"/>
      <c r="B529" s="133"/>
      <c r="C529" s="133"/>
      <c r="D529" s="133"/>
      <c r="E529" s="133"/>
      <c r="F529" s="133"/>
      <c r="G529" s="133"/>
      <c r="H529" s="133"/>
      <c r="I529" s="133"/>
    </row>
    <row r="530" spans="1:9">
      <c r="A530" s="133"/>
      <c r="B530" s="133"/>
      <c r="C530" s="133"/>
      <c r="D530" s="133"/>
      <c r="E530" s="133"/>
      <c r="F530" s="133"/>
      <c r="G530" s="133"/>
      <c r="H530" s="133"/>
      <c r="I530" s="133"/>
    </row>
    <row r="531" spans="1:9">
      <c r="A531" s="133"/>
      <c r="B531" s="133"/>
      <c r="C531" s="133"/>
      <c r="D531" s="133"/>
      <c r="E531" s="133"/>
      <c r="F531" s="133"/>
      <c r="G531" s="133"/>
      <c r="H531" s="133"/>
      <c r="I531" s="133"/>
    </row>
    <row r="532" spans="1:9">
      <c r="A532" s="133"/>
      <c r="B532" s="133"/>
      <c r="C532" s="133"/>
      <c r="D532" s="133"/>
      <c r="E532" s="133"/>
      <c r="F532" s="133"/>
      <c r="G532" s="133"/>
      <c r="H532" s="133"/>
      <c r="I532" s="133"/>
    </row>
    <row r="533" spans="1:9">
      <c r="A533" s="133"/>
      <c r="B533" s="133"/>
      <c r="C533" s="133"/>
      <c r="D533" s="133"/>
      <c r="E533" s="133"/>
      <c r="F533" s="133"/>
      <c r="G533" s="133"/>
      <c r="H533" s="133"/>
      <c r="I533" s="133"/>
    </row>
    <row r="534" spans="1:9">
      <c r="A534" s="133"/>
      <c r="B534" s="133"/>
      <c r="C534" s="133"/>
      <c r="D534" s="133"/>
      <c r="E534" s="133"/>
      <c r="F534" s="133"/>
      <c r="G534" s="133"/>
      <c r="H534" s="133"/>
      <c r="I534" s="133"/>
    </row>
    <row r="535" spans="1:9">
      <c r="A535" s="133"/>
      <c r="B535" s="133"/>
      <c r="C535" s="133"/>
      <c r="D535" s="133"/>
      <c r="E535" s="133"/>
      <c r="F535" s="133"/>
      <c r="G535" s="133"/>
      <c r="H535" s="133"/>
      <c r="I535" s="133"/>
    </row>
    <row r="536" spans="1:9">
      <c r="A536" s="133"/>
      <c r="B536" s="133"/>
      <c r="C536" s="133"/>
      <c r="D536" s="133"/>
      <c r="E536" s="133"/>
      <c r="F536" s="133"/>
      <c r="G536" s="133"/>
      <c r="H536" s="133"/>
      <c r="I536" s="133"/>
    </row>
    <row r="537" spans="1:9">
      <c r="A537" s="133"/>
      <c r="B537" s="133"/>
      <c r="C537" s="133"/>
      <c r="D537" s="133"/>
      <c r="E537" s="133"/>
      <c r="F537" s="133"/>
      <c r="G537" s="133"/>
      <c r="H537" s="133"/>
      <c r="I537" s="133"/>
    </row>
    <row r="538" spans="1:9">
      <c r="A538" s="133"/>
      <c r="B538" s="133"/>
      <c r="C538" s="133"/>
      <c r="D538" s="133"/>
      <c r="E538" s="133"/>
      <c r="F538" s="133"/>
      <c r="G538" s="133"/>
      <c r="H538" s="133"/>
      <c r="I538" s="133"/>
    </row>
    <row r="539" spans="1:9">
      <c r="A539" s="133"/>
      <c r="B539" s="133"/>
      <c r="C539" s="133"/>
      <c r="D539" s="133"/>
      <c r="E539" s="133"/>
      <c r="F539" s="133"/>
      <c r="G539" s="133"/>
      <c r="H539" s="133"/>
      <c r="I539" s="133"/>
    </row>
    <row r="540" spans="1:9">
      <c r="A540" s="133"/>
      <c r="B540" s="133"/>
      <c r="C540" s="133"/>
      <c r="D540" s="133"/>
      <c r="E540" s="133"/>
      <c r="F540" s="133"/>
      <c r="G540" s="133"/>
      <c r="H540" s="133"/>
      <c r="I540" s="133"/>
    </row>
    <row r="541" spans="1:9">
      <c r="A541" s="133"/>
      <c r="B541" s="133"/>
      <c r="C541" s="133"/>
      <c r="D541" s="133"/>
      <c r="E541" s="133"/>
      <c r="F541" s="133"/>
      <c r="G541" s="133"/>
      <c r="H541" s="133"/>
      <c r="I541" s="133"/>
    </row>
    <row r="542" spans="1:9">
      <c r="A542" s="133"/>
      <c r="B542" s="133"/>
      <c r="C542" s="133"/>
      <c r="D542" s="133"/>
      <c r="E542" s="133"/>
      <c r="F542" s="133"/>
      <c r="G542" s="133"/>
      <c r="H542" s="133"/>
      <c r="I542" s="133"/>
    </row>
    <row r="543" spans="1:9">
      <c r="A543" s="133"/>
      <c r="B543" s="133"/>
      <c r="C543" s="133"/>
      <c r="D543" s="133"/>
      <c r="E543" s="133"/>
      <c r="F543" s="133"/>
      <c r="G543" s="133"/>
      <c r="H543" s="133"/>
      <c r="I543" s="133"/>
    </row>
    <row r="544" spans="1:9">
      <c r="A544" s="133"/>
      <c r="B544" s="133"/>
      <c r="C544" s="133"/>
      <c r="D544" s="133"/>
      <c r="E544" s="133"/>
      <c r="F544" s="133"/>
      <c r="G544" s="133"/>
      <c r="H544" s="133"/>
      <c r="I544" s="133"/>
    </row>
    <row r="545" spans="1:9">
      <c r="A545" s="133"/>
      <c r="B545" s="133"/>
      <c r="C545" s="133"/>
      <c r="D545" s="133"/>
      <c r="E545" s="133"/>
      <c r="F545" s="133"/>
      <c r="G545" s="133"/>
      <c r="H545" s="133"/>
      <c r="I545" s="133"/>
    </row>
    <row r="546" spans="1:9">
      <c r="A546" s="133"/>
      <c r="B546" s="133"/>
      <c r="C546" s="133"/>
      <c r="D546" s="133"/>
      <c r="E546" s="133"/>
      <c r="F546" s="133"/>
      <c r="G546" s="133"/>
      <c r="H546" s="133"/>
      <c r="I546" s="133"/>
    </row>
    <row r="547" spans="1:9">
      <c r="A547" s="133"/>
      <c r="B547" s="133"/>
      <c r="C547" s="133"/>
      <c r="D547" s="133"/>
      <c r="E547" s="133"/>
      <c r="F547" s="133"/>
      <c r="G547" s="133"/>
      <c r="H547" s="133"/>
      <c r="I547" s="133"/>
    </row>
    <row r="548" spans="1:9">
      <c r="A548" s="133"/>
      <c r="B548" s="133"/>
      <c r="C548" s="133"/>
      <c r="D548" s="133"/>
      <c r="E548" s="133"/>
      <c r="F548" s="133"/>
      <c r="G548" s="133"/>
      <c r="H548" s="133"/>
      <c r="I548" s="133"/>
    </row>
    <row r="549" spans="1:9">
      <c r="A549" s="133"/>
      <c r="B549" s="133"/>
      <c r="C549" s="133"/>
      <c r="D549" s="133"/>
      <c r="E549" s="133"/>
      <c r="F549" s="133"/>
      <c r="G549" s="133"/>
      <c r="H549" s="133"/>
      <c r="I549" s="133"/>
    </row>
    <row r="550" spans="1:9">
      <c r="A550" s="133"/>
      <c r="B550" s="133"/>
      <c r="C550" s="133"/>
      <c r="D550" s="133"/>
      <c r="E550" s="133"/>
      <c r="F550" s="133"/>
      <c r="G550" s="133"/>
      <c r="H550" s="133"/>
      <c r="I550" s="133"/>
    </row>
    <row r="551" spans="1:9">
      <c r="A551" s="133"/>
      <c r="B551" s="133"/>
      <c r="C551" s="133"/>
      <c r="D551" s="133"/>
      <c r="E551" s="133"/>
      <c r="F551" s="133"/>
      <c r="G551" s="133"/>
      <c r="H551" s="133"/>
      <c r="I551" s="133"/>
    </row>
    <row r="552" spans="1:9">
      <c r="A552" s="133"/>
      <c r="B552" s="133"/>
      <c r="C552" s="133"/>
      <c r="D552" s="133"/>
      <c r="E552" s="133"/>
      <c r="F552" s="133"/>
      <c r="G552" s="133"/>
      <c r="H552" s="133"/>
      <c r="I552" s="133"/>
    </row>
    <row r="553" spans="1:9">
      <c r="A553" s="133"/>
      <c r="B553" s="133"/>
      <c r="C553" s="133"/>
      <c r="D553" s="133"/>
      <c r="E553" s="133"/>
      <c r="F553" s="133"/>
      <c r="G553" s="133"/>
      <c r="H553" s="133"/>
      <c r="I553" s="133"/>
    </row>
    <row r="554" spans="1:9">
      <c r="A554" s="133"/>
      <c r="B554" s="133"/>
      <c r="C554" s="133"/>
      <c r="D554" s="133"/>
      <c r="E554" s="133"/>
      <c r="F554" s="133"/>
      <c r="G554" s="133"/>
      <c r="H554" s="133"/>
      <c r="I554" s="133"/>
    </row>
    <row r="555" spans="1:9">
      <c r="A555" s="133"/>
      <c r="B555" s="133"/>
      <c r="C555" s="133"/>
      <c r="D555" s="133"/>
      <c r="E555" s="133"/>
      <c r="F555" s="133"/>
      <c r="G555" s="133"/>
      <c r="H555" s="133"/>
      <c r="I555" s="133"/>
    </row>
    <row r="556" spans="1:9">
      <c r="A556" s="133"/>
      <c r="B556" s="133"/>
      <c r="C556" s="133"/>
      <c r="D556" s="133"/>
      <c r="E556" s="133"/>
      <c r="F556" s="133"/>
      <c r="G556" s="133"/>
      <c r="H556" s="133"/>
      <c r="I556" s="133"/>
    </row>
    <row r="557" spans="1:9">
      <c r="A557" s="133"/>
      <c r="B557" s="133"/>
      <c r="C557" s="133"/>
      <c r="D557" s="133"/>
      <c r="E557" s="133"/>
      <c r="F557" s="133"/>
      <c r="G557" s="133"/>
      <c r="H557" s="133"/>
      <c r="I557" s="133"/>
    </row>
    <row r="558" spans="1:9">
      <c r="A558" s="133"/>
      <c r="B558" s="133"/>
      <c r="C558" s="133"/>
      <c r="D558" s="133"/>
      <c r="E558" s="133"/>
      <c r="F558" s="133"/>
      <c r="G558" s="133"/>
      <c r="H558" s="133"/>
      <c r="I558" s="133"/>
    </row>
    <row r="559" spans="1:9">
      <c r="A559" s="133"/>
      <c r="B559" s="133"/>
      <c r="C559" s="133"/>
      <c r="D559" s="133"/>
      <c r="E559" s="133"/>
      <c r="F559" s="133"/>
      <c r="G559" s="133"/>
      <c r="H559" s="133"/>
      <c r="I559" s="133"/>
    </row>
    <row r="560" spans="1:9">
      <c r="A560" s="133"/>
      <c r="B560" s="133"/>
      <c r="C560" s="133"/>
      <c r="D560" s="133"/>
      <c r="E560" s="133"/>
      <c r="F560" s="133"/>
      <c r="G560" s="133"/>
      <c r="H560" s="133"/>
      <c r="I560" s="133"/>
    </row>
    <row r="561" spans="1:9">
      <c r="A561" s="133"/>
      <c r="B561" s="133"/>
      <c r="C561" s="133"/>
      <c r="D561" s="133"/>
      <c r="E561" s="133"/>
      <c r="F561" s="133"/>
      <c r="G561" s="133"/>
      <c r="H561" s="133"/>
      <c r="I561" s="133"/>
    </row>
    <row r="562" spans="1:9">
      <c r="A562" s="133"/>
      <c r="B562" s="133"/>
      <c r="C562" s="133"/>
      <c r="D562" s="133"/>
      <c r="E562" s="133"/>
      <c r="F562" s="133"/>
      <c r="G562" s="133"/>
      <c r="H562" s="133"/>
      <c r="I562" s="133"/>
    </row>
    <row r="563" spans="1:9">
      <c r="A563" s="133"/>
      <c r="B563" s="133"/>
      <c r="C563" s="133"/>
      <c r="D563" s="133"/>
      <c r="E563" s="133"/>
      <c r="F563" s="133"/>
      <c r="G563" s="133"/>
      <c r="H563" s="133"/>
      <c r="I563" s="133"/>
    </row>
    <row r="564" spans="1:9">
      <c r="A564" s="133"/>
      <c r="B564" s="133"/>
      <c r="C564" s="133"/>
      <c r="D564" s="133"/>
      <c r="E564" s="133"/>
      <c r="F564" s="133"/>
      <c r="G564" s="133"/>
      <c r="H564" s="133"/>
      <c r="I564" s="133"/>
    </row>
    <row r="565" spans="1:9">
      <c r="A565" s="133"/>
      <c r="B565" s="133"/>
      <c r="C565" s="133"/>
      <c r="D565" s="133"/>
      <c r="E565" s="133"/>
      <c r="F565" s="133"/>
      <c r="G565" s="133"/>
      <c r="H565" s="133"/>
      <c r="I565" s="133"/>
    </row>
    <row r="566" spans="1:9">
      <c r="A566" s="133"/>
      <c r="B566" s="133"/>
      <c r="C566" s="133"/>
      <c r="D566" s="133"/>
      <c r="E566" s="133"/>
      <c r="F566" s="133"/>
      <c r="G566" s="133"/>
      <c r="H566" s="133"/>
      <c r="I566" s="133"/>
    </row>
    <row r="567" spans="1:9">
      <c r="A567" s="133"/>
      <c r="B567" s="133"/>
      <c r="C567" s="133"/>
      <c r="D567" s="133"/>
      <c r="E567" s="133"/>
      <c r="F567" s="133"/>
      <c r="G567" s="133"/>
      <c r="H567" s="133"/>
      <c r="I567" s="133"/>
    </row>
    <row r="568" spans="1:9">
      <c r="A568" s="133"/>
      <c r="B568" s="133"/>
      <c r="C568" s="133"/>
      <c r="D568" s="133"/>
      <c r="E568" s="133"/>
      <c r="F568" s="133"/>
      <c r="G568" s="133"/>
      <c r="H568" s="133"/>
      <c r="I568" s="133"/>
    </row>
    <row r="569" spans="1:9">
      <c r="A569" s="133"/>
      <c r="B569" s="133"/>
      <c r="C569" s="133"/>
      <c r="D569" s="133"/>
      <c r="E569" s="133"/>
      <c r="F569" s="133"/>
      <c r="G569" s="133"/>
      <c r="H569" s="133"/>
      <c r="I569" s="133"/>
    </row>
    <row r="570" spans="1:9">
      <c r="A570" s="133"/>
      <c r="B570" s="133"/>
      <c r="C570" s="133"/>
      <c r="D570" s="133"/>
      <c r="E570" s="133"/>
      <c r="F570" s="133"/>
      <c r="G570" s="133"/>
      <c r="H570" s="133"/>
      <c r="I570" s="133"/>
    </row>
    <row r="571" spans="1:9">
      <c r="A571" s="133"/>
      <c r="B571" s="133"/>
      <c r="C571" s="133"/>
      <c r="D571" s="133"/>
      <c r="E571" s="133"/>
      <c r="F571" s="133"/>
      <c r="G571" s="133"/>
      <c r="H571" s="133"/>
      <c r="I571" s="133"/>
    </row>
    <row r="572" spans="1:9">
      <c r="A572" s="133"/>
      <c r="B572" s="133"/>
      <c r="C572" s="133"/>
      <c r="D572" s="133"/>
      <c r="E572" s="133"/>
      <c r="F572" s="133"/>
      <c r="G572" s="133"/>
      <c r="H572" s="133"/>
      <c r="I572" s="133"/>
    </row>
    <row r="573" spans="1:9">
      <c r="A573" s="133"/>
      <c r="B573" s="133"/>
      <c r="C573" s="133"/>
      <c r="D573" s="133"/>
      <c r="E573" s="133"/>
      <c r="F573" s="133"/>
      <c r="G573" s="133"/>
      <c r="H573" s="133"/>
      <c r="I573" s="133"/>
    </row>
    <row r="574" spans="1:9">
      <c r="A574" s="133"/>
      <c r="B574" s="133"/>
      <c r="C574" s="133"/>
      <c r="D574" s="133"/>
      <c r="E574" s="133"/>
      <c r="F574" s="133"/>
      <c r="G574" s="133"/>
      <c r="H574" s="133"/>
      <c r="I574" s="133"/>
    </row>
    <row r="575" spans="1:9">
      <c r="A575" s="133"/>
      <c r="B575" s="133"/>
      <c r="C575" s="133"/>
      <c r="D575" s="133"/>
      <c r="E575" s="133"/>
      <c r="F575" s="133"/>
      <c r="G575" s="133"/>
      <c r="H575" s="133"/>
      <c r="I575" s="133"/>
    </row>
    <row r="576" spans="1:9">
      <c r="A576" s="133"/>
      <c r="B576" s="133"/>
      <c r="C576" s="133"/>
      <c r="D576" s="133"/>
      <c r="E576" s="133"/>
      <c r="F576" s="133"/>
      <c r="G576" s="133"/>
      <c r="H576" s="133"/>
      <c r="I576" s="133"/>
    </row>
    <row r="577" spans="1:9">
      <c r="A577" s="133"/>
      <c r="B577" s="133"/>
      <c r="C577" s="133"/>
      <c r="D577" s="133"/>
      <c r="E577" s="133"/>
      <c r="F577" s="133"/>
      <c r="G577" s="133"/>
      <c r="H577" s="133"/>
      <c r="I577" s="133"/>
    </row>
    <row r="578" spans="1:9">
      <c r="A578" s="133"/>
      <c r="B578" s="133"/>
      <c r="C578" s="133"/>
      <c r="D578" s="133"/>
      <c r="E578" s="133"/>
      <c r="F578" s="133"/>
      <c r="G578" s="133"/>
      <c r="H578" s="133"/>
      <c r="I578" s="133"/>
    </row>
    <row r="579" spans="1:9">
      <c r="A579" s="133"/>
      <c r="B579" s="133"/>
      <c r="C579" s="133"/>
      <c r="D579" s="133"/>
      <c r="E579" s="133"/>
      <c r="F579" s="133"/>
      <c r="G579" s="133"/>
      <c r="H579" s="133"/>
      <c r="I579" s="133"/>
    </row>
    <row r="580" spans="1:9">
      <c r="A580" s="133"/>
      <c r="B580" s="133"/>
      <c r="C580" s="133"/>
      <c r="D580" s="133"/>
      <c r="E580" s="133"/>
      <c r="F580" s="133"/>
      <c r="G580" s="133"/>
      <c r="H580" s="133"/>
      <c r="I580" s="133"/>
    </row>
    <row r="581" spans="1:9">
      <c r="A581" s="133"/>
      <c r="B581" s="133"/>
      <c r="C581" s="133"/>
      <c r="D581" s="133"/>
      <c r="E581" s="133"/>
      <c r="F581" s="133"/>
      <c r="G581" s="133"/>
      <c r="H581" s="133"/>
      <c r="I581" s="133"/>
    </row>
    <row r="582" spans="1:9">
      <c r="A582" s="133"/>
      <c r="B582" s="133"/>
      <c r="C582" s="133"/>
      <c r="D582" s="133"/>
      <c r="E582" s="133"/>
      <c r="F582" s="133"/>
      <c r="G582" s="133"/>
      <c r="H582" s="133"/>
      <c r="I582" s="133"/>
    </row>
    <row r="583" spans="1:9">
      <c r="A583" s="133"/>
      <c r="B583" s="133"/>
      <c r="C583" s="133"/>
      <c r="D583" s="133"/>
      <c r="E583" s="133"/>
      <c r="F583" s="133"/>
      <c r="G583" s="133"/>
      <c r="H583" s="133"/>
      <c r="I583" s="133"/>
    </row>
    <row r="584" spans="1:9">
      <c r="A584" s="133"/>
      <c r="B584" s="133"/>
      <c r="C584" s="133"/>
      <c r="D584" s="133"/>
      <c r="E584" s="133"/>
      <c r="F584" s="133"/>
      <c r="G584" s="133"/>
      <c r="H584" s="133"/>
      <c r="I584" s="133"/>
    </row>
    <row r="585" spans="1:9">
      <c r="A585" s="133"/>
      <c r="B585" s="133"/>
      <c r="C585" s="133"/>
      <c r="D585" s="133"/>
      <c r="E585" s="133"/>
      <c r="F585" s="133"/>
      <c r="G585" s="133"/>
      <c r="H585" s="133"/>
      <c r="I585" s="133"/>
    </row>
    <row r="586" spans="1:9">
      <c r="A586" s="133"/>
      <c r="B586" s="133"/>
      <c r="C586" s="133"/>
      <c r="D586" s="133"/>
      <c r="E586" s="133"/>
      <c r="F586" s="133"/>
      <c r="G586" s="133"/>
      <c r="H586" s="133"/>
      <c r="I586" s="133"/>
    </row>
    <row r="587" spans="1:9">
      <c r="A587" s="133"/>
      <c r="B587" s="133"/>
      <c r="C587" s="133"/>
      <c r="D587" s="133"/>
      <c r="E587" s="133"/>
      <c r="F587" s="133"/>
      <c r="G587" s="133"/>
      <c r="H587" s="133"/>
      <c r="I587" s="133"/>
    </row>
    <row r="588" spans="1:9">
      <c r="A588" s="133"/>
      <c r="B588" s="133"/>
      <c r="C588" s="133"/>
      <c r="D588" s="133"/>
      <c r="E588" s="133"/>
      <c r="F588" s="133"/>
      <c r="G588" s="133"/>
      <c r="H588" s="133"/>
      <c r="I588" s="133"/>
    </row>
    <row r="589" spans="1:9">
      <c r="A589" s="133"/>
      <c r="B589" s="133"/>
      <c r="C589" s="133"/>
      <c r="D589" s="133"/>
      <c r="E589" s="133"/>
      <c r="F589" s="133"/>
      <c r="G589" s="133"/>
      <c r="H589" s="133"/>
      <c r="I589" s="133"/>
    </row>
    <row r="590" spans="1:9">
      <c r="A590" s="133"/>
      <c r="B590" s="133"/>
      <c r="C590" s="133"/>
      <c r="D590" s="133"/>
      <c r="E590" s="133"/>
      <c r="F590" s="133"/>
      <c r="G590" s="133"/>
      <c r="H590" s="133"/>
      <c r="I590" s="133"/>
    </row>
    <row r="591" spans="1:9">
      <c r="A591" s="133"/>
      <c r="B591" s="133"/>
      <c r="C591" s="133"/>
      <c r="D591" s="133"/>
      <c r="E591" s="133"/>
      <c r="F591" s="133"/>
      <c r="G591" s="133"/>
      <c r="H591" s="133"/>
      <c r="I591" s="133"/>
    </row>
    <row r="592" spans="1:9">
      <c r="A592" s="133"/>
      <c r="B592" s="133"/>
      <c r="C592" s="133"/>
      <c r="D592" s="133"/>
      <c r="E592" s="133"/>
      <c r="F592" s="133"/>
      <c r="G592" s="133"/>
      <c r="H592" s="133"/>
      <c r="I592" s="133"/>
    </row>
    <row r="593" spans="1:9">
      <c r="A593" s="133"/>
      <c r="B593" s="133"/>
      <c r="C593" s="133"/>
      <c r="D593" s="133"/>
      <c r="E593" s="133"/>
      <c r="F593" s="133"/>
      <c r="G593" s="133"/>
      <c r="H593" s="133"/>
      <c r="I593" s="133"/>
    </row>
    <row r="594" spans="1:9">
      <c r="A594" s="133"/>
      <c r="B594" s="133"/>
      <c r="C594" s="133"/>
      <c r="D594" s="133"/>
      <c r="E594" s="133"/>
      <c r="F594" s="133"/>
      <c r="G594" s="133"/>
      <c r="H594" s="133"/>
      <c r="I594" s="133"/>
    </row>
    <row r="595" spans="1:9">
      <c r="A595" s="133"/>
      <c r="B595" s="133"/>
      <c r="C595" s="133"/>
      <c r="D595" s="133"/>
      <c r="E595" s="133"/>
      <c r="F595" s="133"/>
      <c r="G595" s="133"/>
      <c r="H595" s="133"/>
      <c r="I595" s="133"/>
    </row>
    <row r="596" spans="1:9">
      <c r="A596" s="133"/>
      <c r="B596" s="133"/>
      <c r="C596" s="133"/>
      <c r="D596" s="133"/>
      <c r="E596" s="133"/>
      <c r="F596" s="133"/>
      <c r="G596" s="133"/>
      <c r="H596" s="133"/>
      <c r="I596" s="133"/>
    </row>
    <row r="597" spans="1:9">
      <c r="A597" s="133"/>
      <c r="B597" s="133"/>
      <c r="C597" s="133"/>
      <c r="D597" s="133"/>
      <c r="E597" s="133"/>
      <c r="F597" s="133"/>
      <c r="G597" s="133"/>
      <c r="H597" s="133"/>
      <c r="I597" s="133"/>
    </row>
    <row r="598" spans="1:9">
      <c r="A598" s="133"/>
      <c r="B598" s="133"/>
      <c r="C598" s="133"/>
      <c r="D598" s="133"/>
      <c r="E598" s="133"/>
      <c r="F598" s="133"/>
      <c r="G598" s="133"/>
      <c r="H598" s="133"/>
      <c r="I598" s="133"/>
    </row>
    <row r="599" spans="1:9">
      <c r="A599" s="133"/>
      <c r="B599" s="133"/>
      <c r="C599" s="133"/>
      <c r="D599" s="133"/>
      <c r="E599" s="133"/>
      <c r="F599" s="133"/>
      <c r="G599" s="133"/>
      <c r="H599" s="133"/>
      <c r="I599" s="133"/>
    </row>
    <row r="600" spans="1:9">
      <c r="A600" s="133"/>
      <c r="B600" s="133"/>
      <c r="C600" s="133"/>
      <c r="D600" s="133"/>
      <c r="E600" s="133"/>
      <c r="F600" s="133"/>
      <c r="G600" s="133"/>
      <c r="H600" s="133"/>
      <c r="I600" s="133"/>
    </row>
    <row r="601" spans="1:9">
      <c r="A601" s="133"/>
      <c r="B601" s="133"/>
      <c r="C601" s="133"/>
      <c r="D601" s="133"/>
      <c r="E601" s="133"/>
      <c r="F601" s="133"/>
      <c r="G601" s="133"/>
      <c r="H601" s="133"/>
      <c r="I601" s="133"/>
    </row>
    <row r="602" spans="1:9">
      <c r="A602" s="133"/>
      <c r="B602" s="133"/>
      <c r="C602" s="133"/>
      <c r="D602" s="133"/>
      <c r="E602" s="133"/>
      <c r="F602" s="133"/>
      <c r="G602" s="133"/>
      <c r="H602" s="133"/>
      <c r="I602" s="133"/>
    </row>
    <row r="603" spans="1:9">
      <c r="A603" s="133"/>
      <c r="B603" s="133"/>
      <c r="C603" s="133"/>
      <c r="D603" s="133"/>
      <c r="E603" s="133"/>
      <c r="F603" s="133"/>
      <c r="G603" s="133"/>
      <c r="H603" s="133"/>
      <c r="I603" s="133"/>
    </row>
    <row r="604" spans="1:9">
      <c r="A604" s="133"/>
      <c r="B604" s="133"/>
      <c r="C604" s="133"/>
      <c r="D604" s="133"/>
      <c r="E604" s="133"/>
      <c r="F604" s="133"/>
      <c r="G604" s="133"/>
      <c r="H604" s="133"/>
      <c r="I604" s="133"/>
    </row>
    <row r="605" spans="1:9">
      <c r="A605" s="133"/>
      <c r="B605" s="133"/>
      <c r="C605" s="133"/>
      <c r="D605" s="133"/>
      <c r="E605" s="133"/>
      <c r="F605" s="133"/>
      <c r="G605" s="133"/>
      <c r="H605" s="133"/>
      <c r="I605" s="133"/>
    </row>
    <row r="606" spans="1:9">
      <c r="A606" s="133"/>
      <c r="B606" s="133"/>
      <c r="C606" s="133"/>
      <c r="D606" s="133"/>
      <c r="E606" s="133"/>
      <c r="F606" s="133"/>
      <c r="G606" s="133"/>
      <c r="H606" s="133"/>
      <c r="I606" s="133"/>
    </row>
    <row r="607" spans="1:9">
      <c r="A607" s="133"/>
      <c r="B607" s="133"/>
      <c r="C607" s="133"/>
      <c r="D607" s="133"/>
      <c r="E607" s="133"/>
      <c r="F607" s="133"/>
      <c r="G607" s="133"/>
      <c r="H607" s="133"/>
      <c r="I607" s="133"/>
    </row>
    <row r="608" spans="1:9">
      <c r="A608" s="133"/>
      <c r="B608" s="133"/>
      <c r="C608" s="133"/>
      <c r="D608" s="133"/>
      <c r="E608" s="133"/>
      <c r="F608" s="133"/>
      <c r="G608" s="133"/>
      <c r="H608" s="133"/>
      <c r="I608" s="133"/>
    </row>
    <row r="609" spans="1:9">
      <c r="A609" s="133"/>
      <c r="B609" s="133"/>
      <c r="C609" s="133"/>
      <c r="D609" s="133"/>
      <c r="E609" s="133"/>
      <c r="F609" s="133"/>
      <c r="G609" s="133"/>
      <c r="H609" s="133"/>
      <c r="I609" s="133"/>
    </row>
    <row r="610" spans="1:9">
      <c r="A610" s="133"/>
      <c r="B610" s="133"/>
      <c r="C610" s="133"/>
      <c r="D610" s="133"/>
      <c r="E610" s="133"/>
      <c r="F610" s="133"/>
      <c r="G610" s="133"/>
      <c r="H610" s="133"/>
      <c r="I610" s="133"/>
    </row>
    <row r="611" spans="1:9">
      <c r="A611" s="133"/>
      <c r="B611" s="133"/>
      <c r="C611" s="133"/>
      <c r="D611" s="133"/>
      <c r="E611" s="133"/>
      <c r="F611" s="133"/>
      <c r="G611" s="133"/>
      <c r="H611" s="133"/>
      <c r="I611" s="133"/>
    </row>
    <row r="612" spans="1:9">
      <c r="A612" s="133"/>
      <c r="B612" s="133"/>
      <c r="C612" s="133"/>
      <c r="D612" s="133"/>
      <c r="E612" s="133"/>
      <c r="F612" s="133"/>
      <c r="G612" s="133"/>
      <c r="H612" s="133"/>
      <c r="I612" s="133"/>
    </row>
    <row r="613" spans="1:9">
      <c r="A613" s="133"/>
      <c r="B613" s="133"/>
      <c r="C613" s="133"/>
      <c r="D613" s="133"/>
      <c r="E613" s="133"/>
      <c r="F613" s="133"/>
      <c r="G613" s="133"/>
      <c r="H613" s="133"/>
      <c r="I613" s="133"/>
    </row>
    <row r="614" spans="1:9">
      <c r="A614" s="133"/>
      <c r="B614" s="133"/>
      <c r="C614" s="133"/>
      <c r="D614" s="133"/>
      <c r="E614" s="133"/>
      <c r="F614" s="133"/>
      <c r="G614" s="133"/>
      <c r="H614" s="133"/>
      <c r="I614" s="133"/>
    </row>
    <row r="615" spans="1:9">
      <c r="A615" s="133"/>
      <c r="B615" s="133"/>
      <c r="C615" s="133"/>
      <c r="D615" s="133"/>
      <c r="E615" s="133"/>
      <c r="F615" s="133"/>
      <c r="G615" s="133"/>
      <c r="H615" s="133"/>
      <c r="I615" s="133"/>
    </row>
    <row r="616" spans="1:9">
      <c r="A616" s="133"/>
      <c r="B616" s="133"/>
      <c r="C616" s="133"/>
      <c r="D616" s="133"/>
      <c r="E616" s="133"/>
      <c r="F616" s="133"/>
      <c r="G616" s="133"/>
      <c r="H616" s="133"/>
      <c r="I616" s="133"/>
    </row>
    <row r="617" spans="1:9">
      <c r="A617" s="133"/>
      <c r="B617" s="133"/>
      <c r="C617" s="133"/>
      <c r="D617" s="133"/>
      <c r="E617" s="133"/>
      <c r="F617" s="133"/>
      <c r="G617" s="133"/>
      <c r="H617" s="133"/>
      <c r="I617" s="133"/>
    </row>
    <row r="618" spans="1:9">
      <c r="A618" s="133"/>
      <c r="B618" s="133"/>
      <c r="C618" s="133"/>
      <c r="D618" s="133"/>
      <c r="E618" s="133"/>
      <c r="F618" s="133"/>
      <c r="G618" s="133"/>
      <c r="H618" s="133"/>
      <c r="I618" s="133"/>
    </row>
    <row r="619" spans="1:9">
      <c r="A619" s="133"/>
      <c r="B619" s="133"/>
      <c r="C619" s="133"/>
      <c r="D619" s="133"/>
      <c r="E619" s="133"/>
      <c r="F619" s="133"/>
      <c r="G619" s="133"/>
      <c r="H619" s="133"/>
      <c r="I619" s="133"/>
    </row>
    <row r="620" spans="1:9">
      <c r="A620" s="133"/>
      <c r="B620" s="133"/>
      <c r="C620" s="133"/>
      <c r="D620" s="133"/>
      <c r="E620" s="133"/>
      <c r="F620" s="133"/>
      <c r="G620" s="133"/>
      <c r="H620" s="133"/>
      <c r="I620" s="133"/>
    </row>
    <row r="621" spans="1:9">
      <c r="A621" s="133"/>
      <c r="B621" s="133"/>
      <c r="C621" s="133"/>
      <c r="D621" s="133"/>
      <c r="E621" s="133"/>
      <c r="F621" s="133"/>
      <c r="G621" s="133"/>
      <c r="H621" s="133"/>
      <c r="I621" s="133"/>
    </row>
    <row r="622" spans="1:9">
      <c r="A622" s="133"/>
      <c r="B622" s="133"/>
      <c r="C622" s="133"/>
      <c r="D622" s="133"/>
      <c r="E622" s="133"/>
      <c r="F622" s="133"/>
      <c r="G622" s="133"/>
      <c r="H622" s="133"/>
      <c r="I622" s="133"/>
    </row>
    <row r="623" spans="1:9">
      <c r="A623" s="133"/>
      <c r="B623" s="133"/>
      <c r="C623" s="133"/>
      <c r="D623" s="133"/>
      <c r="E623" s="133"/>
      <c r="F623" s="133"/>
      <c r="G623" s="133"/>
      <c r="H623" s="133"/>
      <c r="I623" s="133"/>
    </row>
    <row r="624" spans="1:9">
      <c r="A624" s="133"/>
      <c r="B624" s="133"/>
      <c r="C624" s="133"/>
      <c r="D624" s="133"/>
      <c r="E624" s="133"/>
      <c r="F624" s="133"/>
      <c r="G624" s="133"/>
      <c r="H624" s="133"/>
      <c r="I624" s="133"/>
    </row>
    <row r="625" spans="1:9">
      <c r="A625" s="133"/>
      <c r="B625" s="133"/>
      <c r="C625" s="133"/>
      <c r="D625" s="133"/>
      <c r="E625" s="133"/>
      <c r="F625" s="133"/>
      <c r="G625" s="133"/>
      <c r="H625" s="133"/>
      <c r="I625" s="133"/>
    </row>
    <row r="626" spans="1:9">
      <c r="A626" s="133"/>
      <c r="B626" s="133"/>
      <c r="C626" s="133"/>
      <c r="D626" s="133"/>
      <c r="E626" s="133"/>
      <c r="F626" s="133"/>
      <c r="G626" s="133"/>
      <c r="H626" s="133"/>
      <c r="I626" s="133"/>
    </row>
    <row r="627" spans="1:9">
      <c r="A627" s="133"/>
      <c r="B627" s="133"/>
      <c r="C627" s="133"/>
      <c r="D627" s="133"/>
      <c r="E627" s="133"/>
      <c r="F627" s="133"/>
      <c r="G627" s="133"/>
      <c r="H627" s="133"/>
      <c r="I627" s="133"/>
    </row>
    <row r="628" spans="1:9">
      <c r="A628" s="133"/>
      <c r="B628" s="133"/>
      <c r="C628" s="133"/>
      <c r="D628" s="133"/>
      <c r="E628" s="133"/>
      <c r="F628" s="133"/>
      <c r="G628" s="133"/>
      <c r="H628" s="133"/>
      <c r="I628" s="133"/>
    </row>
    <row r="629" spans="1:9">
      <c r="A629" s="133"/>
      <c r="B629" s="133"/>
      <c r="C629" s="133"/>
      <c r="D629" s="133"/>
      <c r="E629" s="133"/>
      <c r="F629" s="133"/>
      <c r="G629" s="133"/>
      <c r="H629" s="133"/>
      <c r="I629" s="133"/>
    </row>
    <row r="630" spans="1:9">
      <c r="A630" s="133"/>
      <c r="B630" s="133"/>
      <c r="C630" s="133"/>
      <c r="D630" s="133"/>
      <c r="E630" s="133"/>
      <c r="F630" s="133"/>
      <c r="G630" s="133"/>
      <c r="H630" s="133"/>
      <c r="I630" s="133"/>
    </row>
    <row r="631" spans="1:9">
      <c r="A631" s="133"/>
      <c r="B631" s="133"/>
      <c r="C631" s="133"/>
      <c r="D631" s="133"/>
      <c r="E631" s="133"/>
      <c r="F631" s="133"/>
      <c r="G631" s="133"/>
      <c r="H631" s="133"/>
      <c r="I631" s="133"/>
    </row>
    <row r="632" spans="1:9">
      <c r="A632" s="133"/>
      <c r="B632" s="133"/>
      <c r="C632" s="133"/>
      <c r="D632" s="133"/>
      <c r="E632" s="133"/>
      <c r="F632" s="133"/>
      <c r="G632" s="133"/>
      <c r="H632" s="133"/>
      <c r="I632" s="133"/>
    </row>
    <row r="633" spans="1:9">
      <c r="A633" s="133"/>
      <c r="B633" s="133"/>
      <c r="C633" s="133"/>
      <c r="D633" s="133"/>
      <c r="E633" s="133"/>
      <c r="F633" s="133"/>
      <c r="G633" s="133"/>
      <c r="H633" s="133"/>
      <c r="I633" s="133"/>
    </row>
    <row r="634" spans="1:9">
      <c r="A634" s="133"/>
      <c r="B634" s="133"/>
      <c r="C634" s="133"/>
      <c r="D634" s="133"/>
      <c r="E634" s="133"/>
      <c r="F634" s="133"/>
      <c r="G634" s="133"/>
      <c r="H634" s="133"/>
      <c r="I634" s="133"/>
    </row>
    <row r="635" spans="1:9">
      <c r="A635" s="133"/>
      <c r="B635" s="133"/>
      <c r="C635" s="133"/>
      <c r="D635" s="133"/>
      <c r="E635" s="133"/>
      <c r="F635" s="133"/>
      <c r="G635" s="133"/>
      <c r="H635" s="133"/>
      <c r="I635" s="133"/>
    </row>
    <row r="636" spans="1:9">
      <c r="A636" s="133"/>
      <c r="B636" s="133"/>
      <c r="C636" s="133"/>
      <c r="D636" s="133"/>
      <c r="E636" s="133"/>
      <c r="F636" s="133"/>
      <c r="G636" s="133"/>
      <c r="H636" s="133"/>
      <c r="I636" s="133"/>
    </row>
    <row r="637" spans="1:9">
      <c r="A637" s="133"/>
      <c r="B637" s="133"/>
      <c r="C637" s="133"/>
      <c r="D637" s="133"/>
      <c r="E637" s="133"/>
      <c r="F637" s="133"/>
      <c r="G637" s="133"/>
      <c r="H637" s="133"/>
      <c r="I637" s="133"/>
    </row>
    <row r="638" spans="1:9">
      <c r="A638" s="133"/>
      <c r="B638" s="133"/>
      <c r="C638" s="133"/>
      <c r="D638" s="133"/>
      <c r="E638" s="133"/>
      <c r="F638" s="133"/>
      <c r="G638" s="133"/>
      <c r="H638" s="133"/>
      <c r="I638" s="133"/>
    </row>
    <row r="639" spans="1:9">
      <c r="A639" s="133"/>
      <c r="B639" s="133"/>
      <c r="C639" s="133"/>
      <c r="D639" s="133"/>
      <c r="E639" s="133"/>
      <c r="F639" s="133"/>
      <c r="G639" s="133"/>
      <c r="H639" s="133"/>
      <c r="I639" s="133"/>
    </row>
    <row r="640" spans="1:9">
      <c r="A640" s="133"/>
      <c r="B640" s="133"/>
      <c r="C640" s="133"/>
      <c r="D640" s="133"/>
      <c r="E640" s="133"/>
      <c r="F640" s="133"/>
      <c r="G640" s="133"/>
      <c r="H640" s="133"/>
      <c r="I640" s="133"/>
    </row>
    <row r="641" spans="1:9">
      <c r="A641" s="133"/>
      <c r="B641" s="133"/>
      <c r="C641" s="133"/>
      <c r="D641" s="133"/>
      <c r="E641" s="133"/>
      <c r="F641" s="133"/>
      <c r="G641" s="133"/>
      <c r="H641" s="133"/>
      <c r="I641" s="133"/>
    </row>
    <row r="642" spans="1:9">
      <c r="A642" s="133"/>
      <c r="B642" s="133"/>
      <c r="C642" s="133"/>
      <c r="D642" s="133"/>
      <c r="E642" s="133"/>
      <c r="F642" s="133"/>
      <c r="G642" s="133"/>
      <c r="H642" s="133"/>
      <c r="I642" s="133"/>
    </row>
    <row r="643" spans="1:9">
      <c r="A643" s="133"/>
      <c r="B643" s="133"/>
      <c r="C643" s="133"/>
      <c r="D643" s="133"/>
      <c r="E643" s="133"/>
      <c r="F643" s="133"/>
      <c r="G643" s="133"/>
      <c r="H643" s="133"/>
      <c r="I643" s="133"/>
    </row>
    <row r="644" spans="1:9">
      <c r="A644" s="133"/>
      <c r="B644" s="133"/>
      <c r="C644" s="133"/>
      <c r="D644" s="133"/>
      <c r="E644" s="133"/>
      <c r="F644" s="133"/>
      <c r="G644" s="133"/>
      <c r="H644" s="133"/>
      <c r="I644" s="133"/>
    </row>
    <row r="645" spans="1:9">
      <c r="A645" s="133"/>
      <c r="B645" s="133"/>
      <c r="C645" s="133"/>
      <c r="D645" s="133"/>
      <c r="E645" s="133"/>
      <c r="F645" s="133"/>
      <c r="G645" s="133"/>
      <c r="H645" s="133"/>
      <c r="I645" s="133"/>
    </row>
    <row r="646" spans="1:9">
      <c r="A646" s="133"/>
      <c r="B646" s="133"/>
      <c r="C646" s="133"/>
      <c r="D646" s="133"/>
      <c r="E646" s="133"/>
      <c r="F646" s="133"/>
      <c r="G646" s="133"/>
      <c r="H646" s="133"/>
      <c r="I646" s="133"/>
    </row>
    <row r="647" spans="1:9">
      <c r="A647" s="133"/>
      <c r="B647" s="133"/>
      <c r="C647" s="133"/>
      <c r="D647" s="133"/>
      <c r="E647" s="133"/>
      <c r="F647" s="133"/>
      <c r="G647" s="133"/>
      <c r="H647" s="133"/>
      <c r="I647" s="133"/>
    </row>
    <row r="648" spans="1:9">
      <c r="A648" s="133"/>
      <c r="B648" s="133"/>
      <c r="C648" s="133"/>
      <c r="D648" s="133"/>
      <c r="E648" s="133"/>
      <c r="F648" s="133"/>
      <c r="G648" s="133"/>
      <c r="H648" s="133"/>
      <c r="I648" s="133"/>
    </row>
    <row r="649" spans="1:9">
      <c r="A649" s="133"/>
      <c r="B649" s="133"/>
      <c r="C649" s="133"/>
      <c r="D649" s="133"/>
      <c r="E649" s="133"/>
      <c r="F649" s="133"/>
      <c r="G649" s="133"/>
      <c r="H649" s="133"/>
      <c r="I649" s="133"/>
    </row>
    <row r="650" spans="1:9">
      <c r="A650" s="133"/>
      <c r="B650" s="133"/>
      <c r="C650" s="133"/>
      <c r="D650" s="133"/>
      <c r="E650" s="133"/>
      <c r="F650" s="133"/>
      <c r="G650" s="133"/>
      <c r="H650" s="133"/>
      <c r="I650" s="133"/>
    </row>
    <row r="651" spans="1:9">
      <c r="A651" s="133"/>
      <c r="B651" s="133"/>
      <c r="C651" s="133"/>
      <c r="D651" s="133"/>
      <c r="E651" s="133"/>
      <c r="F651" s="133"/>
      <c r="G651" s="133"/>
      <c r="H651" s="133"/>
      <c r="I651" s="133"/>
    </row>
    <row r="652" spans="1:9">
      <c r="A652" s="133"/>
      <c r="B652" s="133"/>
      <c r="C652" s="133"/>
      <c r="D652" s="133"/>
      <c r="E652" s="133"/>
      <c r="F652" s="133"/>
      <c r="G652" s="133"/>
      <c r="H652" s="133"/>
      <c r="I652" s="133"/>
    </row>
    <row r="653" spans="1:9">
      <c r="A653" s="133"/>
      <c r="B653" s="133"/>
      <c r="C653" s="133"/>
      <c r="D653" s="133"/>
      <c r="E653" s="133"/>
      <c r="F653" s="133"/>
      <c r="G653" s="133"/>
      <c r="H653" s="133"/>
      <c r="I653" s="133"/>
    </row>
    <row r="654" spans="1:9">
      <c r="A654" s="133"/>
      <c r="B654" s="133"/>
      <c r="C654" s="133"/>
      <c r="D654" s="133"/>
      <c r="E654" s="133"/>
      <c r="F654" s="133"/>
      <c r="G654" s="133"/>
      <c r="H654" s="133"/>
      <c r="I654" s="133"/>
    </row>
    <row r="655" spans="1:9">
      <c r="A655" s="133"/>
      <c r="B655" s="133"/>
      <c r="C655" s="133"/>
      <c r="D655" s="133"/>
      <c r="E655" s="133"/>
      <c r="F655" s="133"/>
      <c r="G655" s="133"/>
      <c r="H655" s="133"/>
      <c r="I655" s="133"/>
    </row>
    <row r="656" spans="1:9">
      <c r="A656" s="133"/>
      <c r="B656" s="133"/>
      <c r="C656" s="133"/>
      <c r="D656" s="133"/>
      <c r="E656" s="133"/>
      <c r="F656" s="133"/>
      <c r="G656" s="133"/>
      <c r="H656" s="133"/>
      <c r="I656" s="133"/>
    </row>
    <row r="657" spans="1:9">
      <c r="A657" s="133"/>
      <c r="B657" s="133"/>
      <c r="C657" s="133"/>
      <c r="D657" s="133"/>
      <c r="E657" s="133"/>
      <c r="F657" s="133"/>
      <c r="G657" s="133"/>
      <c r="H657" s="133"/>
      <c r="I657" s="133"/>
    </row>
    <row r="658" spans="1:9">
      <c r="A658" s="133"/>
      <c r="B658" s="133"/>
      <c r="C658" s="133"/>
      <c r="D658" s="133"/>
      <c r="E658" s="133"/>
      <c r="F658" s="133"/>
      <c r="G658" s="133"/>
      <c r="H658" s="133"/>
      <c r="I658" s="133"/>
    </row>
    <row r="659" spans="1:9">
      <c r="A659" s="133"/>
      <c r="B659" s="133"/>
      <c r="C659" s="133"/>
      <c r="D659" s="133"/>
      <c r="E659" s="133"/>
      <c r="F659" s="133"/>
      <c r="G659" s="133"/>
      <c r="H659" s="133"/>
      <c r="I659" s="133"/>
    </row>
    <row r="660" spans="1:9">
      <c r="A660" s="133"/>
      <c r="B660" s="133"/>
      <c r="C660" s="133"/>
      <c r="D660" s="133"/>
      <c r="E660" s="133"/>
      <c r="F660" s="133"/>
      <c r="G660" s="133"/>
      <c r="H660" s="133"/>
      <c r="I660" s="133"/>
    </row>
    <row r="661" spans="1:9">
      <c r="A661" s="133"/>
      <c r="B661" s="133"/>
      <c r="C661" s="133"/>
      <c r="D661" s="133"/>
      <c r="E661" s="133"/>
      <c r="F661" s="133"/>
      <c r="G661" s="133"/>
      <c r="H661" s="133"/>
      <c r="I661" s="133"/>
    </row>
    <row r="662" spans="1:9">
      <c r="A662" s="133"/>
      <c r="B662" s="133"/>
      <c r="C662" s="133"/>
      <c r="D662" s="133"/>
      <c r="E662" s="133"/>
      <c r="F662" s="133"/>
      <c r="G662" s="133"/>
      <c r="H662" s="133"/>
      <c r="I662" s="133"/>
    </row>
    <row r="663" spans="1:9">
      <c r="A663" s="133"/>
      <c r="B663" s="133"/>
      <c r="C663" s="133"/>
      <c r="D663" s="133"/>
      <c r="E663" s="133"/>
      <c r="F663" s="133"/>
      <c r="G663" s="133"/>
      <c r="H663" s="133"/>
      <c r="I663" s="133"/>
    </row>
    <row r="664" spans="1:9">
      <c r="A664" s="133"/>
      <c r="B664" s="133"/>
      <c r="C664" s="133"/>
      <c r="D664" s="133"/>
      <c r="E664" s="133"/>
      <c r="F664" s="133"/>
      <c r="G664" s="133"/>
      <c r="H664" s="133"/>
      <c r="I664" s="133"/>
    </row>
    <row r="665" spans="1:9">
      <c r="A665" s="133"/>
      <c r="B665" s="133"/>
      <c r="C665" s="133"/>
      <c r="D665" s="133"/>
      <c r="E665" s="133"/>
      <c r="F665" s="133"/>
      <c r="G665" s="133"/>
      <c r="H665" s="133"/>
      <c r="I665" s="133"/>
    </row>
    <row r="666" spans="1:9">
      <c r="A666" s="133"/>
      <c r="B666" s="133"/>
      <c r="C666" s="133"/>
      <c r="D666" s="133"/>
      <c r="E666" s="133"/>
      <c r="F666" s="133"/>
      <c r="G666" s="133"/>
      <c r="H666" s="133"/>
      <c r="I666" s="133"/>
    </row>
    <row r="667" spans="1:9">
      <c r="A667" s="133"/>
      <c r="B667" s="133"/>
      <c r="C667" s="133"/>
      <c r="D667" s="133"/>
      <c r="E667" s="133"/>
      <c r="F667" s="133"/>
      <c r="G667" s="133"/>
      <c r="H667" s="133"/>
      <c r="I667" s="133"/>
    </row>
    <row r="668" spans="1:9">
      <c r="A668" s="133"/>
      <c r="B668" s="133"/>
      <c r="C668" s="133"/>
      <c r="D668" s="133"/>
      <c r="E668" s="133"/>
      <c r="F668" s="133"/>
      <c r="G668" s="133"/>
      <c r="H668" s="133"/>
      <c r="I668" s="133"/>
    </row>
    <row r="669" spans="1:9">
      <c r="A669" s="133"/>
      <c r="B669" s="133"/>
      <c r="C669" s="133"/>
      <c r="D669" s="133"/>
      <c r="E669" s="133"/>
      <c r="F669" s="133"/>
      <c r="G669" s="133"/>
      <c r="H669" s="133"/>
      <c r="I669" s="133"/>
    </row>
    <row r="670" spans="1:9">
      <c r="A670" s="133"/>
      <c r="B670" s="133"/>
      <c r="C670" s="133"/>
      <c r="D670" s="133"/>
      <c r="E670" s="133"/>
      <c r="F670" s="133"/>
      <c r="G670" s="133"/>
      <c r="H670" s="133"/>
      <c r="I670" s="133"/>
    </row>
    <row r="671" spans="1:9">
      <c r="A671" s="133"/>
      <c r="B671" s="133"/>
      <c r="C671" s="133"/>
      <c r="D671" s="133"/>
      <c r="E671" s="133"/>
      <c r="F671" s="133"/>
      <c r="G671" s="133"/>
      <c r="H671" s="133"/>
      <c r="I671" s="133"/>
    </row>
    <row r="672" spans="1:9">
      <c r="A672" s="133"/>
      <c r="B672" s="133"/>
      <c r="C672" s="133"/>
      <c r="D672" s="133"/>
      <c r="E672" s="133"/>
      <c r="F672" s="133"/>
      <c r="G672" s="133"/>
      <c r="H672" s="133"/>
      <c r="I672" s="133"/>
    </row>
    <row r="673" spans="1:9">
      <c r="A673" s="133"/>
      <c r="B673" s="133"/>
      <c r="C673" s="133"/>
      <c r="D673" s="133"/>
      <c r="E673" s="133"/>
      <c r="F673" s="133"/>
      <c r="G673" s="133"/>
      <c r="H673" s="133"/>
      <c r="I673" s="133"/>
    </row>
    <row r="674" spans="1:9">
      <c r="A674" s="133"/>
      <c r="B674" s="133"/>
      <c r="C674" s="133"/>
      <c r="D674" s="133"/>
      <c r="E674" s="133"/>
      <c r="F674" s="133"/>
      <c r="G674" s="133"/>
      <c r="H674" s="133"/>
      <c r="I674" s="133"/>
    </row>
    <row r="675" spans="1:9">
      <c r="A675" s="133"/>
      <c r="B675" s="133"/>
      <c r="C675" s="133"/>
      <c r="D675" s="133"/>
      <c r="E675" s="133"/>
      <c r="F675" s="133"/>
      <c r="G675" s="133"/>
      <c r="H675" s="133"/>
      <c r="I675" s="133"/>
    </row>
    <row r="676" spans="1:9">
      <c r="A676" s="133"/>
      <c r="B676" s="133"/>
      <c r="C676" s="133"/>
      <c r="D676" s="133"/>
      <c r="E676" s="133"/>
      <c r="F676" s="133"/>
      <c r="G676" s="133"/>
      <c r="H676" s="133"/>
      <c r="I676" s="133"/>
    </row>
    <row r="677" spans="1:9">
      <c r="A677" s="133"/>
      <c r="B677" s="133"/>
      <c r="C677" s="133"/>
      <c r="D677" s="133"/>
      <c r="E677" s="133"/>
      <c r="F677" s="133"/>
      <c r="G677" s="133"/>
      <c r="H677" s="133"/>
      <c r="I677" s="133"/>
    </row>
    <row r="678" spans="1:9">
      <c r="A678" s="133"/>
      <c r="B678" s="133"/>
      <c r="C678" s="133"/>
      <c r="D678" s="133"/>
      <c r="E678" s="133"/>
      <c r="F678" s="133"/>
      <c r="G678" s="133"/>
      <c r="H678" s="133"/>
      <c r="I678" s="133"/>
    </row>
    <row r="679" spans="1:9">
      <c r="A679" s="133"/>
      <c r="B679" s="133"/>
      <c r="C679" s="133"/>
      <c r="D679" s="133"/>
      <c r="E679" s="133"/>
      <c r="F679" s="133"/>
      <c r="G679" s="133"/>
      <c r="H679" s="133"/>
      <c r="I679" s="133"/>
    </row>
    <row r="680" spans="1:9">
      <c r="A680" s="133"/>
      <c r="B680" s="133"/>
      <c r="C680" s="133"/>
      <c r="D680" s="133"/>
      <c r="E680" s="133"/>
      <c r="F680" s="133"/>
      <c r="G680" s="133"/>
      <c r="H680" s="133"/>
      <c r="I680" s="133"/>
    </row>
    <row r="681" spans="1:9">
      <c r="A681" s="133"/>
      <c r="B681" s="133"/>
      <c r="C681" s="133"/>
      <c r="D681" s="133"/>
      <c r="E681" s="133"/>
      <c r="F681" s="133"/>
      <c r="G681" s="133"/>
      <c r="H681" s="133"/>
      <c r="I681" s="133"/>
    </row>
    <row r="682" spans="1:9">
      <c r="A682" s="133"/>
      <c r="B682" s="133"/>
      <c r="C682" s="133"/>
      <c r="D682" s="133"/>
      <c r="E682" s="133"/>
      <c r="F682" s="133"/>
      <c r="G682" s="133"/>
      <c r="H682" s="133"/>
      <c r="I682" s="133"/>
    </row>
    <row r="683" spans="1:9">
      <c r="A683" s="133"/>
      <c r="B683" s="133"/>
      <c r="C683" s="133"/>
      <c r="D683" s="133"/>
      <c r="E683" s="133"/>
      <c r="F683" s="133"/>
      <c r="G683" s="133"/>
      <c r="H683" s="133"/>
      <c r="I683" s="133"/>
    </row>
    <row r="684" spans="1:9">
      <c r="A684" s="133"/>
      <c r="B684" s="133"/>
      <c r="C684" s="133"/>
      <c r="D684" s="133"/>
      <c r="E684" s="133"/>
      <c r="F684" s="133"/>
      <c r="G684" s="133"/>
      <c r="H684" s="133"/>
      <c r="I684" s="133"/>
    </row>
    <row r="685" spans="1:9">
      <c r="A685" s="133"/>
      <c r="B685" s="133"/>
      <c r="C685" s="133"/>
      <c r="D685" s="133"/>
      <c r="E685" s="133"/>
      <c r="F685" s="133"/>
      <c r="G685" s="133"/>
      <c r="H685" s="133"/>
      <c r="I685" s="133"/>
    </row>
    <row r="686" spans="1:9">
      <c r="A686" s="133"/>
      <c r="B686" s="133"/>
      <c r="C686" s="133"/>
      <c r="D686" s="133"/>
      <c r="E686" s="133"/>
      <c r="F686" s="133"/>
      <c r="G686" s="133"/>
      <c r="H686" s="133"/>
      <c r="I686" s="133"/>
    </row>
    <row r="687" spans="1:9">
      <c r="A687" s="133"/>
      <c r="B687" s="133"/>
      <c r="C687" s="133"/>
      <c r="D687" s="133"/>
      <c r="E687" s="133"/>
      <c r="F687" s="133"/>
      <c r="G687" s="133"/>
      <c r="H687" s="133"/>
      <c r="I687" s="133"/>
    </row>
    <row r="688" spans="1:9">
      <c r="A688" s="133"/>
      <c r="B688" s="133"/>
      <c r="C688" s="133"/>
      <c r="D688" s="133"/>
      <c r="E688" s="133"/>
      <c r="F688" s="133"/>
      <c r="G688" s="133"/>
      <c r="H688" s="133"/>
      <c r="I688" s="133"/>
    </row>
    <row r="689" spans="1:9">
      <c r="A689" s="133"/>
      <c r="B689" s="133"/>
      <c r="C689" s="133"/>
      <c r="D689" s="133"/>
      <c r="E689" s="133"/>
      <c r="F689" s="133"/>
      <c r="G689" s="133"/>
      <c r="H689" s="133"/>
      <c r="I689" s="133"/>
    </row>
    <row r="690" spans="1:9">
      <c r="A690" s="133"/>
      <c r="B690" s="133"/>
      <c r="C690" s="133"/>
      <c r="D690" s="133"/>
      <c r="E690" s="133"/>
      <c r="F690" s="133"/>
      <c r="G690" s="133"/>
      <c r="H690" s="133"/>
      <c r="I690" s="133"/>
    </row>
    <row r="691" spans="1:9">
      <c r="A691" s="133"/>
      <c r="B691" s="133"/>
      <c r="C691" s="133"/>
      <c r="D691" s="133"/>
      <c r="E691" s="133"/>
      <c r="F691" s="133"/>
      <c r="G691" s="133"/>
      <c r="H691" s="133"/>
      <c r="I691" s="133"/>
    </row>
    <row r="692" spans="1:9">
      <c r="A692" s="133"/>
      <c r="B692" s="133"/>
      <c r="C692" s="133"/>
      <c r="D692" s="133"/>
      <c r="E692" s="133"/>
      <c r="F692" s="133"/>
      <c r="G692" s="133"/>
      <c r="H692" s="133"/>
      <c r="I692" s="133"/>
    </row>
    <row r="693" spans="1:9">
      <c r="A693" s="133"/>
      <c r="B693" s="133"/>
      <c r="C693" s="133"/>
      <c r="D693" s="133"/>
      <c r="E693" s="133"/>
      <c r="F693" s="133"/>
      <c r="G693" s="133"/>
      <c r="H693" s="133"/>
      <c r="I693" s="133"/>
    </row>
    <row r="694" spans="1:9">
      <c r="A694" s="133"/>
      <c r="B694" s="133"/>
      <c r="C694" s="133"/>
      <c r="D694" s="133"/>
      <c r="E694" s="133"/>
      <c r="F694" s="133"/>
      <c r="G694" s="133"/>
      <c r="H694" s="133"/>
      <c r="I694" s="133"/>
    </row>
    <row r="695" spans="1:9">
      <c r="A695" s="133"/>
      <c r="B695" s="133"/>
      <c r="C695" s="133"/>
      <c r="D695" s="133"/>
      <c r="E695" s="133"/>
      <c r="F695" s="133"/>
      <c r="G695" s="133"/>
      <c r="H695" s="133"/>
      <c r="I695" s="133"/>
    </row>
    <row r="696" spans="1:9">
      <c r="A696" s="133"/>
      <c r="B696" s="133"/>
      <c r="C696" s="133"/>
      <c r="D696" s="133"/>
      <c r="E696" s="133"/>
      <c r="F696" s="133"/>
      <c r="G696" s="133"/>
      <c r="H696" s="133"/>
      <c r="I696" s="133"/>
    </row>
    <row r="697" spans="1:9">
      <c r="A697" s="133"/>
      <c r="B697" s="133"/>
      <c r="C697" s="133"/>
      <c r="D697" s="133"/>
      <c r="E697" s="133"/>
      <c r="F697" s="133"/>
      <c r="G697" s="133"/>
      <c r="H697" s="133"/>
      <c r="I697" s="133"/>
    </row>
    <row r="698" spans="1:9">
      <c r="A698" s="133"/>
      <c r="B698" s="133"/>
      <c r="C698" s="133"/>
      <c r="D698" s="133"/>
      <c r="E698" s="133"/>
      <c r="F698" s="133"/>
      <c r="G698" s="133"/>
      <c r="H698" s="133"/>
      <c r="I698" s="133"/>
    </row>
    <row r="699" spans="1:9">
      <c r="A699" s="133"/>
      <c r="B699" s="133"/>
      <c r="C699" s="133"/>
      <c r="D699" s="133"/>
      <c r="E699" s="133"/>
      <c r="F699" s="133"/>
      <c r="G699" s="133"/>
      <c r="H699" s="133"/>
      <c r="I699" s="133"/>
    </row>
    <row r="700" spans="1:9">
      <c r="A700" s="133"/>
      <c r="B700" s="133"/>
      <c r="C700" s="133"/>
      <c r="D700" s="133"/>
      <c r="E700" s="133"/>
      <c r="F700" s="133"/>
      <c r="G700" s="133"/>
      <c r="H700" s="133"/>
      <c r="I700" s="133"/>
    </row>
    <row r="701" spans="1:9">
      <c r="A701" s="133"/>
      <c r="B701" s="133"/>
      <c r="C701" s="133"/>
      <c r="D701" s="133"/>
      <c r="E701" s="133"/>
      <c r="F701" s="133"/>
      <c r="G701" s="133"/>
      <c r="H701" s="133"/>
      <c r="I701" s="133"/>
    </row>
    <row r="702" spans="1:9">
      <c r="A702" s="133"/>
      <c r="B702" s="133"/>
      <c r="C702" s="133"/>
      <c r="D702" s="133"/>
      <c r="E702" s="133"/>
      <c r="F702" s="133"/>
      <c r="G702" s="133"/>
      <c r="H702" s="133"/>
      <c r="I702" s="133"/>
    </row>
    <row r="703" spans="1:9">
      <c r="A703" s="133"/>
      <c r="B703" s="133"/>
      <c r="C703" s="133"/>
      <c r="D703" s="133"/>
      <c r="E703" s="133"/>
      <c r="F703" s="133"/>
      <c r="G703" s="133"/>
      <c r="H703" s="133"/>
      <c r="I703" s="133"/>
    </row>
    <row r="704" spans="1:9">
      <c r="A704" s="133"/>
      <c r="B704" s="133"/>
      <c r="C704" s="133"/>
      <c r="D704" s="133"/>
      <c r="E704" s="133"/>
      <c r="F704" s="133"/>
      <c r="G704" s="133"/>
      <c r="H704" s="133"/>
      <c r="I704" s="133"/>
    </row>
    <row r="705" spans="1:9">
      <c r="A705" s="133"/>
      <c r="B705" s="133"/>
      <c r="C705" s="133"/>
      <c r="D705" s="133"/>
      <c r="E705" s="133"/>
      <c r="F705" s="133"/>
      <c r="G705" s="133"/>
      <c r="H705" s="133"/>
      <c r="I705" s="133"/>
    </row>
    <row r="706" spans="1:9">
      <c r="A706" s="133"/>
      <c r="B706" s="133"/>
      <c r="C706" s="133"/>
      <c r="D706" s="133"/>
      <c r="E706" s="133"/>
      <c r="F706" s="133"/>
      <c r="G706" s="133"/>
      <c r="H706" s="133"/>
      <c r="I706" s="133"/>
    </row>
    <row r="707" spans="1:9">
      <c r="A707" s="133"/>
      <c r="B707" s="133"/>
      <c r="C707" s="133"/>
      <c r="D707" s="133"/>
      <c r="E707" s="133"/>
      <c r="F707" s="133"/>
      <c r="G707" s="133"/>
      <c r="H707" s="133"/>
      <c r="I707" s="133"/>
    </row>
    <row r="708" spans="1:9">
      <c r="A708" s="133"/>
      <c r="B708" s="133"/>
      <c r="C708" s="133"/>
      <c r="D708" s="133"/>
      <c r="E708" s="133"/>
      <c r="F708" s="133"/>
      <c r="G708" s="133"/>
      <c r="H708" s="133"/>
      <c r="I708" s="133"/>
    </row>
    <row r="709" spans="1:9">
      <c r="A709" s="133"/>
      <c r="B709" s="133"/>
      <c r="C709" s="133"/>
      <c r="D709" s="133"/>
      <c r="E709" s="133"/>
      <c r="F709" s="133"/>
      <c r="G709" s="133"/>
      <c r="H709" s="133"/>
      <c r="I709" s="133"/>
    </row>
    <row r="710" spans="1:9">
      <c r="A710" s="133"/>
      <c r="B710" s="133"/>
      <c r="C710" s="133"/>
      <c r="D710" s="133"/>
      <c r="E710" s="133"/>
      <c r="F710" s="133"/>
      <c r="G710" s="133"/>
      <c r="H710" s="133"/>
      <c r="I710" s="133"/>
    </row>
    <row r="711" spans="1:9">
      <c r="A711" s="133"/>
      <c r="B711" s="133"/>
      <c r="C711" s="133"/>
      <c r="D711" s="133"/>
      <c r="E711" s="133"/>
      <c r="F711" s="133"/>
      <c r="G711" s="133"/>
      <c r="H711" s="133"/>
      <c r="I711" s="133"/>
    </row>
    <row r="712" spans="1:9">
      <c r="A712" s="133"/>
      <c r="B712" s="133"/>
      <c r="C712" s="133"/>
      <c r="D712" s="133"/>
      <c r="E712" s="133"/>
      <c r="F712" s="133"/>
      <c r="G712" s="133"/>
      <c r="H712" s="133"/>
      <c r="I712" s="133"/>
    </row>
    <row r="713" spans="1:9">
      <c r="A713" s="133"/>
      <c r="B713" s="133"/>
      <c r="C713" s="133"/>
      <c r="D713" s="133"/>
      <c r="E713" s="133"/>
      <c r="F713" s="133"/>
      <c r="G713" s="133"/>
      <c r="H713" s="133"/>
      <c r="I713" s="133"/>
    </row>
    <row r="714" spans="1:9">
      <c r="A714" s="133"/>
      <c r="B714" s="133"/>
      <c r="C714" s="133"/>
      <c r="D714" s="133"/>
      <c r="E714" s="133"/>
      <c r="F714" s="133"/>
      <c r="G714" s="133"/>
      <c r="H714" s="133"/>
      <c r="I714" s="133"/>
    </row>
    <row r="715" spans="1:9">
      <c r="A715" s="133"/>
      <c r="B715" s="133"/>
      <c r="C715" s="133"/>
      <c r="D715" s="133"/>
      <c r="E715" s="133"/>
      <c r="F715" s="133"/>
      <c r="G715" s="133"/>
      <c r="H715" s="133"/>
      <c r="I715" s="133"/>
    </row>
    <row r="716" spans="1:9">
      <c r="A716" s="133"/>
      <c r="B716" s="133"/>
      <c r="C716" s="133"/>
      <c r="D716" s="133"/>
      <c r="E716" s="133"/>
      <c r="F716" s="133"/>
      <c r="G716" s="133"/>
      <c r="H716" s="133"/>
      <c r="I716" s="133"/>
    </row>
    <row r="717" spans="1:9">
      <c r="A717" s="133"/>
      <c r="B717" s="133"/>
      <c r="C717" s="133"/>
      <c r="D717" s="133"/>
      <c r="E717" s="133"/>
      <c r="F717" s="133"/>
      <c r="G717" s="133"/>
      <c r="H717" s="133"/>
      <c r="I717" s="133"/>
    </row>
    <row r="718" spans="1:9">
      <c r="A718" s="133"/>
      <c r="B718" s="133"/>
      <c r="C718" s="133"/>
      <c r="D718" s="133"/>
      <c r="E718" s="133"/>
      <c r="F718" s="133"/>
      <c r="G718" s="133"/>
      <c r="H718" s="133"/>
      <c r="I718" s="133"/>
    </row>
    <row r="719" spans="1:9">
      <c r="A719" s="133"/>
      <c r="B719" s="133"/>
      <c r="C719" s="133"/>
      <c r="D719" s="133"/>
      <c r="E719" s="133"/>
      <c r="F719" s="133"/>
      <c r="G719" s="133"/>
      <c r="H719" s="133"/>
      <c r="I719" s="133"/>
    </row>
    <row r="720" spans="1:9">
      <c r="A720" s="133"/>
      <c r="B720" s="133"/>
      <c r="C720" s="133"/>
      <c r="D720" s="133"/>
      <c r="E720" s="133"/>
      <c r="F720" s="133"/>
      <c r="G720" s="133"/>
      <c r="H720" s="133"/>
      <c r="I720" s="133"/>
    </row>
    <row r="721" spans="1:9">
      <c r="A721" s="133"/>
      <c r="B721" s="133"/>
      <c r="C721" s="133"/>
      <c r="D721" s="133"/>
      <c r="E721" s="133"/>
      <c r="F721" s="133"/>
      <c r="G721" s="133"/>
      <c r="H721" s="133"/>
      <c r="I721" s="133"/>
    </row>
    <row r="722" spans="1:9">
      <c r="A722" s="133"/>
      <c r="B722" s="133"/>
      <c r="C722" s="133"/>
      <c r="D722" s="133"/>
      <c r="E722" s="133"/>
      <c r="F722" s="133"/>
      <c r="G722" s="133"/>
      <c r="H722" s="133"/>
      <c r="I722" s="133"/>
    </row>
    <row r="723" spans="1:9">
      <c r="A723" s="133"/>
      <c r="B723" s="133"/>
      <c r="C723" s="133"/>
      <c r="D723" s="133"/>
      <c r="E723" s="133"/>
      <c r="F723" s="133"/>
      <c r="G723" s="133"/>
      <c r="H723" s="133"/>
      <c r="I723" s="133"/>
    </row>
    <row r="724" spans="1:9">
      <c r="A724" s="133"/>
      <c r="B724" s="133"/>
      <c r="C724" s="133"/>
      <c r="D724" s="133"/>
      <c r="E724" s="133"/>
      <c r="F724" s="133"/>
      <c r="G724" s="133"/>
      <c r="H724" s="133"/>
      <c r="I724" s="133"/>
    </row>
    <row r="725" spans="1:9">
      <c r="A725" s="133"/>
      <c r="B725" s="133"/>
      <c r="C725" s="133"/>
      <c r="D725" s="133"/>
      <c r="E725" s="133"/>
      <c r="F725" s="133"/>
      <c r="G725" s="133"/>
      <c r="H725" s="133"/>
      <c r="I725" s="133"/>
    </row>
    <row r="726" spans="1:9">
      <c r="A726" s="133"/>
      <c r="B726" s="133"/>
      <c r="C726" s="133"/>
      <c r="D726" s="133"/>
      <c r="E726" s="133"/>
      <c r="F726" s="133"/>
      <c r="G726" s="133"/>
      <c r="H726" s="133"/>
      <c r="I726" s="133"/>
    </row>
    <row r="727" spans="1:9">
      <c r="A727" s="133"/>
      <c r="B727" s="133"/>
      <c r="C727" s="133"/>
      <c r="D727" s="133"/>
      <c r="E727" s="133"/>
      <c r="F727" s="133"/>
      <c r="G727" s="133"/>
      <c r="H727" s="133"/>
      <c r="I727" s="133"/>
    </row>
    <row r="728" spans="1:9">
      <c r="A728" s="133"/>
      <c r="B728" s="133"/>
      <c r="C728" s="133"/>
      <c r="D728" s="133"/>
      <c r="E728" s="133"/>
      <c r="F728" s="133"/>
      <c r="G728" s="133"/>
      <c r="H728" s="133"/>
      <c r="I728" s="133"/>
    </row>
    <row r="729" spans="1:9">
      <c r="A729" s="133"/>
      <c r="B729" s="133"/>
      <c r="C729" s="133"/>
      <c r="D729" s="133"/>
      <c r="E729" s="133"/>
      <c r="F729" s="133"/>
      <c r="G729" s="133"/>
      <c r="H729" s="133"/>
      <c r="I729" s="133"/>
    </row>
    <row r="730" spans="1:9">
      <c r="A730" s="133"/>
      <c r="B730" s="133"/>
      <c r="C730" s="133"/>
      <c r="D730" s="133"/>
      <c r="E730" s="133"/>
      <c r="F730" s="133"/>
      <c r="G730" s="133"/>
      <c r="H730" s="133"/>
      <c r="I730" s="133"/>
    </row>
    <row r="731" spans="1:9">
      <c r="A731" s="133"/>
      <c r="B731" s="133"/>
      <c r="C731" s="133"/>
      <c r="D731" s="133"/>
      <c r="E731" s="133"/>
      <c r="F731" s="133"/>
      <c r="G731" s="133"/>
      <c r="H731" s="133"/>
      <c r="I731" s="133"/>
    </row>
    <row r="732" spans="1:9">
      <c r="A732" s="133"/>
      <c r="B732" s="133"/>
      <c r="C732" s="133"/>
      <c r="D732" s="133"/>
      <c r="E732" s="133"/>
      <c r="F732" s="133"/>
      <c r="G732" s="133"/>
      <c r="H732" s="133"/>
      <c r="I732" s="133"/>
    </row>
    <row r="733" spans="1:9">
      <c r="A733" s="133"/>
      <c r="B733" s="133"/>
      <c r="C733" s="133"/>
      <c r="D733" s="133"/>
      <c r="E733" s="133"/>
      <c r="F733" s="133"/>
      <c r="G733" s="133"/>
      <c r="H733" s="133"/>
      <c r="I733" s="133"/>
    </row>
    <row r="734" spans="1:9">
      <c r="A734" s="133"/>
      <c r="B734" s="133"/>
      <c r="C734" s="133"/>
      <c r="D734" s="133"/>
      <c r="E734" s="133"/>
      <c r="F734" s="133"/>
      <c r="G734" s="133"/>
      <c r="H734" s="133"/>
      <c r="I734" s="133"/>
    </row>
    <row r="735" spans="1:9">
      <c r="A735" s="133"/>
      <c r="B735" s="133"/>
      <c r="C735" s="133"/>
      <c r="D735" s="133"/>
      <c r="E735" s="133"/>
      <c r="F735" s="133"/>
      <c r="G735" s="133"/>
      <c r="H735" s="133"/>
      <c r="I735" s="133"/>
    </row>
    <row r="736" spans="1:9">
      <c r="A736" s="133"/>
      <c r="B736" s="133"/>
      <c r="C736" s="133"/>
      <c r="D736" s="133"/>
      <c r="E736" s="133"/>
      <c r="F736" s="133"/>
      <c r="G736" s="133"/>
      <c r="H736" s="133"/>
      <c r="I736" s="133"/>
    </row>
    <row r="737" spans="1:9">
      <c r="A737" s="133"/>
      <c r="B737" s="133"/>
      <c r="C737" s="133"/>
      <c r="D737" s="133"/>
      <c r="E737" s="133"/>
      <c r="F737" s="133"/>
      <c r="G737" s="133"/>
      <c r="H737" s="133"/>
      <c r="I737" s="133"/>
    </row>
    <row r="738" spans="1:9">
      <c r="A738" s="133"/>
      <c r="B738" s="133"/>
      <c r="C738" s="133"/>
      <c r="D738" s="133"/>
      <c r="E738" s="133"/>
      <c r="F738" s="133"/>
      <c r="G738" s="133"/>
      <c r="H738" s="133"/>
      <c r="I738" s="133"/>
    </row>
    <row r="739" spans="1:9">
      <c r="A739" s="133"/>
      <c r="B739" s="133"/>
      <c r="C739" s="133"/>
      <c r="D739" s="133"/>
      <c r="E739" s="133"/>
      <c r="F739" s="133"/>
      <c r="G739" s="133"/>
      <c r="H739" s="133"/>
      <c r="I739" s="133"/>
    </row>
    <row r="740" spans="1:9">
      <c r="A740" s="133"/>
      <c r="B740" s="133"/>
      <c r="C740" s="133"/>
      <c r="D740" s="133"/>
      <c r="E740" s="133"/>
      <c r="F740" s="133"/>
      <c r="G740" s="133"/>
      <c r="H740" s="133"/>
      <c r="I740" s="133"/>
    </row>
    <row r="741" spans="1:9">
      <c r="A741" s="133"/>
      <c r="B741" s="133"/>
      <c r="C741" s="133"/>
      <c r="D741" s="133"/>
      <c r="E741" s="133"/>
      <c r="F741" s="133"/>
      <c r="G741" s="133"/>
      <c r="H741" s="133"/>
      <c r="I741" s="133"/>
    </row>
    <row r="742" spans="1:9">
      <c r="A742" s="133"/>
      <c r="B742" s="133"/>
      <c r="C742" s="133"/>
      <c r="D742" s="133"/>
      <c r="E742" s="133"/>
      <c r="F742" s="133"/>
      <c r="G742" s="133"/>
      <c r="H742" s="133"/>
      <c r="I742" s="133"/>
    </row>
    <row r="743" spans="1:9">
      <c r="A743" s="133"/>
      <c r="B743" s="133"/>
      <c r="C743" s="133"/>
      <c r="D743" s="133"/>
      <c r="E743" s="133"/>
      <c r="F743" s="133"/>
      <c r="G743" s="133"/>
      <c r="H743" s="133"/>
      <c r="I743" s="133"/>
    </row>
    <row r="744" spans="1:9">
      <c r="A744" s="133"/>
      <c r="B744" s="133"/>
      <c r="C744" s="133"/>
      <c r="D744" s="133"/>
      <c r="E744" s="133"/>
      <c r="F744" s="133"/>
      <c r="G744" s="133"/>
      <c r="H744" s="133"/>
      <c r="I744" s="133"/>
    </row>
    <row r="745" spans="1:9">
      <c r="A745" s="133"/>
      <c r="B745" s="133"/>
      <c r="C745" s="133"/>
      <c r="D745" s="133"/>
      <c r="E745" s="133"/>
      <c r="F745" s="133"/>
      <c r="G745" s="133"/>
      <c r="H745" s="133"/>
      <c r="I745" s="133"/>
    </row>
    <row r="746" spans="1:9">
      <c r="A746" s="133"/>
      <c r="B746" s="133"/>
      <c r="C746" s="133"/>
      <c r="D746" s="133"/>
      <c r="E746" s="133"/>
      <c r="F746" s="133"/>
      <c r="G746" s="133"/>
      <c r="H746" s="133"/>
      <c r="I746" s="133"/>
    </row>
    <row r="747" spans="1:9">
      <c r="A747" s="133"/>
      <c r="B747" s="133"/>
      <c r="C747" s="133"/>
      <c r="D747" s="133"/>
      <c r="E747" s="133"/>
      <c r="F747" s="133"/>
      <c r="G747" s="133"/>
      <c r="H747" s="133"/>
      <c r="I747" s="133"/>
    </row>
    <row r="748" spans="1:9">
      <c r="A748" s="133"/>
      <c r="B748" s="133"/>
      <c r="C748" s="133"/>
      <c r="D748" s="133"/>
      <c r="E748" s="133"/>
      <c r="F748" s="133"/>
      <c r="G748" s="133"/>
      <c r="H748" s="133"/>
      <c r="I748" s="133"/>
    </row>
    <row r="749" spans="1:9">
      <c r="A749" s="133"/>
      <c r="B749" s="133"/>
      <c r="C749" s="133"/>
      <c r="D749" s="133"/>
      <c r="E749" s="133"/>
      <c r="F749" s="133"/>
      <c r="G749" s="133"/>
      <c r="H749" s="133"/>
      <c r="I749" s="133"/>
    </row>
    <row r="750" spans="1:9">
      <c r="A750" s="133"/>
      <c r="B750" s="133"/>
      <c r="C750" s="133"/>
      <c r="D750" s="133"/>
      <c r="E750" s="133"/>
      <c r="F750" s="133"/>
      <c r="G750" s="133"/>
      <c r="H750" s="133"/>
      <c r="I750" s="133"/>
    </row>
    <row r="751" spans="1:9">
      <c r="A751" s="133"/>
      <c r="B751" s="133"/>
      <c r="C751" s="133"/>
      <c r="D751" s="133"/>
      <c r="E751" s="133"/>
      <c r="F751" s="133"/>
      <c r="G751" s="133"/>
      <c r="H751" s="133"/>
      <c r="I751" s="133"/>
    </row>
    <row r="752" spans="1:9">
      <c r="A752" s="133"/>
      <c r="B752" s="133"/>
      <c r="C752" s="133"/>
      <c r="D752" s="133"/>
      <c r="E752" s="133"/>
      <c r="F752" s="133"/>
      <c r="G752" s="133"/>
      <c r="H752" s="133"/>
      <c r="I752" s="133"/>
    </row>
    <row r="753" spans="1:9">
      <c r="A753" s="133"/>
      <c r="B753" s="133"/>
      <c r="C753" s="133"/>
      <c r="D753" s="133"/>
      <c r="E753" s="133"/>
      <c r="F753" s="133"/>
      <c r="G753" s="133"/>
      <c r="H753" s="133"/>
      <c r="I753" s="133"/>
    </row>
    <row r="754" spans="1:9">
      <c r="A754" s="133"/>
      <c r="B754" s="133"/>
      <c r="C754" s="133"/>
      <c r="D754" s="133"/>
      <c r="E754" s="133"/>
      <c r="F754" s="133"/>
      <c r="G754" s="133"/>
      <c r="H754" s="133"/>
      <c r="I754" s="133"/>
    </row>
    <row r="755" spans="1:9">
      <c r="A755" s="133"/>
      <c r="B755" s="133"/>
      <c r="C755" s="133"/>
      <c r="D755" s="133"/>
      <c r="E755" s="133"/>
      <c r="F755" s="133"/>
      <c r="G755" s="133"/>
      <c r="H755" s="133"/>
      <c r="I755" s="133"/>
    </row>
    <row r="756" spans="1:9">
      <c r="A756" s="133"/>
      <c r="B756" s="133"/>
      <c r="C756" s="133"/>
      <c r="D756" s="133"/>
      <c r="E756" s="133"/>
      <c r="F756" s="133"/>
      <c r="G756" s="133"/>
      <c r="H756" s="133"/>
      <c r="I756" s="133"/>
    </row>
    <row r="757" spans="1:9">
      <c r="A757" s="133"/>
      <c r="B757" s="133"/>
      <c r="C757" s="133"/>
      <c r="D757" s="133"/>
      <c r="E757" s="133"/>
      <c r="F757" s="133"/>
      <c r="G757" s="133"/>
      <c r="H757" s="133"/>
      <c r="I757" s="133"/>
    </row>
    <row r="758" spans="1:9">
      <c r="A758" s="133"/>
      <c r="B758" s="133"/>
      <c r="C758" s="133"/>
      <c r="D758" s="133"/>
      <c r="E758" s="133"/>
      <c r="F758" s="133"/>
      <c r="G758" s="133"/>
      <c r="H758" s="133"/>
      <c r="I758" s="133"/>
    </row>
    <row r="759" spans="1:9">
      <c r="A759" s="133"/>
      <c r="B759" s="133"/>
      <c r="C759" s="133"/>
      <c r="D759" s="133"/>
      <c r="E759" s="133"/>
      <c r="F759" s="133"/>
      <c r="G759" s="133"/>
      <c r="H759" s="133"/>
      <c r="I759" s="133"/>
    </row>
    <row r="760" spans="1:9">
      <c r="A760" s="133"/>
      <c r="B760" s="133"/>
      <c r="C760" s="133"/>
      <c r="D760" s="133"/>
      <c r="E760" s="133"/>
      <c r="F760" s="133"/>
      <c r="G760" s="133"/>
      <c r="H760" s="133"/>
      <c r="I760" s="133"/>
    </row>
    <row r="761" spans="1:9">
      <c r="A761" s="133"/>
      <c r="B761" s="133"/>
      <c r="C761" s="133"/>
      <c r="D761" s="133"/>
      <c r="E761" s="133"/>
      <c r="F761" s="133"/>
      <c r="G761" s="133"/>
      <c r="H761" s="133"/>
      <c r="I761" s="133"/>
    </row>
    <row r="762" spans="1:9">
      <c r="A762" s="133"/>
      <c r="B762" s="133"/>
      <c r="C762" s="133"/>
      <c r="D762" s="133"/>
      <c r="E762" s="133"/>
      <c r="F762" s="133"/>
      <c r="G762" s="133"/>
      <c r="H762" s="133"/>
      <c r="I762" s="133"/>
    </row>
    <row r="763" spans="1:9">
      <c r="A763" s="133"/>
      <c r="B763" s="133"/>
      <c r="C763" s="133"/>
      <c r="D763" s="133"/>
      <c r="E763" s="133"/>
      <c r="F763" s="133"/>
      <c r="G763" s="133"/>
      <c r="H763" s="133"/>
      <c r="I763" s="133"/>
    </row>
    <row r="764" spans="1:9">
      <c r="A764" s="133"/>
      <c r="B764" s="133"/>
      <c r="C764" s="133"/>
      <c r="D764" s="133"/>
      <c r="E764" s="133"/>
      <c r="F764" s="133"/>
      <c r="G764" s="133"/>
      <c r="H764" s="133"/>
      <c r="I764" s="133"/>
    </row>
    <row r="765" spans="1:9">
      <c r="A765" s="133"/>
      <c r="B765" s="133"/>
      <c r="C765" s="133"/>
      <c r="D765" s="133"/>
      <c r="E765" s="133"/>
      <c r="F765" s="133"/>
      <c r="G765" s="133"/>
      <c r="H765" s="133"/>
      <c r="I765" s="133"/>
    </row>
    <row r="766" spans="1:9">
      <c r="A766" s="133"/>
      <c r="B766" s="133"/>
      <c r="C766" s="133"/>
      <c r="D766" s="133"/>
      <c r="E766" s="133"/>
      <c r="F766" s="133"/>
      <c r="G766" s="133"/>
      <c r="H766" s="133"/>
      <c r="I766" s="133"/>
    </row>
    <row r="767" spans="1:9">
      <c r="A767" s="133"/>
      <c r="B767" s="133"/>
      <c r="C767" s="133"/>
      <c r="D767" s="133"/>
      <c r="E767" s="133"/>
      <c r="F767" s="133"/>
      <c r="G767" s="133"/>
      <c r="H767" s="133"/>
      <c r="I767" s="133"/>
    </row>
    <row r="768" spans="1:9">
      <c r="A768" s="133"/>
      <c r="B768" s="133"/>
      <c r="C768" s="133"/>
      <c r="D768" s="133"/>
      <c r="E768" s="133"/>
      <c r="F768" s="133"/>
      <c r="G768" s="133"/>
      <c r="H768" s="133"/>
      <c r="I768" s="133"/>
    </row>
    <row r="769" spans="1:9">
      <c r="A769" s="133"/>
      <c r="B769" s="133"/>
      <c r="C769" s="133"/>
      <c r="D769" s="133"/>
      <c r="E769" s="133"/>
      <c r="F769" s="133"/>
      <c r="G769" s="133"/>
      <c r="H769" s="133"/>
      <c r="I769" s="133"/>
    </row>
    <row r="770" spans="1:9">
      <c r="A770" s="133"/>
      <c r="B770" s="133"/>
      <c r="C770" s="133"/>
      <c r="D770" s="133"/>
      <c r="E770" s="133"/>
      <c r="F770" s="133"/>
      <c r="G770" s="133"/>
      <c r="H770" s="133"/>
      <c r="I770" s="133"/>
    </row>
    <row r="771" spans="1:9">
      <c r="A771" s="133"/>
      <c r="B771" s="133"/>
      <c r="C771" s="133"/>
      <c r="D771" s="133"/>
      <c r="E771" s="133"/>
      <c r="F771" s="133"/>
      <c r="G771" s="133"/>
      <c r="H771" s="133"/>
      <c r="I771" s="133"/>
    </row>
    <row r="772" spans="1:9">
      <c r="A772" s="133"/>
      <c r="B772" s="133"/>
      <c r="C772" s="133"/>
      <c r="D772" s="133"/>
      <c r="E772" s="133"/>
      <c r="F772" s="133"/>
      <c r="G772" s="133"/>
      <c r="H772" s="133"/>
      <c r="I772" s="133"/>
    </row>
    <row r="773" spans="1:9">
      <c r="A773" s="133"/>
      <c r="B773" s="133"/>
      <c r="C773" s="133"/>
      <c r="D773" s="133"/>
      <c r="E773" s="133"/>
      <c r="F773" s="133"/>
      <c r="G773" s="133"/>
      <c r="H773" s="133"/>
      <c r="I773" s="133"/>
    </row>
    <row r="774" spans="1:9">
      <c r="A774" s="133"/>
      <c r="B774" s="133"/>
      <c r="C774" s="133"/>
      <c r="D774" s="133"/>
      <c r="E774" s="133"/>
      <c r="F774" s="133"/>
      <c r="G774" s="133"/>
      <c r="H774" s="133"/>
      <c r="I774" s="133"/>
    </row>
    <row r="775" spans="1:9">
      <c r="A775" s="133"/>
      <c r="B775" s="133"/>
      <c r="C775" s="133"/>
      <c r="D775" s="133"/>
      <c r="E775" s="133"/>
      <c r="F775" s="133"/>
      <c r="G775" s="133"/>
      <c r="H775" s="133"/>
      <c r="I775" s="133"/>
    </row>
    <row r="776" spans="1:9">
      <c r="A776" s="133"/>
      <c r="B776" s="133"/>
      <c r="C776" s="133"/>
      <c r="D776" s="133"/>
      <c r="E776" s="133"/>
      <c r="F776" s="133"/>
      <c r="G776" s="133"/>
      <c r="H776" s="133"/>
      <c r="I776" s="133"/>
    </row>
    <row r="777" spans="1:9">
      <c r="A777" s="133"/>
      <c r="B777" s="133"/>
      <c r="C777" s="133"/>
      <c r="D777" s="133"/>
      <c r="E777" s="133"/>
      <c r="F777" s="133"/>
      <c r="G777" s="133"/>
      <c r="H777" s="133"/>
      <c r="I777" s="133"/>
    </row>
    <row r="778" spans="1:9">
      <c r="A778" s="133"/>
      <c r="B778" s="133"/>
      <c r="C778" s="133"/>
      <c r="D778" s="133"/>
      <c r="E778" s="133"/>
      <c r="F778" s="133"/>
      <c r="G778" s="133"/>
      <c r="H778" s="133"/>
      <c r="I778" s="133"/>
    </row>
    <row r="779" spans="1:9">
      <c r="A779" s="133"/>
      <c r="B779" s="133"/>
      <c r="C779" s="133"/>
      <c r="D779" s="133"/>
      <c r="E779" s="133"/>
      <c r="F779" s="133"/>
      <c r="G779" s="133"/>
      <c r="H779" s="133"/>
      <c r="I779" s="133"/>
    </row>
    <row r="780" spans="1:9">
      <c r="A780" s="133"/>
      <c r="B780" s="133"/>
      <c r="C780" s="133"/>
      <c r="D780" s="133"/>
      <c r="E780" s="133"/>
      <c r="F780" s="133"/>
      <c r="G780" s="133"/>
      <c r="H780" s="133"/>
      <c r="I780" s="133"/>
    </row>
    <row r="781" spans="1:9">
      <c r="A781" s="133"/>
      <c r="B781" s="133"/>
      <c r="C781" s="133"/>
      <c r="D781" s="133"/>
      <c r="E781" s="133"/>
      <c r="F781" s="133"/>
      <c r="G781" s="133"/>
      <c r="H781" s="133"/>
      <c r="I781" s="133"/>
    </row>
    <row r="782" spans="1:9">
      <c r="A782" s="133"/>
      <c r="B782" s="133"/>
      <c r="C782" s="133"/>
      <c r="D782" s="133"/>
      <c r="E782" s="133"/>
      <c r="F782" s="133"/>
      <c r="G782" s="133"/>
      <c r="H782" s="133"/>
      <c r="I782" s="133"/>
    </row>
    <row r="783" spans="1:9">
      <c r="A783" s="133"/>
      <c r="B783" s="133"/>
      <c r="C783" s="133"/>
      <c r="D783" s="133"/>
      <c r="E783" s="133"/>
      <c r="F783" s="133"/>
      <c r="G783" s="133"/>
      <c r="H783" s="133"/>
      <c r="I783" s="133"/>
    </row>
    <row r="784" spans="1:9">
      <c r="A784" s="133"/>
      <c r="B784" s="133"/>
      <c r="C784" s="133"/>
      <c r="D784" s="133"/>
      <c r="E784" s="133"/>
      <c r="F784" s="133"/>
      <c r="G784" s="133"/>
      <c r="H784" s="133"/>
      <c r="I784" s="133"/>
    </row>
    <row r="785" spans="1:9">
      <c r="A785" s="133"/>
      <c r="B785" s="133"/>
      <c r="C785" s="133"/>
      <c r="D785" s="133"/>
      <c r="E785" s="133"/>
      <c r="F785" s="133"/>
      <c r="G785" s="133"/>
      <c r="H785" s="133"/>
      <c r="I785" s="133"/>
    </row>
    <row r="786" spans="1:9">
      <c r="A786" s="133"/>
      <c r="B786" s="133"/>
      <c r="C786" s="133"/>
      <c r="D786" s="133"/>
      <c r="E786" s="133"/>
      <c r="F786" s="133"/>
      <c r="G786" s="133"/>
      <c r="H786" s="133"/>
      <c r="I786" s="133"/>
    </row>
    <row r="787" spans="1:9">
      <c r="A787" s="133"/>
      <c r="B787" s="133"/>
      <c r="C787" s="133"/>
      <c r="D787" s="133"/>
      <c r="E787" s="133"/>
      <c r="F787" s="133"/>
      <c r="G787" s="133"/>
      <c r="H787" s="133"/>
      <c r="I787" s="133"/>
    </row>
    <row r="788" spans="1:9">
      <c r="A788" s="133"/>
      <c r="B788" s="133"/>
      <c r="C788" s="133"/>
      <c r="D788" s="133"/>
      <c r="E788" s="133"/>
      <c r="F788" s="133"/>
      <c r="G788" s="133"/>
      <c r="H788" s="133"/>
      <c r="I788" s="133"/>
    </row>
    <row r="789" spans="1:9">
      <c r="A789" s="133"/>
      <c r="B789" s="133"/>
      <c r="C789" s="133"/>
      <c r="D789" s="133"/>
      <c r="E789" s="133"/>
      <c r="F789" s="133"/>
      <c r="G789" s="133"/>
      <c r="H789" s="133"/>
      <c r="I789" s="133"/>
    </row>
    <row r="790" spans="1:9">
      <c r="A790" s="133"/>
      <c r="B790" s="133"/>
      <c r="C790" s="133"/>
      <c r="D790" s="133"/>
      <c r="E790" s="133"/>
      <c r="F790" s="133"/>
      <c r="G790" s="133"/>
      <c r="H790" s="133"/>
      <c r="I790" s="133"/>
    </row>
    <row r="791" spans="1:9">
      <c r="A791" s="133"/>
      <c r="B791" s="133"/>
      <c r="C791" s="133"/>
      <c r="D791" s="133"/>
      <c r="E791" s="133"/>
      <c r="F791" s="133"/>
      <c r="G791" s="133"/>
      <c r="H791" s="133"/>
      <c r="I791" s="133"/>
    </row>
    <row r="792" spans="1:9">
      <c r="A792" s="133"/>
      <c r="B792" s="133"/>
      <c r="C792" s="133"/>
      <c r="D792" s="133"/>
      <c r="E792" s="133"/>
      <c r="F792" s="133"/>
      <c r="G792" s="133"/>
      <c r="H792" s="133"/>
      <c r="I792" s="133"/>
    </row>
    <row r="793" spans="1:9">
      <c r="A793" s="133"/>
      <c r="B793" s="133"/>
      <c r="C793" s="133"/>
      <c r="D793" s="133"/>
      <c r="E793" s="133"/>
      <c r="F793" s="133"/>
      <c r="G793" s="133"/>
      <c r="H793" s="133"/>
      <c r="I793" s="133"/>
    </row>
    <row r="794" spans="1:9">
      <c r="A794" s="133"/>
      <c r="B794" s="133"/>
      <c r="C794" s="133"/>
      <c r="D794" s="133"/>
      <c r="E794" s="133"/>
      <c r="F794" s="133"/>
      <c r="G794" s="133"/>
      <c r="H794" s="133"/>
      <c r="I794" s="133"/>
    </row>
    <row r="795" spans="1:9">
      <c r="A795" s="133"/>
      <c r="B795" s="133"/>
      <c r="C795" s="133"/>
      <c r="D795" s="133"/>
      <c r="E795" s="133"/>
      <c r="F795" s="133"/>
      <c r="G795" s="133"/>
      <c r="H795" s="133"/>
      <c r="I795" s="133"/>
    </row>
    <row r="796" spans="1:9">
      <c r="A796" s="133"/>
      <c r="B796" s="133"/>
      <c r="C796" s="133"/>
      <c r="D796" s="133"/>
      <c r="E796" s="133"/>
      <c r="F796" s="133"/>
      <c r="G796" s="133"/>
      <c r="H796" s="133"/>
      <c r="I796" s="133"/>
    </row>
    <row r="797" spans="1:9">
      <c r="A797" s="133"/>
      <c r="B797" s="133"/>
      <c r="C797" s="133"/>
      <c r="D797" s="133"/>
      <c r="E797" s="133"/>
      <c r="F797" s="133"/>
      <c r="G797" s="133"/>
      <c r="H797" s="133"/>
      <c r="I797" s="133"/>
    </row>
    <row r="798" spans="1:9">
      <c r="A798" s="133"/>
      <c r="B798" s="133"/>
      <c r="C798" s="133"/>
      <c r="D798" s="133"/>
      <c r="E798" s="133"/>
      <c r="F798" s="133"/>
      <c r="G798" s="133"/>
      <c r="H798" s="133"/>
      <c r="I798" s="133"/>
    </row>
    <row r="799" spans="1:9">
      <c r="A799" s="133"/>
      <c r="B799" s="133"/>
      <c r="C799" s="133"/>
      <c r="D799" s="133"/>
      <c r="E799" s="133"/>
      <c r="F799" s="133"/>
      <c r="G799" s="133"/>
      <c r="H799" s="133"/>
      <c r="I799" s="133"/>
    </row>
    <row r="800" spans="1:9">
      <c r="A800" s="133"/>
      <c r="B800" s="133"/>
      <c r="C800" s="133"/>
      <c r="D800" s="133"/>
      <c r="E800" s="133"/>
      <c r="F800" s="133"/>
      <c r="G800" s="133"/>
      <c r="H800" s="133"/>
      <c r="I800" s="133"/>
    </row>
    <row r="801" spans="1:9">
      <c r="A801" s="133"/>
      <c r="B801" s="133"/>
      <c r="C801" s="133"/>
      <c r="D801" s="133"/>
      <c r="E801" s="133"/>
      <c r="F801" s="133"/>
      <c r="G801" s="133"/>
      <c r="H801" s="133"/>
      <c r="I801" s="133"/>
    </row>
    <row r="802" spans="1:9">
      <c r="A802" s="133"/>
      <c r="B802" s="133"/>
      <c r="C802" s="133"/>
      <c r="D802" s="133"/>
      <c r="E802" s="133"/>
      <c r="F802" s="133"/>
      <c r="G802" s="133"/>
      <c r="H802" s="133"/>
      <c r="I802" s="133"/>
    </row>
    <row r="803" spans="1:9">
      <c r="A803" s="133"/>
      <c r="B803" s="133"/>
      <c r="C803" s="133"/>
      <c r="D803" s="133"/>
      <c r="E803" s="133"/>
      <c r="F803" s="133"/>
      <c r="G803" s="133"/>
      <c r="H803" s="133"/>
      <c r="I803" s="133"/>
    </row>
    <row r="804" spans="1:9">
      <c r="A804" s="133"/>
      <c r="B804" s="133"/>
      <c r="C804" s="133"/>
      <c r="D804" s="133"/>
      <c r="E804" s="133"/>
      <c r="F804" s="133"/>
      <c r="G804" s="133"/>
      <c r="H804" s="133"/>
      <c r="I804" s="133"/>
    </row>
    <row r="805" spans="1:9">
      <c r="A805" s="133"/>
      <c r="B805" s="133"/>
      <c r="C805" s="133"/>
      <c r="D805" s="133"/>
      <c r="E805" s="133"/>
      <c r="F805" s="133"/>
      <c r="G805" s="133"/>
      <c r="H805" s="133"/>
      <c r="I805" s="133"/>
    </row>
    <row r="806" spans="1:9">
      <c r="A806" s="133"/>
      <c r="B806" s="133"/>
      <c r="C806" s="133"/>
      <c r="D806" s="133"/>
      <c r="E806" s="133"/>
      <c r="F806" s="133"/>
      <c r="G806" s="133"/>
      <c r="H806" s="133"/>
      <c r="I806" s="133"/>
    </row>
    <row r="807" spans="1:9">
      <c r="A807" s="133"/>
      <c r="B807" s="133"/>
      <c r="C807" s="133"/>
      <c r="D807" s="133"/>
      <c r="E807" s="133"/>
      <c r="F807" s="133"/>
      <c r="G807" s="133"/>
      <c r="H807" s="133"/>
      <c r="I807" s="133"/>
    </row>
    <row r="808" spans="1:9">
      <c r="A808" s="133"/>
      <c r="B808" s="133"/>
      <c r="C808" s="133"/>
      <c r="D808" s="133"/>
      <c r="E808" s="133"/>
      <c r="F808" s="133"/>
      <c r="G808" s="133"/>
      <c r="H808" s="133"/>
      <c r="I808" s="133"/>
    </row>
    <row r="809" spans="1:9">
      <c r="A809" s="133"/>
      <c r="B809" s="133"/>
      <c r="C809" s="133"/>
      <c r="D809" s="133"/>
      <c r="E809" s="133"/>
      <c r="F809" s="133"/>
      <c r="G809" s="133"/>
      <c r="H809" s="133"/>
      <c r="I809" s="133"/>
    </row>
    <row r="810" spans="1:9">
      <c r="A810" s="133"/>
      <c r="B810" s="133"/>
      <c r="C810" s="133"/>
      <c r="D810" s="133"/>
      <c r="E810" s="133"/>
      <c r="F810" s="133"/>
      <c r="G810" s="133"/>
      <c r="H810" s="133"/>
      <c r="I810" s="133"/>
    </row>
    <row r="811" spans="1:9">
      <c r="A811" s="133"/>
      <c r="B811" s="133"/>
      <c r="C811" s="133"/>
      <c r="D811" s="133"/>
      <c r="E811" s="133"/>
      <c r="F811" s="133"/>
      <c r="G811" s="133"/>
      <c r="H811" s="133"/>
      <c r="I811" s="133"/>
    </row>
    <row r="812" spans="1:9">
      <c r="A812" s="133"/>
      <c r="B812" s="133"/>
      <c r="C812" s="133"/>
      <c r="D812" s="133"/>
      <c r="E812" s="133"/>
      <c r="F812" s="133"/>
      <c r="G812" s="133"/>
      <c r="H812" s="133"/>
      <c r="I812" s="133"/>
    </row>
    <row r="813" spans="1:9">
      <c r="A813" s="133"/>
      <c r="B813" s="133"/>
      <c r="C813" s="133"/>
      <c r="D813" s="133"/>
      <c r="E813" s="133"/>
      <c r="F813" s="133"/>
      <c r="G813" s="133"/>
      <c r="H813" s="133"/>
      <c r="I813" s="133"/>
    </row>
    <row r="814" spans="1:9">
      <c r="A814" s="133"/>
      <c r="B814" s="133"/>
      <c r="C814" s="133"/>
      <c r="D814" s="133"/>
      <c r="E814" s="133"/>
      <c r="F814" s="133"/>
      <c r="G814" s="133"/>
      <c r="H814" s="133"/>
      <c r="I814" s="133"/>
    </row>
    <row r="815" spans="1:9">
      <c r="A815" s="133"/>
      <c r="B815" s="133"/>
      <c r="C815" s="133"/>
      <c r="D815" s="133"/>
      <c r="E815" s="133"/>
      <c r="F815" s="133"/>
      <c r="G815" s="133"/>
      <c r="H815" s="133"/>
      <c r="I815" s="133"/>
    </row>
    <row r="816" spans="1:9">
      <c r="A816" s="133"/>
      <c r="B816" s="133"/>
      <c r="C816" s="133"/>
      <c r="D816" s="133"/>
      <c r="E816" s="133"/>
      <c r="F816" s="133"/>
      <c r="G816" s="133"/>
      <c r="H816" s="133"/>
      <c r="I816" s="133"/>
    </row>
    <row r="817" spans="1:9">
      <c r="A817" s="133"/>
      <c r="B817" s="133"/>
      <c r="C817" s="133"/>
      <c r="D817" s="133"/>
      <c r="E817" s="133"/>
      <c r="F817" s="133"/>
      <c r="G817" s="133"/>
      <c r="H817" s="133"/>
      <c r="I817" s="133"/>
    </row>
    <row r="818" spans="1:9">
      <c r="A818" s="133"/>
      <c r="B818" s="133"/>
      <c r="C818" s="133"/>
      <c r="D818" s="133"/>
      <c r="E818" s="133"/>
      <c r="F818" s="133"/>
      <c r="G818" s="133"/>
      <c r="H818" s="133"/>
      <c r="I818" s="133"/>
    </row>
    <row r="819" spans="1:9">
      <c r="A819" s="133"/>
      <c r="B819" s="133"/>
      <c r="C819" s="133"/>
      <c r="D819" s="133"/>
      <c r="E819" s="133"/>
      <c r="F819" s="133"/>
      <c r="G819" s="133"/>
      <c r="H819" s="133"/>
      <c r="I819" s="133"/>
    </row>
    <row r="820" spans="1:9">
      <c r="A820" s="133"/>
      <c r="B820" s="133"/>
      <c r="C820" s="133"/>
      <c r="D820" s="133"/>
      <c r="E820" s="133"/>
      <c r="F820" s="133"/>
      <c r="G820" s="133"/>
      <c r="H820" s="133"/>
      <c r="I820" s="133"/>
    </row>
    <row r="821" spans="1:9">
      <c r="A821" s="133"/>
      <c r="B821" s="133"/>
      <c r="C821" s="133"/>
      <c r="D821" s="133"/>
      <c r="E821" s="133"/>
      <c r="F821" s="133"/>
      <c r="G821" s="133"/>
      <c r="H821" s="133"/>
      <c r="I821" s="133"/>
    </row>
    <row r="822" spans="1:9">
      <c r="A822" s="133"/>
      <c r="B822" s="133"/>
      <c r="C822" s="133"/>
      <c r="D822" s="133"/>
      <c r="E822" s="133"/>
      <c r="F822" s="133"/>
      <c r="G822" s="133"/>
      <c r="H822" s="133"/>
      <c r="I822" s="133"/>
    </row>
    <row r="823" spans="1:9">
      <c r="A823" s="133"/>
      <c r="B823" s="133"/>
      <c r="C823" s="133"/>
      <c r="D823" s="133"/>
      <c r="E823" s="133"/>
      <c r="F823" s="133"/>
      <c r="G823" s="133"/>
      <c r="H823" s="133"/>
      <c r="I823" s="133"/>
    </row>
    <row r="824" spans="1:9">
      <c r="A824" s="133"/>
      <c r="B824" s="133"/>
      <c r="C824" s="133"/>
      <c r="D824" s="133"/>
      <c r="E824" s="133"/>
      <c r="F824" s="133"/>
      <c r="G824" s="133"/>
      <c r="H824" s="133"/>
      <c r="I824" s="133"/>
    </row>
    <row r="825" spans="1:9">
      <c r="A825" s="133"/>
      <c r="B825" s="133"/>
      <c r="C825" s="133"/>
      <c r="D825" s="133"/>
      <c r="E825" s="133"/>
      <c r="F825" s="133"/>
      <c r="G825" s="133"/>
      <c r="H825" s="133"/>
      <c r="I825" s="133"/>
    </row>
    <row r="826" spans="1:9">
      <c r="A826" s="133"/>
      <c r="B826" s="133"/>
      <c r="C826" s="133"/>
      <c r="D826" s="133"/>
      <c r="E826" s="133"/>
      <c r="F826" s="133"/>
      <c r="G826" s="133"/>
      <c r="H826" s="133"/>
      <c r="I826" s="133"/>
    </row>
    <row r="827" spans="1:9">
      <c r="A827" s="133"/>
      <c r="B827" s="133"/>
      <c r="C827" s="133"/>
      <c r="D827" s="133"/>
      <c r="E827" s="133"/>
      <c r="F827" s="133"/>
      <c r="G827" s="133"/>
      <c r="H827" s="133"/>
      <c r="I827" s="133"/>
    </row>
    <row r="828" spans="1:9">
      <c r="A828" s="133"/>
      <c r="B828" s="133"/>
      <c r="C828" s="133"/>
      <c r="D828" s="133"/>
      <c r="E828" s="133"/>
      <c r="F828" s="133"/>
      <c r="G828" s="133"/>
      <c r="H828" s="133"/>
      <c r="I828" s="133"/>
    </row>
    <row r="829" spans="1:9">
      <c r="A829" s="133"/>
      <c r="B829" s="133"/>
      <c r="C829" s="133"/>
      <c r="D829" s="133"/>
      <c r="E829" s="133"/>
      <c r="F829" s="133"/>
      <c r="G829" s="133"/>
      <c r="H829" s="133"/>
      <c r="I829" s="133"/>
    </row>
    <row r="830" spans="1:9">
      <c r="A830" s="133"/>
      <c r="B830" s="133"/>
      <c r="C830" s="133"/>
      <c r="D830" s="133"/>
      <c r="E830" s="133"/>
      <c r="F830" s="133"/>
      <c r="G830" s="133"/>
      <c r="H830" s="133"/>
      <c r="I830" s="133"/>
    </row>
    <row r="831" spans="1:9">
      <c r="A831" s="133"/>
      <c r="B831" s="133"/>
      <c r="C831" s="133"/>
      <c r="D831" s="133"/>
      <c r="E831" s="133"/>
      <c r="F831" s="133"/>
      <c r="G831" s="133"/>
      <c r="H831" s="133"/>
      <c r="I831" s="133"/>
    </row>
    <row r="832" spans="1:9">
      <c r="A832" s="133"/>
      <c r="B832" s="133"/>
      <c r="C832" s="133"/>
      <c r="D832" s="133"/>
      <c r="E832" s="133"/>
      <c r="F832" s="133"/>
      <c r="G832" s="133"/>
      <c r="H832" s="133"/>
      <c r="I832" s="133"/>
    </row>
    <row r="833" spans="1:9">
      <c r="A833" s="133"/>
      <c r="B833" s="133"/>
      <c r="C833" s="133"/>
      <c r="D833" s="133"/>
      <c r="E833" s="133"/>
      <c r="F833" s="133"/>
      <c r="G833" s="133"/>
      <c r="H833" s="133"/>
      <c r="I833" s="133"/>
    </row>
    <row r="834" spans="1:9">
      <c r="A834" s="133"/>
      <c r="B834" s="133"/>
      <c r="C834" s="133"/>
      <c r="D834" s="133"/>
      <c r="E834" s="133"/>
      <c r="F834" s="133"/>
      <c r="G834" s="133"/>
      <c r="H834" s="133"/>
      <c r="I834" s="133"/>
    </row>
    <row r="835" spans="1:9">
      <c r="A835" s="133"/>
      <c r="B835" s="133"/>
      <c r="C835" s="133"/>
      <c r="D835" s="133"/>
      <c r="E835" s="133"/>
      <c r="F835" s="133"/>
      <c r="G835" s="133"/>
      <c r="H835" s="133"/>
      <c r="I835" s="133"/>
    </row>
    <row r="836" spans="1:9">
      <c r="A836" s="133"/>
      <c r="B836" s="133"/>
      <c r="C836" s="133"/>
      <c r="D836" s="133"/>
      <c r="E836" s="133"/>
      <c r="F836" s="133"/>
      <c r="G836" s="133"/>
      <c r="H836" s="133"/>
      <c r="I836" s="133"/>
    </row>
    <row r="837" spans="1:9">
      <c r="A837" s="133"/>
      <c r="B837" s="133"/>
      <c r="C837" s="133"/>
      <c r="D837" s="133"/>
      <c r="E837" s="133"/>
      <c r="F837" s="133"/>
      <c r="G837" s="133"/>
      <c r="H837" s="133"/>
      <c r="I837" s="133"/>
    </row>
    <row r="838" spans="1:9">
      <c r="A838" s="133"/>
      <c r="B838" s="133"/>
      <c r="C838" s="133"/>
      <c r="D838" s="133"/>
      <c r="E838" s="133"/>
      <c r="F838" s="133"/>
      <c r="G838" s="133"/>
      <c r="H838" s="133"/>
      <c r="I838" s="133"/>
    </row>
    <row r="839" spans="1:9">
      <c r="A839" s="133"/>
      <c r="B839" s="133"/>
      <c r="C839" s="133"/>
      <c r="D839" s="133"/>
      <c r="E839" s="133"/>
      <c r="F839" s="133"/>
      <c r="G839" s="133"/>
      <c r="H839" s="133"/>
      <c r="I839" s="133"/>
    </row>
    <row r="840" spans="1:9">
      <c r="A840" s="133"/>
      <c r="B840" s="133"/>
      <c r="C840" s="133"/>
      <c r="D840" s="133"/>
      <c r="E840" s="133"/>
      <c r="F840" s="133"/>
      <c r="G840" s="133"/>
      <c r="H840" s="133"/>
      <c r="I840" s="133"/>
    </row>
    <row r="841" spans="1:9">
      <c r="A841" s="133"/>
      <c r="B841" s="133"/>
      <c r="C841" s="133"/>
      <c r="D841" s="133"/>
      <c r="E841" s="133"/>
      <c r="F841" s="133"/>
      <c r="G841" s="133"/>
      <c r="H841" s="133"/>
      <c r="I841" s="133"/>
    </row>
    <row r="842" spans="1:9">
      <c r="A842" s="133"/>
      <c r="B842" s="133"/>
      <c r="C842" s="133"/>
      <c r="D842" s="133"/>
      <c r="E842" s="133"/>
      <c r="F842" s="133"/>
      <c r="G842" s="133"/>
      <c r="H842" s="133"/>
      <c r="I842" s="133"/>
    </row>
    <row r="843" spans="1:9">
      <c r="A843" s="133"/>
      <c r="B843" s="133"/>
      <c r="C843" s="133"/>
      <c r="D843" s="133"/>
      <c r="E843" s="133"/>
      <c r="F843" s="133"/>
      <c r="G843" s="133"/>
      <c r="H843" s="133"/>
      <c r="I843" s="133"/>
    </row>
    <row r="844" spans="1:9">
      <c r="A844" s="133"/>
      <c r="B844" s="133"/>
      <c r="C844" s="133"/>
      <c r="D844" s="133"/>
      <c r="E844" s="133"/>
      <c r="F844" s="133"/>
      <c r="G844" s="133"/>
      <c r="H844" s="133"/>
      <c r="I844" s="133"/>
    </row>
    <row r="845" spans="1:9">
      <c r="A845" s="133"/>
      <c r="B845" s="133"/>
      <c r="C845" s="133"/>
      <c r="D845" s="133"/>
      <c r="E845" s="133"/>
      <c r="F845" s="133"/>
      <c r="G845" s="133"/>
      <c r="H845" s="133"/>
      <c r="I845" s="133"/>
    </row>
    <row r="846" spans="1:9">
      <c r="A846" s="133"/>
      <c r="B846" s="133"/>
      <c r="C846" s="133"/>
      <c r="D846" s="133"/>
      <c r="E846" s="133"/>
      <c r="F846" s="133"/>
      <c r="G846" s="133"/>
      <c r="H846" s="133"/>
      <c r="I846" s="133"/>
    </row>
    <row r="847" spans="1:9">
      <c r="A847" s="133"/>
      <c r="B847" s="133"/>
      <c r="C847" s="133"/>
      <c r="D847" s="133"/>
      <c r="E847" s="133"/>
      <c r="F847" s="133"/>
      <c r="G847" s="133"/>
      <c r="H847" s="133"/>
      <c r="I847" s="133"/>
    </row>
    <row r="848" spans="1:9">
      <c r="A848" s="133"/>
      <c r="B848" s="133"/>
      <c r="C848" s="133"/>
      <c r="D848" s="133"/>
      <c r="E848" s="133"/>
      <c r="F848" s="133"/>
      <c r="G848" s="133"/>
      <c r="H848" s="133"/>
      <c r="I848" s="133"/>
    </row>
    <row r="849" spans="1:9">
      <c r="A849" s="133"/>
      <c r="B849" s="133"/>
      <c r="C849" s="133"/>
      <c r="D849" s="133"/>
      <c r="E849" s="133"/>
      <c r="F849" s="133"/>
      <c r="G849" s="133"/>
      <c r="H849" s="133"/>
      <c r="I849" s="133"/>
    </row>
    <row r="850" spans="1:9">
      <c r="A850" s="133"/>
      <c r="B850" s="133"/>
      <c r="C850" s="133"/>
      <c r="D850" s="133"/>
      <c r="E850" s="133"/>
      <c r="F850" s="133"/>
      <c r="G850" s="133"/>
      <c r="H850" s="133"/>
      <c r="I850" s="133"/>
    </row>
    <row r="851" spans="1:9">
      <c r="A851" s="133"/>
      <c r="B851" s="133"/>
      <c r="C851" s="133"/>
      <c r="D851" s="133"/>
      <c r="E851" s="133"/>
      <c r="F851" s="133"/>
      <c r="G851" s="133"/>
      <c r="H851" s="133"/>
      <c r="I851" s="133"/>
    </row>
    <row r="852" spans="1:9">
      <c r="A852" s="133"/>
      <c r="B852" s="133"/>
      <c r="C852" s="133"/>
      <c r="D852" s="133"/>
      <c r="E852" s="133"/>
      <c r="F852" s="133"/>
      <c r="G852" s="133"/>
      <c r="H852" s="133"/>
      <c r="I852" s="133"/>
    </row>
    <row r="853" spans="1:9">
      <c r="A853" s="133"/>
      <c r="B853" s="133"/>
      <c r="C853" s="133"/>
      <c r="D853" s="133"/>
      <c r="E853" s="133"/>
      <c r="F853" s="133"/>
      <c r="G853" s="133"/>
      <c r="H853" s="133"/>
      <c r="I853" s="133"/>
    </row>
    <row r="854" spans="1:9">
      <c r="A854" s="133"/>
      <c r="B854" s="133"/>
      <c r="C854" s="133"/>
      <c r="D854" s="133"/>
      <c r="E854" s="133"/>
      <c r="F854" s="133"/>
      <c r="G854" s="133"/>
      <c r="H854" s="133"/>
      <c r="I854" s="133"/>
    </row>
    <row r="855" spans="1:9">
      <c r="A855" s="133"/>
      <c r="B855" s="133"/>
      <c r="C855" s="133"/>
      <c r="D855" s="133"/>
      <c r="E855" s="133"/>
      <c r="F855" s="133"/>
      <c r="G855" s="133"/>
      <c r="H855" s="133"/>
      <c r="I855" s="133"/>
    </row>
    <row r="856" spans="1:9">
      <c r="A856" s="133"/>
      <c r="B856" s="133"/>
      <c r="C856" s="133"/>
      <c r="D856" s="133"/>
      <c r="E856" s="133"/>
      <c r="F856" s="133"/>
      <c r="G856" s="133"/>
      <c r="H856" s="133"/>
      <c r="I856" s="133"/>
    </row>
    <row r="857" spans="1:9">
      <c r="A857" s="133"/>
      <c r="B857" s="133"/>
      <c r="C857" s="133"/>
      <c r="D857" s="133"/>
      <c r="E857" s="133"/>
      <c r="F857" s="133"/>
      <c r="G857" s="133"/>
      <c r="H857" s="133"/>
      <c r="I857" s="133"/>
    </row>
    <row r="858" spans="1:9">
      <c r="A858" s="133"/>
      <c r="B858" s="133"/>
      <c r="C858" s="133"/>
      <c r="D858" s="133"/>
      <c r="E858" s="133"/>
      <c r="F858" s="133"/>
      <c r="G858" s="133"/>
      <c r="H858" s="133"/>
      <c r="I858" s="133"/>
    </row>
    <row r="859" spans="1:9">
      <c r="A859" s="133"/>
      <c r="B859" s="133"/>
      <c r="C859" s="133"/>
      <c r="D859" s="133"/>
      <c r="E859" s="133"/>
      <c r="F859" s="133"/>
      <c r="G859" s="133"/>
      <c r="H859" s="133"/>
      <c r="I859" s="133"/>
    </row>
    <row r="860" spans="1:9">
      <c r="A860" s="133"/>
      <c r="B860" s="133"/>
      <c r="C860" s="133"/>
      <c r="D860" s="133"/>
      <c r="E860" s="133"/>
      <c r="F860" s="133"/>
      <c r="G860" s="133"/>
      <c r="H860" s="133"/>
      <c r="I860" s="133"/>
    </row>
    <row r="861" spans="1:9">
      <c r="A861" s="133"/>
      <c r="B861" s="133"/>
      <c r="C861" s="133"/>
      <c r="D861" s="133"/>
      <c r="E861" s="133"/>
      <c r="F861" s="133"/>
      <c r="G861" s="133"/>
      <c r="H861" s="133"/>
      <c r="I861" s="133"/>
    </row>
    <row r="862" spans="1:9">
      <c r="A862" s="133"/>
      <c r="B862" s="133"/>
      <c r="C862" s="133"/>
      <c r="D862" s="133"/>
      <c r="E862" s="133"/>
      <c r="F862" s="133"/>
      <c r="G862" s="133"/>
      <c r="H862" s="133"/>
      <c r="I862" s="133"/>
    </row>
    <row r="863" spans="1:9">
      <c r="A863" s="133"/>
      <c r="B863" s="133"/>
      <c r="C863" s="133"/>
      <c r="D863" s="133"/>
      <c r="E863" s="133"/>
      <c r="F863" s="133"/>
      <c r="G863" s="133"/>
      <c r="H863" s="133"/>
      <c r="I863" s="133"/>
    </row>
    <row r="864" spans="1:9">
      <c r="A864" s="133"/>
      <c r="B864" s="133"/>
      <c r="C864" s="133"/>
      <c r="D864" s="133"/>
      <c r="E864" s="133"/>
      <c r="F864" s="133"/>
      <c r="G864" s="133"/>
      <c r="H864" s="133"/>
      <c r="I864" s="133"/>
    </row>
    <row r="865" spans="1:9">
      <c r="A865" s="133"/>
      <c r="B865" s="133"/>
      <c r="C865" s="133"/>
      <c r="D865" s="133"/>
      <c r="E865" s="133"/>
      <c r="F865" s="133"/>
      <c r="G865" s="133"/>
      <c r="H865" s="133"/>
      <c r="I865" s="133"/>
    </row>
    <row r="866" spans="1:9">
      <c r="A866" s="133"/>
      <c r="B866" s="133"/>
      <c r="C866" s="133"/>
      <c r="D866" s="133"/>
      <c r="E866" s="133"/>
      <c r="F866" s="133"/>
      <c r="G866" s="133"/>
      <c r="H866" s="133"/>
      <c r="I866" s="133"/>
    </row>
    <row r="867" spans="1:9">
      <c r="A867" s="133"/>
      <c r="B867" s="133"/>
      <c r="C867" s="133"/>
      <c r="D867" s="133"/>
      <c r="E867" s="133"/>
      <c r="F867" s="133"/>
      <c r="G867" s="133"/>
      <c r="H867" s="133"/>
      <c r="I867" s="133"/>
    </row>
    <row r="868" spans="1:9">
      <c r="A868" s="133"/>
      <c r="B868" s="133"/>
      <c r="C868" s="133"/>
      <c r="D868" s="133"/>
      <c r="E868" s="133"/>
      <c r="F868" s="133"/>
      <c r="G868" s="133"/>
      <c r="H868" s="133"/>
      <c r="I868" s="133"/>
    </row>
    <row r="869" spans="1:9">
      <c r="A869" s="133"/>
      <c r="B869" s="133"/>
      <c r="C869" s="133"/>
      <c r="D869" s="133"/>
      <c r="E869" s="133"/>
      <c r="F869" s="133"/>
      <c r="G869" s="133"/>
      <c r="H869" s="133"/>
      <c r="I869" s="133"/>
    </row>
    <row r="870" spans="1:9">
      <c r="A870" s="133"/>
      <c r="B870" s="133"/>
      <c r="C870" s="133"/>
      <c r="D870" s="133"/>
      <c r="E870" s="133"/>
      <c r="F870" s="133"/>
      <c r="G870" s="133"/>
      <c r="H870" s="133"/>
      <c r="I870" s="133"/>
    </row>
    <row r="871" spans="1:9">
      <c r="A871" s="133"/>
      <c r="B871" s="133"/>
      <c r="C871" s="133"/>
      <c r="D871" s="133"/>
      <c r="E871" s="133"/>
      <c r="F871" s="133"/>
      <c r="G871" s="133"/>
      <c r="H871" s="133"/>
      <c r="I871" s="133"/>
    </row>
    <row r="872" spans="1:9">
      <c r="A872" s="133"/>
      <c r="B872" s="133"/>
      <c r="C872" s="133"/>
      <c r="D872" s="133"/>
      <c r="E872" s="133"/>
      <c r="F872" s="133"/>
      <c r="G872" s="133"/>
      <c r="H872" s="133"/>
      <c r="I872" s="133"/>
    </row>
    <row r="873" spans="1:9">
      <c r="A873" s="133"/>
      <c r="B873" s="133"/>
      <c r="C873" s="133"/>
      <c r="D873" s="133"/>
      <c r="E873" s="133"/>
      <c r="F873" s="133"/>
      <c r="G873" s="133"/>
      <c r="H873" s="133"/>
      <c r="I873" s="133"/>
    </row>
    <row r="874" spans="1:9">
      <c r="A874" s="133"/>
      <c r="B874" s="133"/>
      <c r="C874" s="133"/>
      <c r="D874" s="133"/>
      <c r="E874" s="133"/>
      <c r="F874" s="133"/>
      <c r="G874" s="133"/>
      <c r="H874" s="133"/>
      <c r="I874" s="133"/>
    </row>
    <row r="875" spans="1:9">
      <c r="A875" s="133"/>
      <c r="B875" s="133"/>
      <c r="C875" s="133"/>
      <c r="D875" s="133"/>
      <c r="E875" s="133"/>
      <c r="F875" s="133"/>
      <c r="G875" s="133"/>
      <c r="H875" s="133"/>
      <c r="I875" s="133"/>
    </row>
    <row r="876" spans="1:9">
      <c r="A876" s="133"/>
      <c r="B876" s="133"/>
      <c r="C876" s="133"/>
      <c r="D876" s="133"/>
      <c r="E876" s="133"/>
      <c r="F876" s="133"/>
      <c r="G876" s="133"/>
      <c r="H876" s="133"/>
      <c r="I876" s="133"/>
    </row>
    <row r="877" spans="1:9">
      <c r="A877" s="133"/>
      <c r="B877" s="133"/>
      <c r="C877" s="133"/>
      <c r="D877" s="133"/>
      <c r="E877" s="133"/>
      <c r="F877" s="133"/>
      <c r="G877" s="133"/>
      <c r="H877" s="133"/>
      <c r="I877" s="133"/>
    </row>
    <row r="878" spans="1:9">
      <c r="A878" s="133"/>
      <c r="B878" s="133"/>
      <c r="C878" s="133"/>
      <c r="D878" s="133"/>
      <c r="E878" s="133"/>
      <c r="F878" s="133"/>
      <c r="G878" s="133"/>
      <c r="H878" s="133"/>
      <c r="I878" s="133"/>
    </row>
    <row r="879" spans="1:9">
      <c r="A879" s="133"/>
      <c r="B879" s="133"/>
      <c r="C879" s="133"/>
      <c r="D879" s="133"/>
      <c r="E879" s="133"/>
      <c r="F879" s="133"/>
      <c r="G879" s="133"/>
      <c r="H879" s="133"/>
      <c r="I879" s="133"/>
    </row>
    <row r="880" spans="1:9">
      <c r="A880" s="133"/>
      <c r="B880" s="133"/>
      <c r="C880" s="133"/>
      <c r="D880" s="133"/>
      <c r="E880" s="133"/>
      <c r="F880" s="133"/>
      <c r="G880" s="133"/>
      <c r="H880" s="133"/>
      <c r="I880" s="133"/>
    </row>
    <row r="881" spans="1:9">
      <c r="A881" s="133"/>
      <c r="B881" s="133"/>
      <c r="C881" s="133"/>
      <c r="D881" s="133"/>
      <c r="E881" s="133"/>
      <c r="F881" s="133"/>
      <c r="G881" s="133"/>
      <c r="H881" s="133"/>
      <c r="I881" s="133"/>
    </row>
    <row r="882" spans="1:9">
      <c r="A882" s="133"/>
      <c r="B882" s="133"/>
      <c r="C882" s="133"/>
      <c r="D882" s="133"/>
      <c r="E882" s="133"/>
      <c r="F882" s="133"/>
      <c r="G882" s="133"/>
      <c r="H882" s="133"/>
      <c r="I882" s="133"/>
    </row>
    <row r="883" spans="1:9">
      <c r="A883" s="133"/>
      <c r="B883" s="133"/>
      <c r="C883" s="133"/>
      <c r="D883" s="133"/>
      <c r="E883" s="133"/>
      <c r="F883" s="133"/>
      <c r="G883" s="133"/>
      <c r="H883" s="133"/>
      <c r="I883" s="133"/>
    </row>
    <row r="884" spans="1:9">
      <c r="A884" s="133"/>
      <c r="B884" s="133"/>
      <c r="C884" s="133"/>
      <c r="D884" s="133"/>
      <c r="E884" s="133"/>
      <c r="F884" s="133"/>
      <c r="G884" s="133"/>
      <c r="H884" s="133"/>
      <c r="I884" s="133"/>
    </row>
    <row r="885" spans="1:9">
      <c r="A885" s="133"/>
      <c r="B885" s="133"/>
      <c r="C885" s="133"/>
      <c r="D885" s="133"/>
      <c r="E885" s="133"/>
      <c r="F885" s="133"/>
      <c r="G885" s="133"/>
      <c r="H885" s="133"/>
      <c r="I885" s="133"/>
    </row>
    <row r="886" spans="1:9">
      <c r="A886" s="133"/>
      <c r="B886" s="133"/>
      <c r="C886" s="133"/>
      <c r="D886" s="133"/>
      <c r="E886" s="133"/>
      <c r="F886" s="133"/>
      <c r="G886" s="133"/>
      <c r="H886" s="133"/>
      <c r="I886" s="133"/>
    </row>
    <row r="887" spans="1:9">
      <c r="A887" s="133"/>
      <c r="B887" s="133"/>
      <c r="C887" s="133"/>
      <c r="D887" s="133"/>
      <c r="E887" s="133"/>
      <c r="F887" s="133"/>
      <c r="G887" s="133"/>
      <c r="H887" s="133"/>
      <c r="I887" s="133"/>
    </row>
    <row r="888" spans="1:9">
      <c r="A888" s="133"/>
      <c r="B888" s="133"/>
      <c r="C888" s="133"/>
      <c r="D888" s="133"/>
      <c r="E888" s="133"/>
      <c r="F888" s="133"/>
      <c r="G888" s="133"/>
      <c r="H888" s="133"/>
      <c r="I888" s="133"/>
    </row>
    <row r="889" spans="1:9">
      <c r="A889" s="133"/>
      <c r="B889" s="133"/>
      <c r="C889" s="133"/>
      <c r="D889" s="133"/>
      <c r="E889" s="133"/>
      <c r="F889" s="133"/>
      <c r="G889" s="133"/>
      <c r="H889" s="133"/>
      <c r="I889" s="133"/>
    </row>
    <row r="890" spans="1:9">
      <c r="A890" s="133"/>
      <c r="B890" s="133"/>
      <c r="C890" s="133"/>
      <c r="D890" s="133"/>
      <c r="E890" s="133"/>
      <c r="F890" s="133"/>
      <c r="G890" s="133"/>
      <c r="H890" s="133"/>
      <c r="I890" s="133"/>
    </row>
    <row r="891" spans="1:9">
      <c r="A891" s="133"/>
      <c r="B891" s="133"/>
      <c r="C891" s="133"/>
      <c r="D891" s="133"/>
      <c r="E891" s="133"/>
      <c r="F891" s="133"/>
      <c r="G891" s="133"/>
      <c r="H891" s="133"/>
      <c r="I891" s="133"/>
    </row>
    <row r="892" spans="1:9">
      <c r="A892" s="133"/>
      <c r="B892" s="133"/>
      <c r="C892" s="133"/>
      <c r="D892" s="133"/>
      <c r="E892" s="133"/>
      <c r="F892" s="133"/>
      <c r="G892" s="133"/>
      <c r="H892" s="133"/>
      <c r="I892" s="133"/>
    </row>
    <row r="893" spans="1:9">
      <c r="A893" s="133"/>
      <c r="B893" s="133"/>
      <c r="C893" s="133"/>
      <c r="D893" s="133"/>
      <c r="E893" s="133"/>
      <c r="F893" s="133"/>
      <c r="G893" s="133"/>
      <c r="H893" s="133"/>
      <c r="I893" s="133"/>
    </row>
    <row r="894" spans="1:9">
      <c r="A894" s="133"/>
      <c r="B894" s="133"/>
      <c r="C894" s="133"/>
      <c r="D894" s="133"/>
      <c r="E894" s="133"/>
      <c r="F894" s="133"/>
      <c r="G894" s="133"/>
      <c r="H894" s="133"/>
      <c r="I894" s="133"/>
    </row>
    <row r="895" spans="1:9">
      <c r="A895" s="133"/>
      <c r="B895" s="133"/>
      <c r="C895" s="133"/>
      <c r="D895" s="133"/>
      <c r="E895" s="133"/>
      <c r="F895" s="133"/>
      <c r="G895" s="133"/>
      <c r="H895" s="133"/>
      <c r="I895" s="133"/>
    </row>
    <row r="896" spans="1:9">
      <c r="A896" s="133"/>
      <c r="B896" s="133"/>
      <c r="C896" s="133"/>
      <c r="D896" s="133"/>
      <c r="E896" s="133"/>
      <c r="F896" s="133"/>
      <c r="G896" s="133"/>
      <c r="H896" s="133"/>
      <c r="I896" s="133"/>
    </row>
    <row r="897" spans="1:9">
      <c r="A897" s="133"/>
      <c r="B897" s="133"/>
      <c r="C897" s="133"/>
      <c r="D897" s="133"/>
      <c r="E897" s="133"/>
      <c r="F897" s="133"/>
      <c r="G897" s="133"/>
      <c r="H897" s="133"/>
      <c r="I897" s="133"/>
    </row>
    <row r="898" spans="1:9">
      <c r="A898" s="133"/>
      <c r="B898" s="133"/>
      <c r="C898" s="133"/>
      <c r="D898" s="133"/>
      <c r="E898" s="133"/>
      <c r="F898" s="133"/>
      <c r="G898" s="133"/>
      <c r="H898" s="133"/>
      <c r="I898" s="133"/>
    </row>
    <row r="899" spans="1:9">
      <c r="A899" s="133"/>
      <c r="B899" s="133"/>
      <c r="C899" s="133"/>
      <c r="D899" s="133"/>
      <c r="E899" s="133"/>
      <c r="F899" s="133"/>
      <c r="G899" s="133"/>
      <c r="H899" s="133"/>
      <c r="I899" s="133"/>
    </row>
    <row r="900" spans="1:9">
      <c r="A900" s="133"/>
      <c r="B900" s="133"/>
      <c r="C900" s="133"/>
      <c r="D900" s="133"/>
      <c r="E900" s="133"/>
      <c r="F900" s="133"/>
      <c r="G900" s="133"/>
      <c r="H900" s="133"/>
      <c r="I900" s="133"/>
    </row>
    <row r="901" spans="1:9">
      <c r="A901" s="133"/>
      <c r="B901" s="133"/>
      <c r="C901" s="133"/>
      <c r="D901" s="133"/>
      <c r="E901" s="133"/>
      <c r="F901" s="133"/>
      <c r="G901" s="133"/>
      <c r="H901" s="133"/>
      <c r="I901" s="133"/>
    </row>
    <row r="902" spans="1:9">
      <c r="A902" s="133"/>
      <c r="B902" s="133"/>
      <c r="C902" s="133"/>
      <c r="D902" s="133"/>
      <c r="E902" s="133"/>
      <c r="F902" s="133"/>
      <c r="G902" s="133"/>
      <c r="H902" s="133"/>
      <c r="I902" s="133"/>
    </row>
    <row r="903" spans="1:9">
      <c r="A903" s="133"/>
      <c r="B903" s="133"/>
      <c r="C903" s="133"/>
      <c r="D903" s="133"/>
      <c r="E903" s="133"/>
      <c r="F903" s="133"/>
      <c r="G903" s="133"/>
      <c r="H903" s="133"/>
      <c r="I903" s="133"/>
    </row>
    <row r="904" spans="1:9">
      <c r="A904" s="133"/>
      <c r="B904" s="133"/>
      <c r="C904" s="133"/>
      <c r="D904" s="133"/>
      <c r="E904" s="133"/>
      <c r="F904" s="133"/>
      <c r="G904" s="133"/>
      <c r="H904" s="133"/>
      <c r="I904" s="133"/>
    </row>
    <row r="905" spans="1:9">
      <c r="A905" s="133"/>
      <c r="B905" s="133"/>
      <c r="C905" s="133"/>
      <c r="D905" s="133"/>
      <c r="E905" s="133"/>
      <c r="F905" s="133"/>
      <c r="G905" s="133"/>
      <c r="H905" s="133"/>
      <c r="I905" s="133"/>
    </row>
    <row r="906" spans="1:9">
      <c r="A906" s="133"/>
      <c r="B906" s="133"/>
      <c r="C906" s="133"/>
      <c r="D906" s="133"/>
      <c r="E906" s="133"/>
      <c r="F906" s="133"/>
      <c r="G906" s="133"/>
      <c r="H906" s="133"/>
      <c r="I906" s="133"/>
    </row>
    <row r="907" spans="1:9">
      <c r="A907" s="133"/>
      <c r="B907" s="133"/>
      <c r="C907" s="133"/>
      <c r="D907" s="133"/>
      <c r="E907" s="133"/>
      <c r="F907" s="133"/>
      <c r="G907" s="133"/>
      <c r="H907" s="133"/>
      <c r="I907" s="133"/>
    </row>
    <row r="908" spans="1:9">
      <c r="A908" s="133"/>
      <c r="B908" s="133"/>
      <c r="C908" s="133"/>
      <c r="D908" s="133"/>
      <c r="E908" s="133"/>
      <c r="F908" s="133"/>
      <c r="G908" s="133"/>
      <c r="H908" s="133"/>
      <c r="I908" s="133"/>
    </row>
    <row r="909" spans="1:9">
      <c r="A909" s="133"/>
      <c r="B909" s="133"/>
      <c r="C909" s="133"/>
      <c r="D909" s="133"/>
      <c r="E909" s="133"/>
      <c r="F909" s="133"/>
      <c r="G909" s="133"/>
      <c r="H909" s="133"/>
      <c r="I909" s="133"/>
    </row>
    <row r="910" spans="1:9">
      <c r="A910" s="133"/>
      <c r="B910" s="133"/>
      <c r="C910" s="133"/>
      <c r="D910" s="133"/>
      <c r="E910" s="133"/>
      <c r="F910" s="133"/>
      <c r="G910" s="133"/>
      <c r="H910" s="133"/>
      <c r="I910" s="133"/>
    </row>
    <row r="911" spans="1:9">
      <c r="A911" s="133"/>
      <c r="B911" s="133"/>
      <c r="C911" s="133"/>
      <c r="D911" s="133"/>
      <c r="E911" s="133"/>
      <c r="F911" s="133"/>
      <c r="G911" s="133"/>
      <c r="H911" s="133"/>
      <c r="I911" s="133"/>
    </row>
    <row r="912" spans="1:9">
      <c r="A912" s="133"/>
      <c r="B912" s="133"/>
      <c r="C912" s="133"/>
      <c r="D912" s="133"/>
      <c r="E912" s="133"/>
      <c r="F912" s="133"/>
      <c r="G912" s="133"/>
      <c r="H912" s="133"/>
      <c r="I912" s="133"/>
    </row>
    <row r="913" spans="1:9">
      <c r="A913" s="133"/>
      <c r="B913" s="133"/>
      <c r="C913" s="133"/>
      <c r="D913" s="133"/>
      <c r="E913" s="133"/>
      <c r="F913" s="133"/>
      <c r="G913" s="133"/>
      <c r="H913" s="133"/>
      <c r="I913" s="133"/>
    </row>
    <row r="914" spans="1:9">
      <c r="A914" s="133"/>
      <c r="B914" s="133"/>
      <c r="C914" s="133"/>
      <c r="D914" s="133"/>
      <c r="E914" s="133"/>
      <c r="F914" s="133"/>
      <c r="G914" s="133"/>
      <c r="H914" s="133"/>
      <c r="I914" s="133"/>
    </row>
    <row r="915" spans="1:9">
      <c r="A915" s="133"/>
      <c r="B915" s="133"/>
      <c r="C915" s="133"/>
      <c r="D915" s="133"/>
      <c r="E915" s="133"/>
      <c r="F915" s="133"/>
      <c r="G915" s="133"/>
      <c r="H915" s="133"/>
      <c r="I915" s="133"/>
    </row>
    <row r="916" spans="1:9">
      <c r="A916" s="133"/>
      <c r="B916" s="133"/>
      <c r="C916" s="133"/>
      <c r="D916" s="133"/>
      <c r="E916" s="133"/>
      <c r="F916" s="133"/>
      <c r="G916" s="133"/>
      <c r="H916" s="133"/>
      <c r="I916" s="133"/>
    </row>
    <row r="917" spans="1:9">
      <c r="A917" s="133"/>
      <c r="B917" s="133"/>
      <c r="C917" s="133"/>
      <c r="D917" s="133"/>
      <c r="E917" s="133"/>
      <c r="F917" s="133"/>
      <c r="G917" s="133"/>
      <c r="H917" s="133"/>
      <c r="I917" s="133"/>
    </row>
    <row r="918" spans="1:9">
      <c r="A918" s="133"/>
      <c r="B918" s="133"/>
      <c r="C918" s="133"/>
      <c r="D918" s="133"/>
      <c r="E918" s="133"/>
      <c r="F918" s="133"/>
      <c r="G918" s="133"/>
      <c r="H918" s="133"/>
      <c r="I918" s="133"/>
    </row>
    <row r="919" spans="1:9">
      <c r="A919" s="133"/>
      <c r="B919" s="133"/>
      <c r="C919" s="133"/>
      <c r="D919" s="133"/>
      <c r="E919" s="133"/>
      <c r="F919" s="133"/>
      <c r="G919" s="133"/>
      <c r="H919" s="133"/>
      <c r="I919" s="133"/>
    </row>
    <row r="920" spans="1:9">
      <c r="A920" s="133"/>
      <c r="B920" s="133"/>
      <c r="C920" s="133"/>
      <c r="D920" s="133"/>
      <c r="E920" s="133"/>
      <c r="F920" s="133"/>
      <c r="G920" s="133"/>
      <c r="H920" s="133"/>
      <c r="I920" s="133"/>
    </row>
    <row r="921" spans="1:9">
      <c r="A921" s="133"/>
      <c r="B921" s="133"/>
      <c r="C921" s="133"/>
      <c r="D921" s="133"/>
      <c r="E921" s="133"/>
      <c r="F921" s="133"/>
      <c r="G921" s="133"/>
      <c r="H921" s="133"/>
      <c r="I921" s="133"/>
    </row>
    <row r="922" spans="1:9">
      <c r="A922" s="133"/>
      <c r="B922" s="133"/>
      <c r="C922" s="133"/>
      <c r="D922" s="133"/>
      <c r="E922" s="133"/>
      <c r="F922" s="133"/>
      <c r="G922" s="133"/>
      <c r="H922" s="133"/>
      <c r="I922" s="133"/>
    </row>
    <row r="923" spans="1:9">
      <c r="A923" s="133"/>
      <c r="B923" s="133"/>
      <c r="C923" s="133"/>
      <c r="D923" s="133"/>
      <c r="E923" s="133"/>
      <c r="F923" s="133"/>
      <c r="G923" s="133"/>
      <c r="H923" s="133"/>
      <c r="I923" s="133"/>
    </row>
    <row r="924" spans="1:9">
      <c r="A924" s="133"/>
      <c r="B924" s="133"/>
      <c r="C924" s="133"/>
      <c r="D924" s="133"/>
      <c r="E924" s="133"/>
      <c r="F924" s="133"/>
      <c r="G924" s="133"/>
      <c r="H924" s="133"/>
      <c r="I924" s="133"/>
    </row>
    <row r="925" spans="1:9">
      <c r="A925" s="133"/>
      <c r="B925" s="133"/>
      <c r="C925" s="133"/>
      <c r="D925" s="133"/>
      <c r="E925" s="133"/>
      <c r="F925" s="133"/>
      <c r="G925" s="133"/>
      <c r="H925" s="133"/>
      <c r="I925" s="133"/>
    </row>
    <row r="926" spans="1:9">
      <c r="A926" s="133"/>
      <c r="B926" s="133"/>
      <c r="C926" s="133"/>
      <c r="D926" s="133"/>
      <c r="E926" s="133"/>
      <c r="F926" s="133"/>
      <c r="G926" s="133"/>
      <c r="H926" s="133"/>
      <c r="I926" s="133"/>
    </row>
    <row r="927" spans="1:9">
      <c r="A927" s="133"/>
      <c r="B927" s="133"/>
      <c r="C927" s="133"/>
      <c r="D927" s="133"/>
      <c r="E927" s="133"/>
      <c r="F927" s="133"/>
      <c r="G927" s="133"/>
      <c r="H927" s="133"/>
      <c r="I927" s="133"/>
    </row>
    <row r="928" spans="1:9">
      <c r="A928" s="133"/>
      <c r="B928" s="133"/>
      <c r="C928" s="133"/>
      <c r="D928" s="133"/>
      <c r="E928" s="133"/>
      <c r="F928" s="133"/>
      <c r="G928" s="133"/>
      <c r="H928" s="133"/>
      <c r="I928" s="133"/>
    </row>
    <row r="929" spans="1:9">
      <c r="A929" s="133"/>
      <c r="B929" s="133"/>
      <c r="C929" s="133"/>
      <c r="D929" s="133"/>
      <c r="E929" s="133"/>
      <c r="F929" s="133"/>
      <c r="G929" s="133"/>
      <c r="H929" s="133"/>
      <c r="I929" s="133"/>
    </row>
    <row r="930" spans="1:9">
      <c r="A930" s="133"/>
      <c r="B930" s="133"/>
      <c r="C930" s="133"/>
      <c r="D930" s="133"/>
      <c r="E930" s="133"/>
      <c r="F930" s="133"/>
      <c r="G930" s="133"/>
      <c r="H930" s="133"/>
      <c r="I930" s="133"/>
    </row>
    <row r="931" spans="1:9">
      <c r="A931" s="133"/>
      <c r="B931" s="133"/>
      <c r="C931" s="133"/>
      <c r="D931" s="133"/>
      <c r="E931" s="133"/>
      <c r="F931" s="133"/>
      <c r="G931" s="133"/>
      <c r="H931" s="133"/>
      <c r="I931" s="133"/>
    </row>
    <row r="932" spans="1:9">
      <c r="A932" s="133"/>
      <c r="B932" s="133"/>
      <c r="C932" s="133"/>
      <c r="D932" s="133"/>
      <c r="E932" s="133"/>
      <c r="F932" s="133"/>
      <c r="G932" s="133"/>
      <c r="H932" s="133"/>
      <c r="I932" s="133"/>
    </row>
    <row r="933" spans="1:9">
      <c r="A933" s="133"/>
      <c r="B933" s="133"/>
      <c r="C933" s="133"/>
      <c r="D933" s="133"/>
      <c r="E933" s="133"/>
      <c r="F933" s="133"/>
      <c r="G933" s="133"/>
      <c r="H933" s="133"/>
      <c r="I933" s="133"/>
    </row>
    <row r="934" spans="1:9">
      <c r="A934" s="133"/>
      <c r="B934" s="133"/>
      <c r="C934" s="133"/>
      <c r="D934" s="133"/>
      <c r="E934" s="133"/>
      <c r="F934" s="133"/>
      <c r="G934" s="133"/>
      <c r="H934" s="133"/>
      <c r="I934" s="133"/>
    </row>
    <row r="935" spans="1:9">
      <c r="A935" s="133"/>
      <c r="B935" s="133"/>
      <c r="C935" s="133"/>
      <c r="D935" s="133"/>
      <c r="E935" s="133"/>
      <c r="F935" s="133"/>
      <c r="G935" s="133"/>
      <c r="H935" s="133"/>
      <c r="I935" s="133"/>
    </row>
    <row r="936" spans="1:9">
      <c r="A936" s="133"/>
      <c r="B936" s="133"/>
      <c r="C936" s="133"/>
      <c r="D936" s="133"/>
      <c r="E936" s="133"/>
      <c r="F936" s="133"/>
      <c r="G936" s="133"/>
      <c r="H936" s="133"/>
      <c r="I936" s="133"/>
    </row>
    <row r="937" spans="1:9">
      <c r="A937" s="133"/>
      <c r="B937" s="133"/>
      <c r="C937" s="133"/>
      <c r="D937" s="133"/>
      <c r="E937" s="133"/>
      <c r="F937" s="133"/>
      <c r="G937" s="133"/>
      <c r="H937" s="133"/>
      <c r="I937" s="133"/>
    </row>
    <row r="938" spans="1:9">
      <c r="A938" s="133"/>
      <c r="B938" s="133"/>
      <c r="C938" s="133"/>
      <c r="D938" s="133"/>
      <c r="E938" s="133"/>
      <c r="F938" s="133"/>
      <c r="G938" s="133"/>
      <c r="H938" s="133"/>
      <c r="I938" s="133"/>
    </row>
    <row r="939" spans="1:9">
      <c r="A939" s="133"/>
      <c r="B939" s="133"/>
      <c r="C939" s="133"/>
      <c r="D939" s="133"/>
      <c r="E939" s="133"/>
      <c r="F939" s="133"/>
      <c r="G939" s="133"/>
      <c r="H939" s="133"/>
      <c r="I939" s="133"/>
    </row>
    <row r="940" spans="1:9">
      <c r="A940" s="133"/>
      <c r="B940" s="133"/>
      <c r="C940" s="133"/>
      <c r="D940" s="133"/>
      <c r="E940" s="133"/>
      <c r="F940" s="133"/>
      <c r="G940" s="133"/>
      <c r="H940" s="133"/>
      <c r="I940" s="133"/>
    </row>
    <row r="941" spans="1:9">
      <c r="A941" s="133"/>
      <c r="B941" s="133"/>
      <c r="C941" s="133"/>
      <c r="D941" s="133"/>
      <c r="E941" s="133"/>
      <c r="F941" s="133"/>
      <c r="G941" s="133"/>
      <c r="H941" s="133"/>
      <c r="I941" s="133"/>
    </row>
    <row r="942" spans="1:9">
      <c r="A942" s="133"/>
      <c r="B942" s="133"/>
      <c r="C942" s="133"/>
      <c r="D942" s="133"/>
      <c r="E942" s="133"/>
      <c r="F942" s="133"/>
      <c r="G942" s="133"/>
      <c r="H942" s="133"/>
      <c r="I942" s="133"/>
    </row>
    <row r="943" spans="1:9">
      <c r="A943" s="133"/>
      <c r="B943" s="133"/>
      <c r="C943" s="133"/>
      <c r="D943" s="133"/>
      <c r="E943" s="133"/>
      <c r="F943" s="133"/>
      <c r="G943" s="133"/>
      <c r="H943" s="133"/>
      <c r="I943" s="133"/>
    </row>
    <row r="944" spans="1:9">
      <c r="A944" s="133"/>
      <c r="B944" s="133"/>
      <c r="C944" s="133"/>
      <c r="D944" s="133"/>
      <c r="E944" s="133"/>
      <c r="F944" s="133"/>
      <c r="G944" s="133"/>
      <c r="H944" s="133"/>
      <c r="I944" s="133"/>
    </row>
    <row r="945" spans="1:9">
      <c r="A945" s="133"/>
      <c r="B945" s="133"/>
      <c r="C945" s="133"/>
      <c r="D945" s="133"/>
      <c r="E945" s="133"/>
      <c r="F945" s="133"/>
      <c r="G945" s="133"/>
      <c r="H945" s="133"/>
      <c r="I945" s="133"/>
    </row>
    <row r="946" spans="1:9">
      <c r="A946" s="133"/>
      <c r="B946" s="133"/>
      <c r="C946" s="133"/>
      <c r="D946" s="133"/>
      <c r="E946" s="133"/>
      <c r="F946" s="133"/>
      <c r="G946" s="133"/>
      <c r="H946" s="133"/>
      <c r="I946" s="133"/>
    </row>
    <row r="947" spans="1:9">
      <c r="A947" s="133"/>
      <c r="B947" s="133"/>
      <c r="C947" s="133"/>
      <c r="D947" s="133"/>
      <c r="E947" s="133"/>
      <c r="F947" s="133"/>
      <c r="G947" s="133"/>
      <c r="H947" s="133"/>
      <c r="I947" s="133"/>
    </row>
    <row r="948" spans="1:9">
      <c r="A948" s="133"/>
      <c r="B948" s="133"/>
      <c r="C948" s="133"/>
      <c r="D948" s="133"/>
      <c r="E948" s="133"/>
      <c r="F948" s="133"/>
      <c r="G948" s="133"/>
      <c r="H948" s="133"/>
      <c r="I948" s="133"/>
    </row>
    <row r="949" spans="1:9">
      <c r="A949" s="133"/>
      <c r="B949" s="133"/>
      <c r="C949" s="133"/>
      <c r="D949" s="133"/>
      <c r="E949" s="133"/>
      <c r="F949" s="133"/>
      <c r="G949" s="133"/>
      <c r="H949" s="133"/>
      <c r="I949" s="133"/>
    </row>
    <row r="950" spans="1:9">
      <c r="A950" s="133"/>
      <c r="B950" s="133"/>
      <c r="C950" s="133"/>
      <c r="D950" s="133"/>
      <c r="E950" s="133"/>
      <c r="F950" s="133"/>
      <c r="G950" s="133"/>
      <c r="H950" s="133"/>
      <c r="I950" s="133"/>
    </row>
    <row r="951" spans="1:9">
      <c r="A951" s="133"/>
      <c r="B951" s="133"/>
      <c r="C951" s="133"/>
      <c r="D951" s="133"/>
      <c r="E951" s="133"/>
      <c r="F951" s="133"/>
      <c r="G951" s="133"/>
      <c r="H951" s="133"/>
      <c r="I951" s="133"/>
    </row>
    <row r="952" spans="1:9">
      <c r="A952" s="133"/>
      <c r="B952" s="133"/>
      <c r="C952" s="133"/>
      <c r="D952" s="133"/>
      <c r="E952" s="133"/>
      <c r="F952" s="133"/>
      <c r="G952" s="133"/>
      <c r="H952" s="133"/>
      <c r="I952" s="133"/>
    </row>
    <row r="953" spans="1:9">
      <c r="A953" s="133"/>
      <c r="B953" s="133"/>
      <c r="C953" s="133"/>
      <c r="D953" s="133"/>
      <c r="E953" s="133"/>
      <c r="F953" s="133"/>
      <c r="G953" s="133"/>
      <c r="H953" s="133"/>
      <c r="I953" s="133"/>
    </row>
    <row r="954" spans="1:9">
      <c r="A954" s="133"/>
      <c r="B954" s="133"/>
      <c r="C954" s="133"/>
      <c r="D954" s="133"/>
      <c r="E954" s="133"/>
      <c r="F954" s="133"/>
      <c r="G954" s="133"/>
      <c r="H954" s="133"/>
      <c r="I954" s="133"/>
    </row>
    <row r="955" spans="1:9">
      <c r="A955" s="133"/>
      <c r="B955" s="133"/>
      <c r="C955" s="133"/>
      <c r="D955" s="133"/>
      <c r="E955" s="133"/>
      <c r="F955" s="133"/>
      <c r="G955" s="133"/>
      <c r="H955" s="133"/>
      <c r="I955" s="133"/>
    </row>
    <row r="956" spans="1:9">
      <c r="A956" s="133"/>
      <c r="B956" s="133"/>
      <c r="C956" s="133"/>
      <c r="D956" s="133"/>
      <c r="E956" s="133"/>
      <c r="F956" s="133"/>
      <c r="G956" s="133"/>
      <c r="H956" s="133"/>
      <c r="I956" s="133"/>
    </row>
    <row r="957" spans="1:9">
      <c r="A957" s="133"/>
      <c r="B957" s="133"/>
      <c r="C957" s="133"/>
      <c r="D957" s="133"/>
      <c r="E957" s="133"/>
      <c r="F957" s="133"/>
      <c r="G957" s="133"/>
      <c r="H957" s="133"/>
      <c r="I957" s="133"/>
    </row>
    <row r="958" spans="1:9">
      <c r="A958" s="133"/>
      <c r="B958" s="133"/>
      <c r="C958" s="133"/>
      <c r="D958" s="133"/>
      <c r="E958" s="133"/>
      <c r="F958" s="133"/>
      <c r="G958" s="133"/>
      <c r="H958" s="133"/>
      <c r="I958" s="133"/>
    </row>
    <row r="959" spans="1:9">
      <c r="A959" s="133"/>
      <c r="B959" s="133"/>
      <c r="C959" s="133"/>
      <c r="D959" s="133"/>
      <c r="E959" s="133"/>
      <c r="F959" s="133"/>
      <c r="G959" s="133"/>
      <c r="H959" s="133"/>
      <c r="I959" s="133"/>
    </row>
    <row r="960" spans="1:9">
      <c r="A960" s="133"/>
      <c r="B960" s="133"/>
      <c r="C960" s="133"/>
      <c r="D960" s="133"/>
      <c r="E960" s="133"/>
      <c r="F960" s="133"/>
      <c r="G960" s="133"/>
      <c r="H960" s="133"/>
      <c r="I960" s="133"/>
    </row>
    <row r="961" spans="1:9">
      <c r="A961" s="133"/>
      <c r="B961" s="133"/>
      <c r="C961" s="133"/>
      <c r="D961" s="133"/>
      <c r="E961" s="133"/>
      <c r="F961" s="133"/>
      <c r="G961" s="133"/>
      <c r="H961" s="133"/>
      <c r="I961" s="133"/>
    </row>
    <row r="962" spans="1:9">
      <c r="A962" s="133"/>
      <c r="B962" s="133"/>
      <c r="C962" s="133"/>
      <c r="D962" s="133"/>
      <c r="E962" s="133"/>
      <c r="F962" s="133"/>
      <c r="G962" s="133"/>
      <c r="H962" s="133"/>
      <c r="I962" s="133"/>
    </row>
    <row r="963" spans="1:9">
      <c r="A963" s="133"/>
      <c r="B963" s="133"/>
      <c r="C963" s="133"/>
      <c r="D963" s="133"/>
      <c r="E963" s="133"/>
      <c r="F963" s="133"/>
      <c r="G963" s="133"/>
      <c r="H963" s="133"/>
      <c r="I963" s="133"/>
    </row>
    <row r="964" spans="1:9">
      <c r="A964" s="133"/>
      <c r="B964" s="133"/>
      <c r="C964" s="133"/>
      <c r="D964" s="133"/>
      <c r="E964" s="133"/>
      <c r="F964" s="133"/>
      <c r="G964" s="133"/>
      <c r="H964" s="133"/>
      <c r="I964" s="133"/>
    </row>
    <row r="965" spans="1:9">
      <c r="A965" s="133"/>
      <c r="B965" s="133"/>
      <c r="C965" s="133"/>
      <c r="D965" s="133"/>
      <c r="E965" s="133"/>
      <c r="F965" s="133"/>
      <c r="G965" s="133"/>
      <c r="H965" s="133"/>
      <c r="I965" s="133"/>
    </row>
    <row r="966" spans="1:9">
      <c r="A966" s="133"/>
      <c r="B966" s="133"/>
      <c r="C966" s="133"/>
      <c r="D966" s="133"/>
      <c r="E966" s="133"/>
      <c r="F966" s="133"/>
      <c r="G966" s="133"/>
      <c r="H966" s="133"/>
      <c r="I966" s="133"/>
    </row>
    <row r="967" spans="1:9">
      <c r="A967" s="133"/>
      <c r="B967" s="133"/>
      <c r="C967" s="133"/>
      <c r="D967" s="133"/>
      <c r="E967" s="133"/>
      <c r="F967" s="133"/>
      <c r="G967" s="133"/>
      <c r="H967" s="133"/>
      <c r="I967" s="133"/>
    </row>
    <row r="968" spans="1:9">
      <c r="A968" s="133"/>
      <c r="B968" s="133"/>
      <c r="C968" s="133"/>
      <c r="D968" s="133"/>
      <c r="E968" s="133"/>
      <c r="F968" s="133"/>
      <c r="G968" s="133"/>
      <c r="H968" s="133"/>
      <c r="I968" s="133"/>
    </row>
    <row r="969" spans="1:9">
      <c r="A969" s="133"/>
      <c r="B969" s="133"/>
      <c r="C969" s="133"/>
      <c r="D969" s="133"/>
      <c r="E969" s="133"/>
      <c r="F969" s="133"/>
      <c r="G969" s="133"/>
      <c r="H969" s="133"/>
      <c r="I969" s="133"/>
    </row>
    <row r="970" spans="1:9">
      <c r="A970" s="133"/>
      <c r="B970" s="133"/>
      <c r="C970" s="133"/>
      <c r="D970" s="133"/>
      <c r="E970" s="133"/>
      <c r="F970" s="133"/>
      <c r="G970" s="133"/>
      <c r="H970" s="133"/>
      <c r="I970" s="133"/>
    </row>
    <row r="971" spans="1:9">
      <c r="A971" s="133"/>
      <c r="B971" s="133"/>
      <c r="C971" s="133"/>
      <c r="D971" s="133"/>
      <c r="E971" s="133"/>
      <c r="F971" s="133"/>
      <c r="G971" s="133"/>
      <c r="H971" s="133"/>
      <c r="I971" s="133"/>
    </row>
    <row r="972" spans="1:9">
      <c r="A972" s="133"/>
      <c r="B972" s="133"/>
      <c r="C972" s="133"/>
      <c r="D972" s="133"/>
      <c r="E972" s="133"/>
      <c r="F972" s="133"/>
      <c r="G972" s="133"/>
      <c r="H972" s="133"/>
      <c r="I972" s="133"/>
    </row>
    <row r="973" spans="1:9">
      <c r="A973" s="133"/>
      <c r="B973" s="133"/>
      <c r="C973" s="133"/>
      <c r="D973" s="133"/>
      <c r="E973" s="133"/>
      <c r="F973" s="133"/>
      <c r="G973" s="133"/>
      <c r="H973" s="133"/>
      <c r="I973" s="133"/>
    </row>
    <row r="974" spans="1:9">
      <c r="A974" s="133"/>
      <c r="B974" s="133"/>
      <c r="C974" s="133"/>
      <c r="D974" s="133"/>
      <c r="E974" s="133"/>
      <c r="F974" s="133"/>
      <c r="G974" s="133"/>
      <c r="H974" s="133"/>
      <c r="I974" s="133"/>
    </row>
    <row r="975" spans="1:9">
      <c r="A975" s="133"/>
      <c r="B975" s="133"/>
      <c r="C975" s="133"/>
      <c r="D975" s="133"/>
      <c r="E975" s="133"/>
      <c r="F975" s="133"/>
      <c r="G975" s="133"/>
      <c r="H975" s="133"/>
      <c r="I975" s="133"/>
    </row>
    <row r="976" spans="1:9">
      <c r="A976" s="133"/>
      <c r="B976" s="133"/>
      <c r="C976" s="133"/>
      <c r="D976" s="133"/>
      <c r="E976" s="133"/>
      <c r="F976" s="133"/>
      <c r="G976" s="133"/>
      <c r="H976" s="133"/>
      <c r="I976" s="133"/>
    </row>
    <row r="977" spans="1:9">
      <c r="A977" s="133"/>
      <c r="B977" s="133"/>
      <c r="C977" s="133"/>
      <c r="D977" s="133"/>
      <c r="E977" s="133"/>
      <c r="F977" s="133"/>
      <c r="G977" s="133"/>
      <c r="H977" s="133"/>
      <c r="I977" s="133"/>
    </row>
    <row r="978" spans="1:9">
      <c r="A978" s="133"/>
      <c r="B978" s="133"/>
      <c r="C978" s="133"/>
      <c r="D978" s="133"/>
      <c r="E978" s="133"/>
      <c r="F978" s="133"/>
      <c r="G978" s="133"/>
      <c r="H978" s="133"/>
      <c r="I978" s="133"/>
    </row>
    <row r="979" spans="1:9">
      <c r="A979" s="133"/>
      <c r="B979" s="133"/>
      <c r="C979" s="133"/>
      <c r="D979" s="133"/>
      <c r="E979" s="133"/>
      <c r="F979" s="133"/>
      <c r="G979" s="133"/>
      <c r="H979" s="133"/>
      <c r="I979" s="133"/>
    </row>
    <row r="980" spans="1:9">
      <c r="A980" s="133"/>
      <c r="B980" s="133"/>
      <c r="C980" s="133"/>
      <c r="D980" s="133"/>
      <c r="E980" s="133"/>
      <c r="F980" s="133"/>
      <c r="G980" s="133"/>
      <c r="H980" s="133"/>
      <c r="I980" s="133"/>
    </row>
    <row r="981" spans="1:9">
      <c r="A981" s="133"/>
      <c r="B981" s="133"/>
      <c r="C981" s="133"/>
      <c r="D981" s="133"/>
      <c r="E981" s="133"/>
      <c r="F981" s="133"/>
      <c r="G981" s="133"/>
      <c r="H981" s="133"/>
      <c r="I981" s="133"/>
    </row>
    <row r="982" spans="1:9">
      <c r="A982" s="133"/>
      <c r="B982" s="133"/>
      <c r="C982" s="133"/>
      <c r="D982" s="133"/>
      <c r="E982" s="133"/>
      <c r="F982" s="133"/>
      <c r="G982" s="133"/>
      <c r="H982" s="133"/>
      <c r="I982" s="133"/>
    </row>
    <row r="983" spans="1:9">
      <c r="A983" s="133"/>
      <c r="B983" s="133"/>
      <c r="C983" s="133"/>
      <c r="D983" s="133"/>
      <c r="E983" s="133"/>
      <c r="F983" s="133"/>
      <c r="G983" s="133"/>
      <c r="H983" s="133"/>
      <c r="I983" s="133"/>
    </row>
    <row r="984" spans="1:9">
      <c r="A984" s="133"/>
      <c r="B984" s="133"/>
      <c r="C984" s="133"/>
      <c r="D984" s="133"/>
      <c r="E984" s="133"/>
      <c r="F984" s="133"/>
      <c r="G984" s="133"/>
      <c r="H984" s="133"/>
      <c r="I984" s="133"/>
    </row>
    <row r="985" spans="1:9">
      <c r="A985" s="133"/>
      <c r="B985" s="133"/>
      <c r="C985" s="133"/>
      <c r="D985" s="133"/>
      <c r="E985" s="133"/>
      <c r="F985" s="133"/>
      <c r="G985" s="133"/>
      <c r="H985" s="133"/>
      <c r="I985" s="133"/>
    </row>
    <row r="986" spans="1:9">
      <c r="A986" s="133"/>
      <c r="B986" s="133"/>
      <c r="C986" s="133"/>
      <c r="D986" s="133"/>
      <c r="E986" s="133"/>
      <c r="F986" s="133"/>
      <c r="G986" s="133"/>
      <c r="H986" s="133"/>
      <c r="I986" s="133"/>
    </row>
    <row r="987" spans="1:9">
      <c r="A987" s="133"/>
      <c r="B987" s="133"/>
      <c r="C987" s="133"/>
      <c r="D987" s="133"/>
      <c r="E987" s="133"/>
      <c r="F987" s="133"/>
      <c r="G987" s="133"/>
      <c r="H987" s="133"/>
      <c r="I987" s="133"/>
    </row>
    <row r="988" spans="1:9">
      <c r="A988" s="133"/>
      <c r="B988" s="133"/>
      <c r="C988" s="133"/>
      <c r="D988" s="133"/>
      <c r="E988" s="133"/>
      <c r="F988" s="133"/>
      <c r="G988" s="133"/>
      <c r="H988" s="133"/>
      <c r="I988" s="133"/>
    </row>
    <row r="989" spans="1:9">
      <c r="A989" s="133"/>
      <c r="B989" s="133"/>
      <c r="C989" s="133"/>
      <c r="D989" s="133"/>
      <c r="E989" s="133"/>
      <c r="F989" s="133"/>
      <c r="G989" s="133"/>
      <c r="H989" s="133"/>
      <c r="I989" s="133"/>
    </row>
    <row r="990" spans="1:9">
      <c r="A990" s="133"/>
      <c r="B990" s="133"/>
      <c r="C990" s="133"/>
      <c r="D990" s="133"/>
      <c r="E990" s="133"/>
      <c r="F990" s="133"/>
      <c r="G990" s="133"/>
      <c r="H990" s="133"/>
      <c r="I990" s="133"/>
    </row>
    <row r="991" spans="1:9">
      <c r="A991" s="133"/>
      <c r="B991" s="133"/>
      <c r="C991" s="133"/>
      <c r="D991" s="133"/>
      <c r="E991" s="133"/>
      <c r="F991" s="133"/>
      <c r="G991" s="133"/>
      <c r="H991" s="133"/>
      <c r="I991" s="133"/>
    </row>
    <row r="992" spans="1:9">
      <c r="A992" s="133"/>
      <c r="B992" s="133"/>
      <c r="C992" s="133"/>
      <c r="D992" s="133"/>
      <c r="E992" s="133"/>
      <c r="F992" s="133"/>
      <c r="G992" s="133"/>
      <c r="H992" s="133"/>
      <c r="I992" s="133"/>
    </row>
    <row r="993" spans="1:9">
      <c r="A993" s="133"/>
      <c r="B993" s="133"/>
      <c r="C993" s="133"/>
      <c r="D993" s="133"/>
      <c r="E993" s="133"/>
      <c r="F993" s="133"/>
      <c r="G993" s="133"/>
      <c r="H993" s="133"/>
      <c r="I993" s="133"/>
    </row>
    <row r="994" spans="1:9">
      <c r="A994" s="133"/>
      <c r="B994" s="133"/>
      <c r="C994" s="133"/>
      <c r="D994" s="133"/>
      <c r="E994" s="133"/>
      <c r="F994" s="133"/>
      <c r="G994" s="133"/>
      <c r="H994" s="133"/>
      <c r="I994" s="133"/>
    </row>
    <row r="995" spans="1:9">
      <c r="A995" s="133"/>
      <c r="B995" s="133"/>
      <c r="C995" s="133"/>
      <c r="D995" s="133"/>
      <c r="E995" s="133"/>
      <c r="F995" s="133"/>
      <c r="G995" s="133"/>
      <c r="H995" s="133"/>
      <c r="I995" s="133"/>
    </row>
    <row r="996" spans="1:9">
      <c r="A996" s="133"/>
      <c r="B996" s="133"/>
      <c r="C996" s="133"/>
      <c r="D996" s="133"/>
      <c r="E996" s="133"/>
      <c r="F996" s="133"/>
      <c r="G996" s="133"/>
      <c r="H996" s="133"/>
      <c r="I996" s="133"/>
    </row>
    <row r="997" spans="1:9">
      <c r="A997" s="133"/>
      <c r="B997" s="133"/>
      <c r="C997" s="133"/>
      <c r="D997" s="133"/>
      <c r="E997" s="133"/>
      <c r="F997" s="133"/>
      <c r="G997" s="133"/>
      <c r="H997" s="133"/>
      <c r="I997" s="133"/>
    </row>
    <row r="998" spans="1:9">
      <c r="A998" s="133"/>
      <c r="B998" s="133"/>
      <c r="C998" s="133"/>
      <c r="D998" s="133"/>
      <c r="E998" s="133"/>
      <c r="F998" s="133"/>
      <c r="G998" s="133"/>
      <c r="H998" s="133"/>
      <c r="I998" s="133"/>
    </row>
    <row r="999" spans="1:9">
      <c r="A999" s="133"/>
      <c r="B999" s="133"/>
      <c r="C999" s="133"/>
      <c r="D999" s="133"/>
      <c r="E999" s="133"/>
      <c r="F999" s="133"/>
      <c r="G999" s="133"/>
      <c r="H999" s="133"/>
      <c r="I999" s="133"/>
    </row>
    <row r="1000" spans="1:9">
      <c r="A1000" s="133"/>
      <c r="B1000" s="133"/>
      <c r="C1000" s="133"/>
      <c r="D1000" s="133"/>
      <c r="E1000" s="133"/>
      <c r="F1000" s="133"/>
      <c r="G1000" s="133"/>
      <c r="H1000" s="133"/>
      <c r="I1000" s="133"/>
    </row>
    <row r="1001" spans="1:9">
      <c r="A1001" s="133"/>
      <c r="B1001" s="133"/>
      <c r="C1001" s="133"/>
      <c r="D1001" s="133"/>
      <c r="E1001" s="133"/>
      <c r="F1001" s="133"/>
      <c r="G1001" s="133"/>
      <c r="H1001" s="133"/>
      <c r="I1001" s="133"/>
    </row>
    <row r="1002" spans="1:9">
      <c r="A1002" s="133"/>
      <c r="B1002" s="133"/>
      <c r="C1002" s="133"/>
      <c r="D1002" s="133"/>
      <c r="E1002" s="133"/>
      <c r="F1002" s="133"/>
      <c r="G1002" s="133"/>
      <c r="H1002" s="133"/>
      <c r="I1002" s="133"/>
    </row>
    <row r="1003" spans="1:9">
      <c r="A1003" s="133"/>
      <c r="B1003" s="133"/>
      <c r="C1003" s="133"/>
      <c r="D1003" s="133"/>
      <c r="E1003" s="133"/>
      <c r="F1003" s="133"/>
      <c r="G1003" s="133"/>
      <c r="H1003" s="133"/>
      <c r="I1003" s="133"/>
    </row>
    <row r="1004" spans="1:9">
      <c r="A1004" s="133"/>
      <c r="B1004" s="133"/>
      <c r="C1004" s="133"/>
      <c r="D1004" s="133"/>
      <c r="E1004" s="133"/>
      <c r="F1004" s="133"/>
      <c r="G1004" s="133"/>
      <c r="H1004" s="133"/>
      <c r="I1004" s="133"/>
    </row>
    <row r="1005" spans="1:9">
      <c r="A1005" s="133"/>
      <c r="B1005" s="133"/>
      <c r="C1005" s="133"/>
      <c r="D1005" s="133"/>
      <c r="E1005" s="133"/>
      <c r="F1005" s="133"/>
      <c r="G1005" s="133"/>
      <c r="H1005" s="133"/>
      <c r="I1005" s="133"/>
    </row>
    <row r="1006" spans="1:9">
      <c r="A1006" s="133"/>
      <c r="B1006" s="133"/>
      <c r="C1006" s="133"/>
      <c r="D1006" s="133"/>
      <c r="E1006" s="133"/>
      <c r="F1006" s="133"/>
      <c r="G1006" s="133"/>
      <c r="H1006" s="133"/>
      <c r="I1006" s="133"/>
    </row>
    <row r="1007" spans="1:9">
      <c r="A1007" s="133"/>
      <c r="B1007" s="133"/>
      <c r="C1007" s="133"/>
      <c r="D1007" s="133"/>
      <c r="E1007" s="133"/>
      <c r="F1007" s="133"/>
      <c r="G1007" s="133"/>
      <c r="H1007" s="133"/>
      <c r="I1007" s="133"/>
    </row>
    <row r="1008" spans="1:9">
      <c r="A1008" s="133"/>
      <c r="B1008" s="133"/>
      <c r="C1008" s="133"/>
      <c r="D1008" s="133"/>
      <c r="E1008" s="133"/>
      <c r="F1008" s="133"/>
      <c r="G1008" s="133"/>
      <c r="H1008" s="133"/>
      <c r="I1008" s="133"/>
    </row>
    <row r="1009" spans="1:9">
      <c r="A1009" s="133"/>
      <c r="B1009" s="133"/>
      <c r="C1009" s="133"/>
      <c r="D1009" s="133"/>
      <c r="E1009" s="133"/>
      <c r="F1009" s="133"/>
      <c r="G1009" s="133"/>
      <c r="H1009" s="133"/>
      <c r="I1009" s="133"/>
    </row>
    <row r="1010" spans="1:9">
      <c r="A1010" s="133"/>
      <c r="B1010" s="133"/>
      <c r="C1010" s="133"/>
      <c r="D1010" s="133"/>
      <c r="E1010" s="133"/>
      <c r="F1010" s="133"/>
      <c r="G1010" s="133"/>
      <c r="H1010" s="133"/>
      <c r="I1010" s="133"/>
    </row>
    <row r="1011" spans="1:9">
      <c r="A1011" s="133"/>
      <c r="B1011" s="133"/>
      <c r="C1011" s="133"/>
      <c r="D1011" s="133"/>
      <c r="E1011" s="133"/>
      <c r="F1011" s="133"/>
      <c r="G1011" s="133"/>
      <c r="H1011" s="133"/>
      <c r="I1011" s="133"/>
    </row>
    <row r="1012" spans="1:9">
      <c r="A1012" s="133"/>
      <c r="B1012" s="133"/>
      <c r="C1012" s="133"/>
      <c r="D1012" s="133"/>
      <c r="E1012" s="133"/>
      <c r="F1012" s="133"/>
      <c r="G1012" s="133"/>
      <c r="H1012" s="133"/>
      <c r="I1012" s="133"/>
    </row>
    <row r="1013" spans="1:9">
      <c r="A1013" s="133"/>
      <c r="B1013" s="133"/>
      <c r="C1013" s="133"/>
      <c r="D1013" s="133"/>
      <c r="E1013" s="133"/>
      <c r="F1013" s="133"/>
      <c r="G1013" s="133"/>
      <c r="H1013" s="133"/>
      <c r="I1013" s="133"/>
    </row>
    <row r="1014" spans="1:9">
      <c r="A1014" s="133"/>
      <c r="B1014" s="133"/>
      <c r="C1014" s="133"/>
      <c r="D1014" s="133"/>
      <c r="E1014" s="133"/>
      <c r="F1014" s="133"/>
      <c r="G1014" s="133"/>
      <c r="H1014" s="133"/>
      <c r="I1014" s="133"/>
    </row>
    <row r="1015" spans="1:9">
      <c r="A1015" s="133"/>
      <c r="B1015" s="133"/>
      <c r="C1015" s="133"/>
      <c r="D1015" s="133"/>
      <c r="E1015" s="133"/>
      <c r="F1015" s="133"/>
      <c r="G1015" s="133"/>
      <c r="H1015" s="133"/>
      <c r="I1015" s="133"/>
    </row>
    <row r="1016" spans="1:9">
      <c r="A1016" s="133"/>
      <c r="B1016" s="133"/>
      <c r="C1016" s="133"/>
      <c r="D1016" s="133"/>
      <c r="E1016" s="133"/>
      <c r="F1016" s="133"/>
      <c r="G1016" s="133"/>
      <c r="H1016" s="133"/>
      <c r="I1016" s="133"/>
    </row>
    <row r="1017" spans="1:9">
      <c r="A1017" s="133"/>
      <c r="B1017" s="133"/>
      <c r="C1017" s="133"/>
      <c r="D1017" s="133"/>
      <c r="E1017" s="133"/>
      <c r="F1017" s="133"/>
      <c r="G1017" s="133"/>
      <c r="H1017" s="133"/>
      <c r="I1017" s="133"/>
    </row>
    <row r="1018" spans="1:9">
      <c r="A1018" s="133"/>
      <c r="B1018" s="133"/>
      <c r="C1018" s="133"/>
      <c r="D1018" s="133"/>
      <c r="E1018" s="133"/>
      <c r="F1018" s="133"/>
      <c r="G1018" s="133"/>
      <c r="H1018" s="133"/>
      <c r="I1018" s="133"/>
    </row>
    <row r="1019" spans="1:9">
      <c r="A1019" s="133"/>
      <c r="B1019" s="133"/>
      <c r="C1019" s="133"/>
      <c r="D1019" s="133"/>
      <c r="E1019" s="133"/>
      <c r="F1019" s="133"/>
      <c r="G1019" s="133"/>
      <c r="H1019" s="133"/>
      <c r="I1019" s="133"/>
    </row>
    <row r="1020" spans="1:9">
      <c r="A1020" s="133"/>
      <c r="B1020" s="133"/>
      <c r="C1020" s="133"/>
      <c r="D1020" s="133"/>
      <c r="E1020" s="133"/>
      <c r="F1020" s="133"/>
      <c r="G1020" s="133"/>
      <c r="H1020" s="133"/>
      <c r="I1020" s="133"/>
    </row>
    <row r="1021" spans="1:9">
      <c r="A1021" s="133"/>
      <c r="B1021" s="133"/>
      <c r="C1021" s="133"/>
      <c r="D1021" s="133"/>
      <c r="E1021" s="133"/>
      <c r="F1021" s="133"/>
      <c r="G1021" s="133"/>
      <c r="H1021" s="133"/>
      <c r="I1021" s="133"/>
    </row>
    <row r="1022" spans="1:9">
      <c r="A1022" s="133"/>
      <c r="B1022" s="133"/>
      <c r="C1022" s="133"/>
      <c r="D1022" s="133"/>
      <c r="E1022" s="133"/>
      <c r="F1022" s="133"/>
      <c r="G1022" s="133"/>
      <c r="H1022" s="133"/>
      <c r="I1022" s="133"/>
    </row>
    <row r="1023" spans="1:9">
      <c r="A1023" s="133"/>
      <c r="B1023" s="133"/>
      <c r="C1023" s="133"/>
      <c r="D1023" s="133"/>
      <c r="E1023" s="133"/>
      <c r="F1023" s="133"/>
      <c r="G1023" s="133"/>
      <c r="H1023" s="133"/>
      <c r="I1023" s="133"/>
    </row>
    <row r="1024" spans="1:9">
      <c r="A1024" s="133"/>
      <c r="B1024" s="133"/>
      <c r="C1024" s="133"/>
      <c r="D1024" s="133"/>
      <c r="E1024" s="133"/>
      <c r="F1024" s="133"/>
      <c r="G1024" s="133"/>
      <c r="H1024" s="133"/>
      <c r="I1024" s="133"/>
    </row>
    <row r="1025" spans="1:9">
      <c r="A1025" s="133"/>
      <c r="B1025" s="133"/>
      <c r="C1025" s="133"/>
      <c r="D1025" s="133"/>
      <c r="E1025" s="133"/>
      <c r="F1025" s="133"/>
      <c r="G1025" s="133"/>
      <c r="H1025" s="133"/>
      <c r="I1025" s="133"/>
    </row>
    <row r="1026" spans="1:9">
      <c r="A1026" s="133"/>
      <c r="B1026" s="133"/>
      <c r="C1026" s="133"/>
      <c r="D1026" s="133"/>
      <c r="E1026" s="133"/>
      <c r="F1026" s="133"/>
      <c r="G1026" s="133"/>
      <c r="H1026" s="133"/>
      <c r="I1026" s="133"/>
    </row>
    <row r="1027" spans="1:9">
      <c r="A1027" s="133"/>
      <c r="B1027" s="133"/>
      <c r="C1027" s="133"/>
      <c r="D1027" s="133"/>
      <c r="E1027" s="133"/>
      <c r="F1027" s="133"/>
      <c r="G1027" s="133"/>
      <c r="H1027" s="133"/>
      <c r="I1027" s="133"/>
    </row>
    <row r="1028" spans="1:9">
      <c r="A1028" s="133"/>
      <c r="B1028" s="133"/>
      <c r="C1028" s="133"/>
      <c r="D1028" s="133"/>
      <c r="E1028" s="133"/>
      <c r="F1028" s="133"/>
      <c r="G1028" s="133"/>
      <c r="H1028" s="133"/>
      <c r="I1028" s="133"/>
    </row>
    <row r="1029" spans="1:9">
      <c r="A1029" s="133"/>
      <c r="B1029" s="133"/>
      <c r="C1029" s="133"/>
      <c r="D1029" s="133"/>
      <c r="E1029" s="133"/>
      <c r="F1029" s="133"/>
      <c r="G1029" s="133"/>
      <c r="H1029" s="133"/>
      <c r="I1029" s="133"/>
    </row>
    <row r="1030" spans="1:9">
      <c r="A1030" s="133"/>
      <c r="B1030" s="133"/>
      <c r="C1030" s="133"/>
      <c r="D1030" s="133"/>
      <c r="E1030" s="133"/>
      <c r="F1030" s="133"/>
      <c r="G1030" s="133"/>
      <c r="H1030" s="133"/>
      <c r="I1030" s="133"/>
    </row>
    <row r="1031" spans="1:9">
      <c r="A1031" s="133"/>
      <c r="B1031" s="133"/>
      <c r="C1031" s="133"/>
      <c r="D1031" s="133"/>
      <c r="E1031" s="133"/>
      <c r="F1031" s="133"/>
      <c r="G1031" s="133"/>
      <c r="H1031" s="133"/>
      <c r="I1031" s="133"/>
    </row>
    <row r="1032" spans="1:9">
      <c r="A1032" s="133"/>
      <c r="B1032" s="133"/>
      <c r="C1032" s="133"/>
      <c r="D1032" s="133"/>
      <c r="E1032" s="133"/>
      <c r="F1032" s="133"/>
      <c r="G1032" s="133"/>
      <c r="H1032" s="133"/>
      <c r="I1032" s="133"/>
    </row>
    <row r="1033" spans="1:9">
      <c r="A1033" s="133"/>
      <c r="B1033" s="133"/>
      <c r="C1033" s="133"/>
      <c r="D1033" s="133"/>
      <c r="E1033" s="133"/>
      <c r="F1033" s="133"/>
      <c r="G1033" s="133"/>
      <c r="H1033" s="133"/>
      <c r="I1033" s="133"/>
    </row>
    <row r="1034" spans="1:9">
      <c r="A1034" s="133"/>
      <c r="B1034" s="133"/>
      <c r="C1034" s="133"/>
      <c r="D1034" s="133"/>
      <c r="E1034" s="133"/>
      <c r="F1034" s="133"/>
      <c r="G1034" s="133"/>
      <c r="H1034" s="133"/>
      <c r="I1034" s="133"/>
    </row>
    <row r="1035" spans="1:9">
      <c r="A1035" s="133"/>
      <c r="B1035" s="133"/>
      <c r="C1035" s="133"/>
      <c r="D1035" s="133"/>
      <c r="E1035" s="133"/>
      <c r="F1035" s="133"/>
      <c r="G1035" s="133"/>
      <c r="H1035" s="133"/>
      <c r="I1035" s="133"/>
    </row>
    <row r="1036" spans="1:9">
      <c r="A1036" s="133"/>
      <c r="B1036" s="133"/>
      <c r="C1036" s="133"/>
      <c r="D1036" s="133"/>
      <c r="E1036" s="133"/>
      <c r="F1036" s="133"/>
      <c r="G1036" s="133"/>
      <c r="H1036" s="133"/>
      <c r="I1036" s="133"/>
    </row>
    <row r="1037" spans="1:9">
      <c r="A1037" s="133"/>
      <c r="B1037" s="133"/>
      <c r="C1037" s="133"/>
      <c r="D1037" s="133"/>
      <c r="E1037" s="133"/>
      <c r="F1037" s="133"/>
      <c r="G1037" s="133"/>
      <c r="H1037" s="133"/>
      <c r="I1037" s="133"/>
    </row>
    <row r="1038" spans="1:9">
      <c r="A1038" s="133"/>
      <c r="B1038" s="133"/>
      <c r="C1038" s="133"/>
      <c r="D1038" s="133"/>
      <c r="E1038" s="133"/>
      <c r="F1038" s="133"/>
      <c r="G1038" s="133"/>
      <c r="H1038" s="133"/>
      <c r="I1038" s="133"/>
    </row>
    <row r="1039" spans="1:9">
      <c r="A1039" s="133"/>
      <c r="B1039" s="133"/>
      <c r="C1039" s="133"/>
      <c r="D1039" s="133"/>
      <c r="E1039" s="133"/>
      <c r="F1039" s="133"/>
      <c r="G1039" s="133"/>
      <c r="H1039" s="133"/>
      <c r="I1039" s="133"/>
    </row>
    <row r="1040" spans="1:9">
      <c r="A1040" s="133"/>
      <c r="B1040" s="133"/>
      <c r="C1040" s="133"/>
      <c r="D1040" s="133"/>
      <c r="E1040" s="133"/>
      <c r="F1040" s="133"/>
      <c r="G1040" s="133"/>
      <c r="H1040" s="133"/>
      <c r="I1040" s="133"/>
    </row>
    <row r="1041" spans="1:9">
      <c r="A1041" s="133"/>
      <c r="B1041" s="133"/>
      <c r="C1041" s="133"/>
      <c r="D1041" s="133"/>
      <c r="E1041" s="133"/>
      <c r="F1041" s="133"/>
      <c r="G1041" s="133"/>
      <c r="H1041" s="133"/>
      <c r="I1041" s="133"/>
    </row>
    <row r="1042" spans="1:9">
      <c r="A1042" s="133"/>
      <c r="B1042" s="133"/>
      <c r="C1042" s="133"/>
      <c r="D1042" s="133"/>
      <c r="E1042" s="133"/>
      <c r="F1042" s="133"/>
      <c r="G1042" s="133"/>
      <c r="H1042" s="133"/>
      <c r="I1042" s="133"/>
    </row>
    <row r="1043" spans="1:9">
      <c r="A1043" s="133"/>
      <c r="B1043" s="133"/>
      <c r="C1043" s="133"/>
      <c r="D1043" s="133"/>
      <c r="E1043" s="133"/>
      <c r="F1043" s="133"/>
      <c r="G1043" s="133"/>
      <c r="H1043" s="133"/>
      <c r="I1043" s="133"/>
    </row>
    <row r="1044" spans="1:9">
      <c r="A1044" s="133"/>
      <c r="B1044" s="133"/>
      <c r="C1044" s="133"/>
      <c r="D1044" s="133"/>
      <c r="E1044" s="133"/>
      <c r="F1044" s="133"/>
      <c r="G1044" s="133"/>
      <c r="H1044" s="133"/>
      <c r="I1044" s="133"/>
    </row>
    <row r="1045" spans="1:9">
      <c r="A1045" s="133"/>
      <c r="B1045" s="133"/>
      <c r="C1045" s="133"/>
      <c r="D1045" s="133"/>
      <c r="E1045" s="133"/>
      <c r="F1045" s="133"/>
      <c r="G1045" s="133"/>
      <c r="H1045" s="133"/>
      <c r="I1045" s="133"/>
    </row>
    <row r="1046" spans="1:9">
      <c r="A1046" s="133"/>
      <c r="B1046" s="133"/>
      <c r="C1046" s="133"/>
      <c r="D1046" s="133"/>
      <c r="E1046" s="133"/>
      <c r="F1046" s="133"/>
      <c r="G1046" s="133"/>
      <c r="H1046" s="133"/>
      <c r="I1046" s="133"/>
    </row>
    <row r="1047" spans="1:9">
      <c r="A1047" s="133"/>
      <c r="B1047" s="133"/>
      <c r="C1047" s="133"/>
      <c r="D1047" s="133"/>
      <c r="E1047" s="133"/>
      <c r="F1047" s="133"/>
      <c r="G1047" s="133"/>
      <c r="H1047" s="133"/>
      <c r="I1047" s="133"/>
    </row>
    <row r="1048" spans="1:9">
      <c r="A1048" s="133"/>
      <c r="B1048" s="133"/>
      <c r="C1048" s="133"/>
      <c r="D1048" s="133"/>
      <c r="E1048" s="133"/>
      <c r="F1048" s="133"/>
      <c r="G1048" s="133"/>
      <c r="H1048" s="133"/>
      <c r="I1048" s="133"/>
    </row>
    <row r="1049" spans="1:9">
      <c r="A1049" s="133"/>
      <c r="B1049" s="133"/>
      <c r="C1049" s="133"/>
      <c r="D1049" s="133"/>
      <c r="E1049" s="133"/>
      <c r="F1049" s="133"/>
      <c r="G1049" s="133"/>
      <c r="H1049" s="133"/>
      <c r="I1049" s="133"/>
    </row>
    <row r="1050" spans="1:9">
      <c r="A1050" s="133"/>
      <c r="B1050" s="133"/>
      <c r="C1050" s="133"/>
      <c r="D1050" s="133"/>
      <c r="E1050" s="133"/>
      <c r="F1050" s="133"/>
      <c r="G1050" s="133"/>
      <c r="H1050" s="133"/>
      <c r="I1050" s="133"/>
    </row>
    <row r="1051" spans="1:9">
      <c r="A1051" s="133"/>
      <c r="B1051" s="133"/>
      <c r="C1051" s="133"/>
      <c r="D1051" s="133"/>
      <c r="E1051" s="133"/>
      <c r="F1051" s="133"/>
      <c r="G1051" s="133"/>
      <c r="H1051" s="133"/>
      <c r="I1051" s="133"/>
    </row>
    <row r="1052" spans="1:9">
      <c r="A1052" s="133"/>
      <c r="B1052" s="133"/>
      <c r="C1052" s="133"/>
      <c r="D1052" s="133"/>
      <c r="E1052" s="133"/>
      <c r="F1052" s="133"/>
      <c r="G1052" s="133"/>
      <c r="H1052" s="133"/>
      <c r="I1052" s="133"/>
    </row>
    <row r="1053" spans="1:9">
      <c r="A1053" s="133"/>
      <c r="B1053" s="133"/>
      <c r="C1053" s="133"/>
      <c r="D1053" s="133"/>
      <c r="E1053" s="133"/>
      <c r="F1053" s="133"/>
      <c r="G1053" s="133"/>
      <c r="H1053" s="133"/>
      <c r="I1053" s="133"/>
    </row>
    <row r="1054" spans="1:9">
      <c r="A1054" s="133"/>
      <c r="B1054" s="133"/>
      <c r="C1054" s="133"/>
      <c r="D1054" s="133"/>
      <c r="E1054" s="133"/>
      <c r="F1054" s="133"/>
      <c r="G1054" s="133"/>
      <c r="H1054" s="133"/>
      <c r="I1054" s="133"/>
    </row>
    <row r="1055" spans="1:9">
      <c r="A1055" s="133"/>
      <c r="B1055" s="133"/>
      <c r="C1055" s="133"/>
      <c r="D1055" s="133"/>
      <c r="E1055" s="133"/>
      <c r="F1055" s="133"/>
      <c r="G1055" s="133"/>
      <c r="H1055" s="133"/>
      <c r="I1055" s="133"/>
    </row>
    <row r="1056" spans="1:9">
      <c r="A1056" s="133"/>
      <c r="B1056" s="133"/>
      <c r="C1056" s="133"/>
      <c r="D1056" s="133"/>
      <c r="E1056" s="133"/>
      <c r="F1056" s="133"/>
      <c r="G1056" s="133"/>
      <c r="H1056" s="133"/>
      <c r="I1056" s="133"/>
    </row>
    <row r="1057" spans="1:9">
      <c r="A1057" s="133"/>
      <c r="B1057" s="133"/>
      <c r="C1057" s="133"/>
      <c r="D1057" s="133"/>
      <c r="E1057" s="133"/>
      <c r="F1057" s="133"/>
      <c r="G1057" s="133"/>
      <c r="H1057" s="133"/>
      <c r="I1057" s="133"/>
    </row>
    <row r="1058" spans="1:9">
      <c r="A1058" s="133"/>
      <c r="B1058" s="133"/>
      <c r="C1058" s="133"/>
      <c r="D1058" s="133"/>
      <c r="E1058" s="133"/>
      <c r="F1058" s="133"/>
      <c r="G1058" s="133"/>
      <c r="H1058" s="133"/>
      <c r="I1058" s="133"/>
    </row>
    <row r="1059" spans="1:9">
      <c r="A1059" s="133"/>
      <c r="B1059" s="133"/>
      <c r="C1059" s="133"/>
      <c r="D1059" s="133"/>
      <c r="E1059" s="133"/>
      <c r="F1059" s="133"/>
      <c r="G1059" s="133"/>
      <c r="H1059" s="133"/>
      <c r="I1059" s="133"/>
    </row>
    <row r="1060" spans="1:9">
      <c r="A1060" s="133"/>
      <c r="B1060" s="133"/>
      <c r="C1060" s="133"/>
      <c r="D1060" s="133"/>
      <c r="E1060" s="133"/>
      <c r="F1060" s="133"/>
      <c r="G1060" s="133"/>
      <c r="H1060" s="133"/>
      <c r="I1060" s="133"/>
    </row>
    <row r="1061" spans="1:9">
      <c r="A1061" s="133"/>
      <c r="B1061" s="133"/>
      <c r="C1061" s="133"/>
      <c r="D1061" s="133"/>
      <c r="E1061" s="133"/>
      <c r="F1061" s="133"/>
      <c r="G1061" s="133"/>
      <c r="H1061" s="133"/>
      <c r="I1061" s="133"/>
    </row>
    <row r="1062" spans="1:9">
      <c r="A1062" s="133"/>
      <c r="B1062" s="133"/>
      <c r="C1062" s="133"/>
      <c r="D1062" s="133"/>
      <c r="E1062" s="133"/>
      <c r="F1062" s="133"/>
      <c r="G1062" s="133"/>
      <c r="H1062" s="133"/>
      <c r="I1062" s="133"/>
    </row>
    <row r="1063" spans="1:9">
      <c r="A1063" s="133"/>
      <c r="B1063" s="133"/>
      <c r="C1063" s="133"/>
      <c r="D1063" s="133"/>
      <c r="E1063" s="133"/>
      <c r="F1063" s="133"/>
      <c r="G1063" s="133"/>
      <c r="H1063" s="133"/>
      <c r="I1063" s="133"/>
    </row>
    <row r="1064" spans="1:9">
      <c r="A1064" s="133"/>
      <c r="B1064" s="133"/>
      <c r="C1064" s="133"/>
      <c r="D1064" s="133"/>
      <c r="E1064" s="133"/>
      <c r="F1064" s="133"/>
      <c r="G1064" s="133"/>
      <c r="H1064" s="133"/>
      <c r="I1064" s="133"/>
    </row>
    <row r="1065" spans="1:9">
      <c r="A1065" s="133"/>
      <c r="B1065" s="133"/>
      <c r="C1065" s="133"/>
      <c r="D1065" s="133"/>
      <c r="E1065" s="133"/>
      <c r="F1065" s="133"/>
      <c r="G1065" s="133"/>
      <c r="H1065" s="133"/>
      <c r="I1065" s="133"/>
    </row>
    <row r="1066" spans="1:9">
      <c r="A1066" s="133"/>
      <c r="B1066" s="133"/>
      <c r="C1066" s="133"/>
      <c r="D1066" s="133"/>
      <c r="E1066" s="133"/>
      <c r="F1066" s="133"/>
      <c r="G1066" s="133"/>
      <c r="H1066" s="133"/>
      <c r="I1066" s="133"/>
    </row>
    <row r="1067" spans="1:9">
      <c r="A1067" s="133"/>
      <c r="B1067" s="133"/>
      <c r="C1067" s="133"/>
      <c r="D1067" s="133"/>
      <c r="E1067" s="133"/>
      <c r="F1067" s="133"/>
      <c r="G1067" s="133"/>
      <c r="H1067" s="133"/>
      <c r="I1067" s="133"/>
    </row>
    <row r="1068" spans="1:9">
      <c r="A1068" s="133"/>
      <c r="B1068" s="133"/>
      <c r="C1068" s="133"/>
      <c r="D1068" s="133"/>
      <c r="E1068" s="133"/>
      <c r="F1068" s="133"/>
      <c r="G1068" s="133"/>
      <c r="H1068" s="133"/>
      <c r="I1068" s="133"/>
    </row>
    <row r="1069" spans="1:9">
      <c r="A1069" s="133"/>
      <c r="B1069" s="133"/>
      <c r="C1069" s="133"/>
      <c r="D1069" s="133"/>
      <c r="E1069" s="133"/>
      <c r="F1069" s="133"/>
      <c r="G1069" s="133"/>
      <c r="H1069" s="133"/>
      <c r="I1069" s="133"/>
    </row>
    <row r="1070" spans="1:9">
      <c r="A1070" s="133"/>
      <c r="B1070" s="133"/>
      <c r="C1070" s="133"/>
      <c r="D1070" s="133"/>
      <c r="E1070" s="133"/>
      <c r="F1070" s="133"/>
      <c r="G1070" s="133"/>
      <c r="H1070" s="133"/>
      <c r="I1070" s="133"/>
    </row>
    <row r="1071" spans="1:9">
      <c r="A1071" s="133"/>
      <c r="B1071" s="133"/>
      <c r="C1071" s="133"/>
      <c r="D1071" s="133"/>
      <c r="E1071" s="133"/>
      <c r="F1071" s="133"/>
      <c r="G1071" s="133"/>
      <c r="H1071" s="133"/>
      <c r="I1071" s="133"/>
    </row>
    <row r="1072" spans="1:9">
      <c r="A1072" s="133"/>
      <c r="B1072" s="133"/>
      <c r="C1072" s="133"/>
      <c r="D1072" s="133"/>
      <c r="E1072" s="133"/>
      <c r="F1072" s="133"/>
      <c r="G1072" s="133"/>
      <c r="H1072" s="133"/>
      <c r="I1072" s="133"/>
    </row>
    <row r="1073" spans="1:9">
      <c r="A1073" s="133"/>
      <c r="B1073" s="133"/>
      <c r="C1073" s="133"/>
      <c r="D1073" s="133"/>
      <c r="E1073" s="133"/>
      <c r="F1073" s="133"/>
      <c r="G1073" s="133"/>
      <c r="H1073" s="133"/>
      <c r="I1073" s="133"/>
    </row>
    <row r="1074" spans="1:9">
      <c r="A1074" s="133"/>
      <c r="B1074" s="133"/>
      <c r="C1074" s="133"/>
      <c r="D1074" s="133"/>
      <c r="E1074" s="133"/>
      <c r="F1074" s="133"/>
      <c r="G1074" s="133"/>
      <c r="H1074" s="133"/>
      <c r="I1074" s="133"/>
    </row>
    <row r="1075" spans="1:9">
      <c r="A1075" s="133"/>
      <c r="B1075" s="133"/>
      <c r="C1075" s="133"/>
      <c r="D1075" s="133"/>
      <c r="E1075" s="133"/>
      <c r="F1075" s="133"/>
      <c r="G1075" s="133"/>
      <c r="H1075" s="133"/>
      <c r="I1075" s="133"/>
    </row>
    <row r="1076" spans="1:9">
      <c r="A1076" s="133"/>
      <c r="B1076" s="133"/>
      <c r="C1076" s="133"/>
      <c r="D1076" s="133"/>
      <c r="E1076" s="133"/>
      <c r="F1076" s="133"/>
      <c r="G1076" s="133"/>
      <c r="H1076" s="133"/>
      <c r="I1076" s="133"/>
    </row>
    <row r="1077" spans="1:9">
      <c r="A1077" s="133"/>
      <c r="B1077" s="133"/>
      <c r="C1077" s="133"/>
      <c r="D1077" s="133"/>
      <c r="E1077" s="133"/>
      <c r="F1077" s="133"/>
      <c r="G1077" s="133"/>
      <c r="H1077" s="133"/>
      <c r="I1077" s="133"/>
    </row>
    <row r="1078" spans="1:9">
      <c r="A1078" s="133"/>
      <c r="B1078" s="133"/>
      <c r="C1078" s="133"/>
      <c r="D1078" s="133"/>
      <c r="E1078" s="133"/>
      <c r="F1078" s="133"/>
      <c r="G1078" s="133"/>
      <c r="H1078" s="133"/>
      <c r="I1078" s="133"/>
    </row>
    <row r="1079" spans="1:9">
      <c r="A1079" s="133"/>
      <c r="B1079" s="133"/>
      <c r="C1079" s="133"/>
      <c r="D1079" s="133"/>
      <c r="E1079" s="133"/>
      <c r="F1079" s="133"/>
      <c r="G1079" s="133"/>
      <c r="H1079" s="133"/>
      <c r="I1079" s="133"/>
    </row>
    <row r="1080" spans="1:9">
      <c r="A1080" s="133"/>
      <c r="B1080" s="133"/>
      <c r="C1080" s="133"/>
      <c r="D1080" s="133"/>
      <c r="E1080" s="133"/>
      <c r="F1080" s="133"/>
      <c r="G1080" s="133"/>
      <c r="H1080" s="133"/>
      <c r="I1080" s="133"/>
    </row>
    <row r="1081" spans="1:9">
      <c r="A1081" s="133"/>
      <c r="B1081" s="133"/>
      <c r="C1081" s="133"/>
      <c r="D1081" s="133"/>
      <c r="E1081" s="133"/>
      <c r="F1081" s="133"/>
      <c r="G1081" s="133"/>
      <c r="H1081" s="133"/>
      <c r="I1081" s="133"/>
    </row>
    <row r="1082" spans="1:9">
      <c r="A1082" s="133"/>
      <c r="B1082" s="133"/>
      <c r="C1082" s="133"/>
      <c r="D1082" s="133"/>
      <c r="E1082" s="133"/>
      <c r="F1082" s="133"/>
      <c r="G1082" s="133"/>
      <c r="H1082" s="133"/>
      <c r="I1082" s="133"/>
    </row>
    <row r="1083" spans="1:9">
      <c r="A1083" s="133"/>
      <c r="B1083" s="133"/>
      <c r="C1083" s="133"/>
      <c r="D1083" s="133"/>
      <c r="E1083" s="133"/>
      <c r="F1083" s="133"/>
      <c r="G1083" s="133"/>
      <c r="H1083" s="133"/>
      <c r="I1083" s="133"/>
    </row>
    <row r="1084" spans="1:9">
      <c r="A1084" s="133"/>
      <c r="B1084" s="133"/>
      <c r="C1084" s="133"/>
      <c r="D1084" s="133"/>
      <c r="E1084" s="133"/>
      <c r="F1084" s="133"/>
      <c r="G1084" s="133"/>
      <c r="H1084" s="133"/>
      <c r="I1084" s="133"/>
    </row>
    <row r="1085" spans="1:9">
      <c r="A1085" s="133"/>
      <c r="B1085" s="133"/>
      <c r="C1085" s="133"/>
      <c r="D1085" s="133"/>
      <c r="E1085" s="133"/>
      <c r="F1085" s="133"/>
      <c r="G1085" s="133"/>
      <c r="H1085" s="133"/>
      <c r="I1085" s="133"/>
    </row>
    <row r="1086" spans="1:9">
      <c r="A1086" s="133"/>
      <c r="B1086" s="133"/>
      <c r="C1086" s="133"/>
      <c r="D1086" s="133"/>
      <c r="E1086" s="133"/>
      <c r="F1086" s="133"/>
      <c r="G1086" s="133"/>
      <c r="H1086" s="133"/>
      <c r="I1086" s="133"/>
    </row>
    <row r="1087" spans="1:9">
      <c r="A1087" s="133"/>
      <c r="B1087" s="133"/>
      <c r="C1087" s="133"/>
      <c r="D1087" s="133"/>
      <c r="E1087" s="133"/>
      <c r="F1087" s="133"/>
      <c r="G1087" s="133"/>
      <c r="H1087" s="133"/>
      <c r="I1087" s="133"/>
    </row>
    <row r="1088" spans="1:9">
      <c r="A1088" s="133"/>
      <c r="B1088" s="133"/>
      <c r="C1088" s="133"/>
      <c r="D1088" s="133"/>
      <c r="E1088" s="133"/>
      <c r="F1088" s="133"/>
      <c r="G1088" s="133"/>
      <c r="H1088" s="133"/>
      <c r="I1088" s="133"/>
    </row>
    <row r="1089" spans="1:9">
      <c r="A1089" s="133"/>
      <c r="B1089" s="133"/>
      <c r="C1089" s="133"/>
      <c r="D1089" s="133"/>
      <c r="E1089" s="133"/>
      <c r="F1089" s="133"/>
      <c r="G1089" s="133"/>
      <c r="H1089" s="133"/>
      <c r="I1089" s="133"/>
    </row>
    <row r="1090" spans="1:9">
      <c r="A1090" s="133"/>
      <c r="B1090" s="133"/>
      <c r="C1090" s="133"/>
      <c r="D1090" s="133"/>
      <c r="E1090" s="133"/>
      <c r="F1090" s="133"/>
      <c r="G1090" s="133"/>
      <c r="H1090" s="133"/>
      <c r="I1090" s="133"/>
    </row>
    <row r="1091" spans="1:9">
      <c r="A1091" s="133"/>
      <c r="B1091" s="133"/>
      <c r="C1091" s="133"/>
      <c r="D1091" s="133"/>
      <c r="E1091" s="133"/>
      <c r="F1091" s="133"/>
      <c r="G1091" s="133"/>
      <c r="H1091" s="133"/>
      <c r="I1091" s="133"/>
    </row>
    <row r="1092" spans="1:9">
      <c r="A1092" s="133"/>
      <c r="B1092" s="133"/>
      <c r="C1092" s="133"/>
      <c r="D1092" s="133"/>
      <c r="E1092" s="133"/>
      <c r="F1092" s="133"/>
      <c r="G1092" s="133"/>
      <c r="H1092" s="133"/>
      <c r="I1092" s="133"/>
    </row>
    <row r="1093" spans="1:9">
      <c r="A1093" s="133"/>
      <c r="B1093" s="133"/>
      <c r="C1093" s="133"/>
      <c r="D1093" s="133"/>
      <c r="E1093" s="133"/>
      <c r="F1093" s="133"/>
      <c r="G1093" s="133"/>
      <c r="H1093" s="133"/>
      <c r="I1093" s="133"/>
    </row>
    <row r="1094" spans="1:9">
      <c r="A1094" s="133"/>
      <c r="B1094" s="133"/>
      <c r="C1094" s="133"/>
      <c r="D1094" s="133"/>
      <c r="E1094" s="133"/>
      <c r="F1094" s="133"/>
      <c r="G1094" s="133"/>
      <c r="H1094" s="133"/>
      <c r="I1094" s="133"/>
    </row>
    <row r="1095" spans="1:9">
      <c r="A1095" s="133"/>
      <c r="B1095" s="133"/>
      <c r="C1095" s="133"/>
      <c r="D1095" s="133"/>
      <c r="E1095" s="133"/>
      <c r="F1095" s="133"/>
      <c r="G1095" s="133"/>
      <c r="H1095" s="133"/>
      <c r="I1095" s="133"/>
    </row>
    <row r="1096" spans="1:9">
      <c r="A1096" s="133"/>
      <c r="B1096" s="133"/>
      <c r="C1096" s="133"/>
      <c r="D1096" s="133"/>
      <c r="E1096" s="133"/>
      <c r="F1096" s="133"/>
      <c r="G1096" s="133"/>
      <c r="H1096" s="133"/>
      <c r="I1096" s="133"/>
    </row>
    <row r="1097" spans="1:9">
      <c r="A1097" s="133"/>
      <c r="B1097" s="133"/>
      <c r="C1097" s="133"/>
      <c r="D1097" s="133"/>
      <c r="E1097" s="133"/>
      <c r="F1097" s="133"/>
      <c r="G1097" s="133"/>
      <c r="H1097" s="133"/>
      <c r="I1097" s="133"/>
    </row>
    <row r="1098" spans="1:9">
      <c r="A1098" s="133"/>
      <c r="B1098" s="133"/>
      <c r="C1098" s="133"/>
      <c r="D1098" s="133"/>
      <c r="E1098" s="133"/>
      <c r="F1098" s="133"/>
      <c r="G1098" s="133"/>
      <c r="H1098" s="133"/>
      <c r="I1098" s="133"/>
    </row>
    <row r="1099" spans="1:9">
      <c r="A1099" s="133"/>
      <c r="B1099" s="133"/>
      <c r="C1099" s="133"/>
      <c r="D1099" s="133"/>
      <c r="E1099" s="133"/>
      <c r="F1099" s="133"/>
      <c r="G1099" s="133"/>
      <c r="H1099" s="133"/>
      <c r="I1099" s="133"/>
    </row>
    <row r="1100" spans="1:9">
      <c r="A1100" s="133"/>
      <c r="B1100" s="133"/>
      <c r="C1100" s="133"/>
      <c r="D1100" s="133"/>
      <c r="E1100" s="133"/>
      <c r="F1100" s="133"/>
      <c r="G1100" s="133"/>
      <c r="H1100" s="133"/>
      <c r="I1100" s="133"/>
    </row>
    <row r="1101" spans="1:9">
      <c r="A1101" s="133"/>
      <c r="B1101" s="133"/>
      <c r="C1101" s="133"/>
      <c r="D1101" s="133"/>
      <c r="E1101" s="133"/>
      <c r="F1101" s="133"/>
      <c r="G1101" s="133"/>
      <c r="H1101" s="133"/>
      <c r="I1101" s="133"/>
    </row>
    <row r="1102" spans="1:9">
      <c r="A1102" s="133"/>
      <c r="B1102" s="133"/>
      <c r="C1102" s="133"/>
      <c r="D1102" s="133"/>
      <c r="E1102" s="133"/>
      <c r="F1102" s="133"/>
      <c r="G1102" s="133"/>
      <c r="H1102" s="133"/>
      <c r="I1102" s="133"/>
    </row>
    <row r="1103" spans="1:9">
      <c r="A1103" s="133"/>
      <c r="B1103" s="133"/>
      <c r="C1103" s="133"/>
      <c r="D1103" s="133"/>
      <c r="E1103" s="133"/>
      <c r="F1103" s="133"/>
      <c r="G1103" s="133"/>
      <c r="H1103" s="133"/>
      <c r="I1103" s="133"/>
    </row>
    <row r="1104" spans="1:9">
      <c r="A1104" s="133"/>
      <c r="B1104" s="133"/>
      <c r="C1104" s="133"/>
      <c r="D1104" s="133"/>
      <c r="E1104" s="133"/>
      <c r="F1104" s="133"/>
      <c r="G1104" s="133"/>
      <c r="H1104" s="133"/>
      <c r="I1104" s="133"/>
    </row>
    <row r="1105" spans="1:9">
      <c r="A1105" s="133"/>
      <c r="B1105" s="133"/>
      <c r="C1105" s="133"/>
      <c r="D1105" s="133"/>
      <c r="E1105" s="133"/>
      <c r="F1105" s="133"/>
      <c r="G1105" s="133"/>
      <c r="H1105" s="133"/>
      <c r="I1105" s="133"/>
    </row>
    <row r="1106" spans="1:9">
      <c r="A1106" s="133"/>
      <c r="B1106" s="133"/>
      <c r="C1106" s="133"/>
      <c r="D1106" s="133"/>
      <c r="E1106" s="133"/>
      <c r="F1106" s="133"/>
      <c r="G1106" s="133"/>
      <c r="H1106" s="133"/>
      <c r="I1106" s="133"/>
    </row>
    <row r="1107" spans="1:9">
      <c r="A1107" s="133"/>
      <c r="B1107" s="133"/>
      <c r="C1107" s="133"/>
      <c r="D1107" s="133"/>
      <c r="E1107" s="133"/>
      <c r="F1107" s="133"/>
      <c r="G1107" s="133"/>
      <c r="H1107" s="133"/>
      <c r="I1107" s="133"/>
    </row>
    <row r="1108" spans="1:9">
      <c r="A1108" s="133"/>
      <c r="B1108" s="133"/>
      <c r="C1108" s="133"/>
      <c r="D1108" s="133"/>
      <c r="E1108" s="133"/>
      <c r="F1108" s="133"/>
      <c r="G1108" s="133"/>
      <c r="H1108" s="133"/>
      <c r="I1108" s="133"/>
    </row>
    <row r="1109" spans="1:9">
      <c r="A1109" s="133"/>
      <c r="B1109" s="133"/>
      <c r="C1109" s="133"/>
      <c r="D1109" s="133"/>
      <c r="E1109" s="133"/>
      <c r="F1109" s="133"/>
      <c r="G1109" s="133"/>
      <c r="H1109" s="133"/>
      <c r="I1109" s="133"/>
    </row>
    <row r="1110" spans="1:9">
      <c r="A1110" s="133"/>
      <c r="B1110" s="133"/>
      <c r="C1110" s="133"/>
      <c r="D1110" s="133"/>
      <c r="E1110" s="133"/>
      <c r="F1110" s="133"/>
      <c r="G1110" s="133"/>
      <c r="H1110" s="133"/>
      <c r="I1110" s="133"/>
    </row>
    <row r="1111" spans="1:9">
      <c r="A1111" s="133"/>
      <c r="B1111" s="133"/>
      <c r="C1111" s="133"/>
      <c r="D1111" s="133"/>
      <c r="E1111" s="133"/>
      <c r="F1111" s="133"/>
      <c r="G1111" s="133"/>
      <c r="H1111" s="133"/>
      <c r="I1111" s="133"/>
    </row>
    <row r="1112" spans="1:9">
      <c r="A1112" s="133"/>
      <c r="B1112" s="133"/>
      <c r="C1112" s="133"/>
      <c r="D1112" s="133"/>
      <c r="E1112" s="133"/>
      <c r="F1112" s="133"/>
      <c r="G1112" s="133"/>
      <c r="H1112" s="133"/>
      <c r="I1112" s="133"/>
    </row>
    <row r="1113" spans="1:9">
      <c r="A1113" s="133"/>
      <c r="B1113" s="133"/>
      <c r="C1113" s="133"/>
      <c r="D1113" s="133"/>
      <c r="E1113" s="133"/>
      <c r="F1113" s="133"/>
      <c r="G1113" s="133"/>
      <c r="H1113" s="133"/>
      <c r="I1113" s="133"/>
    </row>
    <row r="1114" spans="1:9">
      <c r="A1114" s="133"/>
      <c r="B1114" s="133"/>
      <c r="C1114" s="133"/>
      <c r="D1114" s="133"/>
      <c r="E1114" s="133"/>
      <c r="F1114" s="133"/>
      <c r="G1114" s="133"/>
      <c r="H1114" s="133"/>
      <c r="I1114" s="133"/>
    </row>
    <row r="1115" spans="1:9">
      <c r="A1115" s="133"/>
      <c r="B1115" s="133"/>
      <c r="C1115" s="133"/>
      <c r="D1115" s="133"/>
      <c r="E1115" s="133"/>
      <c r="F1115" s="133"/>
      <c r="G1115" s="133"/>
      <c r="H1115" s="133"/>
      <c r="I1115" s="133"/>
    </row>
    <row r="1116" spans="1:9">
      <c r="A1116" s="133"/>
      <c r="B1116" s="133"/>
      <c r="C1116" s="133"/>
      <c r="D1116" s="133"/>
      <c r="E1116" s="133"/>
      <c r="F1116" s="133"/>
      <c r="G1116" s="133"/>
      <c r="H1116" s="133"/>
      <c r="I1116" s="133"/>
    </row>
    <row r="1117" spans="1:9">
      <c r="A1117" s="133"/>
      <c r="B1117" s="133"/>
      <c r="C1117" s="133"/>
      <c r="D1117" s="133"/>
      <c r="E1117" s="133"/>
      <c r="F1117" s="133"/>
      <c r="G1117" s="133"/>
      <c r="H1117" s="133"/>
      <c r="I1117" s="133"/>
    </row>
    <row r="1118" spans="1:9">
      <c r="A1118" s="133"/>
      <c r="B1118" s="133"/>
      <c r="C1118" s="133"/>
      <c r="D1118" s="133"/>
      <c r="E1118" s="133"/>
      <c r="F1118" s="133"/>
      <c r="G1118" s="133"/>
      <c r="H1118" s="133"/>
      <c r="I1118" s="133"/>
    </row>
    <row r="1119" spans="1:9">
      <c r="A1119" s="133"/>
      <c r="B1119" s="133"/>
      <c r="C1119" s="133"/>
      <c r="D1119" s="133"/>
      <c r="E1119" s="133"/>
      <c r="F1119" s="133"/>
      <c r="G1119" s="133"/>
      <c r="H1119" s="133"/>
      <c r="I1119" s="133"/>
    </row>
    <row r="1120" spans="1:9">
      <c r="A1120" s="133"/>
      <c r="B1120" s="133"/>
      <c r="C1120" s="133"/>
      <c r="D1120" s="133"/>
      <c r="E1120" s="133"/>
      <c r="F1120" s="133"/>
      <c r="G1120" s="133"/>
      <c r="H1120" s="133"/>
      <c r="I1120" s="133"/>
    </row>
    <row r="1121" spans="1:9">
      <c r="A1121" s="133"/>
      <c r="B1121" s="133"/>
      <c r="C1121" s="133"/>
      <c r="D1121" s="133"/>
      <c r="E1121" s="133"/>
      <c r="F1121" s="133"/>
      <c r="G1121" s="133"/>
      <c r="H1121" s="133"/>
      <c r="I1121" s="133"/>
    </row>
    <row r="1122" spans="1:9">
      <c r="A1122" s="133"/>
      <c r="B1122" s="133"/>
      <c r="C1122" s="133"/>
      <c r="D1122" s="133"/>
      <c r="E1122" s="133"/>
      <c r="F1122" s="133"/>
      <c r="G1122" s="133"/>
      <c r="H1122" s="133"/>
      <c r="I1122" s="133"/>
    </row>
    <row r="1123" spans="1:9">
      <c r="A1123" s="133"/>
      <c r="B1123" s="133"/>
      <c r="C1123" s="133"/>
      <c r="D1123" s="133"/>
      <c r="E1123" s="133"/>
      <c r="F1123" s="133"/>
      <c r="G1123" s="133"/>
      <c r="H1123" s="133"/>
      <c r="I1123" s="133"/>
    </row>
    <row r="1124" spans="1:9">
      <c r="A1124" s="133"/>
      <c r="B1124" s="133"/>
      <c r="C1124" s="133"/>
      <c r="D1124" s="133"/>
      <c r="E1124" s="133"/>
      <c r="F1124" s="133"/>
      <c r="G1124" s="133"/>
      <c r="H1124" s="133"/>
      <c r="I1124" s="133"/>
    </row>
    <row r="1125" spans="1:9">
      <c r="A1125" s="133"/>
      <c r="B1125" s="133"/>
      <c r="C1125" s="133"/>
      <c r="D1125" s="133"/>
      <c r="E1125" s="133"/>
      <c r="F1125" s="133"/>
      <c r="G1125" s="133"/>
      <c r="H1125" s="133"/>
      <c r="I1125" s="133"/>
    </row>
    <row r="1126" spans="1:9">
      <c r="A1126" s="133"/>
      <c r="B1126" s="133"/>
      <c r="C1126" s="133"/>
      <c r="D1126" s="133"/>
      <c r="E1126" s="133"/>
      <c r="F1126" s="133"/>
      <c r="G1126" s="133"/>
      <c r="H1126" s="133"/>
      <c r="I1126" s="133"/>
    </row>
    <row r="1127" spans="1:9">
      <c r="A1127" s="133"/>
      <c r="B1127" s="133"/>
      <c r="C1127" s="133"/>
      <c r="D1127" s="133"/>
      <c r="E1127" s="133"/>
      <c r="F1127" s="133"/>
      <c r="G1127" s="133"/>
      <c r="H1127" s="133"/>
      <c r="I1127" s="133"/>
    </row>
    <row r="1128" spans="1:9">
      <c r="A1128" s="133"/>
      <c r="B1128" s="133"/>
      <c r="C1128" s="133"/>
      <c r="D1128" s="133"/>
      <c r="E1128" s="133"/>
      <c r="F1128" s="133"/>
      <c r="G1128" s="133"/>
      <c r="H1128" s="133"/>
      <c r="I1128" s="133"/>
    </row>
    <row r="1129" spans="1:9">
      <c r="A1129" s="133"/>
      <c r="B1129" s="133"/>
      <c r="C1129" s="133"/>
      <c r="D1129" s="133"/>
      <c r="E1129" s="133"/>
      <c r="F1129" s="133"/>
      <c r="G1129" s="133"/>
      <c r="H1129" s="133"/>
      <c r="I1129" s="133"/>
    </row>
    <row r="1130" spans="1:9">
      <c r="A1130" s="133"/>
      <c r="B1130" s="133"/>
      <c r="C1130" s="133"/>
      <c r="D1130" s="133"/>
      <c r="E1130" s="133"/>
      <c r="F1130" s="133"/>
      <c r="G1130" s="133"/>
      <c r="H1130" s="133"/>
      <c r="I1130" s="133"/>
    </row>
    <row r="1131" spans="1:9">
      <c r="A1131" s="133"/>
      <c r="B1131" s="133"/>
      <c r="C1131" s="133"/>
      <c r="D1131" s="133"/>
      <c r="E1131" s="133"/>
      <c r="F1131" s="133"/>
      <c r="G1131" s="133"/>
      <c r="H1131" s="133"/>
      <c r="I1131" s="133"/>
    </row>
    <row r="1132" spans="1:9">
      <c r="A1132" s="133"/>
      <c r="B1132" s="133"/>
      <c r="C1132" s="133"/>
      <c r="D1132" s="133"/>
      <c r="E1132" s="133"/>
      <c r="F1132" s="133"/>
      <c r="G1132" s="133"/>
      <c r="H1132" s="133"/>
      <c r="I1132" s="133"/>
    </row>
    <row r="1133" spans="1:9">
      <c r="A1133" s="133"/>
      <c r="B1133" s="133"/>
      <c r="C1133" s="133"/>
      <c r="D1133" s="133"/>
      <c r="E1133" s="133"/>
      <c r="F1133" s="133"/>
      <c r="G1133" s="133"/>
      <c r="H1133" s="133"/>
      <c r="I1133" s="133"/>
    </row>
    <row r="1134" spans="1:9">
      <c r="A1134" s="133"/>
      <c r="B1134" s="133"/>
      <c r="C1134" s="133"/>
      <c r="D1134" s="133"/>
      <c r="E1134" s="133"/>
      <c r="F1134" s="133"/>
      <c r="G1134" s="133"/>
      <c r="H1134" s="133"/>
      <c r="I1134" s="133"/>
    </row>
    <row r="1135" spans="1:9">
      <c r="A1135" s="133"/>
      <c r="B1135" s="133"/>
      <c r="C1135" s="133"/>
      <c r="D1135" s="133"/>
      <c r="E1135" s="133"/>
      <c r="F1135" s="133"/>
      <c r="G1135" s="133"/>
      <c r="H1135" s="133"/>
      <c r="I1135" s="133"/>
    </row>
    <row r="1136" spans="1:9">
      <c r="A1136" s="133"/>
      <c r="B1136" s="133"/>
      <c r="C1136" s="133"/>
      <c r="D1136" s="133"/>
      <c r="E1136" s="133"/>
      <c r="F1136" s="133"/>
      <c r="G1136" s="133"/>
      <c r="H1136" s="133"/>
      <c r="I1136" s="133"/>
    </row>
    <row r="1137" spans="1:9">
      <c r="A1137" s="133"/>
      <c r="B1137" s="133"/>
      <c r="C1137" s="133"/>
      <c r="D1137" s="133"/>
      <c r="E1137" s="133"/>
      <c r="F1137" s="133"/>
      <c r="G1137" s="133"/>
      <c r="H1137" s="133"/>
      <c r="I1137" s="133"/>
    </row>
    <row r="1138" spans="1:9">
      <c r="A1138" s="133"/>
      <c r="B1138" s="133"/>
      <c r="C1138" s="133"/>
      <c r="D1138" s="133"/>
      <c r="E1138" s="133"/>
      <c r="F1138" s="133"/>
      <c r="G1138" s="133"/>
      <c r="H1138" s="133"/>
      <c r="I1138" s="133"/>
    </row>
    <row r="1139" spans="1:9">
      <c r="A1139" s="133"/>
      <c r="B1139" s="133"/>
      <c r="C1139" s="133"/>
      <c r="D1139" s="133"/>
      <c r="E1139" s="133"/>
      <c r="F1139" s="133"/>
      <c r="G1139" s="133"/>
      <c r="H1139" s="133"/>
      <c r="I1139" s="133"/>
    </row>
    <row r="1140" spans="1:9">
      <c r="A1140" s="133"/>
      <c r="B1140" s="133"/>
      <c r="C1140" s="133"/>
      <c r="D1140" s="133"/>
      <c r="E1140" s="133"/>
      <c r="F1140" s="133"/>
      <c r="G1140" s="133"/>
      <c r="H1140" s="133"/>
      <c r="I1140" s="133"/>
    </row>
    <row r="1141" spans="1:9">
      <c r="A1141" s="133"/>
      <c r="B1141" s="133"/>
      <c r="C1141" s="133"/>
      <c r="D1141" s="133"/>
      <c r="E1141" s="133"/>
      <c r="F1141" s="133"/>
      <c r="G1141" s="133"/>
      <c r="H1141" s="133"/>
      <c r="I1141" s="133"/>
    </row>
    <row r="1142" spans="1:9">
      <c r="A1142" s="133"/>
      <c r="B1142" s="133"/>
      <c r="C1142" s="133"/>
      <c r="D1142" s="133"/>
      <c r="E1142" s="133"/>
      <c r="F1142" s="133"/>
      <c r="G1142" s="133"/>
      <c r="H1142" s="133"/>
      <c r="I1142" s="133"/>
    </row>
    <row r="1143" spans="1:9">
      <c r="A1143" s="133"/>
      <c r="B1143" s="133"/>
      <c r="C1143" s="133"/>
      <c r="D1143" s="133"/>
      <c r="E1143" s="133"/>
      <c r="F1143" s="133"/>
      <c r="G1143" s="133"/>
      <c r="H1143" s="133"/>
      <c r="I1143" s="133"/>
    </row>
    <row r="1144" spans="1:9">
      <c r="A1144" s="133"/>
      <c r="B1144" s="133"/>
      <c r="C1144" s="133"/>
      <c r="D1144" s="133"/>
      <c r="E1144" s="133"/>
      <c r="F1144" s="133"/>
      <c r="G1144" s="133"/>
      <c r="H1144" s="133"/>
      <c r="I1144" s="133"/>
    </row>
    <row r="1145" spans="1:9">
      <c r="A1145" s="133"/>
      <c r="B1145" s="133"/>
      <c r="C1145" s="133"/>
      <c r="D1145" s="133"/>
      <c r="E1145" s="133"/>
      <c r="F1145" s="133"/>
      <c r="G1145" s="133"/>
      <c r="H1145" s="133"/>
      <c r="I1145" s="133"/>
    </row>
    <row r="1146" spans="1:9">
      <c r="A1146" s="133"/>
      <c r="B1146" s="133"/>
      <c r="C1146" s="133"/>
      <c r="D1146" s="133"/>
      <c r="E1146" s="133"/>
      <c r="F1146" s="133"/>
      <c r="G1146" s="133"/>
      <c r="H1146" s="133"/>
      <c r="I1146" s="133"/>
    </row>
    <row r="1147" spans="1:9">
      <c r="A1147" s="133"/>
      <c r="B1147" s="133"/>
      <c r="C1147" s="133"/>
      <c r="D1147" s="133"/>
      <c r="E1147" s="133"/>
      <c r="F1147" s="133"/>
      <c r="G1147" s="133"/>
      <c r="H1147" s="133"/>
      <c r="I1147" s="133"/>
    </row>
    <row r="1148" spans="1:9">
      <c r="A1148" s="133"/>
      <c r="B1148" s="133"/>
      <c r="C1148" s="133"/>
      <c r="D1148" s="133"/>
      <c r="E1148" s="133"/>
      <c r="F1148" s="133"/>
      <c r="G1148" s="133"/>
      <c r="H1148" s="133"/>
      <c r="I1148" s="133"/>
    </row>
    <row r="1149" spans="1:9">
      <c r="A1149" s="133"/>
      <c r="B1149" s="133"/>
      <c r="C1149" s="133"/>
      <c r="D1149" s="133"/>
      <c r="E1149" s="133"/>
      <c r="F1149" s="133"/>
      <c r="G1149" s="133"/>
      <c r="H1149" s="133"/>
      <c r="I1149" s="133"/>
    </row>
    <row r="1150" spans="1:9">
      <c r="A1150" s="133"/>
      <c r="B1150" s="133"/>
      <c r="C1150" s="133"/>
      <c r="D1150" s="133"/>
      <c r="E1150" s="133"/>
      <c r="F1150" s="133"/>
      <c r="G1150" s="133"/>
      <c r="H1150" s="133"/>
      <c r="I1150" s="133"/>
    </row>
    <row r="1151" spans="1:9">
      <c r="A1151" s="133"/>
      <c r="B1151" s="133"/>
      <c r="C1151" s="133"/>
      <c r="D1151" s="133"/>
      <c r="E1151" s="133"/>
      <c r="F1151" s="133"/>
      <c r="G1151" s="133"/>
      <c r="H1151" s="133"/>
      <c r="I1151" s="133"/>
    </row>
    <row r="1152" spans="1:9">
      <c r="A1152" s="133"/>
      <c r="B1152" s="133"/>
      <c r="C1152" s="133"/>
      <c r="D1152" s="133"/>
      <c r="E1152" s="133"/>
      <c r="F1152" s="133"/>
      <c r="G1152" s="133"/>
      <c r="H1152" s="133"/>
      <c r="I1152" s="133"/>
    </row>
    <row r="1153" spans="1:9">
      <c r="A1153" s="133"/>
      <c r="B1153" s="133"/>
      <c r="C1153" s="133"/>
      <c r="D1153" s="133"/>
      <c r="E1153" s="133"/>
      <c r="F1153" s="133"/>
      <c r="G1153" s="133"/>
      <c r="H1153" s="133"/>
      <c r="I1153" s="133"/>
    </row>
    <row r="1154" spans="1:9">
      <c r="A1154" s="133"/>
      <c r="B1154" s="133"/>
      <c r="C1154" s="133"/>
      <c r="D1154" s="133"/>
      <c r="E1154" s="133"/>
      <c r="F1154" s="133"/>
      <c r="G1154" s="133"/>
      <c r="H1154" s="133"/>
      <c r="I1154" s="133"/>
    </row>
    <row r="1155" spans="1:9">
      <c r="A1155" s="133"/>
      <c r="B1155" s="133"/>
      <c r="C1155" s="133"/>
      <c r="D1155" s="133"/>
      <c r="E1155" s="133"/>
      <c r="F1155" s="133"/>
      <c r="G1155" s="133"/>
      <c r="H1155" s="133"/>
      <c r="I1155" s="133"/>
    </row>
    <row r="1156" spans="1:9">
      <c r="A1156" s="133"/>
      <c r="B1156" s="133"/>
      <c r="C1156" s="133"/>
      <c r="D1156" s="133"/>
      <c r="E1156" s="133"/>
      <c r="F1156" s="133"/>
      <c r="G1156" s="133"/>
      <c r="H1156" s="133"/>
      <c r="I1156" s="133"/>
    </row>
    <row r="1157" spans="1:9">
      <c r="A1157" s="133"/>
      <c r="B1157" s="133"/>
      <c r="C1157" s="133"/>
      <c r="D1157" s="133"/>
      <c r="E1157" s="133"/>
      <c r="F1157" s="133"/>
      <c r="G1157" s="133"/>
      <c r="H1157" s="133"/>
      <c r="I1157" s="133"/>
    </row>
    <row r="1158" spans="1:9">
      <c r="A1158" s="133"/>
      <c r="B1158" s="133"/>
      <c r="C1158" s="133"/>
      <c r="D1158" s="133"/>
      <c r="E1158" s="133"/>
      <c r="F1158" s="133"/>
      <c r="G1158" s="133"/>
      <c r="H1158" s="133"/>
      <c r="I1158" s="133"/>
    </row>
    <row r="1159" spans="1:9">
      <c r="A1159" s="133"/>
      <c r="B1159" s="133"/>
      <c r="C1159" s="133"/>
      <c r="D1159" s="133"/>
      <c r="E1159" s="133"/>
      <c r="F1159" s="133"/>
      <c r="G1159" s="133"/>
      <c r="H1159" s="133"/>
      <c r="I1159" s="133"/>
    </row>
    <row r="1160" spans="1:9">
      <c r="A1160" s="133"/>
      <c r="B1160" s="133"/>
      <c r="C1160" s="133"/>
      <c r="D1160" s="133"/>
      <c r="E1160" s="133"/>
      <c r="F1160" s="133"/>
      <c r="G1160" s="133"/>
      <c r="H1160" s="133"/>
      <c r="I1160" s="133"/>
    </row>
    <row r="1161" spans="1:9">
      <c r="A1161" s="133"/>
      <c r="B1161" s="133"/>
      <c r="C1161" s="133"/>
      <c r="D1161" s="133"/>
      <c r="E1161" s="133"/>
      <c r="F1161" s="133"/>
      <c r="G1161" s="133"/>
      <c r="H1161" s="133"/>
      <c r="I1161" s="133"/>
    </row>
    <row r="1162" spans="1:9">
      <c r="A1162" s="133"/>
      <c r="B1162" s="133"/>
      <c r="C1162" s="133"/>
      <c r="D1162" s="133"/>
      <c r="E1162" s="133"/>
      <c r="F1162" s="133"/>
      <c r="G1162" s="133"/>
      <c r="H1162" s="133"/>
      <c r="I1162" s="133"/>
    </row>
    <row r="1163" spans="1:9">
      <c r="A1163" s="133"/>
      <c r="B1163" s="133"/>
      <c r="C1163" s="133"/>
      <c r="D1163" s="133"/>
      <c r="E1163" s="133"/>
      <c r="F1163" s="133"/>
      <c r="G1163" s="133"/>
      <c r="H1163" s="133"/>
      <c r="I1163" s="133"/>
    </row>
    <row r="1164" spans="1:9">
      <c r="A1164" s="133"/>
      <c r="B1164" s="133"/>
      <c r="C1164" s="133"/>
      <c r="D1164" s="133"/>
      <c r="E1164" s="133"/>
      <c r="F1164" s="133"/>
      <c r="G1164" s="133"/>
      <c r="H1164" s="133"/>
      <c r="I1164" s="133"/>
    </row>
    <row r="1165" spans="1:9">
      <c r="A1165" s="133"/>
      <c r="B1165" s="133"/>
      <c r="C1165" s="133"/>
      <c r="D1165" s="133"/>
      <c r="E1165" s="133"/>
      <c r="F1165" s="133"/>
      <c r="G1165" s="133"/>
      <c r="H1165" s="133"/>
      <c r="I1165" s="133"/>
    </row>
    <row r="1166" spans="1:9">
      <c r="A1166" s="133"/>
      <c r="B1166" s="133"/>
      <c r="C1166" s="133"/>
      <c r="D1166" s="133"/>
      <c r="E1166" s="133"/>
      <c r="F1166" s="133"/>
      <c r="G1166" s="133"/>
      <c r="H1166" s="133"/>
      <c r="I1166" s="133"/>
    </row>
    <row r="1167" spans="1:9">
      <c r="A1167" s="133"/>
      <c r="B1167" s="133"/>
      <c r="C1167" s="133"/>
      <c r="D1167" s="133"/>
      <c r="E1167" s="133"/>
      <c r="F1167" s="133"/>
      <c r="G1167" s="133"/>
      <c r="H1167" s="133"/>
      <c r="I1167" s="133"/>
    </row>
    <row r="1168" spans="1:9">
      <c r="A1168" s="133"/>
      <c r="B1168" s="133"/>
      <c r="C1168" s="133"/>
      <c r="D1168" s="133"/>
      <c r="E1168" s="133"/>
      <c r="F1168" s="133"/>
      <c r="G1168" s="133"/>
      <c r="H1168" s="133"/>
      <c r="I1168" s="133"/>
    </row>
    <row r="1169" spans="1:9">
      <c r="A1169" s="133"/>
      <c r="B1169" s="133"/>
      <c r="C1169" s="133"/>
      <c r="D1169" s="133"/>
      <c r="E1169" s="133"/>
      <c r="F1169" s="133"/>
      <c r="G1169" s="133"/>
      <c r="H1169" s="133"/>
      <c r="I1169" s="133"/>
    </row>
    <row r="1170" spans="1:9">
      <c r="A1170" s="133"/>
      <c r="B1170" s="133"/>
      <c r="C1170" s="133"/>
      <c r="D1170" s="133"/>
      <c r="E1170" s="133"/>
      <c r="F1170" s="133"/>
      <c r="G1170" s="133"/>
      <c r="H1170" s="133"/>
      <c r="I1170" s="133"/>
    </row>
    <row r="1171" spans="1:9">
      <c r="A1171" s="133"/>
      <c r="B1171" s="133"/>
      <c r="C1171" s="133"/>
      <c r="D1171" s="133"/>
      <c r="E1171" s="133"/>
      <c r="F1171" s="133"/>
      <c r="G1171" s="133"/>
      <c r="H1171" s="133"/>
      <c r="I1171" s="133"/>
    </row>
    <row r="1172" spans="1:9">
      <c r="A1172" s="133"/>
      <c r="B1172" s="133"/>
      <c r="C1172" s="133"/>
      <c r="D1172" s="133"/>
      <c r="E1172" s="133"/>
      <c r="F1172" s="133"/>
      <c r="G1172" s="133"/>
      <c r="H1172" s="133"/>
      <c r="I1172" s="133"/>
    </row>
    <row r="1173" spans="1:9">
      <c r="A1173" s="133"/>
      <c r="B1173" s="133"/>
      <c r="C1173" s="133"/>
      <c r="D1173" s="133"/>
      <c r="E1173" s="133"/>
      <c r="F1173" s="133"/>
      <c r="G1173" s="133"/>
      <c r="H1173" s="133"/>
      <c r="I1173" s="133"/>
    </row>
    <row r="1174" spans="1:9">
      <c r="A1174" s="133"/>
      <c r="B1174" s="133"/>
      <c r="C1174" s="133"/>
      <c r="D1174" s="133"/>
      <c r="E1174" s="133"/>
      <c r="F1174" s="133"/>
      <c r="G1174" s="133"/>
      <c r="H1174" s="133"/>
      <c r="I1174" s="133"/>
    </row>
    <row r="1175" spans="1:9">
      <c r="A1175" s="133"/>
      <c r="B1175" s="133"/>
      <c r="C1175" s="133"/>
      <c r="D1175" s="133"/>
      <c r="E1175" s="133"/>
      <c r="F1175" s="133"/>
      <c r="G1175" s="133"/>
      <c r="H1175" s="133"/>
      <c r="I1175" s="133"/>
    </row>
    <row r="1176" spans="1:9">
      <c r="A1176" s="133"/>
      <c r="B1176" s="133"/>
      <c r="C1176" s="133"/>
      <c r="D1176" s="133"/>
      <c r="E1176" s="133"/>
      <c r="F1176" s="133"/>
      <c r="G1176" s="133"/>
      <c r="H1176" s="133"/>
      <c r="I1176" s="133"/>
    </row>
    <row r="1177" spans="1:9">
      <c r="A1177" s="133"/>
      <c r="B1177" s="133"/>
      <c r="C1177" s="133"/>
      <c r="D1177" s="133"/>
      <c r="E1177" s="133"/>
      <c r="F1177" s="133"/>
      <c r="G1177" s="133"/>
      <c r="H1177" s="133"/>
      <c r="I1177" s="133"/>
    </row>
    <row r="1178" spans="1:9">
      <c r="A1178" s="133"/>
      <c r="B1178" s="133"/>
      <c r="C1178" s="133"/>
      <c r="D1178" s="133"/>
      <c r="E1178" s="133"/>
      <c r="F1178" s="133"/>
      <c r="G1178" s="133"/>
      <c r="H1178" s="133"/>
      <c r="I1178" s="133"/>
    </row>
    <row r="1179" spans="1:9">
      <c r="A1179" s="133"/>
      <c r="B1179" s="133"/>
      <c r="C1179" s="133"/>
      <c r="D1179" s="133"/>
      <c r="E1179" s="133"/>
      <c r="F1179" s="133"/>
      <c r="G1179" s="133"/>
      <c r="H1179" s="133"/>
      <c r="I1179" s="133"/>
    </row>
    <row r="1180" spans="1:9">
      <c r="A1180" s="133"/>
      <c r="B1180" s="133"/>
      <c r="C1180" s="133"/>
      <c r="D1180" s="133"/>
      <c r="E1180" s="133"/>
      <c r="F1180" s="133"/>
      <c r="G1180" s="133"/>
      <c r="H1180" s="133"/>
      <c r="I1180" s="133"/>
    </row>
    <row r="1181" spans="1:9">
      <c r="A1181" s="133"/>
      <c r="B1181" s="133"/>
      <c r="C1181" s="133"/>
      <c r="D1181" s="133"/>
      <c r="E1181" s="133"/>
      <c r="F1181" s="133"/>
      <c r="G1181" s="133"/>
      <c r="H1181" s="133"/>
      <c r="I1181" s="133"/>
    </row>
    <row r="1182" spans="1:9">
      <c r="A1182" s="133"/>
      <c r="B1182" s="133"/>
      <c r="C1182" s="133"/>
      <c r="D1182" s="133"/>
      <c r="E1182" s="133"/>
      <c r="F1182" s="133"/>
      <c r="G1182" s="133"/>
      <c r="H1182" s="133"/>
      <c r="I1182" s="133"/>
    </row>
    <row r="1183" spans="1:9">
      <c r="A1183" s="133"/>
      <c r="B1183" s="133"/>
      <c r="C1183" s="133"/>
      <c r="D1183" s="133"/>
      <c r="E1183" s="133"/>
      <c r="F1183" s="133"/>
      <c r="G1183" s="133"/>
      <c r="H1183" s="133"/>
      <c r="I1183" s="133"/>
    </row>
    <row r="1184" spans="1:9">
      <c r="A1184" s="133"/>
      <c r="B1184" s="133"/>
      <c r="C1184" s="133"/>
      <c r="D1184" s="133"/>
      <c r="E1184" s="133"/>
      <c r="F1184" s="133"/>
      <c r="G1184" s="133"/>
      <c r="H1184" s="133"/>
      <c r="I1184" s="133"/>
    </row>
    <row r="1185" spans="1:9">
      <c r="A1185" s="133"/>
      <c r="B1185" s="133"/>
      <c r="C1185" s="133"/>
      <c r="D1185" s="133"/>
      <c r="E1185" s="133"/>
      <c r="F1185" s="133"/>
      <c r="G1185" s="133"/>
      <c r="H1185" s="133"/>
      <c r="I1185" s="133"/>
    </row>
    <row r="1186" spans="1:9">
      <c r="A1186" s="133"/>
      <c r="B1186" s="133"/>
      <c r="C1186" s="133"/>
      <c r="D1186" s="133"/>
      <c r="E1186" s="133"/>
      <c r="F1186" s="133"/>
      <c r="G1186" s="133"/>
      <c r="H1186" s="133"/>
      <c r="I1186" s="133"/>
    </row>
    <row r="1187" spans="1:9">
      <c r="A1187" s="133"/>
      <c r="B1187" s="133"/>
      <c r="C1187" s="133"/>
      <c r="D1187" s="133"/>
      <c r="E1187" s="133"/>
      <c r="F1187" s="133"/>
      <c r="G1187" s="133"/>
      <c r="H1187" s="133"/>
      <c r="I1187" s="133"/>
    </row>
    <row r="1188" spans="1:9">
      <c r="A1188" s="133"/>
      <c r="B1188" s="133"/>
      <c r="C1188" s="133"/>
      <c r="D1188" s="133"/>
      <c r="E1188" s="133"/>
      <c r="F1188" s="133"/>
      <c r="G1188" s="133"/>
      <c r="H1188" s="133"/>
      <c r="I1188" s="133"/>
    </row>
    <row r="1189" spans="1:9">
      <c r="A1189" s="133"/>
      <c r="B1189" s="133"/>
      <c r="C1189" s="133"/>
      <c r="D1189" s="133"/>
      <c r="E1189" s="133"/>
      <c r="F1189" s="133"/>
      <c r="G1189" s="133"/>
      <c r="H1189" s="133"/>
      <c r="I1189" s="133"/>
    </row>
    <row r="1190" spans="1:9">
      <c r="A1190" s="133"/>
      <c r="B1190" s="133"/>
      <c r="C1190" s="133"/>
      <c r="D1190" s="133"/>
      <c r="E1190" s="133"/>
      <c r="F1190" s="133"/>
      <c r="G1190" s="133"/>
      <c r="H1190" s="133"/>
      <c r="I1190" s="133"/>
    </row>
    <row r="1191" spans="1:9">
      <c r="A1191" s="133"/>
      <c r="B1191" s="133"/>
      <c r="C1191" s="133"/>
      <c r="D1191" s="133"/>
      <c r="E1191" s="133"/>
      <c r="F1191" s="133"/>
      <c r="G1191" s="133"/>
      <c r="H1191" s="133"/>
      <c r="I1191" s="133"/>
    </row>
    <row r="1192" spans="1:9">
      <c r="A1192" s="133"/>
      <c r="B1192" s="133"/>
      <c r="C1192" s="133"/>
      <c r="D1192" s="133"/>
      <c r="E1192" s="133"/>
      <c r="F1192" s="133"/>
      <c r="G1192" s="133"/>
      <c r="H1192" s="133"/>
      <c r="I1192" s="133"/>
    </row>
    <row r="1193" spans="1:9">
      <c r="A1193" s="133"/>
      <c r="B1193" s="133"/>
      <c r="C1193" s="133"/>
      <c r="D1193" s="133"/>
      <c r="E1193" s="133"/>
      <c r="F1193" s="133"/>
      <c r="G1193" s="133"/>
      <c r="H1193" s="133"/>
      <c r="I1193" s="133"/>
    </row>
    <row r="1194" spans="1:9">
      <c r="A1194" s="133"/>
      <c r="B1194" s="133"/>
      <c r="C1194" s="133"/>
      <c r="D1194" s="133"/>
      <c r="E1194" s="133"/>
      <c r="F1194" s="133"/>
      <c r="G1194" s="133"/>
      <c r="H1194" s="133"/>
      <c r="I1194" s="133"/>
    </row>
    <row r="1195" spans="1:9">
      <c r="A1195" s="133"/>
      <c r="B1195" s="133"/>
      <c r="C1195" s="133"/>
      <c r="D1195" s="133"/>
      <c r="E1195" s="133"/>
      <c r="F1195" s="133"/>
      <c r="G1195" s="133"/>
      <c r="H1195" s="133"/>
      <c r="I1195" s="133"/>
    </row>
    <row r="1196" spans="1:9">
      <c r="A1196" s="133"/>
      <c r="B1196" s="133"/>
      <c r="C1196" s="133"/>
      <c r="D1196" s="133"/>
      <c r="E1196" s="133"/>
      <c r="F1196" s="133"/>
      <c r="G1196" s="133"/>
      <c r="H1196" s="133"/>
      <c r="I1196" s="133"/>
    </row>
    <row r="1197" spans="1:9">
      <c r="A1197" s="133"/>
      <c r="B1197" s="133"/>
      <c r="C1197" s="133"/>
      <c r="D1197" s="133"/>
      <c r="E1197" s="133"/>
      <c r="F1197" s="133"/>
      <c r="G1197" s="133"/>
      <c r="H1197" s="133"/>
      <c r="I1197" s="133"/>
    </row>
    <row r="1198" spans="1:9">
      <c r="A1198" s="133"/>
      <c r="B1198" s="133"/>
      <c r="C1198" s="133"/>
      <c r="D1198" s="133"/>
      <c r="E1198" s="133"/>
      <c r="F1198" s="133"/>
      <c r="G1198" s="133"/>
      <c r="H1198" s="133"/>
      <c r="I1198" s="133"/>
    </row>
    <row r="1199" spans="1:9">
      <c r="A1199" s="133"/>
      <c r="B1199" s="133"/>
      <c r="C1199" s="133"/>
      <c r="D1199" s="133"/>
      <c r="E1199" s="133"/>
      <c r="F1199" s="133"/>
      <c r="G1199" s="133"/>
      <c r="H1199" s="133"/>
      <c r="I1199" s="133"/>
    </row>
    <row r="1200" spans="1:9">
      <c r="A1200" s="133"/>
      <c r="B1200" s="133"/>
      <c r="C1200" s="133"/>
      <c r="D1200" s="133"/>
      <c r="E1200" s="133"/>
      <c r="F1200" s="133"/>
      <c r="G1200" s="133"/>
      <c r="H1200" s="133"/>
      <c r="I1200" s="133"/>
    </row>
    <row r="1201" spans="1:9">
      <c r="A1201" s="133"/>
      <c r="B1201" s="133"/>
      <c r="C1201" s="133"/>
      <c r="D1201" s="133"/>
      <c r="E1201" s="133"/>
      <c r="F1201" s="133"/>
      <c r="G1201" s="133"/>
      <c r="H1201" s="133"/>
      <c r="I1201" s="133"/>
    </row>
    <row r="1202" spans="1:9">
      <c r="A1202" s="133"/>
      <c r="B1202" s="133"/>
      <c r="C1202" s="133"/>
      <c r="D1202" s="133"/>
      <c r="E1202" s="133"/>
      <c r="F1202" s="133"/>
      <c r="G1202" s="133"/>
      <c r="H1202" s="133"/>
      <c r="I1202" s="133"/>
    </row>
    <row r="1203" spans="1:9">
      <c r="A1203" s="133"/>
      <c r="B1203" s="133"/>
      <c r="C1203" s="133"/>
      <c r="D1203" s="133"/>
      <c r="E1203" s="133"/>
      <c r="F1203" s="133"/>
      <c r="G1203" s="133"/>
      <c r="H1203" s="133"/>
      <c r="I1203" s="133"/>
    </row>
    <row r="1204" spans="1:9">
      <c r="A1204" s="133"/>
      <c r="B1204" s="133"/>
      <c r="C1204" s="133"/>
      <c r="D1204" s="133"/>
      <c r="E1204" s="133"/>
      <c r="F1204" s="133"/>
      <c r="G1204" s="133"/>
      <c r="H1204" s="133"/>
      <c r="I1204" s="133"/>
    </row>
    <row r="1205" spans="1:9">
      <c r="A1205" s="133"/>
      <c r="B1205" s="133"/>
      <c r="C1205" s="133"/>
      <c r="D1205" s="133"/>
      <c r="E1205" s="133"/>
      <c r="F1205" s="133"/>
      <c r="G1205" s="133"/>
      <c r="H1205" s="133"/>
      <c r="I1205" s="133"/>
    </row>
    <row r="1206" spans="1:9">
      <c r="A1206" s="133"/>
      <c r="B1206" s="133"/>
      <c r="C1206" s="133"/>
      <c r="D1206" s="133"/>
      <c r="E1206" s="133"/>
      <c r="F1206" s="133"/>
      <c r="G1206" s="133"/>
      <c r="H1206" s="133"/>
      <c r="I1206" s="133"/>
    </row>
    <row r="1207" spans="1:9">
      <c r="A1207" s="133"/>
      <c r="B1207" s="133"/>
      <c r="C1207" s="133"/>
      <c r="D1207" s="133"/>
      <c r="E1207" s="133"/>
      <c r="F1207" s="133"/>
      <c r="G1207" s="133"/>
      <c r="H1207" s="133"/>
      <c r="I1207" s="133"/>
    </row>
    <row r="1208" spans="1:9">
      <c r="A1208" s="133"/>
      <c r="B1208" s="133"/>
      <c r="C1208" s="133"/>
      <c r="D1208" s="133"/>
      <c r="E1208" s="133"/>
      <c r="F1208" s="133"/>
      <c r="G1208" s="133"/>
      <c r="H1208" s="133"/>
      <c r="I1208" s="133"/>
    </row>
    <row r="1209" spans="1:9">
      <c r="A1209" s="133"/>
      <c r="B1209" s="133"/>
      <c r="C1209" s="133"/>
      <c r="D1209" s="133"/>
      <c r="E1209" s="133"/>
      <c r="F1209" s="133"/>
      <c r="G1209" s="133"/>
      <c r="H1209" s="133"/>
      <c r="I1209" s="133"/>
    </row>
    <row r="1210" spans="1:9">
      <c r="A1210" s="133"/>
      <c r="B1210" s="133"/>
      <c r="C1210" s="133"/>
      <c r="D1210" s="133"/>
      <c r="E1210" s="133"/>
      <c r="F1210" s="133"/>
      <c r="G1210" s="133"/>
      <c r="H1210" s="133"/>
      <c r="I1210" s="133"/>
    </row>
    <row r="1211" spans="1:9">
      <c r="A1211" s="133"/>
      <c r="B1211" s="133"/>
      <c r="C1211" s="133"/>
      <c r="D1211" s="133"/>
      <c r="E1211" s="133"/>
      <c r="F1211" s="133"/>
      <c r="G1211" s="133"/>
      <c r="H1211" s="133"/>
      <c r="I1211" s="133"/>
    </row>
    <row r="1212" spans="1:9">
      <c r="A1212" s="133"/>
      <c r="B1212" s="133"/>
      <c r="C1212" s="133"/>
      <c r="D1212" s="133"/>
      <c r="E1212" s="133"/>
      <c r="F1212" s="133"/>
      <c r="G1212" s="133"/>
      <c r="H1212" s="133"/>
      <c r="I1212" s="133"/>
    </row>
    <row r="1213" spans="1:9">
      <c r="A1213" s="133"/>
      <c r="B1213" s="133"/>
      <c r="C1213" s="133"/>
      <c r="D1213" s="133"/>
      <c r="E1213" s="133"/>
      <c r="F1213" s="133"/>
      <c r="G1213" s="133"/>
      <c r="H1213" s="133"/>
      <c r="I1213" s="133"/>
    </row>
    <row r="1214" spans="1:9">
      <c r="A1214" s="133"/>
      <c r="B1214" s="133"/>
      <c r="C1214" s="133"/>
      <c r="D1214" s="133"/>
      <c r="E1214" s="133"/>
      <c r="F1214" s="133"/>
      <c r="G1214" s="133"/>
      <c r="H1214" s="133"/>
      <c r="I1214" s="133"/>
    </row>
    <row r="1215" spans="1:9">
      <c r="A1215" s="133"/>
      <c r="B1215" s="133"/>
      <c r="C1215" s="133"/>
      <c r="D1215" s="133"/>
      <c r="E1215" s="133"/>
      <c r="F1215" s="133"/>
      <c r="G1215" s="133"/>
      <c r="H1215" s="133"/>
      <c r="I1215" s="133"/>
    </row>
    <row r="1216" spans="1:9">
      <c r="A1216" s="133"/>
      <c r="B1216" s="133"/>
      <c r="C1216" s="133"/>
      <c r="D1216" s="133"/>
      <c r="E1216" s="133"/>
      <c r="F1216" s="133"/>
      <c r="G1216" s="133"/>
      <c r="H1216" s="133"/>
      <c r="I1216" s="133"/>
    </row>
    <row r="1217" spans="1:9">
      <c r="A1217" s="133"/>
      <c r="B1217" s="133"/>
      <c r="C1217" s="133"/>
      <c r="D1217" s="133"/>
      <c r="E1217" s="133"/>
      <c r="F1217" s="133"/>
      <c r="G1217" s="133"/>
      <c r="H1217" s="133"/>
      <c r="I1217" s="133"/>
    </row>
    <row r="1218" spans="1:9">
      <c r="A1218" s="133"/>
      <c r="B1218" s="133"/>
      <c r="C1218" s="133"/>
      <c r="D1218" s="133"/>
      <c r="E1218" s="133"/>
      <c r="F1218" s="133"/>
      <c r="G1218" s="133"/>
      <c r="H1218" s="133"/>
      <c r="I1218" s="133"/>
    </row>
    <row r="1219" spans="1:9">
      <c r="A1219" s="133"/>
      <c r="B1219" s="133"/>
      <c r="C1219" s="133"/>
      <c r="D1219" s="133"/>
      <c r="E1219" s="133"/>
      <c r="F1219" s="133"/>
      <c r="G1219" s="133"/>
      <c r="H1219" s="133"/>
      <c r="I1219" s="133"/>
    </row>
    <row r="1220" spans="1:9">
      <c r="A1220" s="133"/>
      <c r="B1220" s="133"/>
      <c r="C1220" s="133"/>
      <c r="D1220" s="133"/>
      <c r="E1220" s="133"/>
      <c r="F1220" s="133"/>
      <c r="G1220" s="133"/>
      <c r="H1220" s="133"/>
      <c r="I1220" s="133"/>
    </row>
    <row r="1221" spans="1:9">
      <c r="A1221" s="133"/>
      <c r="B1221" s="133"/>
      <c r="C1221" s="133"/>
      <c r="D1221" s="133"/>
      <c r="E1221" s="133"/>
      <c r="F1221" s="133"/>
      <c r="G1221" s="133"/>
      <c r="H1221" s="133"/>
      <c r="I1221" s="133"/>
    </row>
    <row r="1222" spans="1:9">
      <c r="A1222" s="133"/>
      <c r="B1222" s="133"/>
      <c r="C1222" s="133"/>
      <c r="D1222" s="133"/>
      <c r="E1222" s="133"/>
      <c r="F1222" s="133"/>
      <c r="G1222" s="133"/>
      <c r="H1222" s="133"/>
      <c r="I1222" s="133"/>
    </row>
    <row r="1223" spans="1:9">
      <c r="A1223" s="133"/>
      <c r="B1223" s="133"/>
      <c r="C1223" s="133"/>
      <c r="D1223" s="133"/>
      <c r="E1223" s="133"/>
      <c r="F1223" s="133"/>
      <c r="G1223" s="133"/>
      <c r="H1223" s="133"/>
      <c r="I1223" s="133"/>
    </row>
    <row r="1224" spans="1:9">
      <c r="A1224" s="133"/>
      <c r="B1224" s="133"/>
      <c r="C1224" s="133"/>
      <c r="D1224" s="133"/>
      <c r="E1224" s="133"/>
      <c r="F1224" s="133"/>
      <c r="G1224" s="133"/>
      <c r="H1224" s="133"/>
      <c r="I1224" s="133"/>
    </row>
    <row r="1225" spans="1:9">
      <c r="A1225" s="133"/>
      <c r="B1225" s="133"/>
      <c r="C1225" s="133"/>
      <c r="D1225" s="133"/>
      <c r="E1225" s="133"/>
      <c r="F1225" s="133"/>
      <c r="G1225" s="133"/>
      <c r="H1225" s="133"/>
      <c r="I1225" s="133"/>
    </row>
    <row r="1226" spans="1:9">
      <c r="A1226" s="133"/>
      <c r="B1226" s="133"/>
      <c r="C1226" s="133"/>
      <c r="D1226" s="133"/>
      <c r="E1226" s="133"/>
      <c r="F1226" s="133"/>
      <c r="G1226" s="133"/>
      <c r="H1226" s="133"/>
      <c r="I1226" s="133"/>
    </row>
    <row r="1227" spans="1:9">
      <c r="A1227" s="133"/>
      <c r="B1227" s="133"/>
      <c r="C1227" s="133"/>
      <c r="D1227" s="133"/>
      <c r="E1227" s="133"/>
      <c r="F1227" s="133"/>
      <c r="G1227" s="133"/>
      <c r="H1227" s="133"/>
      <c r="I1227" s="133"/>
    </row>
    <row r="1228" spans="1:9">
      <c r="A1228" s="133"/>
      <c r="B1228" s="133"/>
      <c r="C1228" s="133"/>
      <c r="D1228" s="133"/>
      <c r="E1228" s="133"/>
      <c r="F1228" s="133"/>
      <c r="G1228" s="133"/>
      <c r="H1228" s="133"/>
      <c r="I1228" s="133"/>
    </row>
    <row r="1229" spans="1:9">
      <c r="A1229" s="133"/>
      <c r="B1229" s="133"/>
      <c r="C1229" s="133"/>
      <c r="D1229" s="133"/>
      <c r="E1229" s="133"/>
      <c r="F1229" s="133"/>
      <c r="G1229" s="133"/>
      <c r="H1229" s="133"/>
      <c r="I1229" s="133"/>
    </row>
    <row r="1230" spans="1:9">
      <c r="A1230" s="133"/>
      <c r="B1230" s="133"/>
      <c r="C1230" s="133"/>
      <c r="D1230" s="133"/>
      <c r="E1230" s="133"/>
      <c r="F1230" s="133"/>
      <c r="G1230" s="133"/>
      <c r="H1230" s="133"/>
      <c r="I1230" s="133"/>
    </row>
    <row r="1231" spans="1:9">
      <c r="A1231" s="133"/>
      <c r="B1231" s="133"/>
      <c r="C1231" s="133"/>
      <c r="D1231" s="133"/>
      <c r="E1231" s="133"/>
      <c r="F1231" s="133"/>
      <c r="G1231" s="133"/>
      <c r="H1231" s="133"/>
      <c r="I1231" s="133"/>
    </row>
    <row r="1232" spans="1:9">
      <c r="A1232" s="133"/>
      <c r="B1232" s="133"/>
      <c r="C1232" s="133"/>
      <c r="D1232" s="133"/>
      <c r="E1232" s="133"/>
      <c r="F1232" s="133"/>
      <c r="G1232" s="133"/>
      <c r="H1232" s="133"/>
      <c r="I1232" s="133"/>
    </row>
    <row r="1233" spans="1:9">
      <c r="A1233" s="133"/>
      <c r="B1233" s="133"/>
      <c r="C1233" s="133"/>
      <c r="D1233" s="133"/>
      <c r="E1233" s="133"/>
      <c r="F1233" s="133"/>
      <c r="G1233" s="133"/>
      <c r="H1233" s="133"/>
      <c r="I1233" s="133"/>
    </row>
    <row r="1234" spans="1:9">
      <c r="A1234" s="133"/>
      <c r="B1234" s="133"/>
      <c r="C1234" s="133"/>
      <c r="D1234" s="133"/>
      <c r="E1234" s="133"/>
      <c r="F1234" s="133"/>
      <c r="G1234" s="133"/>
      <c r="H1234" s="133"/>
      <c r="I1234" s="133"/>
    </row>
    <row r="1235" spans="1:9">
      <c r="A1235" s="133"/>
      <c r="B1235" s="133"/>
      <c r="C1235" s="133"/>
      <c r="D1235" s="133"/>
      <c r="E1235" s="133"/>
      <c r="F1235" s="133"/>
      <c r="G1235" s="133"/>
      <c r="H1235" s="133"/>
      <c r="I1235" s="133"/>
    </row>
    <row r="1236" spans="1:9">
      <c r="A1236" s="133"/>
      <c r="B1236" s="133"/>
      <c r="C1236" s="133"/>
      <c r="D1236" s="133"/>
      <c r="E1236" s="133"/>
      <c r="F1236" s="133"/>
      <c r="G1236" s="133"/>
      <c r="H1236" s="133"/>
      <c r="I1236" s="133"/>
    </row>
    <row r="1237" spans="1:9">
      <c r="A1237" s="133"/>
      <c r="B1237" s="133"/>
      <c r="C1237" s="133"/>
      <c r="D1237" s="133"/>
      <c r="E1237" s="133"/>
      <c r="F1237" s="133"/>
      <c r="G1237" s="133"/>
      <c r="H1237" s="133"/>
      <c r="I1237" s="133"/>
    </row>
    <row r="1238" spans="1:9">
      <c r="A1238" s="133"/>
      <c r="B1238" s="133"/>
      <c r="C1238" s="133"/>
      <c r="D1238" s="133"/>
      <c r="E1238" s="133"/>
      <c r="F1238" s="133"/>
      <c r="G1238" s="133"/>
      <c r="H1238" s="133"/>
      <c r="I1238" s="133"/>
    </row>
    <row r="1239" spans="1:9">
      <c r="A1239" s="133"/>
      <c r="B1239" s="133"/>
      <c r="C1239" s="133"/>
      <c r="D1239" s="133"/>
      <c r="E1239" s="133"/>
      <c r="F1239" s="133"/>
      <c r="G1239" s="133"/>
      <c r="H1239" s="133"/>
      <c r="I1239" s="133"/>
    </row>
    <row r="1240" spans="1:9">
      <c r="A1240" s="133"/>
      <c r="B1240" s="133"/>
      <c r="C1240" s="133"/>
      <c r="D1240" s="133"/>
      <c r="E1240" s="133"/>
      <c r="F1240" s="133"/>
      <c r="G1240" s="133"/>
      <c r="H1240" s="133"/>
      <c r="I1240" s="133"/>
    </row>
    <row r="1241" spans="1:9">
      <c r="A1241" s="133"/>
      <c r="B1241" s="133"/>
      <c r="C1241" s="133"/>
      <c r="D1241" s="133"/>
      <c r="E1241" s="133"/>
      <c r="F1241" s="133"/>
      <c r="G1241" s="133"/>
      <c r="H1241" s="133"/>
      <c r="I1241" s="133"/>
    </row>
    <row r="1242" spans="1:9">
      <c r="A1242" s="133"/>
      <c r="B1242" s="133"/>
      <c r="C1242" s="133"/>
      <c r="D1242" s="133"/>
      <c r="E1242" s="133"/>
      <c r="F1242" s="133"/>
      <c r="G1242" s="133"/>
      <c r="H1242" s="133"/>
      <c r="I1242" s="133"/>
    </row>
    <row r="1243" spans="1:9">
      <c r="A1243" s="133"/>
      <c r="B1243" s="133"/>
      <c r="C1243" s="133"/>
      <c r="D1243" s="133"/>
      <c r="E1243" s="133"/>
      <c r="F1243" s="133"/>
      <c r="G1243" s="133"/>
      <c r="H1243" s="133"/>
      <c r="I1243" s="133"/>
    </row>
    <row r="1244" spans="1:9">
      <c r="A1244" s="133"/>
      <c r="B1244" s="133"/>
      <c r="C1244" s="133"/>
      <c r="D1244" s="133"/>
      <c r="E1244" s="133"/>
      <c r="F1244" s="133"/>
      <c r="G1244" s="133"/>
      <c r="H1244" s="133"/>
      <c r="I1244" s="133"/>
    </row>
    <row r="1245" spans="1:9">
      <c r="A1245" s="133"/>
      <c r="B1245" s="133"/>
      <c r="C1245" s="133"/>
      <c r="D1245" s="133"/>
      <c r="E1245" s="133"/>
      <c r="F1245" s="133"/>
      <c r="G1245" s="133"/>
      <c r="H1245" s="133"/>
      <c r="I1245" s="133"/>
    </row>
    <row r="1246" spans="1:9">
      <c r="A1246" s="133"/>
      <c r="B1246" s="133"/>
      <c r="C1246" s="133"/>
      <c r="D1246" s="133"/>
      <c r="E1246" s="133"/>
      <c r="F1246" s="133"/>
      <c r="G1246" s="133"/>
      <c r="H1246" s="133"/>
      <c r="I1246" s="133"/>
    </row>
    <row r="1247" spans="1:9">
      <c r="A1247" s="133"/>
      <c r="B1247" s="133"/>
      <c r="C1247" s="133"/>
      <c r="D1247" s="133"/>
      <c r="E1247" s="133"/>
      <c r="F1247" s="133"/>
      <c r="G1247" s="133"/>
      <c r="H1247" s="133"/>
      <c r="I1247" s="133"/>
    </row>
    <row r="1248" spans="1:9">
      <c r="A1248" s="133"/>
      <c r="B1248" s="133"/>
      <c r="C1248" s="133"/>
      <c r="D1248" s="133"/>
      <c r="E1248" s="133"/>
      <c r="F1248" s="133"/>
      <c r="G1248" s="133"/>
      <c r="H1248" s="133"/>
      <c r="I1248" s="133"/>
    </row>
    <row r="1249" spans="1:9">
      <c r="A1249" s="133"/>
      <c r="B1249" s="133"/>
      <c r="C1249" s="133"/>
      <c r="D1249" s="133"/>
      <c r="E1249" s="133"/>
      <c r="F1249" s="133"/>
      <c r="G1249" s="133"/>
      <c r="H1249" s="133"/>
      <c r="I1249" s="133"/>
    </row>
    <row r="1250" spans="1:9">
      <c r="A1250" s="133"/>
      <c r="B1250" s="133"/>
      <c r="C1250" s="133"/>
      <c r="D1250" s="133"/>
      <c r="E1250" s="133"/>
      <c r="F1250" s="133"/>
      <c r="G1250" s="133"/>
      <c r="H1250" s="133"/>
      <c r="I1250" s="133"/>
    </row>
    <row r="1251" spans="1:9">
      <c r="A1251" s="133"/>
      <c r="B1251" s="133"/>
      <c r="C1251" s="133"/>
      <c r="D1251" s="133"/>
      <c r="E1251" s="133"/>
      <c r="F1251" s="133"/>
      <c r="G1251" s="133"/>
      <c r="H1251" s="133"/>
      <c r="I1251" s="133"/>
    </row>
    <row r="1252" spans="1:9">
      <c r="A1252" s="133"/>
      <c r="B1252" s="133"/>
      <c r="C1252" s="133"/>
      <c r="D1252" s="133"/>
      <c r="E1252" s="133"/>
      <c r="F1252" s="133"/>
      <c r="G1252" s="133"/>
      <c r="H1252" s="133"/>
      <c r="I1252" s="133"/>
    </row>
    <row r="1253" spans="1:9">
      <c r="A1253" s="133"/>
      <c r="B1253" s="133"/>
      <c r="C1253" s="133"/>
      <c r="D1253" s="133"/>
      <c r="E1253" s="133"/>
      <c r="F1253" s="133"/>
      <c r="G1253" s="133"/>
      <c r="H1253" s="133"/>
      <c r="I1253" s="133"/>
    </row>
    <row r="1254" spans="1:9">
      <c r="A1254" s="133"/>
      <c r="B1254" s="133"/>
      <c r="C1254" s="133"/>
      <c r="D1254" s="133"/>
      <c r="E1254" s="133"/>
      <c r="F1254" s="133"/>
      <c r="G1254" s="133"/>
      <c r="H1254" s="133"/>
      <c r="I1254" s="133"/>
    </row>
    <row r="1255" spans="1:9">
      <c r="A1255" s="133"/>
      <c r="B1255" s="133"/>
      <c r="C1255" s="133"/>
      <c r="D1255" s="133"/>
      <c r="E1255" s="133"/>
      <c r="F1255" s="133"/>
      <c r="G1255" s="133"/>
      <c r="H1255" s="133"/>
      <c r="I1255" s="133"/>
    </row>
    <row r="1256" spans="1:9">
      <c r="A1256" s="133"/>
      <c r="B1256" s="133"/>
      <c r="C1256" s="133"/>
      <c r="D1256" s="133"/>
      <c r="E1256" s="133"/>
      <c r="F1256" s="133"/>
      <c r="G1256" s="133"/>
      <c r="H1256" s="133"/>
      <c r="I1256" s="133"/>
    </row>
    <row r="1257" spans="1:9">
      <c r="A1257" s="133"/>
      <c r="B1257" s="133"/>
      <c r="C1257" s="133"/>
      <c r="D1257" s="133"/>
      <c r="E1257" s="133"/>
      <c r="F1257" s="133"/>
      <c r="G1257" s="133"/>
      <c r="H1257" s="133"/>
      <c r="I1257" s="133"/>
    </row>
    <row r="1258" spans="1:9">
      <c r="A1258" s="133"/>
      <c r="B1258" s="133"/>
      <c r="C1258" s="133"/>
      <c r="D1258" s="133"/>
      <c r="E1258" s="133"/>
      <c r="F1258" s="133"/>
      <c r="G1258" s="133"/>
      <c r="H1258" s="133"/>
      <c r="I1258" s="133"/>
    </row>
    <row r="1259" spans="1:9">
      <c r="A1259" s="133"/>
      <c r="B1259" s="133"/>
      <c r="C1259" s="133"/>
      <c r="D1259" s="133"/>
      <c r="E1259" s="133"/>
      <c r="F1259" s="133"/>
      <c r="G1259" s="133"/>
      <c r="H1259" s="133"/>
      <c r="I1259" s="133"/>
    </row>
    <row r="1260" spans="1:9">
      <c r="A1260" s="133"/>
      <c r="B1260" s="133"/>
      <c r="C1260" s="133"/>
      <c r="D1260" s="133"/>
      <c r="E1260" s="133"/>
      <c r="F1260" s="133"/>
      <c r="G1260" s="133"/>
      <c r="H1260" s="133"/>
      <c r="I1260" s="133"/>
    </row>
    <row r="1261" spans="1:9">
      <c r="A1261" s="133"/>
      <c r="B1261" s="133"/>
      <c r="C1261" s="133"/>
      <c r="D1261" s="133"/>
      <c r="E1261" s="133"/>
      <c r="F1261" s="133"/>
      <c r="G1261" s="133"/>
      <c r="H1261" s="133"/>
      <c r="I1261" s="133"/>
    </row>
    <row r="1262" spans="1:9">
      <c r="A1262" s="133"/>
      <c r="B1262" s="133"/>
      <c r="C1262" s="133"/>
      <c r="D1262" s="133"/>
      <c r="E1262" s="133"/>
      <c r="F1262" s="133"/>
      <c r="G1262" s="133"/>
      <c r="H1262" s="133"/>
      <c r="I1262" s="133"/>
    </row>
    <row r="1263" spans="1:9">
      <c r="A1263" s="133"/>
      <c r="B1263" s="133"/>
      <c r="C1263" s="133"/>
      <c r="D1263" s="133"/>
      <c r="E1263" s="133"/>
      <c r="F1263" s="133"/>
      <c r="G1263" s="133"/>
      <c r="H1263" s="133"/>
      <c r="I1263" s="133"/>
    </row>
    <row r="1264" spans="1:9">
      <c r="A1264" s="133"/>
      <c r="B1264" s="133"/>
      <c r="C1264" s="133"/>
      <c r="D1264" s="133"/>
      <c r="E1264" s="133"/>
      <c r="F1264" s="133"/>
      <c r="G1264" s="133"/>
      <c r="H1264" s="133"/>
      <c r="I1264" s="133"/>
    </row>
    <row r="1265" spans="1:9">
      <c r="A1265" s="133"/>
      <c r="B1265" s="133"/>
      <c r="C1265" s="133"/>
      <c r="D1265" s="133"/>
      <c r="E1265" s="133"/>
      <c r="F1265" s="133"/>
      <c r="G1265" s="133"/>
      <c r="H1265" s="133"/>
      <c r="I1265" s="133"/>
    </row>
    <row r="1266" spans="1:9">
      <c r="A1266" s="133"/>
      <c r="B1266" s="133"/>
      <c r="C1266" s="133"/>
      <c r="D1266" s="133"/>
      <c r="E1266" s="133"/>
      <c r="F1266" s="133"/>
      <c r="G1266" s="133"/>
      <c r="H1266" s="133"/>
      <c r="I1266" s="133"/>
    </row>
    <row r="1267" spans="1:9">
      <c r="A1267" s="133"/>
      <c r="B1267" s="133"/>
      <c r="C1267" s="133"/>
      <c r="D1267" s="133"/>
      <c r="E1267" s="133"/>
      <c r="F1267" s="133"/>
      <c r="G1267" s="133"/>
      <c r="H1267" s="133"/>
      <c r="I1267" s="133"/>
    </row>
    <row r="1268" spans="1:9">
      <c r="A1268" s="133"/>
      <c r="B1268" s="133"/>
      <c r="C1268" s="133"/>
      <c r="D1268" s="133"/>
      <c r="E1268" s="133"/>
      <c r="F1268" s="133"/>
      <c r="G1268" s="133"/>
      <c r="H1268" s="133"/>
      <c r="I1268" s="133"/>
    </row>
    <row r="1269" spans="1:9">
      <c r="A1269" s="133"/>
      <c r="B1269" s="133"/>
      <c r="C1269" s="133"/>
      <c r="D1269" s="133"/>
      <c r="E1269" s="133"/>
      <c r="F1269" s="133"/>
      <c r="G1269" s="133"/>
      <c r="H1269" s="133"/>
      <c r="I1269" s="133"/>
    </row>
    <row r="1270" spans="1:9">
      <c r="A1270" s="133"/>
      <c r="B1270" s="133"/>
      <c r="C1270" s="133"/>
      <c r="D1270" s="133"/>
      <c r="E1270" s="133"/>
      <c r="F1270" s="133"/>
      <c r="G1270" s="133"/>
      <c r="H1270" s="133"/>
      <c r="I1270" s="133"/>
    </row>
    <row r="1271" spans="1:9">
      <c r="A1271" s="133"/>
      <c r="B1271" s="133"/>
      <c r="C1271" s="133"/>
      <c r="D1271" s="133"/>
      <c r="E1271" s="133"/>
      <c r="F1271" s="133"/>
      <c r="G1271" s="133"/>
      <c r="H1271" s="133"/>
      <c r="I1271" s="133"/>
    </row>
    <row r="1272" spans="1:9">
      <c r="A1272" s="133"/>
      <c r="B1272" s="133"/>
      <c r="C1272" s="133"/>
      <c r="D1272" s="133"/>
      <c r="E1272" s="133"/>
      <c r="F1272" s="133"/>
      <c r="G1272" s="133"/>
      <c r="H1272" s="133"/>
      <c r="I1272" s="133"/>
    </row>
    <row r="1273" spans="1:9">
      <c r="A1273" s="133"/>
      <c r="B1273" s="133"/>
      <c r="C1273" s="133"/>
      <c r="D1273" s="133"/>
      <c r="E1273" s="133"/>
      <c r="F1273" s="133"/>
      <c r="G1273" s="133"/>
      <c r="H1273" s="133"/>
      <c r="I1273" s="133"/>
    </row>
    <row r="1274" spans="1:9">
      <c r="A1274" s="133"/>
      <c r="B1274" s="133"/>
      <c r="C1274" s="133"/>
      <c r="D1274" s="133"/>
      <c r="E1274" s="133"/>
      <c r="F1274" s="133"/>
      <c r="G1274" s="133"/>
      <c r="H1274" s="133"/>
      <c r="I1274" s="133"/>
    </row>
    <row r="1275" spans="1:9">
      <c r="A1275" s="133"/>
      <c r="B1275" s="133"/>
      <c r="C1275" s="133"/>
      <c r="D1275" s="133"/>
      <c r="E1275" s="133"/>
      <c r="F1275" s="133"/>
      <c r="G1275" s="133"/>
      <c r="H1275" s="133"/>
      <c r="I1275" s="133"/>
    </row>
    <row r="1276" spans="1:9">
      <c r="A1276" s="133"/>
      <c r="B1276" s="133"/>
      <c r="C1276" s="133"/>
      <c r="D1276" s="133"/>
      <c r="E1276" s="133"/>
      <c r="F1276" s="133"/>
      <c r="G1276" s="133"/>
      <c r="H1276" s="133"/>
      <c r="I1276" s="133"/>
    </row>
    <row r="1277" spans="1:9">
      <c r="A1277" s="133"/>
      <c r="B1277" s="133"/>
      <c r="C1277" s="133"/>
      <c r="D1277" s="133"/>
      <c r="E1277" s="133"/>
      <c r="F1277" s="133"/>
      <c r="G1277" s="133"/>
      <c r="H1277" s="133"/>
      <c r="I1277" s="133"/>
    </row>
    <row r="1278" spans="1:9">
      <c r="A1278" s="133"/>
      <c r="B1278" s="133"/>
      <c r="C1278" s="133"/>
      <c r="D1278" s="133"/>
      <c r="E1278" s="133"/>
      <c r="F1278" s="133"/>
      <c r="G1278" s="133"/>
      <c r="H1278" s="133"/>
      <c r="I1278" s="133"/>
    </row>
    <row r="1279" spans="1:9">
      <c r="A1279" s="133"/>
      <c r="B1279" s="133"/>
      <c r="C1279" s="133"/>
      <c r="D1279" s="133"/>
      <c r="E1279" s="133"/>
      <c r="F1279" s="133"/>
      <c r="G1279" s="133"/>
      <c r="H1279" s="133"/>
      <c r="I1279" s="133"/>
    </row>
    <row r="1280" spans="1:9">
      <c r="A1280" s="133"/>
      <c r="B1280" s="133"/>
      <c r="C1280" s="133"/>
      <c r="D1280" s="133"/>
      <c r="E1280" s="133"/>
      <c r="F1280" s="133"/>
      <c r="G1280" s="133"/>
      <c r="H1280" s="133"/>
      <c r="I1280" s="133"/>
    </row>
    <row r="1281" spans="1:9">
      <c r="A1281" s="133"/>
      <c r="B1281" s="133"/>
      <c r="C1281" s="133"/>
      <c r="D1281" s="133"/>
      <c r="E1281" s="133"/>
      <c r="F1281" s="133"/>
      <c r="G1281" s="133"/>
      <c r="H1281" s="133"/>
      <c r="I1281" s="133"/>
    </row>
    <row r="1282" spans="1:9">
      <c r="A1282" s="133"/>
      <c r="B1282" s="133"/>
      <c r="C1282" s="133"/>
      <c r="D1282" s="133"/>
      <c r="E1282" s="133"/>
      <c r="F1282" s="133"/>
      <c r="G1282" s="133"/>
      <c r="H1282" s="133"/>
      <c r="I1282" s="133"/>
    </row>
    <row r="1283" spans="1:9">
      <c r="A1283" s="133"/>
      <c r="B1283" s="133"/>
      <c r="C1283" s="133"/>
      <c r="D1283" s="133"/>
      <c r="E1283" s="133"/>
      <c r="F1283" s="133"/>
      <c r="G1283" s="133"/>
      <c r="H1283" s="133"/>
      <c r="I1283" s="133"/>
    </row>
    <row r="1284" spans="1:9">
      <c r="A1284" s="133"/>
      <c r="B1284" s="133"/>
      <c r="C1284" s="133"/>
      <c r="D1284" s="133"/>
      <c r="E1284" s="133"/>
      <c r="F1284" s="133"/>
      <c r="G1284" s="133"/>
      <c r="H1284" s="133"/>
      <c r="I1284" s="133"/>
    </row>
    <row r="1285" spans="1:9">
      <c r="A1285" s="133"/>
      <c r="B1285" s="133"/>
      <c r="C1285" s="133"/>
      <c r="D1285" s="133"/>
      <c r="E1285" s="133"/>
      <c r="F1285" s="133"/>
      <c r="G1285" s="133"/>
      <c r="H1285" s="133"/>
      <c r="I1285" s="133"/>
    </row>
    <row r="1286" spans="1:9">
      <c r="A1286" s="133"/>
      <c r="B1286" s="133"/>
      <c r="C1286" s="133"/>
      <c r="D1286" s="133"/>
      <c r="E1286" s="133"/>
      <c r="F1286" s="133"/>
      <c r="G1286" s="133"/>
      <c r="H1286" s="133"/>
      <c r="I1286" s="133"/>
    </row>
    <row r="1287" spans="1:9">
      <c r="A1287" s="133"/>
      <c r="B1287" s="133"/>
      <c r="C1287" s="133"/>
      <c r="D1287" s="133"/>
      <c r="E1287" s="133"/>
      <c r="F1287" s="133"/>
      <c r="G1287" s="133"/>
      <c r="H1287" s="133"/>
      <c r="I1287" s="133"/>
    </row>
    <row r="1288" spans="1:9">
      <c r="A1288" s="133"/>
      <c r="B1288" s="133"/>
      <c r="C1288" s="133"/>
      <c r="D1288" s="133"/>
      <c r="E1288" s="133"/>
      <c r="F1288" s="133"/>
      <c r="G1288" s="133"/>
      <c r="H1288" s="133"/>
      <c r="I1288" s="133"/>
    </row>
    <row r="1289" spans="1:9">
      <c r="A1289" s="133"/>
      <c r="B1289" s="133"/>
      <c r="C1289" s="133"/>
      <c r="D1289" s="133"/>
      <c r="E1289" s="133"/>
      <c r="F1289" s="133"/>
      <c r="G1289" s="133"/>
      <c r="H1289" s="133"/>
      <c r="I1289" s="133"/>
    </row>
    <row r="1290" spans="1:9">
      <c r="A1290" s="133"/>
      <c r="B1290" s="133"/>
      <c r="C1290" s="133"/>
      <c r="D1290" s="133"/>
      <c r="E1290" s="133"/>
      <c r="F1290" s="133"/>
      <c r="G1290" s="133"/>
      <c r="H1290" s="133"/>
      <c r="I1290" s="133"/>
    </row>
    <row r="1291" spans="1:9">
      <c r="A1291" s="133"/>
      <c r="B1291" s="133"/>
      <c r="C1291" s="133"/>
      <c r="D1291" s="133"/>
      <c r="E1291" s="133"/>
      <c r="F1291" s="133"/>
      <c r="G1291" s="133"/>
      <c r="H1291" s="133"/>
      <c r="I1291" s="133"/>
    </row>
    <row r="1292" spans="1:9">
      <c r="A1292" s="133"/>
      <c r="B1292" s="133"/>
      <c r="C1292" s="133"/>
      <c r="D1292" s="133"/>
      <c r="E1292" s="133"/>
      <c r="F1292" s="133"/>
      <c r="G1292" s="133"/>
      <c r="H1292" s="133"/>
      <c r="I1292" s="133"/>
    </row>
    <row r="1293" spans="1:9">
      <c r="A1293" s="133"/>
      <c r="B1293" s="133"/>
      <c r="C1293" s="133"/>
      <c r="D1293" s="133"/>
      <c r="E1293" s="133"/>
      <c r="F1293" s="133"/>
      <c r="G1293" s="133"/>
      <c r="H1293" s="133"/>
      <c r="I1293" s="133"/>
    </row>
    <row r="1294" spans="1:9">
      <c r="A1294" s="133"/>
      <c r="B1294" s="133"/>
      <c r="C1294" s="133"/>
      <c r="D1294" s="133"/>
      <c r="E1294" s="133"/>
      <c r="F1294" s="133"/>
      <c r="G1294" s="133"/>
      <c r="H1294" s="133"/>
      <c r="I1294" s="133"/>
    </row>
    <row r="1295" spans="1:9">
      <c r="A1295" s="133"/>
      <c r="B1295" s="133"/>
      <c r="C1295" s="133"/>
      <c r="D1295" s="133"/>
      <c r="E1295" s="133"/>
      <c r="F1295" s="133"/>
      <c r="G1295" s="133"/>
      <c r="H1295" s="133"/>
      <c r="I1295" s="133"/>
    </row>
    <row r="1296" spans="1:9">
      <c r="A1296" s="133"/>
      <c r="B1296" s="133"/>
      <c r="C1296" s="133"/>
      <c r="D1296" s="133"/>
      <c r="E1296" s="133"/>
      <c r="F1296" s="133"/>
      <c r="G1296" s="133"/>
      <c r="H1296" s="133"/>
      <c r="I1296" s="133"/>
    </row>
    <row r="1297" spans="1:9">
      <c r="A1297" s="133"/>
      <c r="B1297" s="133"/>
      <c r="C1297" s="133"/>
      <c r="D1297" s="133"/>
      <c r="E1297" s="133"/>
      <c r="F1297" s="133"/>
      <c r="G1297" s="133"/>
      <c r="H1297" s="133"/>
      <c r="I1297" s="133"/>
    </row>
    <row r="1298" spans="1:9">
      <c r="A1298" s="133"/>
      <c r="B1298" s="133"/>
      <c r="C1298" s="133"/>
      <c r="D1298" s="133"/>
      <c r="E1298" s="133"/>
      <c r="F1298" s="133"/>
      <c r="G1298" s="133"/>
      <c r="H1298" s="133"/>
      <c r="I1298" s="133"/>
    </row>
    <row r="1299" spans="1:9">
      <c r="A1299" s="133"/>
      <c r="B1299" s="133"/>
      <c r="C1299" s="133"/>
      <c r="D1299" s="133"/>
      <c r="E1299" s="133"/>
      <c r="F1299" s="133"/>
      <c r="G1299" s="133"/>
      <c r="H1299" s="133"/>
      <c r="I1299" s="133"/>
    </row>
    <row r="1300" spans="1:9">
      <c r="A1300" s="133"/>
      <c r="B1300" s="133"/>
      <c r="C1300" s="133"/>
      <c r="D1300" s="133"/>
      <c r="E1300" s="133"/>
      <c r="F1300" s="133"/>
      <c r="G1300" s="133"/>
      <c r="H1300" s="133"/>
      <c r="I1300" s="133"/>
    </row>
    <row r="1301" spans="1:9">
      <c r="A1301" s="133"/>
      <c r="B1301" s="133"/>
      <c r="C1301" s="133"/>
      <c r="D1301" s="133"/>
      <c r="E1301" s="133"/>
      <c r="F1301" s="133"/>
      <c r="G1301" s="133"/>
      <c r="H1301" s="133"/>
      <c r="I1301" s="133"/>
    </row>
    <row r="1302" spans="1:9">
      <c r="A1302" s="133"/>
      <c r="B1302" s="133"/>
      <c r="C1302" s="133"/>
      <c r="D1302" s="133"/>
      <c r="E1302" s="133"/>
      <c r="F1302" s="133"/>
      <c r="G1302" s="133"/>
      <c r="H1302" s="133"/>
      <c r="I1302" s="133"/>
    </row>
    <row r="1303" spans="1:9">
      <c r="A1303" s="133"/>
      <c r="B1303" s="133"/>
      <c r="C1303" s="133"/>
      <c r="D1303" s="133"/>
      <c r="E1303" s="133"/>
      <c r="F1303" s="133"/>
      <c r="G1303" s="133"/>
      <c r="H1303" s="133"/>
      <c r="I1303" s="133"/>
    </row>
    <row r="1304" spans="1:9">
      <c r="A1304" s="133"/>
      <c r="B1304" s="133"/>
      <c r="C1304" s="133"/>
      <c r="D1304" s="133"/>
      <c r="E1304" s="133"/>
      <c r="F1304" s="133"/>
      <c r="G1304" s="133"/>
      <c r="H1304" s="133"/>
      <c r="I1304" s="133"/>
    </row>
    <row r="1305" spans="1:9">
      <c r="A1305" s="133"/>
      <c r="B1305" s="133"/>
      <c r="C1305" s="133"/>
      <c r="D1305" s="133"/>
      <c r="E1305" s="133"/>
      <c r="F1305" s="133"/>
      <c r="G1305" s="133"/>
      <c r="H1305" s="133"/>
      <c r="I1305" s="133"/>
    </row>
    <row r="1306" spans="1:9">
      <c r="A1306" s="133"/>
      <c r="B1306" s="133"/>
      <c r="C1306" s="133"/>
      <c r="D1306" s="133"/>
      <c r="E1306" s="133"/>
      <c r="F1306" s="133"/>
      <c r="G1306" s="133"/>
      <c r="H1306" s="133"/>
      <c r="I1306" s="133"/>
    </row>
    <row r="1307" spans="1:9">
      <c r="A1307" s="133"/>
      <c r="B1307" s="133"/>
      <c r="C1307" s="133"/>
      <c r="D1307" s="133"/>
      <c r="E1307" s="133"/>
      <c r="F1307" s="133"/>
      <c r="G1307" s="133"/>
      <c r="H1307" s="133"/>
      <c r="I1307" s="133"/>
    </row>
    <row r="1308" spans="1:9">
      <c r="A1308" s="133"/>
      <c r="B1308" s="133"/>
      <c r="C1308" s="133"/>
      <c r="D1308" s="133"/>
      <c r="E1308" s="133"/>
      <c r="F1308" s="133"/>
      <c r="G1308" s="133"/>
      <c r="H1308" s="133"/>
      <c r="I1308" s="133"/>
    </row>
    <row r="1309" spans="1:9">
      <c r="A1309" s="133"/>
      <c r="B1309" s="133"/>
      <c r="C1309" s="133"/>
      <c r="D1309" s="133"/>
      <c r="E1309" s="133"/>
      <c r="F1309" s="133"/>
      <c r="G1309" s="133"/>
      <c r="H1309" s="133"/>
      <c r="I1309" s="133"/>
    </row>
    <row r="1310" spans="1:9">
      <c r="A1310" s="133"/>
      <c r="B1310" s="133"/>
      <c r="C1310" s="133"/>
      <c r="D1310" s="133"/>
      <c r="E1310" s="133"/>
      <c r="F1310" s="133"/>
      <c r="G1310" s="133"/>
      <c r="H1310" s="133"/>
      <c r="I1310" s="133"/>
    </row>
    <row r="1311" spans="1:9">
      <c r="A1311" s="133"/>
      <c r="B1311" s="133"/>
      <c r="C1311" s="133"/>
      <c r="D1311" s="133"/>
      <c r="E1311" s="133"/>
      <c r="F1311" s="133"/>
      <c r="G1311" s="133"/>
      <c r="H1311" s="133"/>
      <c r="I1311" s="133"/>
    </row>
    <row r="1312" spans="1:9">
      <c r="A1312" s="133"/>
      <c r="B1312" s="133"/>
      <c r="C1312" s="133"/>
      <c r="D1312" s="133"/>
      <c r="E1312" s="133"/>
      <c r="F1312" s="133"/>
      <c r="G1312" s="133"/>
      <c r="H1312" s="133"/>
      <c r="I1312" s="133"/>
    </row>
    <row r="1313" spans="1:9">
      <c r="A1313" s="133"/>
      <c r="B1313" s="133"/>
      <c r="C1313" s="133"/>
      <c r="D1313" s="133"/>
      <c r="E1313" s="133"/>
      <c r="F1313" s="133"/>
      <c r="G1313" s="133"/>
      <c r="H1313" s="133"/>
      <c r="I1313" s="133"/>
    </row>
    <row r="1314" spans="1:9">
      <c r="A1314" s="133"/>
      <c r="B1314" s="133"/>
      <c r="C1314" s="133"/>
      <c r="D1314" s="133"/>
      <c r="E1314" s="133"/>
      <c r="F1314" s="133"/>
      <c r="G1314" s="133"/>
      <c r="H1314" s="133"/>
      <c r="I1314" s="133"/>
    </row>
    <row r="1315" spans="1:9">
      <c r="A1315" s="133"/>
      <c r="B1315" s="133"/>
      <c r="C1315" s="133"/>
      <c r="D1315" s="133"/>
      <c r="E1315" s="133"/>
      <c r="F1315" s="133"/>
      <c r="G1315" s="133"/>
      <c r="H1315" s="133"/>
      <c r="I1315" s="133"/>
    </row>
    <row r="1316" spans="1:9">
      <c r="A1316" s="133"/>
      <c r="B1316" s="133"/>
      <c r="C1316" s="133"/>
      <c r="D1316" s="133"/>
      <c r="E1316" s="133"/>
      <c r="F1316" s="133"/>
      <c r="G1316" s="133"/>
      <c r="H1316" s="133"/>
      <c r="I1316" s="133"/>
    </row>
    <row r="1317" spans="1:9">
      <c r="A1317" s="133"/>
      <c r="B1317" s="133"/>
      <c r="C1317" s="133"/>
      <c r="D1317" s="133"/>
      <c r="E1317" s="133"/>
      <c r="F1317" s="133"/>
      <c r="G1317" s="133"/>
      <c r="H1317" s="133"/>
      <c r="I1317" s="133"/>
    </row>
    <row r="1318" spans="1:9">
      <c r="A1318" s="133"/>
      <c r="B1318" s="133"/>
      <c r="C1318" s="133"/>
      <c r="D1318" s="133"/>
      <c r="E1318" s="133"/>
      <c r="F1318" s="133"/>
      <c r="G1318" s="133"/>
      <c r="H1318" s="133"/>
      <c r="I1318" s="133"/>
    </row>
    <row r="1319" spans="1:9">
      <c r="A1319" s="133"/>
      <c r="B1319" s="133"/>
      <c r="C1319" s="133"/>
      <c r="D1319" s="133"/>
      <c r="E1319" s="133"/>
      <c r="F1319" s="133"/>
      <c r="G1319" s="133"/>
      <c r="H1319" s="133"/>
      <c r="I1319" s="133"/>
    </row>
    <row r="1320" spans="1:9">
      <c r="A1320" s="133"/>
      <c r="B1320" s="133"/>
      <c r="C1320" s="133"/>
      <c r="D1320" s="133"/>
      <c r="E1320" s="133"/>
      <c r="F1320" s="133"/>
      <c r="G1320" s="133"/>
      <c r="H1320" s="133"/>
      <c r="I1320" s="133"/>
    </row>
    <row r="1321" spans="1:9">
      <c r="A1321" s="133"/>
      <c r="B1321" s="133"/>
      <c r="C1321" s="133"/>
      <c r="D1321" s="133"/>
      <c r="E1321" s="133"/>
      <c r="F1321" s="133"/>
      <c r="G1321" s="133"/>
      <c r="H1321" s="133"/>
      <c r="I1321" s="133"/>
    </row>
    <row r="1322" spans="1:9">
      <c r="A1322" s="133"/>
      <c r="B1322" s="133"/>
      <c r="C1322" s="133"/>
      <c r="D1322" s="133"/>
      <c r="E1322" s="133"/>
      <c r="F1322" s="133"/>
      <c r="G1322" s="133"/>
      <c r="H1322" s="133"/>
      <c r="I1322" s="133"/>
    </row>
    <row r="1323" spans="1:9">
      <c r="A1323" s="133"/>
      <c r="B1323" s="133"/>
      <c r="C1323" s="133"/>
      <c r="D1323" s="133"/>
      <c r="E1323" s="133"/>
      <c r="F1323" s="133"/>
      <c r="G1323" s="133"/>
      <c r="H1323" s="133"/>
      <c r="I1323" s="133"/>
    </row>
    <row r="1324" spans="1:9">
      <c r="A1324" s="133"/>
      <c r="B1324" s="133"/>
      <c r="C1324" s="133"/>
      <c r="D1324" s="133"/>
      <c r="E1324" s="133"/>
      <c r="F1324" s="133"/>
      <c r="G1324" s="133"/>
      <c r="H1324" s="133"/>
      <c r="I1324" s="133"/>
    </row>
    <row r="1325" spans="1:9">
      <c r="A1325" s="133"/>
      <c r="B1325" s="133"/>
      <c r="C1325" s="133"/>
      <c r="D1325" s="133"/>
      <c r="E1325" s="133"/>
      <c r="F1325" s="133"/>
      <c r="G1325" s="133"/>
      <c r="H1325" s="133"/>
      <c r="I1325" s="133"/>
    </row>
    <row r="1326" spans="1:9">
      <c r="A1326" s="133"/>
      <c r="B1326" s="133"/>
      <c r="C1326" s="133"/>
      <c r="D1326" s="133"/>
      <c r="E1326" s="133"/>
      <c r="F1326" s="133"/>
      <c r="G1326" s="133"/>
      <c r="H1326" s="133"/>
      <c r="I1326" s="133"/>
    </row>
    <row r="1327" spans="1:9">
      <c r="A1327" s="133"/>
      <c r="B1327" s="133"/>
      <c r="C1327" s="133"/>
      <c r="D1327" s="133"/>
      <c r="E1327" s="133"/>
      <c r="F1327" s="133"/>
      <c r="G1327" s="133"/>
      <c r="H1327" s="133"/>
      <c r="I1327" s="133"/>
    </row>
    <row r="1328" spans="1:9">
      <c r="A1328" s="133"/>
      <c r="B1328" s="133"/>
      <c r="C1328" s="133"/>
      <c r="D1328" s="133"/>
      <c r="E1328" s="133"/>
      <c r="F1328" s="133"/>
      <c r="G1328" s="133"/>
      <c r="H1328" s="133"/>
      <c r="I1328" s="133"/>
    </row>
    <row r="1329" spans="1:9">
      <c r="A1329" s="133"/>
      <c r="B1329" s="133"/>
      <c r="C1329" s="133"/>
      <c r="D1329" s="133"/>
      <c r="E1329" s="133"/>
      <c r="F1329" s="133"/>
      <c r="G1329" s="133"/>
      <c r="H1329" s="133"/>
      <c r="I1329" s="133"/>
    </row>
    <row r="1330" spans="1:9">
      <c r="A1330" s="133"/>
      <c r="B1330" s="133"/>
      <c r="C1330" s="133"/>
      <c r="D1330" s="133"/>
      <c r="E1330" s="133"/>
      <c r="F1330" s="133"/>
      <c r="G1330" s="133"/>
      <c r="H1330" s="133"/>
      <c r="I1330" s="133"/>
    </row>
    <row r="1331" spans="1:9">
      <c r="A1331" s="133"/>
      <c r="B1331" s="133"/>
      <c r="C1331" s="133"/>
      <c r="D1331" s="133"/>
      <c r="E1331" s="133"/>
      <c r="F1331" s="133"/>
      <c r="G1331" s="133"/>
      <c r="H1331" s="133"/>
      <c r="I1331" s="133"/>
    </row>
    <row r="1332" spans="1:9">
      <c r="A1332" s="133"/>
      <c r="B1332" s="133"/>
      <c r="C1332" s="133"/>
      <c r="D1332" s="133"/>
      <c r="E1332" s="133"/>
      <c r="F1332" s="133"/>
      <c r="G1332" s="133"/>
      <c r="H1332" s="133"/>
      <c r="I1332" s="133"/>
    </row>
    <row r="1333" spans="1:9">
      <c r="A1333" s="133"/>
      <c r="B1333" s="133"/>
      <c r="C1333" s="133"/>
      <c r="D1333" s="133"/>
      <c r="E1333" s="133"/>
      <c r="F1333" s="133"/>
      <c r="G1333" s="133"/>
      <c r="H1333" s="133"/>
      <c r="I1333" s="133"/>
    </row>
    <row r="1334" spans="1:9">
      <c r="A1334" s="133"/>
      <c r="B1334" s="133"/>
      <c r="C1334" s="133"/>
      <c r="D1334" s="133"/>
      <c r="E1334" s="133"/>
      <c r="F1334" s="133"/>
      <c r="G1334" s="133"/>
      <c r="H1334" s="133"/>
      <c r="I1334" s="133"/>
    </row>
    <row r="1335" spans="1:9">
      <c r="A1335" s="133"/>
      <c r="B1335" s="133"/>
      <c r="C1335" s="133"/>
      <c r="D1335" s="133"/>
      <c r="E1335" s="133"/>
      <c r="F1335" s="133"/>
      <c r="G1335" s="133"/>
      <c r="H1335" s="133"/>
      <c r="I1335" s="133"/>
    </row>
    <row r="1336" spans="1:9">
      <c r="A1336" s="133"/>
      <c r="B1336" s="133"/>
      <c r="C1336" s="133"/>
      <c r="D1336" s="133"/>
      <c r="E1336" s="133"/>
      <c r="F1336" s="133"/>
      <c r="G1336" s="133"/>
      <c r="H1336" s="133"/>
      <c r="I1336" s="133"/>
    </row>
    <row r="1337" spans="1:9">
      <c r="A1337" s="133"/>
      <c r="B1337" s="133"/>
      <c r="C1337" s="133"/>
      <c r="D1337" s="133"/>
      <c r="E1337" s="133"/>
      <c r="F1337" s="133"/>
      <c r="G1337" s="133"/>
      <c r="H1337" s="133"/>
      <c r="I1337" s="133"/>
    </row>
    <row r="1338" spans="1:9">
      <c r="A1338" s="133"/>
      <c r="B1338" s="133"/>
      <c r="C1338" s="133"/>
      <c r="D1338" s="133"/>
      <c r="E1338" s="133"/>
      <c r="F1338" s="133"/>
      <c r="G1338" s="133"/>
      <c r="H1338" s="133"/>
      <c r="I1338" s="133"/>
    </row>
    <row r="1339" spans="1:9">
      <c r="A1339" s="133"/>
      <c r="B1339" s="133"/>
      <c r="C1339" s="133"/>
      <c r="D1339" s="133"/>
      <c r="E1339" s="133"/>
      <c r="F1339" s="133"/>
      <c r="G1339" s="133"/>
      <c r="H1339" s="133"/>
      <c r="I1339" s="133"/>
    </row>
    <row r="1340" spans="1:9">
      <c r="A1340" s="133"/>
      <c r="B1340" s="133"/>
      <c r="C1340" s="133"/>
      <c r="D1340" s="133"/>
      <c r="E1340" s="133"/>
      <c r="F1340" s="133"/>
      <c r="G1340" s="133"/>
      <c r="H1340" s="133"/>
      <c r="I1340" s="133"/>
    </row>
    <row r="1341" spans="1:9">
      <c r="A1341" s="133"/>
      <c r="B1341" s="133"/>
      <c r="C1341" s="133"/>
      <c r="D1341" s="133"/>
      <c r="E1341" s="133"/>
      <c r="F1341" s="133"/>
      <c r="G1341" s="133"/>
      <c r="H1341" s="133"/>
      <c r="I1341" s="133"/>
    </row>
    <row r="1342" spans="1:9">
      <c r="A1342" s="133"/>
      <c r="B1342" s="133"/>
      <c r="C1342" s="133"/>
      <c r="D1342" s="133"/>
      <c r="E1342" s="133"/>
      <c r="F1342" s="133"/>
      <c r="G1342" s="133"/>
      <c r="H1342" s="133"/>
      <c r="I1342" s="133"/>
    </row>
    <row r="1343" spans="1:9">
      <c r="A1343" s="133"/>
      <c r="B1343" s="133"/>
      <c r="C1343" s="133"/>
      <c r="D1343" s="133"/>
      <c r="E1343" s="133"/>
      <c r="F1343" s="133"/>
      <c r="G1343" s="133"/>
      <c r="H1343" s="133"/>
      <c r="I1343" s="133"/>
    </row>
    <row r="1344" spans="1:9">
      <c r="A1344" s="133"/>
      <c r="B1344" s="133"/>
      <c r="C1344" s="133"/>
      <c r="D1344" s="133"/>
      <c r="E1344" s="133"/>
      <c r="F1344" s="133"/>
      <c r="G1344" s="133"/>
      <c r="H1344" s="133"/>
      <c r="I1344" s="133"/>
    </row>
    <row r="1345" spans="1:9">
      <c r="A1345" s="133"/>
      <c r="B1345" s="133"/>
      <c r="C1345" s="133"/>
      <c r="D1345" s="133"/>
      <c r="E1345" s="133"/>
      <c r="F1345" s="133"/>
      <c r="G1345" s="133"/>
      <c r="H1345" s="133"/>
      <c r="I1345" s="133"/>
    </row>
    <row r="1346" spans="1:9">
      <c r="A1346" s="133"/>
      <c r="B1346" s="133"/>
      <c r="C1346" s="133"/>
      <c r="D1346" s="133"/>
      <c r="E1346" s="133"/>
      <c r="F1346" s="133"/>
      <c r="G1346" s="133"/>
      <c r="H1346" s="133"/>
      <c r="I1346" s="133"/>
    </row>
    <row r="1347" spans="1:9">
      <c r="A1347" s="133"/>
      <c r="B1347" s="133"/>
      <c r="C1347" s="133"/>
      <c r="D1347" s="133"/>
      <c r="E1347" s="133"/>
      <c r="F1347" s="133"/>
      <c r="G1347" s="133"/>
      <c r="H1347" s="133"/>
      <c r="I1347" s="133"/>
    </row>
    <row r="1348" spans="1:9">
      <c r="A1348" s="133"/>
      <c r="B1348" s="133"/>
      <c r="C1348" s="133"/>
      <c r="D1348" s="133"/>
      <c r="E1348" s="133"/>
      <c r="F1348" s="133"/>
      <c r="G1348" s="133"/>
      <c r="H1348" s="133"/>
      <c r="I1348" s="133"/>
    </row>
    <row r="1349" spans="1:9">
      <c r="A1349" s="133"/>
      <c r="B1349" s="133"/>
      <c r="C1349" s="133"/>
      <c r="D1349" s="133"/>
      <c r="E1349" s="133"/>
      <c r="F1349" s="133"/>
      <c r="G1349" s="133"/>
      <c r="H1349" s="133"/>
      <c r="I1349" s="133"/>
    </row>
    <row r="1350" spans="1:9">
      <c r="A1350" s="133"/>
      <c r="B1350" s="133"/>
      <c r="C1350" s="133"/>
      <c r="D1350" s="133"/>
      <c r="E1350" s="133"/>
      <c r="F1350" s="133"/>
      <c r="G1350" s="133"/>
      <c r="H1350" s="133"/>
      <c r="I1350" s="133"/>
    </row>
    <row r="1351" spans="1:9">
      <c r="A1351" s="133"/>
      <c r="B1351" s="133"/>
      <c r="C1351" s="133"/>
      <c r="D1351" s="133"/>
      <c r="E1351" s="133"/>
      <c r="F1351" s="133"/>
      <c r="G1351" s="133"/>
      <c r="H1351" s="133"/>
      <c r="I1351" s="133"/>
    </row>
    <row r="1352" spans="1:9">
      <c r="A1352" s="133"/>
      <c r="B1352" s="133"/>
      <c r="C1352" s="133"/>
      <c r="D1352" s="133"/>
      <c r="E1352" s="133"/>
      <c r="F1352" s="133"/>
      <c r="G1352" s="133"/>
      <c r="H1352" s="133"/>
      <c r="I1352" s="133"/>
    </row>
    <row r="1353" spans="1:9">
      <c r="A1353" s="133"/>
      <c r="B1353" s="133"/>
      <c r="C1353" s="133"/>
      <c r="D1353" s="133"/>
      <c r="E1353" s="133"/>
      <c r="F1353" s="133"/>
      <c r="G1353" s="133"/>
      <c r="H1353" s="133"/>
      <c r="I1353" s="133"/>
    </row>
    <row r="1354" spans="1:9">
      <c r="A1354" s="133"/>
      <c r="B1354" s="133"/>
      <c r="C1354" s="133"/>
      <c r="D1354" s="133"/>
      <c r="E1354" s="133"/>
      <c r="F1354" s="133"/>
      <c r="G1354" s="133"/>
      <c r="H1354" s="133"/>
      <c r="I1354" s="133"/>
    </row>
    <row r="1355" spans="1:9">
      <c r="A1355" s="133"/>
      <c r="B1355" s="133"/>
      <c r="C1355" s="133"/>
      <c r="D1355" s="133"/>
      <c r="E1355" s="133"/>
      <c r="F1355" s="133"/>
      <c r="G1355" s="133"/>
      <c r="H1355" s="133"/>
      <c r="I1355" s="133"/>
    </row>
    <row r="1356" spans="1:9">
      <c r="A1356" s="133"/>
      <c r="B1356" s="133"/>
      <c r="C1356" s="133"/>
      <c r="D1356" s="133"/>
      <c r="E1356" s="133"/>
      <c r="F1356" s="133"/>
      <c r="G1356" s="133"/>
      <c r="H1356" s="133"/>
      <c r="I1356" s="133"/>
    </row>
    <row r="1357" spans="1:9">
      <c r="A1357" s="133"/>
      <c r="B1357" s="133"/>
      <c r="C1357" s="133"/>
      <c r="D1357" s="133"/>
      <c r="E1357" s="133"/>
      <c r="F1357" s="133"/>
      <c r="G1357" s="133"/>
      <c r="H1357" s="133"/>
      <c r="I1357" s="133"/>
    </row>
    <row r="1358" spans="1:9">
      <c r="A1358" s="133"/>
      <c r="B1358" s="133"/>
      <c r="C1358" s="133"/>
      <c r="D1358" s="133"/>
      <c r="E1358" s="133"/>
      <c r="F1358" s="133"/>
      <c r="G1358" s="133"/>
      <c r="H1358" s="133"/>
      <c r="I1358" s="133"/>
    </row>
    <row r="1359" spans="1:9">
      <c r="A1359" s="133"/>
      <c r="B1359" s="133"/>
      <c r="C1359" s="133"/>
      <c r="D1359" s="133"/>
      <c r="E1359" s="133"/>
      <c r="F1359" s="133"/>
      <c r="G1359" s="133"/>
      <c r="H1359" s="133"/>
      <c r="I1359" s="133"/>
    </row>
    <row r="1360" spans="1:9">
      <c r="A1360" s="133"/>
      <c r="B1360" s="133"/>
      <c r="C1360" s="133"/>
      <c r="D1360" s="133"/>
      <c r="E1360" s="133"/>
      <c r="F1360" s="133"/>
      <c r="G1360" s="133"/>
      <c r="H1360" s="133"/>
      <c r="I1360" s="133"/>
    </row>
    <row r="1361" spans="1:9">
      <c r="A1361" s="133"/>
      <c r="B1361" s="133"/>
      <c r="C1361" s="133"/>
      <c r="D1361" s="133"/>
      <c r="E1361" s="133"/>
      <c r="F1361" s="133"/>
      <c r="G1361" s="133"/>
      <c r="H1361" s="133"/>
      <c r="I1361" s="133"/>
    </row>
    <row r="1362" spans="1:9">
      <c r="A1362" s="133"/>
      <c r="B1362" s="133"/>
      <c r="C1362" s="133"/>
      <c r="D1362" s="133"/>
      <c r="E1362" s="133"/>
      <c r="F1362" s="133"/>
      <c r="G1362" s="133"/>
      <c r="H1362" s="133"/>
      <c r="I1362" s="133"/>
    </row>
    <row r="1363" spans="1:9">
      <c r="A1363" s="133"/>
      <c r="B1363" s="133"/>
      <c r="C1363" s="133"/>
      <c r="D1363" s="133"/>
      <c r="E1363" s="133"/>
      <c r="F1363" s="133"/>
      <c r="G1363" s="133"/>
      <c r="H1363" s="133"/>
      <c r="I1363" s="133"/>
    </row>
    <row r="1364" spans="1:9">
      <c r="A1364" s="133"/>
      <c r="B1364" s="133"/>
      <c r="C1364" s="133"/>
      <c r="D1364" s="133"/>
      <c r="E1364" s="133"/>
      <c r="F1364" s="133"/>
      <c r="G1364" s="133"/>
      <c r="H1364" s="133"/>
      <c r="I1364" s="133"/>
    </row>
    <row r="1365" spans="1:9">
      <c r="A1365" s="133"/>
      <c r="B1365" s="133"/>
      <c r="C1365" s="133"/>
      <c r="D1365" s="133"/>
      <c r="E1365" s="133"/>
      <c r="F1365" s="133"/>
      <c r="G1365" s="133"/>
      <c r="H1365" s="133"/>
      <c r="I1365" s="133"/>
    </row>
    <row r="1366" spans="1:9">
      <c r="A1366" s="133"/>
      <c r="B1366" s="133"/>
      <c r="C1366" s="133"/>
      <c r="D1366" s="133"/>
      <c r="E1366" s="133"/>
      <c r="F1366" s="133"/>
      <c r="G1366" s="133"/>
      <c r="H1366" s="133"/>
      <c r="I1366" s="133"/>
    </row>
    <row r="1367" spans="1:9">
      <c r="A1367" s="133"/>
      <c r="B1367" s="133"/>
      <c r="C1367" s="133"/>
      <c r="D1367" s="133"/>
      <c r="E1367" s="133"/>
      <c r="F1367" s="133"/>
      <c r="G1367" s="133"/>
      <c r="H1367" s="133"/>
      <c r="I1367" s="133"/>
    </row>
    <row r="1368" spans="1:9">
      <c r="A1368" s="133"/>
      <c r="B1368" s="133"/>
      <c r="C1368" s="133"/>
      <c r="D1368" s="133"/>
      <c r="E1368" s="133"/>
      <c r="F1368" s="133"/>
      <c r="G1368" s="133"/>
      <c r="H1368" s="133"/>
      <c r="I1368" s="133"/>
    </row>
    <row r="1369" spans="1:9">
      <c r="A1369" s="133"/>
      <c r="B1369" s="133"/>
      <c r="C1369" s="133"/>
      <c r="D1369" s="133"/>
      <c r="E1369" s="133"/>
      <c r="F1369" s="133"/>
      <c r="G1369" s="133"/>
      <c r="H1369" s="133"/>
      <c r="I1369" s="133"/>
    </row>
    <row r="1370" spans="1:9">
      <c r="A1370" s="133"/>
      <c r="B1370" s="133"/>
      <c r="C1370" s="133"/>
      <c r="D1370" s="133"/>
      <c r="E1370" s="133"/>
      <c r="F1370" s="133"/>
      <c r="G1370" s="133"/>
      <c r="H1370" s="133"/>
      <c r="I1370" s="133"/>
    </row>
    <row r="1371" spans="1:9">
      <c r="A1371" s="133"/>
      <c r="B1371" s="133"/>
      <c r="C1371" s="133"/>
      <c r="D1371" s="133"/>
      <c r="E1371" s="133"/>
      <c r="F1371" s="133"/>
      <c r="G1371" s="133"/>
      <c r="H1371" s="133"/>
      <c r="I1371" s="133"/>
    </row>
    <row r="1372" spans="1:9">
      <c r="A1372" s="133"/>
      <c r="B1372" s="133"/>
      <c r="C1372" s="133"/>
      <c r="D1372" s="133"/>
      <c r="E1372" s="133"/>
      <c r="F1372" s="133"/>
      <c r="G1372" s="133"/>
      <c r="H1372" s="133"/>
      <c r="I1372" s="133"/>
    </row>
    <row r="1373" spans="1:9">
      <c r="A1373" s="133"/>
      <c r="B1373" s="133"/>
      <c r="C1373" s="133"/>
      <c r="D1373" s="133"/>
      <c r="E1373" s="133"/>
      <c r="F1373" s="133"/>
      <c r="G1373" s="133"/>
      <c r="H1373" s="133"/>
      <c r="I1373" s="133"/>
    </row>
    <row r="1374" spans="1:9">
      <c r="A1374" s="133"/>
      <c r="B1374" s="133"/>
      <c r="C1374" s="133"/>
      <c r="D1374" s="133"/>
      <c r="E1374" s="133"/>
      <c r="F1374" s="133"/>
      <c r="G1374" s="133"/>
      <c r="H1374" s="133"/>
      <c r="I1374" s="133"/>
    </row>
    <row r="1375" spans="1:9">
      <c r="A1375" s="133"/>
      <c r="B1375" s="133"/>
      <c r="C1375" s="133"/>
      <c r="D1375" s="133"/>
      <c r="E1375" s="133"/>
      <c r="F1375" s="133"/>
      <c r="G1375" s="133"/>
      <c r="H1375" s="133"/>
      <c r="I1375" s="133"/>
    </row>
    <row r="1376" spans="1:9">
      <c r="A1376" s="133"/>
      <c r="B1376" s="133"/>
      <c r="C1376" s="133"/>
      <c r="D1376" s="133"/>
      <c r="E1376" s="133"/>
      <c r="F1376" s="133"/>
      <c r="G1376" s="133"/>
      <c r="H1376" s="133"/>
      <c r="I1376" s="133"/>
    </row>
    <row r="1377" spans="1:9">
      <c r="A1377" s="133"/>
      <c r="B1377" s="133"/>
      <c r="C1377" s="133"/>
      <c r="D1377" s="133"/>
      <c r="E1377" s="133"/>
      <c r="F1377" s="133"/>
      <c r="G1377" s="133"/>
      <c r="H1377" s="133"/>
      <c r="I1377" s="133"/>
    </row>
    <row r="1378" spans="1:9">
      <c r="A1378" s="133"/>
      <c r="B1378" s="133"/>
      <c r="C1378" s="133"/>
      <c r="D1378" s="133"/>
      <c r="E1378" s="133"/>
      <c r="F1378" s="133"/>
      <c r="G1378" s="133"/>
      <c r="H1378" s="133"/>
      <c r="I1378" s="133"/>
    </row>
    <row r="1379" spans="1:9">
      <c r="A1379" s="133"/>
      <c r="B1379" s="133"/>
      <c r="C1379" s="133"/>
      <c r="D1379" s="133"/>
      <c r="E1379" s="133"/>
      <c r="F1379" s="133"/>
      <c r="G1379" s="133"/>
      <c r="H1379" s="133"/>
      <c r="I1379" s="133"/>
    </row>
    <row r="1380" spans="1:9">
      <c r="A1380" s="133"/>
      <c r="B1380" s="133"/>
      <c r="C1380" s="133"/>
      <c r="D1380" s="133"/>
      <c r="E1380" s="133"/>
      <c r="F1380" s="133"/>
      <c r="G1380" s="133"/>
      <c r="H1380" s="133"/>
      <c r="I1380" s="133"/>
    </row>
    <row r="1381" spans="1:9">
      <c r="A1381" s="133"/>
      <c r="B1381" s="133"/>
      <c r="C1381" s="133"/>
      <c r="D1381" s="133"/>
      <c r="E1381" s="133"/>
      <c r="F1381" s="133"/>
      <c r="G1381" s="133"/>
      <c r="H1381" s="133"/>
      <c r="I1381" s="133"/>
    </row>
    <row r="1382" spans="1:9">
      <c r="A1382" s="133"/>
      <c r="B1382" s="133"/>
      <c r="C1382" s="133"/>
      <c r="D1382" s="133"/>
      <c r="E1382" s="133"/>
      <c r="F1382" s="133"/>
      <c r="G1382" s="133"/>
      <c r="H1382" s="133"/>
      <c r="I1382" s="133"/>
    </row>
    <row r="1383" spans="1:9">
      <c r="A1383" s="133"/>
      <c r="B1383" s="133"/>
      <c r="C1383" s="133"/>
      <c r="D1383" s="133"/>
      <c r="E1383" s="133"/>
      <c r="F1383" s="133"/>
      <c r="G1383" s="133"/>
      <c r="H1383" s="133"/>
      <c r="I1383" s="133"/>
    </row>
    <row r="1384" spans="1:9">
      <c r="A1384" s="133"/>
      <c r="B1384" s="133"/>
      <c r="C1384" s="133"/>
      <c r="D1384" s="133"/>
      <c r="E1384" s="133"/>
      <c r="F1384" s="133"/>
      <c r="G1384" s="133"/>
      <c r="H1384" s="133"/>
      <c r="I1384" s="133"/>
    </row>
    <row r="1385" spans="1:9">
      <c r="A1385" s="133"/>
      <c r="B1385" s="133"/>
      <c r="C1385" s="133"/>
      <c r="D1385" s="133"/>
      <c r="E1385" s="133"/>
      <c r="F1385" s="133"/>
      <c r="G1385" s="133"/>
      <c r="H1385" s="133"/>
      <c r="I1385" s="133"/>
    </row>
    <row r="1386" spans="1:9">
      <c r="A1386" s="133"/>
      <c r="B1386" s="133"/>
      <c r="C1386" s="133"/>
      <c r="D1386" s="133"/>
      <c r="E1386" s="133"/>
      <c r="F1386" s="133"/>
      <c r="G1386" s="133"/>
      <c r="H1386" s="133"/>
      <c r="I1386" s="133"/>
    </row>
    <row r="1387" spans="1:9">
      <c r="A1387" s="133"/>
      <c r="B1387" s="133"/>
      <c r="C1387" s="133"/>
      <c r="D1387" s="133"/>
      <c r="E1387" s="133"/>
      <c r="F1387" s="133"/>
      <c r="G1387" s="133"/>
      <c r="H1387" s="133"/>
      <c r="I1387" s="133"/>
    </row>
    <row r="1388" spans="1:9">
      <c r="A1388" s="133"/>
      <c r="B1388" s="133"/>
      <c r="C1388" s="133"/>
      <c r="D1388" s="133"/>
      <c r="E1388" s="133"/>
      <c r="F1388" s="133"/>
      <c r="G1388" s="133"/>
      <c r="H1388" s="133"/>
      <c r="I1388" s="133"/>
    </row>
    <row r="1389" spans="1:9">
      <c r="A1389" s="133"/>
      <c r="B1389" s="133"/>
      <c r="C1389" s="133"/>
      <c r="D1389" s="133"/>
      <c r="E1389" s="133"/>
      <c r="F1389" s="133"/>
      <c r="G1389" s="133"/>
      <c r="H1389" s="133"/>
      <c r="I1389" s="133"/>
    </row>
    <row r="1390" spans="1:9">
      <c r="A1390" s="133"/>
      <c r="B1390" s="133"/>
      <c r="C1390" s="133"/>
      <c r="D1390" s="133"/>
      <c r="E1390" s="133"/>
      <c r="F1390" s="133"/>
      <c r="G1390" s="133"/>
      <c r="H1390" s="133"/>
      <c r="I1390" s="133"/>
    </row>
    <row r="1391" spans="1:9">
      <c r="A1391" s="133"/>
      <c r="B1391" s="133"/>
      <c r="C1391" s="133"/>
      <c r="D1391" s="133"/>
      <c r="E1391" s="133"/>
      <c r="F1391" s="133"/>
      <c r="G1391" s="133"/>
      <c r="H1391" s="133"/>
      <c r="I1391" s="133"/>
    </row>
    <row r="1392" spans="1:9">
      <c r="A1392" s="133"/>
      <c r="B1392" s="133"/>
      <c r="C1392" s="133"/>
      <c r="D1392" s="133"/>
      <c r="E1392" s="133"/>
      <c r="F1392" s="133"/>
      <c r="G1392" s="133"/>
      <c r="H1392" s="133"/>
      <c r="I1392" s="133"/>
    </row>
    <row r="1393" spans="1:9">
      <c r="A1393" s="133"/>
      <c r="B1393" s="133"/>
      <c r="C1393" s="133"/>
      <c r="D1393" s="133"/>
      <c r="E1393" s="133"/>
      <c r="F1393" s="133"/>
      <c r="G1393" s="133"/>
      <c r="H1393" s="133"/>
      <c r="I1393" s="133"/>
    </row>
    <row r="1394" spans="1:9">
      <c r="A1394" s="133"/>
      <c r="B1394" s="133"/>
      <c r="C1394" s="133"/>
      <c r="D1394" s="133"/>
      <c r="E1394" s="133"/>
      <c r="F1394" s="133"/>
      <c r="G1394" s="133"/>
      <c r="H1394" s="133"/>
      <c r="I1394" s="133"/>
    </row>
    <row r="1395" spans="1:9">
      <c r="A1395" s="133"/>
      <c r="B1395" s="133"/>
      <c r="C1395" s="133"/>
      <c r="D1395" s="133"/>
      <c r="E1395" s="133"/>
      <c r="F1395" s="133"/>
      <c r="G1395" s="133"/>
      <c r="H1395" s="133"/>
      <c r="I1395" s="133"/>
    </row>
    <row r="1396" spans="1:9">
      <c r="A1396" s="133"/>
      <c r="B1396" s="133"/>
      <c r="C1396" s="133"/>
      <c r="D1396" s="133"/>
      <c r="E1396" s="133"/>
      <c r="F1396" s="133"/>
      <c r="G1396" s="133"/>
      <c r="H1396" s="133"/>
      <c r="I1396" s="133"/>
    </row>
    <row r="1397" spans="1:9">
      <c r="A1397" s="133"/>
      <c r="B1397" s="133"/>
      <c r="C1397" s="133"/>
      <c r="D1397" s="133"/>
      <c r="E1397" s="133"/>
      <c r="F1397" s="133"/>
      <c r="G1397" s="133"/>
      <c r="H1397" s="133"/>
      <c r="I1397" s="133"/>
    </row>
    <row r="1398" spans="1:9">
      <c r="A1398" s="133"/>
      <c r="B1398" s="133"/>
      <c r="C1398" s="133"/>
      <c r="D1398" s="133"/>
      <c r="E1398" s="133"/>
      <c r="F1398" s="133"/>
      <c r="G1398" s="133"/>
      <c r="H1398" s="133"/>
      <c r="I1398" s="133"/>
    </row>
    <row r="1399" spans="1:9">
      <c r="A1399" s="133"/>
      <c r="B1399" s="133"/>
      <c r="C1399" s="133"/>
      <c r="D1399" s="133"/>
      <c r="E1399" s="133"/>
      <c r="F1399" s="133"/>
      <c r="G1399" s="133"/>
      <c r="H1399" s="133"/>
      <c r="I1399" s="133"/>
    </row>
    <row r="1400" spans="1:9">
      <c r="A1400" s="133"/>
      <c r="B1400" s="133"/>
      <c r="C1400" s="133"/>
      <c r="D1400" s="133"/>
      <c r="E1400" s="133"/>
      <c r="F1400" s="133"/>
      <c r="G1400" s="133"/>
      <c r="H1400" s="133"/>
      <c r="I1400" s="133"/>
    </row>
    <row r="1401" spans="1:9">
      <c r="A1401" s="133"/>
      <c r="B1401" s="133"/>
      <c r="C1401" s="133"/>
      <c r="D1401" s="133"/>
      <c r="E1401" s="133"/>
      <c r="F1401" s="133"/>
      <c r="G1401" s="133"/>
      <c r="H1401" s="133"/>
      <c r="I1401" s="133"/>
    </row>
    <row r="1402" spans="1:9">
      <c r="A1402" s="133"/>
      <c r="B1402" s="133"/>
      <c r="C1402" s="133"/>
      <c r="D1402" s="133"/>
      <c r="E1402" s="133"/>
      <c r="F1402" s="133"/>
      <c r="G1402" s="133"/>
      <c r="H1402" s="133"/>
      <c r="I1402" s="133"/>
    </row>
    <row r="1403" spans="1:9">
      <c r="A1403" s="133"/>
      <c r="B1403" s="133"/>
      <c r="C1403" s="133"/>
      <c r="D1403" s="133"/>
      <c r="E1403" s="133"/>
      <c r="F1403" s="133"/>
      <c r="G1403" s="133"/>
      <c r="H1403" s="133"/>
      <c r="I1403" s="133"/>
    </row>
    <row r="1404" spans="1:9">
      <c r="A1404" s="133"/>
      <c r="B1404" s="133"/>
      <c r="C1404" s="133"/>
      <c r="D1404" s="133"/>
      <c r="E1404" s="133"/>
      <c r="F1404" s="133"/>
      <c r="G1404" s="133"/>
      <c r="H1404" s="133"/>
      <c r="I1404" s="133"/>
    </row>
    <row r="1405" spans="1:9">
      <c r="A1405" s="133"/>
      <c r="B1405" s="133"/>
      <c r="C1405" s="133"/>
      <c r="D1405" s="133"/>
      <c r="E1405" s="133"/>
      <c r="F1405" s="133"/>
      <c r="G1405" s="133"/>
      <c r="H1405" s="133"/>
      <c r="I1405" s="133"/>
    </row>
    <row r="1406" spans="1:9">
      <c r="A1406" s="133"/>
      <c r="B1406" s="133"/>
      <c r="C1406" s="133"/>
      <c r="D1406" s="133"/>
      <c r="E1406" s="133"/>
      <c r="F1406" s="133"/>
      <c r="G1406" s="133"/>
      <c r="H1406" s="133"/>
      <c r="I1406" s="133"/>
    </row>
    <row r="1407" spans="1:9">
      <c r="A1407" s="133"/>
      <c r="B1407" s="133"/>
      <c r="C1407" s="133"/>
      <c r="D1407" s="133"/>
      <c r="E1407" s="133"/>
      <c r="F1407" s="133"/>
      <c r="G1407" s="133"/>
      <c r="H1407" s="133"/>
      <c r="I1407" s="133"/>
    </row>
    <row r="1408" spans="1:9">
      <c r="A1408" s="133"/>
      <c r="B1408" s="133"/>
      <c r="C1408" s="133"/>
      <c r="D1408" s="133"/>
      <c r="E1408" s="133"/>
      <c r="F1408" s="133"/>
      <c r="G1408" s="133"/>
      <c r="H1408" s="133"/>
      <c r="I1408" s="133"/>
    </row>
    <row r="1409" spans="1:9">
      <c r="A1409" s="133"/>
      <c r="B1409" s="133"/>
      <c r="C1409" s="133"/>
      <c r="D1409" s="133"/>
      <c r="E1409" s="133"/>
      <c r="F1409" s="133"/>
      <c r="G1409" s="133"/>
      <c r="H1409" s="133"/>
      <c r="I1409" s="133"/>
    </row>
    <row r="1410" spans="1:9">
      <c r="A1410" s="133"/>
      <c r="B1410" s="133"/>
      <c r="C1410" s="133"/>
      <c r="D1410" s="133"/>
      <c r="E1410" s="133"/>
      <c r="F1410" s="133"/>
      <c r="G1410" s="133"/>
      <c r="H1410" s="133"/>
      <c r="I1410" s="133"/>
    </row>
    <row r="1411" spans="1:9">
      <c r="A1411" s="133"/>
      <c r="B1411" s="133"/>
      <c r="C1411" s="133"/>
      <c r="D1411" s="133"/>
      <c r="E1411" s="133"/>
      <c r="F1411" s="133"/>
      <c r="G1411" s="133"/>
      <c r="H1411" s="133"/>
      <c r="I1411" s="133"/>
    </row>
    <row r="1412" spans="1:9">
      <c r="A1412" s="133"/>
      <c r="B1412" s="133"/>
      <c r="C1412" s="133"/>
      <c r="D1412" s="133"/>
      <c r="E1412" s="133"/>
      <c r="F1412" s="133"/>
      <c r="G1412" s="133"/>
      <c r="H1412" s="133"/>
      <c r="I1412" s="133"/>
    </row>
    <row r="1413" spans="1:9">
      <c r="A1413" s="133"/>
      <c r="B1413" s="133"/>
      <c r="C1413" s="133"/>
      <c r="D1413" s="133"/>
      <c r="E1413" s="133"/>
      <c r="F1413" s="133"/>
      <c r="G1413" s="133"/>
      <c r="H1413" s="133"/>
      <c r="I1413" s="133"/>
    </row>
    <row r="1414" spans="1:9">
      <c r="A1414" s="133"/>
      <c r="B1414" s="133"/>
      <c r="C1414" s="133"/>
      <c r="D1414" s="133"/>
      <c r="E1414" s="133"/>
      <c r="F1414" s="133"/>
      <c r="G1414" s="133"/>
      <c r="H1414" s="133"/>
      <c r="I1414" s="133"/>
    </row>
    <row r="1415" spans="1:9">
      <c r="A1415" s="133"/>
      <c r="B1415" s="133"/>
      <c r="C1415" s="133"/>
      <c r="D1415" s="133"/>
      <c r="E1415" s="133"/>
      <c r="F1415" s="133"/>
      <c r="G1415" s="133"/>
      <c r="H1415" s="133"/>
      <c r="I1415" s="133"/>
    </row>
    <row r="1416" spans="1:9">
      <c r="A1416" s="133"/>
      <c r="B1416" s="133"/>
      <c r="C1416" s="133"/>
      <c r="D1416" s="133"/>
      <c r="E1416" s="133"/>
      <c r="F1416" s="133"/>
      <c r="G1416" s="133"/>
      <c r="H1416" s="133"/>
      <c r="I1416" s="133"/>
    </row>
    <row r="1417" spans="1:9">
      <c r="A1417" s="133"/>
      <c r="B1417" s="133"/>
      <c r="C1417" s="133"/>
      <c r="D1417" s="133"/>
      <c r="E1417" s="133"/>
      <c r="F1417" s="133"/>
      <c r="G1417" s="133"/>
      <c r="H1417" s="133"/>
      <c r="I1417" s="133"/>
    </row>
    <row r="1418" spans="1:9">
      <c r="A1418" s="133"/>
      <c r="B1418" s="133"/>
      <c r="C1418" s="133"/>
      <c r="D1418" s="133"/>
      <c r="E1418" s="133"/>
      <c r="F1418" s="133"/>
      <c r="G1418" s="133"/>
      <c r="H1418" s="133"/>
      <c r="I1418" s="133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K527"/>
  <sheetViews>
    <sheetView zoomScale="80" zoomScaleNormal="80" topLeftCell="B272" workbookViewId="0">
      <selection activeCell="J273" sqref="J273:J299"/>
    </sheetView>
  </sheetViews>
  <sheetFormatPr defaultColWidth="9" defaultRowHeight="15.6"/>
  <cols>
    <col min="1" max="1" width="9" style="78"/>
    <col min="2" max="2" width="16.3888888888889" style="79" customWidth="1"/>
    <col min="3" max="3" width="23.5648148148148" style="78" customWidth="1"/>
    <col min="4" max="4" width="33.0185185185185" style="78" customWidth="1"/>
    <col min="5" max="5" width="68.7407407407407" style="80" customWidth="1"/>
    <col min="6" max="6" width="27.6388888888889" style="78" customWidth="1"/>
    <col min="7" max="7" width="15.2962962962963" style="79" customWidth="1"/>
    <col min="8" max="10" width="17" style="81" customWidth="1"/>
    <col min="11" max="11" width="14" style="81" customWidth="1"/>
    <col min="12" max="12" width="32.1388888888889" style="78" customWidth="1"/>
    <col min="13" max="13" width="11.4259259259259" style="78" customWidth="1"/>
    <col min="14" max="14" width="26.6111111111111" style="78" customWidth="1"/>
    <col min="15" max="21" width="11.4259259259259" style="78" customWidth="1"/>
    <col min="22" max="16384" width="9" style="78"/>
  </cols>
  <sheetData>
    <row r="1" ht="28.8" spans="1:11">
      <c r="B1" s="9"/>
      <c r="C1" s="10" t="s">
        <v>72</v>
      </c>
      <c r="D1" s="10"/>
      <c r="E1" s="82"/>
      <c r="F1" s="10"/>
      <c r="G1" s="83"/>
      <c r="H1" s="13"/>
      <c r="I1" s="13"/>
      <c r="J1" s="13"/>
      <c r="K1" s="13"/>
    </row>
    <row r="2" spans="1:11">
      <c r="B2" s="14"/>
      <c r="C2" s="15" t="s">
        <v>111</v>
      </c>
      <c r="D2" s="15"/>
      <c r="E2" s="84"/>
      <c r="F2" s="15"/>
      <c r="G2" s="14"/>
      <c r="H2" s="18"/>
      <c r="I2" s="18"/>
      <c r="J2" s="18"/>
      <c r="K2" s="18"/>
    </row>
    <row r="3" spans="1:11">
      <c r="B3" s="14"/>
      <c r="C3" s="15" t="s">
        <v>112</v>
      </c>
      <c r="D3" s="15"/>
      <c r="E3" s="84"/>
      <c r="F3" s="15"/>
      <c r="G3" s="14"/>
      <c r="H3" s="18"/>
      <c r="I3" s="18"/>
      <c r="J3" s="18"/>
      <c r="K3" s="18"/>
    </row>
    <row r="4" s="75" customFormat="1" ht="39" customHeight="1" spans="1:11">
      <c r="B4" s="19" t="s">
        <v>113</v>
      </c>
      <c r="C4" s="20"/>
      <c r="D4" s="20"/>
      <c r="E4" s="20"/>
      <c r="F4" s="20"/>
      <c r="G4" s="19"/>
      <c r="H4" s="23"/>
      <c r="I4" s="23"/>
      <c r="J4" s="23"/>
      <c r="K4" s="23"/>
    </row>
    <row r="5" ht="45" customHeight="1" spans="1:11">
      <c r="B5" s="85" t="s">
        <v>114</v>
      </c>
      <c r="C5" s="86" t="s">
        <v>115</v>
      </c>
      <c r="D5" s="86"/>
      <c r="E5" s="86"/>
      <c r="F5" s="86"/>
      <c r="G5" s="87"/>
      <c r="H5" s="88"/>
      <c r="I5" s="88"/>
      <c r="J5" s="88"/>
      <c r="K5" s="88"/>
    </row>
    <row r="6" ht="48" customHeight="1" spans="1:11">
      <c r="B6" s="85"/>
      <c r="C6" s="86"/>
      <c r="D6" s="86"/>
      <c r="E6" s="86"/>
      <c r="F6" s="86"/>
      <c r="G6" s="87"/>
      <c r="H6" s="88"/>
      <c r="I6" s="88"/>
      <c r="J6" s="88"/>
      <c r="K6" s="88"/>
    </row>
    <row r="7" spans="1:11">
      <c r="B7" s="85"/>
      <c r="C7" s="89"/>
      <c r="D7" s="89"/>
      <c r="E7" s="90"/>
      <c r="F7" s="89"/>
      <c r="G7" s="91"/>
      <c r="H7" s="92"/>
      <c r="I7" s="92"/>
      <c r="J7" s="92"/>
      <c r="K7" s="93"/>
    </row>
    <row r="8" spans="1:11">
      <c r="B8" s="94" t="s">
        <v>116</v>
      </c>
      <c r="C8" s="95"/>
      <c r="D8" s="95"/>
      <c r="E8" s="95"/>
      <c r="F8" s="96"/>
      <c r="G8" s="91"/>
      <c r="H8" s="92"/>
      <c r="I8" s="92"/>
      <c r="J8" s="92"/>
      <c r="K8" s="93"/>
    </row>
    <row r="9" spans="1:11">
      <c r="B9" s="94" t="s">
        <v>117</v>
      </c>
      <c r="C9" s="95"/>
      <c r="D9" s="95"/>
      <c r="E9" s="95"/>
      <c r="F9" s="96"/>
      <c r="G9" s="91"/>
      <c r="H9" s="92"/>
      <c r="I9" s="92"/>
      <c r="J9" s="92"/>
      <c r="K9" s="93"/>
    </row>
    <row r="10" spans="1:11">
      <c r="B10" s="94" t="s">
        <v>118</v>
      </c>
      <c r="C10" s="97"/>
      <c r="D10" s="97"/>
      <c r="E10" s="98"/>
      <c r="F10" s="97"/>
      <c r="G10" s="91"/>
      <c r="H10" s="92"/>
    </row>
    <row r="11" spans="1:11">
      <c r="B11" s="94" t="s">
        <v>119</v>
      </c>
      <c r="C11" s="95"/>
      <c r="D11" s="95"/>
      <c r="E11" s="95"/>
      <c r="F11" s="95"/>
      <c r="G11" s="99"/>
      <c r="H11" s="100"/>
      <c r="I11" s="100"/>
      <c r="J11" s="100"/>
      <c r="K11" s="100"/>
    </row>
    <row r="12" spans="1:11">
      <c r="B12" s="94" t="s">
        <v>120</v>
      </c>
      <c r="C12" s="89"/>
      <c r="D12" s="89"/>
      <c r="E12" s="90"/>
      <c r="F12" s="89"/>
      <c r="G12" s="91"/>
      <c r="H12" s="92"/>
      <c r="I12" s="92"/>
      <c r="J12" s="92"/>
      <c r="K12" s="93"/>
    </row>
    <row r="13" ht="24.75" customHeight="1" spans="1:11">
      <c r="A13" s="101" t="s">
        <v>121</v>
      </c>
      <c r="B13" s="101" t="s">
        <v>122</v>
      </c>
      <c r="C13" s="102" t="s">
        <v>123</v>
      </c>
      <c r="D13" s="102" t="s">
        <v>124</v>
      </c>
      <c r="E13" s="102" t="s">
        <v>125</v>
      </c>
      <c r="F13" s="102" t="s">
        <v>126</v>
      </c>
      <c r="G13" s="101" t="s">
        <v>127</v>
      </c>
      <c r="H13" s="103" t="s">
        <v>128</v>
      </c>
      <c r="I13" s="103" t="s">
        <v>129</v>
      </c>
      <c r="J13" s="103" t="s">
        <v>130</v>
      </c>
      <c r="K13" s="103" t="s">
        <v>131</v>
      </c>
    </row>
    <row r="14" s="76" customFormat="1" ht="21" customHeight="1" spans="1:11">
      <c r="A14" s="53" t="s">
        <v>132</v>
      </c>
      <c r="B14" s="54" t="s">
        <v>133</v>
      </c>
      <c r="C14" s="55" t="s">
        <v>134</v>
      </c>
      <c r="D14" s="55" t="s">
        <v>135</v>
      </c>
      <c r="E14" s="104" t="s">
        <v>136</v>
      </c>
      <c r="F14" s="55" t="s">
        <v>137</v>
      </c>
      <c r="G14" s="105">
        <v>1</v>
      </c>
      <c r="H14" s="106">
        <v>19.3</v>
      </c>
      <c r="I14" s="106">
        <v>72.1</v>
      </c>
      <c r="J14" s="106">
        <f>ROUND(H14*2.2046,2)</f>
        <v>42.55</v>
      </c>
      <c r="K14" s="106">
        <f>H14+0.2</f>
        <v>19.5</v>
      </c>
    </row>
    <row r="15" s="76" customFormat="1" ht="21" customHeight="1" spans="1:11">
      <c r="A15" s="53" t="s">
        <v>132</v>
      </c>
      <c r="B15" s="54" t="s">
        <v>133</v>
      </c>
      <c r="C15" s="55" t="s">
        <v>134</v>
      </c>
      <c r="D15" s="55" t="s">
        <v>135</v>
      </c>
      <c r="E15" s="104" t="s">
        <v>136</v>
      </c>
      <c r="F15" s="55" t="s">
        <v>137</v>
      </c>
      <c r="G15" s="105">
        <v>2</v>
      </c>
      <c r="H15" s="106">
        <v>21.4</v>
      </c>
      <c r="I15" s="106">
        <v>80</v>
      </c>
      <c r="J15" s="106">
        <f>ROUND(H15*2.2046,2)</f>
        <v>47.18</v>
      </c>
      <c r="K15" s="106">
        <f>H15+0.2</f>
        <v>21.6</v>
      </c>
    </row>
    <row r="16" s="76" customFormat="1" ht="21" customHeight="1" spans="1:11">
      <c r="A16" s="53" t="s">
        <v>132</v>
      </c>
      <c r="B16" s="54" t="s">
        <v>133</v>
      </c>
      <c r="C16" s="55" t="s">
        <v>134</v>
      </c>
      <c r="D16" s="55" t="s">
        <v>135</v>
      </c>
      <c r="E16" s="104" t="s">
        <v>136</v>
      </c>
      <c r="F16" s="55" t="s">
        <v>137</v>
      </c>
      <c r="G16" s="105">
        <v>3</v>
      </c>
      <c r="H16" s="106">
        <v>21.9</v>
      </c>
      <c r="I16" s="106">
        <v>81.9</v>
      </c>
      <c r="J16" s="106">
        <f>ROUND(H16*2.2046,2)</f>
        <v>48.28</v>
      </c>
      <c r="K16" s="106">
        <f>H16+0.2</f>
        <v>22.1</v>
      </c>
    </row>
    <row r="17" s="77" customFormat="1" ht="21" customHeight="1" spans="1:11">
      <c r="A17" s="107"/>
      <c r="B17" s="108"/>
      <c r="C17" s="109" t="s">
        <v>138</v>
      </c>
      <c r="D17" s="109"/>
      <c r="E17" s="109"/>
      <c r="F17" s="110"/>
      <c r="G17" s="111">
        <f>COUNT(G14:G16)</f>
        <v>3</v>
      </c>
      <c r="H17" s="112">
        <f>SUM(H14:H16)</f>
        <v>62.6</v>
      </c>
      <c r="I17" s="112">
        <f>SUM(I14:I16)</f>
        <v>234</v>
      </c>
      <c r="J17" s="112">
        <f>SUM(J14:J16)</f>
        <v>138.01</v>
      </c>
      <c r="K17" s="112">
        <f>SUM(K14:K16)</f>
        <v>63.2</v>
      </c>
    </row>
    <row r="18" s="76" customFormat="1" ht="21" customHeight="1" spans="1:11">
      <c r="A18" s="53" t="s">
        <v>132</v>
      </c>
      <c r="B18" s="54" t="s">
        <v>133</v>
      </c>
      <c r="C18" s="55" t="s">
        <v>139</v>
      </c>
      <c r="D18" s="55" t="s">
        <v>135</v>
      </c>
      <c r="E18" s="104" t="s">
        <v>136</v>
      </c>
      <c r="F18" s="55" t="s">
        <v>137</v>
      </c>
      <c r="G18" s="105">
        <v>12</v>
      </c>
      <c r="H18" s="106">
        <v>22.1</v>
      </c>
      <c r="I18" s="106">
        <v>82.6</v>
      </c>
      <c r="J18" s="106">
        <f>ROUND(H18*2.2046,2)</f>
        <v>48.72</v>
      </c>
      <c r="K18" s="106">
        <f>H18+0.2</f>
        <v>22.3</v>
      </c>
    </row>
    <row r="19" s="76" customFormat="1" ht="21" customHeight="1" spans="1:11">
      <c r="A19" s="53" t="s">
        <v>132</v>
      </c>
      <c r="B19" s="54" t="s">
        <v>133</v>
      </c>
      <c r="C19" s="55" t="s">
        <v>139</v>
      </c>
      <c r="D19" s="55" t="s">
        <v>135</v>
      </c>
      <c r="E19" s="104" t="s">
        <v>136</v>
      </c>
      <c r="F19" s="55" t="s">
        <v>137</v>
      </c>
      <c r="G19" s="105">
        <v>13</v>
      </c>
      <c r="H19" s="106">
        <v>22</v>
      </c>
      <c r="I19" s="106">
        <v>82.2</v>
      </c>
      <c r="J19" s="106">
        <f>ROUND(H19*2.2046,2)</f>
        <v>48.5</v>
      </c>
      <c r="K19" s="106">
        <f>H19+0.2</f>
        <v>22.2</v>
      </c>
    </row>
    <row r="20" s="77" customFormat="1" ht="21" customHeight="1" spans="1:11">
      <c r="A20" s="107"/>
      <c r="B20" s="108"/>
      <c r="C20" s="109" t="s">
        <v>138</v>
      </c>
      <c r="D20" s="109"/>
      <c r="E20" s="109"/>
      <c r="F20" s="110"/>
      <c r="G20" s="111">
        <f>COUNT(G18:G19)</f>
        <v>2</v>
      </c>
      <c r="H20" s="112">
        <f>SUM(H18:H19)</f>
        <v>44.1</v>
      </c>
      <c r="I20" s="112">
        <f>SUM(I18:I19)</f>
        <v>164.8</v>
      </c>
      <c r="J20" s="112">
        <f>SUM(J18:J19)</f>
        <v>97.22</v>
      </c>
      <c r="K20" s="112">
        <f>SUM(K18:K19)</f>
        <v>44.5</v>
      </c>
    </row>
    <row r="21" s="76" customFormat="1" ht="21" customHeight="1" spans="1:11">
      <c r="A21" s="53" t="s">
        <v>132</v>
      </c>
      <c r="B21" s="54" t="s">
        <v>133</v>
      </c>
      <c r="C21" s="55" t="s">
        <v>140</v>
      </c>
      <c r="D21" s="55" t="s">
        <v>135</v>
      </c>
      <c r="E21" s="104" t="s">
        <v>136</v>
      </c>
      <c r="F21" s="55" t="s">
        <v>137</v>
      </c>
      <c r="G21" s="105">
        <v>1</v>
      </c>
      <c r="H21" s="106">
        <v>19.5</v>
      </c>
      <c r="I21" s="106">
        <v>72.9</v>
      </c>
      <c r="J21" s="106">
        <f t="shared" ref="J21:J52" si="0">ROUND(H21*2.2046,2)</f>
        <v>42.99</v>
      </c>
      <c r="K21" s="106">
        <f t="shared" ref="K21:K52" si="1">H21+0.2</f>
        <v>19.7</v>
      </c>
    </row>
    <row r="22" s="76" customFormat="1" ht="21" customHeight="1" spans="1:11">
      <c r="A22" s="53" t="s">
        <v>132</v>
      </c>
      <c r="B22" s="54" t="s">
        <v>133</v>
      </c>
      <c r="C22" s="55" t="s">
        <v>140</v>
      </c>
      <c r="D22" s="55" t="s">
        <v>135</v>
      </c>
      <c r="E22" s="104" t="s">
        <v>136</v>
      </c>
      <c r="F22" s="55" t="s">
        <v>137</v>
      </c>
      <c r="G22" s="105">
        <v>2</v>
      </c>
      <c r="H22" s="106">
        <v>22.5</v>
      </c>
      <c r="I22" s="106">
        <v>84.1</v>
      </c>
      <c r="J22" s="106">
        <f t="shared" si="0"/>
        <v>49.6</v>
      </c>
      <c r="K22" s="106">
        <f t="shared" si="1"/>
        <v>22.7</v>
      </c>
    </row>
    <row r="23" s="76" customFormat="1" ht="21" customHeight="1" spans="1:11">
      <c r="A23" s="53" t="s">
        <v>132</v>
      </c>
      <c r="B23" s="54" t="s">
        <v>133</v>
      </c>
      <c r="C23" s="55" t="s">
        <v>140</v>
      </c>
      <c r="D23" s="55" t="s">
        <v>135</v>
      </c>
      <c r="E23" s="104" t="s">
        <v>136</v>
      </c>
      <c r="F23" s="55" t="s">
        <v>137</v>
      </c>
      <c r="G23" s="105">
        <v>3</v>
      </c>
      <c r="H23" s="106">
        <v>21.6</v>
      </c>
      <c r="I23" s="106">
        <v>80.7</v>
      </c>
      <c r="J23" s="106">
        <f t="shared" si="0"/>
        <v>47.62</v>
      </c>
      <c r="K23" s="106">
        <f t="shared" si="1"/>
        <v>21.8</v>
      </c>
    </row>
    <row r="24" s="76" customFormat="1" ht="21" customHeight="1" spans="1:11">
      <c r="A24" s="53" t="s">
        <v>132</v>
      </c>
      <c r="B24" s="54" t="s">
        <v>133</v>
      </c>
      <c r="C24" s="55" t="s">
        <v>140</v>
      </c>
      <c r="D24" s="55" t="s">
        <v>135</v>
      </c>
      <c r="E24" s="104" t="s">
        <v>136</v>
      </c>
      <c r="F24" s="55" t="s">
        <v>137</v>
      </c>
      <c r="G24" s="105">
        <v>4</v>
      </c>
      <c r="H24" s="106">
        <v>22.2</v>
      </c>
      <c r="I24" s="106">
        <v>83</v>
      </c>
      <c r="J24" s="106">
        <f t="shared" si="0"/>
        <v>48.94</v>
      </c>
      <c r="K24" s="106">
        <f t="shared" si="1"/>
        <v>22.4</v>
      </c>
    </row>
    <row r="25" s="76" customFormat="1" ht="21" customHeight="1" spans="1:11">
      <c r="A25" s="53" t="s">
        <v>132</v>
      </c>
      <c r="B25" s="54" t="s">
        <v>133</v>
      </c>
      <c r="C25" s="55" t="s">
        <v>140</v>
      </c>
      <c r="D25" s="55" t="s">
        <v>135</v>
      </c>
      <c r="E25" s="104" t="s">
        <v>136</v>
      </c>
      <c r="F25" s="55" t="s">
        <v>137</v>
      </c>
      <c r="G25" s="105">
        <v>5</v>
      </c>
      <c r="H25" s="106">
        <v>22.3</v>
      </c>
      <c r="I25" s="106">
        <v>83.3</v>
      </c>
      <c r="J25" s="106">
        <f t="shared" si="0"/>
        <v>49.16</v>
      </c>
      <c r="K25" s="106">
        <f t="shared" si="1"/>
        <v>22.5</v>
      </c>
    </row>
    <row r="26" s="76" customFormat="1" ht="21" customHeight="1" spans="1:11">
      <c r="A26" s="53" t="s">
        <v>132</v>
      </c>
      <c r="B26" s="54" t="s">
        <v>133</v>
      </c>
      <c r="C26" s="55" t="s">
        <v>140</v>
      </c>
      <c r="D26" s="55" t="s">
        <v>135</v>
      </c>
      <c r="E26" s="104" t="s">
        <v>136</v>
      </c>
      <c r="F26" s="55" t="s">
        <v>137</v>
      </c>
      <c r="G26" s="105">
        <v>6</v>
      </c>
      <c r="H26" s="106">
        <v>22.4</v>
      </c>
      <c r="I26" s="106">
        <v>83.7</v>
      </c>
      <c r="J26" s="106">
        <f t="shared" si="0"/>
        <v>49.38</v>
      </c>
      <c r="K26" s="106">
        <f t="shared" si="1"/>
        <v>22.6</v>
      </c>
    </row>
    <row r="27" s="76" customFormat="1" ht="21" customHeight="1" spans="1:11">
      <c r="A27" s="53" t="s">
        <v>132</v>
      </c>
      <c r="B27" s="54" t="s">
        <v>133</v>
      </c>
      <c r="C27" s="55" t="s">
        <v>140</v>
      </c>
      <c r="D27" s="55" t="s">
        <v>135</v>
      </c>
      <c r="E27" s="104" t="s">
        <v>136</v>
      </c>
      <c r="F27" s="55" t="s">
        <v>137</v>
      </c>
      <c r="G27" s="105">
        <v>7</v>
      </c>
      <c r="H27" s="106">
        <v>22</v>
      </c>
      <c r="I27" s="106">
        <v>82.2</v>
      </c>
      <c r="J27" s="106">
        <f t="shared" si="0"/>
        <v>48.5</v>
      </c>
      <c r="K27" s="106">
        <f t="shared" si="1"/>
        <v>22.2</v>
      </c>
    </row>
    <row r="28" s="76" customFormat="1" ht="21" customHeight="1" spans="1:11">
      <c r="A28" s="53" t="s">
        <v>132</v>
      </c>
      <c r="B28" s="54" t="s">
        <v>133</v>
      </c>
      <c r="C28" s="55" t="s">
        <v>140</v>
      </c>
      <c r="D28" s="55" t="s">
        <v>135</v>
      </c>
      <c r="E28" s="104" t="s">
        <v>136</v>
      </c>
      <c r="F28" s="55" t="s">
        <v>137</v>
      </c>
      <c r="G28" s="105">
        <v>8</v>
      </c>
      <c r="H28" s="106">
        <v>24.8</v>
      </c>
      <c r="I28" s="106">
        <v>92.7</v>
      </c>
      <c r="J28" s="106">
        <f t="shared" si="0"/>
        <v>54.67</v>
      </c>
      <c r="K28" s="106">
        <f t="shared" si="1"/>
        <v>25</v>
      </c>
    </row>
    <row r="29" s="76" customFormat="1" ht="21" customHeight="1" spans="1:11">
      <c r="A29" s="53" t="s">
        <v>132</v>
      </c>
      <c r="B29" s="54" t="s">
        <v>133</v>
      </c>
      <c r="C29" s="55" t="s">
        <v>140</v>
      </c>
      <c r="D29" s="55" t="s">
        <v>135</v>
      </c>
      <c r="E29" s="104" t="s">
        <v>136</v>
      </c>
      <c r="F29" s="55" t="s">
        <v>137</v>
      </c>
      <c r="G29" s="105">
        <v>9</v>
      </c>
      <c r="H29" s="106">
        <v>22.1</v>
      </c>
      <c r="I29" s="106">
        <v>82.6</v>
      </c>
      <c r="J29" s="106">
        <f t="shared" si="0"/>
        <v>48.72</v>
      </c>
      <c r="K29" s="106">
        <f t="shared" si="1"/>
        <v>22.3</v>
      </c>
    </row>
    <row r="30" s="76" customFormat="1" ht="21" customHeight="1" spans="1:11">
      <c r="A30" s="53" t="s">
        <v>132</v>
      </c>
      <c r="B30" s="54" t="s">
        <v>133</v>
      </c>
      <c r="C30" s="55" t="s">
        <v>140</v>
      </c>
      <c r="D30" s="55" t="s">
        <v>135</v>
      </c>
      <c r="E30" s="104" t="s">
        <v>136</v>
      </c>
      <c r="F30" s="55" t="s">
        <v>137</v>
      </c>
      <c r="G30" s="105">
        <v>10</v>
      </c>
      <c r="H30" s="106">
        <v>21.9</v>
      </c>
      <c r="I30" s="106">
        <v>81.9</v>
      </c>
      <c r="J30" s="106">
        <f t="shared" si="0"/>
        <v>48.28</v>
      </c>
      <c r="K30" s="106">
        <f t="shared" si="1"/>
        <v>22.1</v>
      </c>
    </row>
    <row r="31" s="76" customFormat="1" ht="21" customHeight="1" spans="1:11">
      <c r="A31" s="53" t="s">
        <v>132</v>
      </c>
      <c r="B31" s="54" t="s">
        <v>133</v>
      </c>
      <c r="C31" s="55" t="s">
        <v>140</v>
      </c>
      <c r="D31" s="55" t="s">
        <v>135</v>
      </c>
      <c r="E31" s="104" t="s">
        <v>136</v>
      </c>
      <c r="F31" s="55" t="s">
        <v>137</v>
      </c>
      <c r="G31" s="105">
        <v>11</v>
      </c>
      <c r="H31" s="106">
        <v>22.6</v>
      </c>
      <c r="I31" s="106">
        <v>84.5</v>
      </c>
      <c r="J31" s="106">
        <f t="shared" si="0"/>
        <v>49.82</v>
      </c>
      <c r="K31" s="106">
        <f t="shared" si="1"/>
        <v>22.8</v>
      </c>
    </row>
    <row r="32" s="76" customFormat="1" ht="21" customHeight="1" spans="1:11">
      <c r="A32" s="53" t="s">
        <v>132</v>
      </c>
      <c r="B32" s="54" t="s">
        <v>133</v>
      </c>
      <c r="C32" s="55" t="s">
        <v>140</v>
      </c>
      <c r="D32" s="55" t="s">
        <v>135</v>
      </c>
      <c r="E32" s="104" t="s">
        <v>136</v>
      </c>
      <c r="F32" s="55" t="s">
        <v>137</v>
      </c>
      <c r="G32" s="105">
        <v>12</v>
      </c>
      <c r="H32" s="106">
        <v>21.6</v>
      </c>
      <c r="I32" s="106">
        <v>80.7</v>
      </c>
      <c r="J32" s="106">
        <f t="shared" si="0"/>
        <v>47.62</v>
      </c>
      <c r="K32" s="106">
        <f t="shared" si="1"/>
        <v>21.8</v>
      </c>
    </row>
    <row r="33" s="76" customFormat="1" ht="21" customHeight="1" spans="1:11">
      <c r="A33" s="53" t="s">
        <v>132</v>
      </c>
      <c r="B33" s="54" t="s">
        <v>133</v>
      </c>
      <c r="C33" s="55" t="s">
        <v>140</v>
      </c>
      <c r="D33" s="55" t="s">
        <v>135</v>
      </c>
      <c r="E33" s="104" t="s">
        <v>136</v>
      </c>
      <c r="F33" s="55" t="s">
        <v>137</v>
      </c>
      <c r="G33" s="105">
        <v>13</v>
      </c>
      <c r="H33" s="106">
        <v>22.6</v>
      </c>
      <c r="I33" s="106">
        <v>84.5</v>
      </c>
      <c r="J33" s="106">
        <f t="shared" si="0"/>
        <v>49.82</v>
      </c>
      <c r="K33" s="106">
        <f t="shared" si="1"/>
        <v>22.8</v>
      </c>
    </row>
    <row r="34" s="76" customFormat="1" ht="21" customHeight="1" spans="1:11">
      <c r="A34" s="53" t="s">
        <v>132</v>
      </c>
      <c r="B34" s="54" t="s">
        <v>133</v>
      </c>
      <c r="C34" s="55" t="s">
        <v>140</v>
      </c>
      <c r="D34" s="55" t="s">
        <v>135</v>
      </c>
      <c r="E34" s="104" t="s">
        <v>136</v>
      </c>
      <c r="F34" s="55" t="s">
        <v>137</v>
      </c>
      <c r="G34" s="105">
        <v>14</v>
      </c>
      <c r="H34" s="106">
        <v>20.4</v>
      </c>
      <c r="I34" s="106">
        <v>76.2</v>
      </c>
      <c r="J34" s="106">
        <f t="shared" si="0"/>
        <v>44.97</v>
      </c>
      <c r="K34" s="106">
        <f t="shared" si="1"/>
        <v>20.6</v>
      </c>
    </row>
    <row r="35" s="76" customFormat="1" ht="21" customHeight="1" spans="1:11">
      <c r="A35" s="53" t="s">
        <v>132</v>
      </c>
      <c r="B35" s="54" t="s">
        <v>133</v>
      </c>
      <c r="C35" s="55" t="s">
        <v>140</v>
      </c>
      <c r="D35" s="55" t="s">
        <v>135</v>
      </c>
      <c r="E35" s="104" t="s">
        <v>136</v>
      </c>
      <c r="F35" s="55" t="s">
        <v>137</v>
      </c>
      <c r="G35" s="105">
        <v>15</v>
      </c>
      <c r="H35" s="106">
        <v>22.2</v>
      </c>
      <c r="I35" s="106">
        <v>83</v>
      </c>
      <c r="J35" s="106">
        <f t="shared" si="0"/>
        <v>48.94</v>
      </c>
      <c r="K35" s="106">
        <f t="shared" si="1"/>
        <v>22.4</v>
      </c>
    </row>
    <row r="36" s="76" customFormat="1" ht="21" customHeight="1" spans="1:11">
      <c r="A36" s="53" t="s">
        <v>132</v>
      </c>
      <c r="B36" s="54" t="s">
        <v>133</v>
      </c>
      <c r="C36" s="55" t="s">
        <v>140</v>
      </c>
      <c r="D36" s="55" t="s">
        <v>135</v>
      </c>
      <c r="E36" s="104" t="s">
        <v>136</v>
      </c>
      <c r="F36" s="55" t="s">
        <v>137</v>
      </c>
      <c r="G36" s="105">
        <v>16</v>
      </c>
      <c r="H36" s="106">
        <v>21.7</v>
      </c>
      <c r="I36" s="106">
        <v>81.1</v>
      </c>
      <c r="J36" s="106">
        <f t="shared" si="0"/>
        <v>47.84</v>
      </c>
      <c r="K36" s="106">
        <f t="shared" si="1"/>
        <v>21.9</v>
      </c>
    </row>
    <row r="37" s="76" customFormat="1" ht="21" customHeight="1" spans="1:11">
      <c r="A37" s="53" t="s">
        <v>132</v>
      </c>
      <c r="B37" s="54" t="s">
        <v>133</v>
      </c>
      <c r="C37" s="55" t="s">
        <v>140</v>
      </c>
      <c r="D37" s="55" t="s">
        <v>135</v>
      </c>
      <c r="E37" s="104" t="s">
        <v>136</v>
      </c>
      <c r="F37" s="55" t="s">
        <v>137</v>
      </c>
      <c r="G37" s="105">
        <v>17</v>
      </c>
      <c r="H37" s="106">
        <v>22.2</v>
      </c>
      <c r="I37" s="106">
        <v>83</v>
      </c>
      <c r="J37" s="106">
        <f t="shared" si="0"/>
        <v>48.94</v>
      </c>
      <c r="K37" s="106">
        <f t="shared" si="1"/>
        <v>22.4</v>
      </c>
    </row>
    <row r="38" s="76" customFormat="1" ht="21" customHeight="1" spans="1:11">
      <c r="A38" s="53" t="s">
        <v>132</v>
      </c>
      <c r="B38" s="54" t="s">
        <v>133</v>
      </c>
      <c r="C38" s="55" t="s">
        <v>140</v>
      </c>
      <c r="D38" s="55" t="s">
        <v>135</v>
      </c>
      <c r="E38" s="104" t="s">
        <v>136</v>
      </c>
      <c r="F38" s="55" t="s">
        <v>137</v>
      </c>
      <c r="G38" s="105">
        <v>18</v>
      </c>
      <c r="H38" s="106">
        <v>26.7</v>
      </c>
      <c r="I38" s="106">
        <v>99.8</v>
      </c>
      <c r="J38" s="106">
        <f t="shared" si="0"/>
        <v>58.86</v>
      </c>
      <c r="K38" s="106">
        <f t="shared" si="1"/>
        <v>26.9</v>
      </c>
    </row>
    <row r="39" s="76" customFormat="1" ht="21" customHeight="1" spans="1:11">
      <c r="A39" s="53" t="s">
        <v>132</v>
      </c>
      <c r="B39" s="54" t="s">
        <v>133</v>
      </c>
      <c r="C39" s="55" t="s">
        <v>140</v>
      </c>
      <c r="D39" s="55" t="s">
        <v>135</v>
      </c>
      <c r="E39" s="104" t="s">
        <v>136</v>
      </c>
      <c r="F39" s="55" t="s">
        <v>137</v>
      </c>
      <c r="G39" s="105">
        <v>19</v>
      </c>
      <c r="H39" s="106">
        <v>23.6</v>
      </c>
      <c r="I39" s="106">
        <v>88.2</v>
      </c>
      <c r="J39" s="106">
        <f t="shared" si="0"/>
        <v>52.03</v>
      </c>
      <c r="K39" s="106">
        <f t="shared" si="1"/>
        <v>23.8</v>
      </c>
    </row>
    <row r="40" s="76" customFormat="1" ht="21" customHeight="1" spans="1:11">
      <c r="A40" s="53" t="s">
        <v>132</v>
      </c>
      <c r="B40" s="54" t="s">
        <v>133</v>
      </c>
      <c r="C40" s="55" t="s">
        <v>140</v>
      </c>
      <c r="D40" s="55" t="s">
        <v>135</v>
      </c>
      <c r="E40" s="104" t="s">
        <v>136</v>
      </c>
      <c r="F40" s="55" t="s">
        <v>137</v>
      </c>
      <c r="G40" s="105">
        <v>20</v>
      </c>
      <c r="H40" s="106">
        <v>21.2</v>
      </c>
      <c r="I40" s="106">
        <v>79.2</v>
      </c>
      <c r="J40" s="106">
        <f t="shared" si="0"/>
        <v>46.74</v>
      </c>
      <c r="K40" s="106">
        <f t="shared" si="1"/>
        <v>21.4</v>
      </c>
    </row>
    <row r="41" s="76" customFormat="1" ht="21" customHeight="1" spans="1:11">
      <c r="A41" s="53" t="s">
        <v>132</v>
      </c>
      <c r="B41" s="54" t="s">
        <v>133</v>
      </c>
      <c r="C41" s="55" t="s">
        <v>140</v>
      </c>
      <c r="D41" s="55" t="s">
        <v>135</v>
      </c>
      <c r="E41" s="104" t="s">
        <v>136</v>
      </c>
      <c r="F41" s="55" t="s">
        <v>137</v>
      </c>
      <c r="G41" s="105">
        <v>21</v>
      </c>
      <c r="H41" s="106">
        <v>22.4</v>
      </c>
      <c r="I41" s="106">
        <v>83.7</v>
      </c>
      <c r="J41" s="106">
        <f t="shared" si="0"/>
        <v>49.38</v>
      </c>
      <c r="K41" s="106">
        <f t="shared" si="1"/>
        <v>22.6</v>
      </c>
    </row>
    <row r="42" s="76" customFormat="1" ht="21" customHeight="1" spans="1:11">
      <c r="A42" s="53" t="s">
        <v>132</v>
      </c>
      <c r="B42" s="54" t="s">
        <v>133</v>
      </c>
      <c r="C42" s="55" t="s">
        <v>140</v>
      </c>
      <c r="D42" s="55" t="s">
        <v>135</v>
      </c>
      <c r="E42" s="104" t="s">
        <v>136</v>
      </c>
      <c r="F42" s="55" t="s">
        <v>137</v>
      </c>
      <c r="G42" s="105">
        <v>22</v>
      </c>
      <c r="H42" s="106">
        <v>21.9</v>
      </c>
      <c r="I42" s="106">
        <v>81.9</v>
      </c>
      <c r="J42" s="106">
        <f t="shared" si="0"/>
        <v>48.28</v>
      </c>
      <c r="K42" s="106">
        <f t="shared" si="1"/>
        <v>22.1</v>
      </c>
    </row>
    <row r="43" s="76" customFormat="1" ht="21" customHeight="1" spans="1:11">
      <c r="A43" s="53" t="s">
        <v>132</v>
      </c>
      <c r="B43" s="54" t="s">
        <v>133</v>
      </c>
      <c r="C43" s="55" t="s">
        <v>140</v>
      </c>
      <c r="D43" s="55" t="s">
        <v>135</v>
      </c>
      <c r="E43" s="104" t="s">
        <v>136</v>
      </c>
      <c r="F43" s="55" t="s">
        <v>137</v>
      </c>
      <c r="G43" s="105">
        <v>23</v>
      </c>
      <c r="H43" s="106">
        <v>22.1</v>
      </c>
      <c r="I43" s="106">
        <v>82.6</v>
      </c>
      <c r="J43" s="106">
        <f t="shared" si="0"/>
        <v>48.72</v>
      </c>
      <c r="K43" s="106">
        <f t="shared" si="1"/>
        <v>22.3</v>
      </c>
    </row>
    <row r="44" s="76" customFormat="1" ht="21" customHeight="1" spans="1:11">
      <c r="A44" s="53" t="s">
        <v>132</v>
      </c>
      <c r="B44" s="54" t="s">
        <v>133</v>
      </c>
      <c r="C44" s="55" t="s">
        <v>140</v>
      </c>
      <c r="D44" s="55" t="s">
        <v>135</v>
      </c>
      <c r="E44" s="104" t="s">
        <v>136</v>
      </c>
      <c r="F44" s="55" t="s">
        <v>137</v>
      </c>
      <c r="G44" s="105">
        <v>24</v>
      </c>
      <c r="H44" s="106">
        <v>20.4</v>
      </c>
      <c r="I44" s="106">
        <v>76.2</v>
      </c>
      <c r="J44" s="106">
        <f t="shared" si="0"/>
        <v>44.97</v>
      </c>
      <c r="K44" s="106">
        <f t="shared" si="1"/>
        <v>20.6</v>
      </c>
    </row>
    <row r="45" s="77" customFormat="1" ht="21" customHeight="1" spans="1:11">
      <c r="A45" s="107"/>
      <c r="B45" s="108"/>
      <c r="C45" s="109" t="s">
        <v>138</v>
      </c>
      <c r="D45" s="109"/>
      <c r="E45" s="109"/>
      <c r="F45" s="110"/>
      <c r="G45" s="111">
        <f>COUNT(G21:G44)</f>
        <v>24</v>
      </c>
      <c r="H45" s="112">
        <f>SUM(H21:H44)</f>
        <v>532.9</v>
      </c>
      <c r="I45" s="112">
        <f>SUM(I21:I44)</f>
        <v>1991.7</v>
      </c>
      <c r="J45" s="112">
        <f>SUM(J21:J44)</f>
        <v>1174.79</v>
      </c>
      <c r="K45" s="112">
        <f>SUM(K21:K44)</f>
        <v>537.7</v>
      </c>
    </row>
    <row r="46" s="76" customFormat="1" ht="21" customHeight="1" spans="1:11">
      <c r="A46" s="53" t="s">
        <v>132</v>
      </c>
      <c r="B46" s="54" t="s">
        <v>133</v>
      </c>
      <c r="C46" s="55" t="s">
        <v>141</v>
      </c>
      <c r="D46" s="55" t="s">
        <v>135</v>
      </c>
      <c r="E46" s="104" t="s">
        <v>136</v>
      </c>
      <c r="F46" s="55" t="s">
        <v>137</v>
      </c>
      <c r="G46" s="105">
        <v>1</v>
      </c>
      <c r="H46" s="106">
        <v>21.6</v>
      </c>
      <c r="I46" s="106">
        <v>80.7</v>
      </c>
      <c r="J46" s="106">
        <f t="shared" ref="J46:J77" si="2">ROUND(H46*2.2046,2)</f>
        <v>47.62</v>
      </c>
      <c r="K46" s="106">
        <f t="shared" ref="K46:K77" si="3">H46+0.2</f>
        <v>21.8</v>
      </c>
    </row>
    <row r="47" s="76" customFormat="1" ht="21" customHeight="1" spans="1:11">
      <c r="A47" s="53" t="s">
        <v>132</v>
      </c>
      <c r="B47" s="54" t="s">
        <v>133</v>
      </c>
      <c r="C47" s="55" t="s">
        <v>141</v>
      </c>
      <c r="D47" s="55" t="s">
        <v>135</v>
      </c>
      <c r="E47" s="104" t="s">
        <v>136</v>
      </c>
      <c r="F47" s="55" t="s">
        <v>137</v>
      </c>
      <c r="G47" s="105">
        <v>2</v>
      </c>
      <c r="H47" s="106">
        <v>22.4</v>
      </c>
      <c r="I47" s="106">
        <v>83.7</v>
      </c>
      <c r="J47" s="106">
        <f t="shared" si="2"/>
        <v>49.38</v>
      </c>
      <c r="K47" s="106">
        <f t="shared" si="3"/>
        <v>22.6</v>
      </c>
    </row>
    <row r="48" s="76" customFormat="1" ht="21" customHeight="1" spans="1:11">
      <c r="A48" s="53" t="s">
        <v>132</v>
      </c>
      <c r="B48" s="54" t="s">
        <v>133</v>
      </c>
      <c r="C48" s="55" t="s">
        <v>141</v>
      </c>
      <c r="D48" s="55" t="s">
        <v>135</v>
      </c>
      <c r="E48" s="104" t="s">
        <v>136</v>
      </c>
      <c r="F48" s="55" t="s">
        <v>137</v>
      </c>
      <c r="G48" s="105">
        <v>3</v>
      </c>
      <c r="H48" s="106">
        <v>22</v>
      </c>
      <c r="I48" s="106">
        <v>82.2</v>
      </c>
      <c r="J48" s="106">
        <f t="shared" si="2"/>
        <v>48.5</v>
      </c>
      <c r="K48" s="106">
        <f t="shared" si="3"/>
        <v>22.2</v>
      </c>
    </row>
    <row r="49" s="76" customFormat="1" ht="21" customHeight="1" spans="1:11">
      <c r="A49" s="53" t="s">
        <v>132</v>
      </c>
      <c r="B49" s="54" t="s">
        <v>133</v>
      </c>
      <c r="C49" s="55" t="s">
        <v>141</v>
      </c>
      <c r="D49" s="55" t="s">
        <v>135</v>
      </c>
      <c r="E49" s="104" t="s">
        <v>136</v>
      </c>
      <c r="F49" s="55" t="s">
        <v>137</v>
      </c>
      <c r="G49" s="105">
        <v>4</v>
      </c>
      <c r="H49" s="106">
        <v>22.3</v>
      </c>
      <c r="I49" s="106">
        <v>83.3</v>
      </c>
      <c r="J49" s="106">
        <f t="shared" si="2"/>
        <v>49.16</v>
      </c>
      <c r="K49" s="106">
        <f t="shared" si="3"/>
        <v>22.5</v>
      </c>
    </row>
    <row r="50" s="76" customFormat="1" ht="21" customHeight="1" spans="1:11">
      <c r="A50" s="53" t="s">
        <v>132</v>
      </c>
      <c r="B50" s="54" t="s">
        <v>133</v>
      </c>
      <c r="C50" s="55" t="s">
        <v>141</v>
      </c>
      <c r="D50" s="55" t="s">
        <v>135</v>
      </c>
      <c r="E50" s="104" t="s">
        <v>136</v>
      </c>
      <c r="F50" s="55" t="s">
        <v>137</v>
      </c>
      <c r="G50" s="105">
        <v>5</v>
      </c>
      <c r="H50" s="106">
        <v>20.9</v>
      </c>
      <c r="I50" s="106">
        <v>78.1</v>
      </c>
      <c r="J50" s="106">
        <f t="shared" si="2"/>
        <v>46.08</v>
      </c>
      <c r="K50" s="106">
        <f t="shared" si="3"/>
        <v>21.1</v>
      </c>
    </row>
    <row r="51" s="76" customFormat="1" ht="21" customHeight="1" spans="1:11">
      <c r="A51" s="53" t="s">
        <v>132</v>
      </c>
      <c r="B51" s="54" t="s">
        <v>133</v>
      </c>
      <c r="C51" s="55" t="s">
        <v>141</v>
      </c>
      <c r="D51" s="55" t="s">
        <v>135</v>
      </c>
      <c r="E51" s="104" t="s">
        <v>136</v>
      </c>
      <c r="F51" s="55" t="s">
        <v>137</v>
      </c>
      <c r="G51" s="105">
        <v>6</v>
      </c>
      <c r="H51" s="106">
        <v>23.1</v>
      </c>
      <c r="I51" s="106">
        <v>86.3</v>
      </c>
      <c r="J51" s="106">
        <f t="shared" si="2"/>
        <v>50.93</v>
      </c>
      <c r="K51" s="106">
        <f t="shared" si="3"/>
        <v>23.3</v>
      </c>
    </row>
    <row r="52" s="76" customFormat="1" ht="21" customHeight="1" spans="1:11">
      <c r="A52" s="53" t="s">
        <v>132</v>
      </c>
      <c r="B52" s="54" t="s">
        <v>133</v>
      </c>
      <c r="C52" s="55" t="s">
        <v>141</v>
      </c>
      <c r="D52" s="55" t="s">
        <v>135</v>
      </c>
      <c r="E52" s="104" t="s">
        <v>136</v>
      </c>
      <c r="F52" s="55" t="s">
        <v>137</v>
      </c>
      <c r="G52" s="105">
        <v>7</v>
      </c>
      <c r="H52" s="106">
        <v>22.2</v>
      </c>
      <c r="I52" s="106">
        <v>83</v>
      </c>
      <c r="J52" s="106">
        <f t="shared" si="2"/>
        <v>48.94</v>
      </c>
      <c r="K52" s="106">
        <f t="shared" si="3"/>
        <v>22.4</v>
      </c>
    </row>
    <row r="53" s="76" customFormat="1" ht="21" customHeight="1" spans="1:11">
      <c r="A53" s="53" t="s">
        <v>132</v>
      </c>
      <c r="B53" s="54" t="s">
        <v>133</v>
      </c>
      <c r="C53" s="55" t="s">
        <v>141</v>
      </c>
      <c r="D53" s="55" t="s">
        <v>135</v>
      </c>
      <c r="E53" s="104" t="s">
        <v>136</v>
      </c>
      <c r="F53" s="55" t="s">
        <v>137</v>
      </c>
      <c r="G53" s="105">
        <v>8</v>
      </c>
      <c r="H53" s="106">
        <v>21.6</v>
      </c>
      <c r="I53" s="106">
        <v>80.7</v>
      </c>
      <c r="J53" s="106">
        <f t="shared" si="2"/>
        <v>47.62</v>
      </c>
      <c r="K53" s="106">
        <f t="shared" si="3"/>
        <v>21.8</v>
      </c>
    </row>
    <row r="54" s="76" customFormat="1" ht="21" customHeight="1" spans="1:11">
      <c r="A54" s="53" t="s">
        <v>132</v>
      </c>
      <c r="B54" s="54" t="s">
        <v>133</v>
      </c>
      <c r="C54" s="55" t="s">
        <v>141</v>
      </c>
      <c r="D54" s="55" t="s">
        <v>135</v>
      </c>
      <c r="E54" s="104" t="s">
        <v>136</v>
      </c>
      <c r="F54" s="55" t="s">
        <v>137</v>
      </c>
      <c r="G54" s="105">
        <v>9</v>
      </c>
      <c r="H54" s="106">
        <v>21.9</v>
      </c>
      <c r="I54" s="106">
        <v>81.9</v>
      </c>
      <c r="J54" s="106">
        <f t="shared" si="2"/>
        <v>48.28</v>
      </c>
      <c r="K54" s="106">
        <f t="shared" si="3"/>
        <v>22.1</v>
      </c>
    </row>
    <row r="55" s="76" customFormat="1" ht="21" customHeight="1" spans="1:11">
      <c r="A55" s="53" t="s">
        <v>132</v>
      </c>
      <c r="B55" s="54" t="s">
        <v>133</v>
      </c>
      <c r="C55" s="55" t="s">
        <v>141</v>
      </c>
      <c r="D55" s="55" t="s">
        <v>135</v>
      </c>
      <c r="E55" s="104" t="s">
        <v>136</v>
      </c>
      <c r="F55" s="55" t="s">
        <v>137</v>
      </c>
      <c r="G55" s="105">
        <v>10</v>
      </c>
      <c r="H55" s="106">
        <v>21.8</v>
      </c>
      <c r="I55" s="106">
        <v>81.5</v>
      </c>
      <c r="J55" s="106">
        <f t="shared" si="2"/>
        <v>48.06</v>
      </c>
      <c r="K55" s="106">
        <f t="shared" si="3"/>
        <v>22</v>
      </c>
    </row>
    <row r="56" s="76" customFormat="1" ht="21" customHeight="1" spans="1:11">
      <c r="A56" s="53" t="s">
        <v>132</v>
      </c>
      <c r="B56" s="54" t="s">
        <v>133</v>
      </c>
      <c r="C56" s="55" t="s">
        <v>141</v>
      </c>
      <c r="D56" s="55" t="s">
        <v>135</v>
      </c>
      <c r="E56" s="104" t="s">
        <v>136</v>
      </c>
      <c r="F56" s="55" t="s">
        <v>137</v>
      </c>
      <c r="G56" s="105">
        <v>11</v>
      </c>
      <c r="H56" s="106">
        <v>21.9</v>
      </c>
      <c r="I56" s="106">
        <v>81.9</v>
      </c>
      <c r="J56" s="106">
        <f t="shared" si="2"/>
        <v>48.28</v>
      </c>
      <c r="K56" s="106">
        <f t="shared" si="3"/>
        <v>22.1</v>
      </c>
    </row>
    <row r="57" s="76" customFormat="1" ht="21" customHeight="1" spans="1:11">
      <c r="A57" s="53" t="s">
        <v>132</v>
      </c>
      <c r="B57" s="54" t="s">
        <v>133</v>
      </c>
      <c r="C57" s="55" t="s">
        <v>141</v>
      </c>
      <c r="D57" s="55" t="s">
        <v>135</v>
      </c>
      <c r="E57" s="104" t="s">
        <v>136</v>
      </c>
      <c r="F57" s="55" t="s">
        <v>137</v>
      </c>
      <c r="G57" s="105">
        <v>12</v>
      </c>
      <c r="H57" s="106">
        <v>22.8</v>
      </c>
      <c r="I57" s="106">
        <v>85.2</v>
      </c>
      <c r="J57" s="106">
        <f t="shared" si="2"/>
        <v>50.26</v>
      </c>
      <c r="K57" s="106">
        <f t="shared" si="3"/>
        <v>23</v>
      </c>
    </row>
    <row r="58" s="76" customFormat="1" ht="21" customHeight="1" spans="1:11">
      <c r="A58" s="53" t="s">
        <v>132</v>
      </c>
      <c r="B58" s="54" t="s">
        <v>133</v>
      </c>
      <c r="C58" s="55" t="s">
        <v>141</v>
      </c>
      <c r="D58" s="55" t="s">
        <v>135</v>
      </c>
      <c r="E58" s="104" t="s">
        <v>136</v>
      </c>
      <c r="F58" s="55" t="s">
        <v>137</v>
      </c>
      <c r="G58" s="105">
        <v>13</v>
      </c>
      <c r="H58" s="106">
        <v>21.7</v>
      </c>
      <c r="I58" s="106">
        <v>81.1</v>
      </c>
      <c r="J58" s="106">
        <f t="shared" si="2"/>
        <v>47.84</v>
      </c>
      <c r="K58" s="106">
        <f t="shared" si="3"/>
        <v>21.9</v>
      </c>
    </row>
    <row r="59" s="76" customFormat="1" ht="21" customHeight="1" spans="1:11">
      <c r="A59" s="53" t="s">
        <v>132</v>
      </c>
      <c r="B59" s="54" t="s">
        <v>133</v>
      </c>
      <c r="C59" s="55" t="s">
        <v>141</v>
      </c>
      <c r="D59" s="55" t="s">
        <v>135</v>
      </c>
      <c r="E59" s="104" t="s">
        <v>136</v>
      </c>
      <c r="F59" s="55" t="s">
        <v>137</v>
      </c>
      <c r="G59" s="105">
        <v>14</v>
      </c>
      <c r="H59" s="106">
        <v>22.4</v>
      </c>
      <c r="I59" s="106">
        <v>83.7</v>
      </c>
      <c r="J59" s="106">
        <f t="shared" si="2"/>
        <v>49.38</v>
      </c>
      <c r="K59" s="106">
        <f t="shared" si="3"/>
        <v>22.6</v>
      </c>
    </row>
    <row r="60" s="76" customFormat="1" ht="21" customHeight="1" spans="1:11">
      <c r="A60" s="53" t="s">
        <v>132</v>
      </c>
      <c r="B60" s="54" t="s">
        <v>133</v>
      </c>
      <c r="C60" s="55" t="s">
        <v>141</v>
      </c>
      <c r="D60" s="55" t="s">
        <v>135</v>
      </c>
      <c r="E60" s="104" t="s">
        <v>136</v>
      </c>
      <c r="F60" s="55" t="s">
        <v>137</v>
      </c>
      <c r="G60" s="105">
        <v>15</v>
      </c>
      <c r="H60" s="106">
        <v>20.4</v>
      </c>
      <c r="I60" s="106">
        <v>76.2</v>
      </c>
      <c r="J60" s="106">
        <f t="shared" si="2"/>
        <v>44.97</v>
      </c>
      <c r="K60" s="106">
        <f t="shared" si="3"/>
        <v>20.6</v>
      </c>
    </row>
    <row r="61" s="76" customFormat="1" ht="21" customHeight="1" spans="1:11">
      <c r="A61" s="53" t="s">
        <v>132</v>
      </c>
      <c r="B61" s="54" t="s">
        <v>133</v>
      </c>
      <c r="C61" s="55" t="s">
        <v>141</v>
      </c>
      <c r="D61" s="55" t="s">
        <v>135</v>
      </c>
      <c r="E61" s="104" t="s">
        <v>136</v>
      </c>
      <c r="F61" s="55" t="s">
        <v>137</v>
      </c>
      <c r="G61" s="105">
        <v>16</v>
      </c>
      <c r="H61" s="106">
        <v>21.8</v>
      </c>
      <c r="I61" s="106">
        <v>81.5</v>
      </c>
      <c r="J61" s="106">
        <f t="shared" si="2"/>
        <v>48.06</v>
      </c>
      <c r="K61" s="106">
        <f t="shared" si="3"/>
        <v>22</v>
      </c>
    </row>
    <row r="62" s="76" customFormat="1" ht="21" customHeight="1" spans="1:11">
      <c r="A62" s="53" t="s">
        <v>132</v>
      </c>
      <c r="B62" s="54" t="s">
        <v>133</v>
      </c>
      <c r="C62" s="55" t="s">
        <v>141</v>
      </c>
      <c r="D62" s="55" t="s">
        <v>135</v>
      </c>
      <c r="E62" s="104" t="s">
        <v>136</v>
      </c>
      <c r="F62" s="55" t="s">
        <v>137</v>
      </c>
      <c r="G62" s="105">
        <v>17</v>
      </c>
      <c r="H62" s="106">
        <v>21.8</v>
      </c>
      <c r="I62" s="106">
        <v>81.5</v>
      </c>
      <c r="J62" s="106">
        <f t="shared" si="2"/>
        <v>48.06</v>
      </c>
      <c r="K62" s="106">
        <f t="shared" si="3"/>
        <v>22</v>
      </c>
    </row>
    <row r="63" s="76" customFormat="1" ht="21" customHeight="1" spans="1:11">
      <c r="A63" s="53" t="s">
        <v>132</v>
      </c>
      <c r="B63" s="54" t="s">
        <v>133</v>
      </c>
      <c r="C63" s="55" t="s">
        <v>141</v>
      </c>
      <c r="D63" s="55" t="s">
        <v>135</v>
      </c>
      <c r="E63" s="104" t="s">
        <v>136</v>
      </c>
      <c r="F63" s="55" t="s">
        <v>137</v>
      </c>
      <c r="G63" s="105">
        <v>18</v>
      </c>
      <c r="H63" s="106">
        <v>22</v>
      </c>
      <c r="I63" s="106">
        <v>82.2</v>
      </c>
      <c r="J63" s="106">
        <f t="shared" si="2"/>
        <v>48.5</v>
      </c>
      <c r="K63" s="106">
        <f t="shared" si="3"/>
        <v>22.2</v>
      </c>
    </row>
    <row r="64" s="76" customFormat="1" ht="21" customHeight="1" spans="1:11">
      <c r="A64" s="53" t="s">
        <v>132</v>
      </c>
      <c r="B64" s="54" t="s">
        <v>133</v>
      </c>
      <c r="C64" s="55" t="s">
        <v>141</v>
      </c>
      <c r="D64" s="55" t="s">
        <v>135</v>
      </c>
      <c r="E64" s="104" t="s">
        <v>136</v>
      </c>
      <c r="F64" s="55" t="s">
        <v>137</v>
      </c>
      <c r="G64" s="105">
        <v>19</v>
      </c>
      <c r="H64" s="106">
        <v>21.6</v>
      </c>
      <c r="I64" s="106">
        <v>80.7</v>
      </c>
      <c r="J64" s="106">
        <f t="shared" si="2"/>
        <v>47.62</v>
      </c>
      <c r="K64" s="106">
        <f t="shared" si="3"/>
        <v>21.8</v>
      </c>
    </row>
    <row r="65" s="76" customFormat="1" ht="21" customHeight="1" spans="1:11">
      <c r="A65" s="53" t="s">
        <v>132</v>
      </c>
      <c r="B65" s="54" t="s">
        <v>133</v>
      </c>
      <c r="C65" s="55" t="s">
        <v>141</v>
      </c>
      <c r="D65" s="55" t="s">
        <v>135</v>
      </c>
      <c r="E65" s="104" t="s">
        <v>136</v>
      </c>
      <c r="F65" s="55" t="s">
        <v>137</v>
      </c>
      <c r="G65" s="105">
        <v>20</v>
      </c>
      <c r="H65" s="106">
        <v>21.6</v>
      </c>
      <c r="I65" s="106">
        <v>80.7</v>
      </c>
      <c r="J65" s="106">
        <f t="shared" si="2"/>
        <v>47.62</v>
      </c>
      <c r="K65" s="106">
        <f t="shared" si="3"/>
        <v>21.8</v>
      </c>
    </row>
    <row r="66" s="76" customFormat="1" ht="21" customHeight="1" spans="1:11">
      <c r="A66" s="53" t="s">
        <v>132</v>
      </c>
      <c r="B66" s="54" t="s">
        <v>133</v>
      </c>
      <c r="C66" s="55" t="s">
        <v>141</v>
      </c>
      <c r="D66" s="55" t="s">
        <v>135</v>
      </c>
      <c r="E66" s="104" t="s">
        <v>136</v>
      </c>
      <c r="F66" s="55" t="s">
        <v>137</v>
      </c>
      <c r="G66" s="105">
        <v>21</v>
      </c>
      <c r="H66" s="106">
        <v>21.2</v>
      </c>
      <c r="I66" s="106">
        <v>79.2</v>
      </c>
      <c r="J66" s="106">
        <f t="shared" si="2"/>
        <v>46.74</v>
      </c>
      <c r="K66" s="106">
        <f t="shared" si="3"/>
        <v>21.4</v>
      </c>
    </row>
    <row r="67" s="76" customFormat="1" ht="21" customHeight="1" spans="1:11">
      <c r="A67" s="53" t="s">
        <v>132</v>
      </c>
      <c r="B67" s="54" t="s">
        <v>133</v>
      </c>
      <c r="C67" s="55" t="s">
        <v>141</v>
      </c>
      <c r="D67" s="55" t="s">
        <v>135</v>
      </c>
      <c r="E67" s="104" t="s">
        <v>136</v>
      </c>
      <c r="F67" s="55" t="s">
        <v>137</v>
      </c>
      <c r="G67" s="105">
        <v>22</v>
      </c>
      <c r="H67" s="106">
        <v>20.6</v>
      </c>
      <c r="I67" s="106">
        <v>77</v>
      </c>
      <c r="J67" s="106">
        <f t="shared" si="2"/>
        <v>45.41</v>
      </c>
      <c r="K67" s="106">
        <f t="shared" si="3"/>
        <v>20.8</v>
      </c>
    </row>
    <row r="68" s="76" customFormat="1" ht="21" customHeight="1" spans="1:11">
      <c r="A68" s="53" t="s">
        <v>132</v>
      </c>
      <c r="B68" s="54" t="s">
        <v>133</v>
      </c>
      <c r="C68" s="55" t="s">
        <v>141</v>
      </c>
      <c r="D68" s="55" t="s">
        <v>135</v>
      </c>
      <c r="E68" s="104" t="s">
        <v>136</v>
      </c>
      <c r="F68" s="55" t="s">
        <v>137</v>
      </c>
      <c r="G68" s="105">
        <v>23</v>
      </c>
      <c r="H68" s="106">
        <v>22.1</v>
      </c>
      <c r="I68" s="106">
        <v>82.6</v>
      </c>
      <c r="J68" s="106">
        <f t="shared" si="2"/>
        <v>48.72</v>
      </c>
      <c r="K68" s="106">
        <f t="shared" si="3"/>
        <v>22.3</v>
      </c>
    </row>
    <row r="69" s="76" customFormat="1" ht="21" customHeight="1" spans="1:11">
      <c r="A69" s="53" t="s">
        <v>132</v>
      </c>
      <c r="B69" s="54" t="s">
        <v>133</v>
      </c>
      <c r="C69" s="55" t="s">
        <v>141</v>
      </c>
      <c r="D69" s="55" t="s">
        <v>135</v>
      </c>
      <c r="E69" s="104" t="s">
        <v>136</v>
      </c>
      <c r="F69" s="55" t="s">
        <v>137</v>
      </c>
      <c r="G69" s="105">
        <v>24</v>
      </c>
      <c r="H69" s="106">
        <v>21.4</v>
      </c>
      <c r="I69" s="106">
        <v>80</v>
      </c>
      <c r="J69" s="106">
        <f t="shared" si="2"/>
        <v>47.18</v>
      </c>
      <c r="K69" s="106">
        <f t="shared" si="3"/>
        <v>21.6</v>
      </c>
    </row>
    <row r="70" s="76" customFormat="1" ht="21" customHeight="1" spans="1:11">
      <c r="A70" s="53" t="s">
        <v>132</v>
      </c>
      <c r="B70" s="54" t="s">
        <v>133</v>
      </c>
      <c r="C70" s="55" t="s">
        <v>141</v>
      </c>
      <c r="D70" s="55" t="s">
        <v>135</v>
      </c>
      <c r="E70" s="104" t="s">
        <v>136</v>
      </c>
      <c r="F70" s="55" t="s">
        <v>137</v>
      </c>
      <c r="G70" s="105">
        <v>25</v>
      </c>
      <c r="H70" s="106">
        <v>19.9</v>
      </c>
      <c r="I70" s="106">
        <v>74.4</v>
      </c>
      <c r="J70" s="106">
        <f t="shared" si="2"/>
        <v>43.87</v>
      </c>
      <c r="K70" s="106">
        <f t="shared" si="3"/>
        <v>20.1</v>
      </c>
    </row>
    <row r="71" s="76" customFormat="1" ht="21" customHeight="1" spans="1:11">
      <c r="A71" s="53" t="s">
        <v>132</v>
      </c>
      <c r="B71" s="54" t="s">
        <v>133</v>
      </c>
      <c r="C71" s="55" t="s">
        <v>141</v>
      </c>
      <c r="D71" s="55" t="s">
        <v>135</v>
      </c>
      <c r="E71" s="104" t="s">
        <v>136</v>
      </c>
      <c r="F71" s="55" t="s">
        <v>137</v>
      </c>
      <c r="G71" s="105">
        <v>26</v>
      </c>
      <c r="H71" s="106">
        <v>21.5</v>
      </c>
      <c r="I71" s="106">
        <v>80.4</v>
      </c>
      <c r="J71" s="106">
        <f t="shared" si="2"/>
        <v>47.4</v>
      </c>
      <c r="K71" s="106">
        <f t="shared" si="3"/>
        <v>21.7</v>
      </c>
    </row>
    <row r="72" s="76" customFormat="1" ht="21" customHeight="1" spans="1:11">
      <c r="A72" s="53" t="s">
        <v>132</v>
      </c>
      <c r="B72" s="54" t="s">
        <v>133</v>
      </c>
      <c r="C72" s="55" t="s">
        <v>141</v>
      </c>
      <c r="D72" s="55" t="s">
        <v>135</v>
      </c>
      <c r="E72" s="104" t="s">
        <v>136</v>
      </c>
      <c r="F72" s="55" t="s">
        <v>137</v>
      </c>
      <c r="G72" s="105">
        <v>27</v>
      </c>
      <c r="H72" s="106">
        <v>21.5</v>
      </c>
      <c r="I72" s="106">
        <v>80.4</v>
      </c>
      <c r="J72" s="106">
        <f t="shared" si="2"/>
        <v>47.4</v>
      </c>
      <c r="K72" s="106">
        <f t="shared" si="3"/>
        <v>21.7</v>
      </c>
    </row>
    <row r="73" s="77" customFormat="1" ht="21" customHeight="1" spans="1:11">
      <c r="A73" s="107"/>
      <c r="B73" s="108"/>
      <c r="C73" s="109" t="s">
        <v>138</v>
      </c>
      <c r="D73" s="109"/>
      <c r="E73" s="109"/>
      <c r="F73" s="110"/>
      <c r="G73" s="111">
        <f>COUNT(G46:G72)</f>
        <v>27</v>
      </c>
      <c r="H73" s="112">
        <f>SUM(H46:H72)</f>
        <v>586</v>
      </c>
      <c r="I73" s="112">
        <f>SUM(I46:I72)</f>
        <v>2190.1</v>
      </c>
      <c r="J73" s="112">
        <f>SUM(J46:J72)</f>
        <v>1291.88</v>
      </c>
      <c r="K73" s="112">
        <f>SUM(K46:K72)</f>
        <v>591.4</v>
      </c>
    </row>
    <row r="74" s="76" customFormat="1" ht="21" customHeight="1" spans="1:11">
      <c r="A74" s="53" t="s">
        <v>132</v>
      </c>
      <c r="B74" s="54" t="s">
        <v>142</v>
      </c>
      <c r="C74" s="55" t="s">
        <v>143</v>
      </c>
      <c r="D74" s="55" t="s">
        <v>144</v>
      </c>
      <c r="E74" s="56" t="s">
        <v>145</v>
      </c>
      <c r="F74" s="55" t="s">
        <v>146</v>
      </c>
      <c r="G74" s="105">
        <v>1</v>
      </c>
      <c r="H74" s="106">
        <v>21</v>
      </c>
      <c r="I74" s="106">
        <v>78.5</v>
      </c>
      <c r="J74" s="106">
        <f t="shared" ref="J74:J105" si="4">ROUND(H74*2.2046,2)</f>
        <v>46.3</v>
      </c>
      <c r="K74" s="106">
        <f t="shared" ref="K74:K105" si="5">H74+0.2</f>
        <v>21.2</v>
      </c>
    </row>
    <row r="75" s="76" customFormat="1" ht="21" customHeight="1" spans="1:11">
      <c r="A75" s="53" t="s">
        <v>132</v>
      </c>
      <c r="B75" s="54" t="s">
        <v>142</v>
      </c>
      <c r="C75" s="55" t="s">
        <v>143</v>
      </c>
      <c r="D75" s="55" t="s">
        <v>144</v>
      </c>
      <c r="E75" s="56" t="s">
        <v>145</v>
      </c>
      <c r="F75" s="55" t="s">
        <v>146</v>
      </c>
      <c r="G75" s="105">
        <v>2</v>
      </c>
      <c r="H75" s="106">
        <v>21.9</v>
      </c>
      <c r="I75" s="106">
        <v>81.9</v>
      </c>
      <c r="J75" s="106">
        <f t="shared" si="4"/>
        <v>48.28</v>
      </c>
      <c r="K75" s="106">
        <f t="shared" si="5"/>
        <v>22.1</v>
      </c>
    </row>
    <row r="76" s="76" customFormat="1" ht="21" customHeight="1" spans="1:11">
      <c r="A76" s="53" t="s">
        <v>132</v>
      </c>
      <c r="B76" s="54" t="s">
        <v>142</v>
      </c>
      <c r="C76" s="55" t="s">
        <v>143</v>
      </c>
      <c r="D76" s="55" t="s">
        <v>144</v>
      </c>
      <c r="E76" s="56" t="s">
        <v>145</v>
      </c>
      <c r="F76" s="55" t="s">
        <v>146</v>
      </c>
      <c r="G76" s="105">
        <v>3</v>
      </c>
      <c r="H76" s="106">
        <v>22.2</v>
      </c>
      <c r="I76" s="106">
        <v>83</v>
      </c>
      <c r="J76" s="106">
        <f t="shared" si="4"/>
        <v>48.94</v>
      </c>
      <c r="K76" s="106">
        <f t="shared" si="5"/>
        <v>22.4</v>
      </c>
    </row>
    <row r="77" s="76" customFormat="1" ht="21" customHeight="1" spans="1:11">
      <c r="A77" s="53" t="s">
        <v>132</v>
      </c>
      <c r="B77" s="54" t="s">
        <v>142</v>
      </c>
      <c r="C77" s="55" t="s">
        <v>143</v>
      </c>
      <c r="D77" s="55" t="s">
        <v>144</v>
      </c>
      <c r="E77" s="56" t="s">
        <v>145</v>
      </c>
      <c r="F77" s="55" t="s">
        <v>146</v>
      </c>
      <c r="G77" s="105">
        <v>4</v>
      </c>
      <c r="H77" s="106">
        <v>23.4</v>
      </c>
      <c r="I77" s="106">
        <v>87.5</v>
      </c>
      <c r="J77" s="106">
        <f t="shared" si="4"/>
        <v>51.59</v>
      </c>
      <c r="K77" s="106">
        <f t="shared" si="5"/>
        <v>23.6</v>
      </c>
    </row>
    <row r="78" s="76" customFormat="1" ht="21" customHeight="1" spans="1:11">
      <c r="A78" s="53" t="s">
        <v>132</v>
      </c>
      <c r="B78" s="54" t="s">
        <v>142</v>
      </c>
      <c r="C78" s="55" t="s">
        <v>143</v>
      </c>
      <c r="D78" s="55" t="s">
        <v>144</v>
      </c>
      <c r="E78" s="56" t="s">
        <v>145</v>
      </c>
      <c r="F78" s="55" t="s">
        <v>146</v>
      </c>
      <c r="G78" s="105">
        <v>5</v>
      </c>
      <c r="H78" s="106">
        <v>21.8</v>
      </c>
      <c r="I78" s="106">
        <v>81.5</v>
      </c>
      <c r="J78" s="106">
        <f t="shared" si="4"/>
        <v>48.06</v>
      </c>
      <c r="K78" s="106">
        <f t="shared" si="5"/>
        <v>22</v>
      </c>
    </row>
    <row r="79" s="76" customFormat="1" ht="21" customHeight="1" spans="1:11">
      <c r="A79" s="53" t="s">
        <v>132</v>
      </c>
      <c r="B79" s="54" t="s">
        <v>142</v>
      </c>
      <c r="C79" s="55" t="s">
        <v>143</v>
      </c>
      <c r="D79" s="55" t="s">
        <v>144</v>
      </c>
      <c r="E79" s="56" t="s">
        <v>145</v>
      </c>
      <c r="F79" s="55" t="s">
        <v>146</v>
      </c>
      <c r="G79" s="105">
        <v>6</v>
      </c>
      <c r="H79" s="106">
        <v>24.4</v>
      </c>
      <c r="I79" s="106">
        <v>91.2</v>
      </c>
      <c r="J79" s="106">
        <f t="shared" si="4"/>
        <v>53.79</v>
      </c>
      <c r="K79" s="106">
        <f t="shared" si="5"/>
        <v>24.6</v>
      </c>
    </row>
    <row r="80" s="76" customFormat="1" ht="21" customHeight="1" spans="1:11">
      <c r="A80" s="53" t="s">
        <v>132</v>
      </c>
      <c r="B80" s="54" t="s">
        <v>142</v>
      </c>
      <c r="C80" s="55" t="s">
        <v>143</v>
      </c>
      <c r="D80" s="55" t="s">
        <v>144</v>
      </c>
      <c r="E80" s="56" t="s">
        <v>145</v>
      </c>
      <c r="F80" s="55" t="s">
        <v>146</v>
      </c>
      <c r="G80" s="105">
        <v>7</v>
      </c>
      <c r="H80" s="106">
        <v>20.5</v>
      </c>
      <c r="I80" s="106">
        <v>76.6</v>
      </c>
      <c r="J80" s="106">
        <f t="shared" si="4"/>
        <v>45.19</v>
      </c>
      <c r="K80" s="106">
        <f t="shared" si="5"/>
        <v>20.7</v>
      </c>
    </row>
    <row r="81" s="76" customFormat="1" ht="21" customHeight="1" spans="1:11">
      <c r="A81" s="53" t="s">
        <v>132</v>
      </c>
      <c r="B81" s="54" t="s">
        <v>142</v>
      </c>
      <c r="C81" s="55" t="s">
        <v>143</v>
      </c>
      <c r="D81" s="55" t="s">
        <v>144</v>
      </c>
      <c r="E81" s="56" t="s">
        <v>145</v>
      </c>
      <c r="F81" s="55" t="s">
        <v>146</v>
      </c>
      <c r="G81" s="105">
        <v>8</v>
      </c>
      <c r="H81" s="106">
        <v>23.2</v>
      </c>
      <c r="I81" s="106">
        <v>86.7</v>
      </c>
      <c r="J81" s="106">
        <f t="shared" si="4"/>
        <v>51.15</v>
      </c>
      <c r="K81" s="106">
        <f t="shared" si="5"/>
        <v>23.4</v>
      </c>
    </row>
    <row r="82" s="76" customFormat="1" ht="21" customHeight="1" spans="1:11">
      <c r="A82" s="53" t="s">
        <v>132</v>
      </c>
      <c r="B82" s="54" t="s">
        <v>142</v>
      </c>
      <c r="C82" s="55" t="s">
        <v>143</v>
      </c>
      <c r="D82" s="55" t="s">
        <v>144</v>
      </c>
      <c r="E82" s="56" t="s">
        <v>145</v>
      </c>
      <c r="F82" s="55" t="s">
        <v>146</v>
      </c>
      <c r="G82" s="105">
        <v>9</v>
      </c>
      <c r="H82" s="106">
        <v>21</v>
      </c>
      <c r="I82" s="106">
        <v>78.5</v>
      </c>
      <c r="J82" s="106">
        <f t="shared" si="4"/>
        <v>46.3</v>
      </c>
      <c r="K82" s="106">
        <f t="shared" si="5"/>
        <v>21.2</v>
      </c>
    </row>
    <row r="83" s="76" customFormat="1" ht="21" customHeight="1" spans="1:11">
      <c r="A83" s="53" t="s">
        <v>132</v>
      </c>
      <c r="B83" s="54" t="s">
        <v>142</v>
      </c>
      <c r="C83" s="55" t="s">
        <v>143</v>
      </c>
      <c r="D83" s="55" t="s">
        <v>144</v>
      </c>
      <c r="E83" s="56" t="s">
        <v>145</v>
      </c>
      <c r="F83" s="55" t="s">
        <v>146</v>
      </c>
      <c r="G83" s="105">
        <v>10</v>
      </c>
      <c r="H83" s="106">
        <v>24.5</v>
      </c>
      <c r="I83" s="106">
        <v>91.6</v>
      </c>
      <c r="J83" s="106">
        <f t="shared" si="4"/>
        <v>54.01</v>
      </c>
      <c r="K83" s="106">
        <f t="shared" si="5"/>
        <v>24.7</v>
      </c>
    </row>
    <row r="84" s="76" customFormat="1" ht="21" customHeight="1" spans="1:11">
      <c r="A84" s="53" t="s">
        <v>132</v>
      </c>
      <c r="B84" s="54" t="s">
        <v>142</v>
      </c>
      <c r="C84" s="55" t="s">
        <v>143</v>
      </c>
      <c r="D84" s="55" t="s">
        <v>144</v>
      </c>
      <c r="E84" s="56" t="s">
        <v>145</v>
      </c>
      <c r="F84" s="55" t="s">
        <v>146</v>
      </c>
      <c r="G84" s="105">
        <v>11</v>
      </c>
      <c r="H84" s="106">
        <v>24.7</v>
      </c>
      <c r="I84" s="106">
        <v>92.3</v>
      </c>
      <c r="J84" s="106">
        <f t="shared" si="4"/>
        <v>54.45</v>
      </c>
      <c r="K84" s="106">
        <f t="shared" si="5"/>
        <v>24.9</v>
      </c>
    </row>
    <row r="85" s="76" customFormat="1" ht="21" customHeight="1" spans="1:11">
      <c r="A85" s="53" t="s">
        <v>132</v>
      </c>
      <c r="B85" s="54" t="s">
        <v>142</v>
      </c>
      <c r="C85" s="55" t="s">
        <v>143</v>
      </c>
      <c r="D85" s="55" t="s">
        <v>144</v>
      </c>
      <c r="E85" s="56" t="s">
        <v>145</v>
      </c>
      <c r="F85" s="55" t="s">
        <v>146</v>
      </c>
      <c r="G85" s="105">
        <v>12</v>
      </c>
      <c r="H85" s="106">
        <v>23.2</v>
      </c>
      <c r="I85" s="106">
        <v>86.7</v>
      </c>
      <c r="J85" s="106">
        <f t="shared" si="4"/>
        <v>51.15</v>
      </c>
      <c r="K85" s="106">
        <f t="shared" si="5"/>
        <v>23.4</v>
      </c>
    </row>
    <row r="86" s="76" customFormat="1" ht="21" customHeight="1" spans="1:11">
      <c r="A86" s="53" t="s">
        <v>132</v>
      </c>
      <c r="B86" s="54" t="s">
        <v>142</v>
      </c>
      <c r="C86" s="55" t="s">
        <v>143</v>
      </c>
      <c r="D86" s="55" t="s">
        <v>144</v>
      </c>
      <c r="E86" s="56" t="s">
        <v>145</v>
      </c>
      <c r="F86" s="55" t="s">
        <v>146</v>
      </c>
      <c r="G86" s="105">
        <v>13</v>
      </c>
      <c r="H86" s="106">
        <v>23.6</v>
      </c>
      <c r="I86" s="106">
        <v>88.2</v>
      </c>
      <c r="J86" s="106">
        <f t="shared" si="4"/>
        <v>52.03</v>
      </c>
      <c r="K86" s="106">
        <f t="shared" si="5"/>
        <v>23.8</v>
      </c>
    </row>
    <row r="87" s="76" customFormat="1" ht="21" customHeight="1" spans="1:11">
      <c r="A87" s="53" t="s">
        <v>132</v>
      </c>
      <c r="B87" s="54" t="s">
        <v>142</v>
      </c>
      <c r="C87" s="55" t="s">
        <v>143</v>
      </c>
      <c r="D87" s="55" t="s">
        <v>144</v>
      </c>
      <c r="E87" s="56" t="s">
        <v>145</v>
      </c>
      <c r="F87" s="55" t="s">
        <v>146</v>
      </c>
      <c r="G87" s="105">
        <v>14</v>
      </c>
      <c r="H87" s="106">
        <v>16.5</v>
      </c>
      <c r="I87" s="106">
        <v>61.7</v>
      </c>
      <c r="J87" s="106">
        <f t="shared" si="4"/>
        <v>36.38</v>
      </c>
      <c r="K87" s="106">
        <f t="shared" si="5"/>
        <v>16.7</v>
      </c>
    </row>
    <row r="88" s="76" customFormat="1" ht="21" customHeight="1" spans="1:11">
      <c r="A88" s="53" t="s">
        <v>132</v>
      </c>
      <c r="B88" s="54" t="s">
        <v>142</v>
      </c>
      <c r="C88" s="55" t="s">
        <v>143</v>
      </c>
      <c r="D88" s="55" t="s">
        <v>144</v>
      </c>
      <c r="E88" s="56" t="s">
        <v>145</v>
      </c>
      <c r="F88" s="55" t="s">
        <v>146</v>
      </c>
      <c r="G88" s="105">
        <v>15</v>
      </c>
      <c r="H88" s="106">
        <v>28.7</v>
      </c>
      <c r="I88" s="106">
        <v>107.3</v>
      </c>
      <c r="J88" s="106">
        <f t="shared" si="4"/>
        <v>63.27</v>
      </c>
      <c r="K88" s="106">
        <f t="shared" si="5"/>
        <v>28.9</v>
      </c>
    </row>
    <row r="89" s="76" customFormat="1" ht="21" customHeight="1" spans="1:11">
      <c r="A89" s="53" t="s">
        <v>132</v>
      </c>
      <c r="B89" s="54" t="s">
        <v>142</v>
      </c>
      <c r="C89" s="55" t="s">
        <v>143</v>
      </c>
      <c r="D89" s="55" t="s">
        <v>144</v>
      </c>
      <c r="E89" s="56" t="s">
        <v>145</v>
      </c>
      <c r="F89" s="55" t="s">
        <v>146</v>
      </c>
      <c r="G89" s="105">
        <v>16</v>
      </c>
      <c r="H89" s="106">
        <v>21.6</v>
      </c>
      <c r="I89" s="106">
        <v>80.7</v>
      </c>
      <c r="J89" s="106">
        <f t="shared" si="4"/>
        <v>47.62</v>
      </c>
      <c r="K89" s="106">
        <f t="shared" si="5"/>
        <v>21.8</v>
      </c>
    </row>
    <row r="90" s="76" customFormat="1" ht="21" customHeight="1" spans="1:11">
      <c r="A90" s="53" t="s">
        <v>132</v>
      </c>
      <c r="B90" s="54" t="s">
        <v>142</v>
      </c>
      <c r="C90" s="55" t="s">
        <v>143</v>
      </c>
      <c r="D90" s="55" t="s">
        <v>144</v>
      </c>
      <c r="E90" s="56" t="s">
        <v>145</v>
      </c>
      <c r="F90" s="55" t="s">
        <v>146</v>
      </c>
      <c r="G90" s="105">
        <v>17</v>
      </c>
      <c r="H90" s="106">
        <v>22.2</v>
      </c>
      <c r="I90" s="106">
        <v>83</v>
      </c>
      <c r="J90" s="106">
        <f t="shared" si="4"/>
        <v>48.94</v>
      </c>
      <c r="K90" s="106">
        <f t="shared" si="5"/>
        <v>22.4</v>
      </c>
    </row>
    <row r="91" s="76" customFormat="1" ht="21" customHeight="1" spans="1:11">
      <c r="A91" s="53" t="s">
        <v>132</v>
      </c>
      <c r="B91" s="54" t="s">
        <v>142</v>
      </c>
      <c r="C91" s="55" t="s">
        <v>143</v>
      </c>
      <c r="D91" s="55" t="s">
        <v>144</v>
      </c>
      <c r="E91" s="56" t="s">
        <v>145</v>
      </c>
      <c r="F91" s="55" t="s">
        <v>146</v>
      </c>
      <c r="G91" s="105">
        <v>18</v>
      </c>
      <c r="H91" s="106">
        <v>22.2</v>
      </c>
      <c r="I91" s="106">
        <v>83</v>
      </c>
      <c r="J91" s="106">
        <f t="shared" si="4"/>
        <v>48.94</v>
      </c>
      <c r="K91" s="106">
        <f t="shared" si="5"/>
        <v>22.4</v>
      </c>
    </row>
    <row r="92" s="76" customFormat="1" ht="21" customHeight="1" spans="1:11">
      <c r="A92" s="53" t="s">
        <v>132</v>
      </c>
      <c r="B92" s="54" t="s">
        <v>142</v>
      </c>
      <c r="C92" s="55" t="s">
        <v>143</v>
      </c>
      <c r="D92" s="55" t="s">
        <v>144</v>
      </c>
      <c r="E92" s="56" t="s">
        <v>145</v>
      </c>
      <c r="F92" s="55" t="s">
        <v>146</v>
      </c>
      <c r="G92" s="105">
        <v>19</v>
      </c>
      <c r="H92" s="106">
        <v>22.4</v>
      </c>
      <c r="I92" s="106">
        <v>83.7</v>
      </c>
      <c r="J92" s="106">
        <f t="shared" si="4"/>
        <v>49.38</v>
      </c>
      <c r="K92" s="106">
        <f t="shared" si="5"/>
        <v>22.6</v>
      </c>
    </row>
    <row r="93" s="76" customFormat="1" ht="21" customHeight="1" spans="1:11">
      <c r="A93" s="53" t="s">
        <v>132</v>
      </c>
      <c r="B93" s="54" t="s">
        <v>142</v>
      </c>
      <c r="C93" s="55" t="s">
        <v>143</v>
      </c>
      <c r="D93" s="55" t="s">
        <v>144</v>
      </c>
      <c r="E93" s="56" t="s">
        <v>145</v>
      </c>
      <c r="F93" s="55" t="s">
        <v>146</v>
      </c>
      <c r="G93" s="105">
        <v>20</v>
      </c>
      <c r="H93" s="106">
        <v>22.5</v>
      </c>
      <c r="I93" s="106">
        <v>84.1</v>
      </c>
      <c r="J93" s="106">
        <f t="shared" si="4"/>
        <v>49.6</v>
      </c>
      <c r="K93" s="106">
        <f t="shared" si="5"/>
        <v>22.7</v>
      </c>
    </row>
    <row r="94" s="76" customFormat="1" ht="21" customHeight="1" spans="1:11">
      <c r="A94" s="53" t="s">
        <v>132</v>
      </c>
      <c r="B94" s="54" t="s">
        <v>142</v>
      </c>
      <c r="C94" s="55" t="s">
        <v>143</v>
      </c>
      <c r="D94" s="55" t="s">
        <v>144</v>
      </c>
      <c r="E94" s="56" t="s">
        <v>145</v>
      </c>
      <c r="F94" s="55" t="s">
        <v>146</v>
      </c>
      <c r="G94" s="105">
        <v>21</v>
      </c>
      <c r="H94" s="106">
        <v>22.1</v>
      </c>
      <c r="I94" s="106">
        <v>82.6</v>
      </c>
      <c r="J94" s="106">
        <f t="shared" si="4"/>
        <v>48.72</v>
      </c>
      <c r="K94" s="106">
        <f t="shared" si="5"/>
        <v>22.3</v>
      </c>
    </row>
    <row r="95" s="76" customFormat="1" ht="21" customHeight="1" spans="1:11">
      <c r="A95" s="53" t="s">
        <v>132</v>
      </c>
      <c r="B95" s="54" t="s">
        <v>142</v>
      </c>
      <c r="C95" s="55" t="s">
        <v>143</v>
      </c>
      <c r="D95" s="55" t="s">
        <v>144</v>
      </c>
      <c r="E95" s="56" t="s">
        <v>145</v>
      </c>
      <c r="F95" s="55" t="s">
        <v>146</v>
      </c>
      <c r="G95" s="105">
        <v>22</v>
      </c>
      <c r="H95" s="106">
        <v>23.6</v>
      </c>
      <c r="I95" s="106">
        <v>88.2</v>
      </c>
      <c r="J95" s="106">
        <f t="shared" si="4"/>
        <v>52.03</v>
      </c>
      <c r="K95" s="106">
        <f t="shared" si="5"/>
        <v>23.8</v>
      </c>
    </row>
    <row r="96" s="76" customFormat="1" ht="21" customHeight="1" spans="1:11">
      <c r="A96" s="53" t="s">
        <v>132</v>
      </c>
      <c r="B96" s="54" t="s">
        <v>142</v>
      </c>
      <c r="C96" s="55" t="s">
        <v>143</v>
      </c>
      <c r="D96" s="55" t="s">
        <v>144</v>
      </c>
      <c r="E96" s="56" t="s">
        <v>145</v>
      </c>
      <c r="F96" s="55" t="s">
        <v>146</v>
      </c>
      <c r="G96" s="105">
        <v>23</v>
      </c>
      <c r="H96" s="106">
        <v>20.8</v>
      </c>
      <c r="I96" s="106">
        <v>77.7</v>
      </c>
      <c r="J96" s="106">
        <f t="shared" si="4"/>
        <v>45.86</v>
      </c>
      <c r="K96" s="106">
        <f t="shared" si="5"/>
        <v>21</v>
      </c>
    </row>
    <row r="97" s="76" customFormat="1" ht="21" customHeight="1" spans="1:11">
      <c r="A97" s="53" t="s">
        <v>132</v>
      </c>
      <c r="B97" s="54" t="s">
        <v>142</v>
      </c>
      <c r="C97" s="55" t="s">
        <v>143</v>
      </c>
      <c r="D97" s="55" t="s">
        <v>144</v>
      </c>
      <c r="E97" s="56" t="s">
        <v>145</v>
      </c>
      <c r="F97" s="55" t="s">
        <v>146</v>
      </c>
      <c r="G97" s="105">
        <v>24</v>
      </c>
      <c r="H97" s="106">
        <v>23.2</v>
      </c>
      <c r="I97" s="106">
        <v>86.7</v>
      </c>
      <c r="J97" s="106">
        <f t="shared" si="4"/>
        <v>51.15</v>
      </c>
      <c r="K97" s="106">
        <f t="shared" si="5"/>
        <v>23.4</v>
      </c>
    </row>
    <row r="98" s="76" customFormat="1" ht="21" customHeight="1" spans="1:11">
      <c r="A98" s="53" t="s">
        <v>132</v>
      </c>
      <c r="B98" s="54" t="s">
        <v>142</v>
      </c>
      <c r="C98" s="55" t="s">
        <v>143</v>
      </c>
      <c r="D98" s="55" t="s">
        <v>144</v>
      </c>
      <c r="E98" s="56" t="s">
        <v>145</v>
      </c>
      <c r="F98" s="55" t="s">
        <v>146</v>
      </c>
      <c r="G98" s="105">
        <v>25</v>
      </c>
      <c r="H98" s="106">
        <v>22.1</v>
      </c>
      <c r="I98" s="106">
        <v>82.6</v>
      </c>
      <c r="J98" s="106">
        <f t="shared" si="4"/>
        <v>48.72</v>
      </c>
      <c r="K98" s="106">
        <f t="shared" si="5"/>
        <v>22.3</v>
      </c>
    </row>
    <row r="99" s="76" customFormat="1" ht="21" customHeight="1" spans="1:11">
      <c r="A99" s="53" t="s">
        <v>132</v>
      </c>
      <c r="B99" s="54" t="s">
        <v>142</v>
      </c>
      <c r="C99" s="55" t="s">
        <v>143</v>
      </c>
      <c r="D99" s="55" t="s">
        <v>144</v>
      </c>
      <c r="E99" s="56" t="s">
        <v>145</v>
      </c>
      <c r="F99" s="55" t="s">
        <v>146</v>
      </c>
      <c r="G99" s="105">
        <v>26</v>
      </c>
      <c r="H99" s="106">
        <v>22</v>
      </c>
      <c r="I99" s="106">
        <v>82.2</v>
      </c>
      <c r="J99" s="106">
        <f t="shared" si="4"/>
        <v>48.5</v>
      </c>
      <c r="K99" s="106">
        <f t="shared" si="5"/>
        <v>22.2</v>
      </c>
    </row>
    <row r="100" s="76" customFormat="1" ht="21" customHeight="1" spans="1:11">
      <c r="A100" s="53" t="s">
        <v>132</v>
      </c>
      <c r="B100" s="54" t="s">
        <v>142</v>
      </c>
      <c r="C100" s="55" t="s">
        <v>143</v>
      </c>
      <c r="D100" s="55" t="s">
        <v>144</v>
      </c>
      <c r="E100" s="56" t="s">
        <v>145</v>
      </c>
      <c r="F100" s="55" t="s">
        <v>146</v>
      </c>
      <c r="G100" s="105">
        <v>27</v>
      </c>
      <c r="H100" s="106">
        <v>22.1</v>
      </c>
      <c r="I100" s="106">
        <v>82.6</v>
      </c>
      <c r="J100" s="106">
        <f t="shared" si="4"/>
        <v>48.72</v>
      </c>
      <c r="K100" s="106">
        <f t="shared" si="5"/>
        <v>22.3</v>
      </c>
    </row>
    <row r="101" s="76" customFormat="1" ht="21" customHeight="1" spans="1:11">
      <c r="A101" s="53" t="s">
        <v>132</v>
      </c>
      <c r="B101" s="54" t="s">
        <v>142</v>
      </c>
      <c r="C101" s="55" t="s">
        <v>143</v>
      </c>
      <c r="D101" s="55" t="s">
        <v>144</v>
      </c>
      <c r="E101" s="56" t="s">
        <v>145</v>
      </c>
      <c r="F101" s="55" t="s">
        <v>146</v>
      </c>
      <c r="G101" s="105">
        <v>28</v>
      </c>
      <c r="H101" s="106">
        <v>22.1</v>
      </c>
      <c r="I101" s="106">
        <v>82.6</v>
      </c>
      <c r="J101" s="106">
        <f t="shared" si="4"/>
        <v>48.72</v>
      </c>
      <c r="K101" s="106">
        <f t="shared" si="5"/>
        <v>22.3</v>
      </c>
    </row>
    <row r="102" s="76" customFormat="1" ht="21" customHeight="1" spans="1:11">
      <c r="A102" s="53" t="s">
        <v>132</v>
      </c>
      <c r="B102" s="54" t="s">
        <v>142</v>
      </c>
      <c r="C102" s="55" t="s">
        <v>143</v>
      </c>
      <c r="D102" s="55" t="s">
        <v>144</v>
      </c>
      <c r="E102" s="56" t="s">
        <v>145</v>
      </c>
      <c r="F102" s="55" t="s">
        <v>146</v>
      </c>
      <c r="G102" s="105">
        <v>29</v>
      </c>
      <c r="H102" s="106">
        <v>21.5</v>
      </c>
      <c r="I102" s="106">
        <v>80.4</v>
      </c>
      <c r="J102" s="106">
        <f t="shared" si="4"/>
        <v>47.4</v>
      </c>
      <c r="K102" s="106">
        <f t="shared" si="5"/>
        <v>21.7</v>
      </c>
    </row>
    <row r="103" s="76" customFormat="1" ht="21" customHeight="1" spans="1:11">
      <c r="A103" s="53" t="s">
        <v>132</v>
      </c>
      <c r="B103" s="54" t="s">
        <v>142</v>
      </c>
      <c r="C103" s="55" t="s">
        <v>143</v>
      </c>
      <c r="D103" s="55" t="s">
        <v>144</v>
      </c>
      <c r="E103" s="56" t="s">
        <v>145</v>
      </c>
      <c r="F103" s="55" t="s">
        <v>146</v>
      </c>
      <c r="G103" s="105">
        <v>30</v>
      </c>
      <c r="H103" s="106">
        <v>22.3</v>
      </c>
      <c r="I103" s="106">
        <v>83.3</v>
      </c>
      <c r="J103" s="106">
        <f t="shared" si="4"/>
        <v>49.16</v>
      </c>
      <c r="K103" s="106">
        <f t="shared" si="5"/>
        <v>22.5</v>
      </c>
    </row>
    <row r="104" s="76" customFormat="1" ht="21" customHeight="1" spans="1:11">
      <c r="A104" s="53" t="s">
        <v>132</v>
      </c>
      <c r="B104" s="54" t="s">
        <v>142</v>
      </c>
      <c r="C104" s="55" t="s">
        <v>143</v>
      </c>
      <c r="D104" s="55" t="s">
        <v>144</v>
      </c>
      <c r="E104" s="56" t="s">
        <v>145</v>
      </c>
      <c r="F104" s="55" t="s">
        <v>146</v>
      </c>
      <c r="G104" s="105">
        <v>31</v>
      </c>
      <c r="H104" s="106">
        <v>21.6</v>
      </c>
      <c r="I104" s="106">
        <v>80.7</v>
      </c>
      <c r="J104" s="106">
        <f t="shared" si="4"/>
        <v>47.62</v>
      </c>
      <c r="K104" s="106">
        <f t="shared" si="5"/>
        <v>21.8</v>
      </c>
    </row>
    <row r="105" s="77" customFormat="1" ht="21" customHeight="1" spans="1:11">
      <c r="A105" s="107"/>
      <c r="B105" s="108"/>
      <c r="C105" s="109" t="s">
        <v>138</v>
      </c>
      <c r="D105" s="109"/>
      <c r="E105" s="109"/>
      <c r="F105" s="110"/>
      <c r="G105" s="111">
        <f>COUNT(G74:G104)</f>
        <v>31</v>
      </c>
      <c r="H105" s="112">
        <f>SUM(H74:H104)</f>
        <v>694.9</v>
      </c>
      <c r="I105" s="112">
        <f>SUM(I74:I104)</f>
        <v>2597.3</v>
      </c>
      <c r="J105" s="112">
        <f>SUM(J74:J104)</f>
        <v>1531.97</v>
      </c>
      <c r="K105" s="112">
        <f>SUM(K74:K104)</f>
        <v>701.1</v>
      </c>
    </row>
    <row r="106" s="76" customFormat="1" ht="21" customHeight="1" spans="1:11">
      <c r="A106" s="53" t="s">
        <v>132</v>
      </c>
      <c r="B106" s="54" t="s">
        <v>142</v>
      </c>
      <c r="C106" s="55" t="s">
        <v>147</v>
      </c>
      <c r="D106" s="55" t="s">
        <v>144</v>
      </c>
      <c r="E106" s="104" t="s">
        <v>145</v>
      </c>
      <c r="F106" s="55" t="s">
        <v>137</v>
      </c>
      <c r="G106" s="105">
        <v>1</v>
      </c>
      <c r="H106" s="106">
        <v>22.3</v>
      </c>
      <c r="I106" s="106">
        <v>83.3</v>
      </c>
      <c r="J106" s="106">
        <f t="shared" ref="J106:J137" si="6">ROUND(H106*2.2046,2)</f>
        <v>49.16</v>
      </c>
      <c r="K106" s="106">
        <f t="shared" ref="K106:K137" si="7">H106+0.2</f>
        <v>22.5</v>
      </c>
    </row>
    <row r="107" s="76" customFormat="1" ht="21" customHeight="1" spans="1:11">
      <c r="A107" s="53" t="s">
        <v>132</v>
      </c>
      <c r="B107" s="54" t="s">
        <v>142</v>
      </c>
      <c r="C107" s="55" t="s">
        <v>147</v>
      </c>
      <c r="D107" s="55" t="s">
        <v>144</v>
      </c>
      <c r="E107" s="104" t="s">
        <v>145</v>
      </c>
      <c r="F107" s="55" t="s">
        <v>137</v>
      </c>
      <c r="G107" s="105">
        <v>2</v>
      </c>
      <c r="H107" s="106">
        <v>21.6</v>
      </c>
      <c r="I107" s="106">
        <v>80.7</v>
      </c>
      <c r="J107" s="106">
        <f t="shared" si="6"/>
        <v>47.62</v>
      </c>
      <c r="K107" s="106">
        <f t="shared" si="7"/>
        <v>21.8</v>
      </c>
    </row>
    <row r="108" s="76" customFormat="1" ht="21" customHeight="1" spans="1:11">
      <c r="A108" s="53" t="s">
        <v>132</v>
      </c>
      <c r="B108" s="54" t="s">
        <v>142</v>
      </c>
      <c r="C108" s="55" t="s">
        <v>147</v>
      </c>
      <c r="D108" s="55" t="s">
        <v>144</v>
      </c>
      <c r="E108" s="104" t="s">
        <v>145</v>
      </c>
      <c r="F108" s="55" t="s">
        <v>137</v>
      </c>
      <c r="G108" s="105">
        <v>3</v>
      </c>
      <c r="H108" s="106">
        <v>20.8</v>
      </c>
      <c r="I108" s="106">
        <v>77.7</v>
      </c>
      <c r="J108" s="106">
        <f t="shared" si="6"/>
        <v>45.86</v>
      </c>
      <c r="K108" s="106">
        <f t="shared" si="7"/>
        <v>21</v>
      </c>
    </row>
    <row r="109" s="76" customFormat="1" ht="21" customHeight="1" spans="1:11">
      <c r="A109" s="53" t="s">
        <v>132</v>
      </c>
      <c r="B109" s="54" t="s">
        <v>142</v>
      </c>
      <c r="C109" s="55" t="s">
        <v>147</v>
      </c>
      <c r="D109" s="55" t="s">
        <v>144</v>
      </c>
      <c r="E109" s="104" t="s">
        <v>145</v>
      </c>
      <c r="F109" s="55" t="s">
        <v>137</v>
      </c>
      <c r="G109" s="105">
        <v>4</v>
      </c>
      <c r="H109" s="106">
        <v>22.4</v>
      </c>
      <c r="I109" s="106">
        <v>83.7</v>
      </c>
      <c r="J109" s="106">
        <f t="shared" si="6"/>
        <v>49.38</v>
      </c>
      <c r="K109" s="106">
        <f t="shared" si="7"/>
        <v>22.6</v>
      </c>
    </row>
    <row r="110" s="76" customFormat="1" ht="21" customHeight="1" spans="1:11">
      <c r="A110" s="53" t="s">
        <v>132</v>
      </c>
      <c r="B110" s="54" t="s">
        <v>142</v>
      </c>
      <c r="C110" s="55" t="s">
        <v>147</v>
      </c>
      <c r="D110" s="55" t="s">
        <v>144</v>
      </c>
      <c r="E110" s="104" t="s">
        <v>145</v>
      </c>
      <c r="F110" s="55" t="s">
        <v>137</v>
      </c>
      <c r="G110" s="105">
        <v>5</v>
      </c>
      <c r="H110" s="106">
        <v>22.2</v>
      </c>
      <c r="I110" s="106">
        <v>83</v>
      </c>
      <c r="J110" s="106">
        <f t="shared" si="6"/>
        <v>48.94</v>
      </c>
      <c r="K110" s="106">
        <f t="shared" si="7"/>
        <v>22.4</v>
      </c>
    </row>
    <row r="111" s="76" customFormat="1" ht="21" customHeight="1" spans="1:11">
      <c r="A111" s="53" t="s">
        <v>132</v>
      </c>
      <c r="B111" s="54" t="s">
        <v>142</v>
      </c>
      <c r="C111" s="55" t="s">
        <v>147</v>
      </c>
      <c r="D111" s="55" t="s">
        <v>144</v>
      </c>
      <c r="E111" s="104" t="s">
        <v>145</v>
      </c>
      <c r="F111" s="55" t="s">
        <v>137</v>
      </c>
      <c r="G111" s="105">
        <v>6</v>
      </c>
      <c r="H111" s="106">
        <v>22.2</v>
      </c>
      <c r="I111" s="106">
        <v>83</v>
      </c>
      <c r="J111" s="106">
        <f t="shared" si="6"/>
        <v>48.94</v>
      </c>
      <c r="K111" s="106">
        <f t="shared" si="7"/>
        <v>22.4</v>
      </c>
    </row>
    <row r="112" s="76" customFormat="1" ht="21" customHeight="1" spans="1:11">
      <c r="A112" s="53" t="s">
        <v>132</v>
      </c>
      <c r="B112" s="54" t="s">
        <v>142</v>
      </c>
      <c r="C112" s="55" t="s">
        <v>147</v>
      </c>
      <c r="D112" s="55" t="s">
        <v>144</v>
      </c>
      <c r="E112" s="104" t="s">
        <v>145</v>
      </c>
      <c r="F112" s="55" t="s">
        <v>137</v>
      </c>
      <c r="G112" s="105">
        <v>7</v>
      </c>
      <c r="H112" s="106">
        <v>22.1</v>
      </c>
      <c r="I112" s="106">
        <v>82.6</v>
      </c>
      <c r="J112" s="106">
        <f t="shared" si="6"/>
        <v>48.72</v>
      </c>
      <c r="K112" s="106">
        <f t="shared" si="7"/>
        <v>22.3</v>
      </c>
    </row>
    <row r="113" s="76" customFormat="1" ht="21" customHeight="1" spans="1:11">
      <c r="A113" s="53" t="s">
        <v>132</v>
      </c>
      <c r="B113" s="54" t="s">
        <v>142</v>
      </c>
      <c r="C113" s="55" t="s">
        <v>147</v>
      </c>
      <c r="D113" s="55" t="s">
        <v>144</v>
      </c>
      <c r="E113" s="104" t="s">
        <v>145</v>
      </c>
      <c r="F113" s="55" t="s">
        <v>137</v>
      </c>
      <c r="G113" s="105">
        <v>8</v>
      </c>
      <c r="H113" s="106">
        <v>22.2</v>
      </c>
      <c r="I113" s="106">
        <v>83</v>
      </c>
      <c r="J113" s="106">
        <f t="shared" si="6"/>
        <v>48.94</v>
      </c>
      <c r="K113" s="106">
        <f t="shared" si="7"/>
        <v>22.4</v>
      </c>
    </row>
    <row r="114" s="76" customFormat="1" ht="21" customHeight="1" spans="1:11">
      <c r="A114" s="53" t="s">
        <v>132</v>
      </c>
      <c r="B114" s="54" t="s">
        <v>142</v>
      </c>
      <c r="C114" s="55" t="s">
        <v>147</v>
      </c>
      <c r="D114" s="55" t="s">
        <v>144</v>
      </c>
      <c r="E114" s="104" t="s">
        <v>145</v>
      </c>
      <c r="F114" s="55" t="s">
        <v>137</v>
      </c>
      <c r="G114" s="105">
        <v>9</v>
      </c>
      <c r="H114" s="106">
        <v>22.5</v>
      </c>
      <c r="I114" s="106">
        <v>84.1</v>
      </c>
      <c r="J114" s="106">
        <f t="shared" si="6"/>
        <v>49.6</v>
      </c>
      <c r="K114" s="106">
        <f t="shared" si="7"/>
        <v>22.7</v>
      </c>
    </row>
    <row r="115" s="76" customFormat="1" ht="21" customHeight="1" spans="1:11">
      <c r="A115" s="53" t="s">
        <v>132</v>
      </c>
      <c r="B115" s="54" t="s">
        <v>142</v>
      </c>
      <c r="C115" s="55" t="s">
        <v>147</v>
      </c>
      <c r="D115" s="55" t="s">
        <v>144</v>
      </c>
      <c r="E115" s="104" t="s">
        <v>145</v>
      </c>
      <c r="F115" s="55" t="s">
        <v>137</v>
      </c>
      <c r="G115" s="105">
        <v>10</v>
      </c>
      <c r="H115" s="106">
        <v>22.4</v>
      </c>
      <c r="I115" s="106">
        <v>83.7</v>
      </c>
      <c r="J115" s="106">
        <f t="shared" si="6"/>
        <v>49.38</v>
      </c>
      <c r="K115" s="106">
        <f t="shared" si="7"/>
        <v>22.6</v>
      </c>
    </row>
    <row r="116" s="76" customFormat="1" ht="21" customHeight="1" spans="1:11">
      <c r="A116" s="53" t="s">
        <v>132</v>
      </c>
      <c r="B116" s="54" t="s">
        <v>142</v>
      </c>
      <c r="C116" s="55" t="s">
        <v>147</v>
      </c>
      <c r="D116" s="55" t="s">
        <v>144</v>
      </c>
      <c r="E116" s="104" t="s">
        <v>145</v>
      </c>
      <c r="F116" s="55" t="s">
        <v>137</v>
      </c>
      <c r="G116" s="105">
        <v>11</v>
      </c>
      <c r="H116" s="106">
        <v>22.5</v>
      </c>
      <c r="I116" s="106">
        <v>84.1</v>
      </c>
      <c r="J116" s="106">
        <f t="shared" si="6"/>
        <v>49.6</v>
      </c>
      <c r="K116" s="106">
        <f t="shared" si="7"/>
        <v>22.7</v>
      </c>
    </row>
    <row r="117" s="76" customFormat="1" ht="21" customHeight="1" spans="1:11">
      <c r="A117" s="53" t="s">
        <v>132</v>
      </c>
      <c r="B117" s="54" t="s">
        <v>142</v>
      </c>
      <c r="C117" s="55" t="s">
        <v>147</v>
      </c>
      <c r="D117" s="55" t="s">
        <v>144</v>
      </c>
      <c r="E117" s="104" t="s">
        <v>145</v>
      </c>
      <c r="F117" s="55" t="s">
        <v>137</v>
      </c>
      <c r="G117" s="105">
        <v>12</v>
      </c>
      <c r="H117" s="106">
        <v>22.6</v>
      </c>
      <c r="I117" s="106">
        <v>84.5</v>
      </c>
      <c r="J117" s="106">
        <f t="shared" si="6"/>
        <v>49.82</v>
      </c>
      <c r="K117" s="106">
        <f t="shared" si="7"/>
        <v>22.8</v>
      </c>
    </row>
    <row r="118" s="76" customFormat="1" ht="21" customHeight="1" spans="1:11">
      <c r="A118" s="53" t="s">
        <v>132</v>
      </c>
      <c r="B118" s="54" t="s">
        <v>142</v>
      </c>
      <c r="C118" s="55" t="s">
        <v>147</v>
      </c>
      <c r="D118" s="55" t="s">
        <v>144</v>
      </c>
      <c r="E118" s="104" t="s">
        <v>145</v>
      </c>
      <c r="F118" s="55" t="s">
        <v>137</v>
      </c>
      <c r="G118" s="105">
        <v>13</v>
      </c>
      <c r="H118" s="106">
        <v>22.2</v>
      </c>
      <c r="I118" s="106">
        <v>83</v>
      </c>
      <c r="J118" s="106">
        <f t="shared" si="6"/>
        <v>48.94</v>
      </c>
      <c r="K118" s="106">
        <f t="shared" si="7"/>
        <v>22.4</v>
      </c>
    </row>
    <row r="119" s="76" customFormat="1" ht="21" customHeight="1" spans="1:11">
      <c r="A119" s="53" t="s">
        <v>132</v>
      </c>
      <c r="B119" s="54" t="s">
        <v>142</v>
      </c>
      <c r="C119" s="55" t="s">
        <v>147</v>
      </c>
      <c r="D119" s="55" t="s">
        <v>144</v>
      </c>
      <c r="E119" s="104" t="s">
        <v>145</v>
      </c>
      <c r="F119" s="55" t="s">
        <v>137</v>
      </c>
      <c r="G119" s="105">
        <v>14</v>
      </c>
      <c r="H119" s="106">
        <v>21.4</v>
      </c>
      <c r="I119" s="106">
        <v>80</v>
      </c>
      <c r="J119" s="106">
        <f t="shared" si="6"/>
        <v>47.18</v>
      </c>
      <c r="K119" s="106">
        <f t="shared" si="7"/>
        <v>21.6</v>
      </c>
    </row>
    <row r="120" s="76" customFormat="1" ht="21" customHeight="1" spans="1:11">
      <c r="A120" s="53" t="s">
        <v>132</v>
      </c>
      <c r="B120" s="54" t="s">
        <v>142</v>
      </c>
      <c r="C120" s="55" t="s">
        <v>147</v>
      </c>
      <c r="D120" s="55" t="s">
        <v>144</v>
      </c>
      <c r="E120" s="104" t="s">
        <v>145</v>
      </c>
      <c r="F120" s="55" t="s">
        <v>137</v>
      </c>
      <c r="G120" s="105">
        <v>15</v>
      </c>
      <c r="H120" s="106">
        <v>22.5</v>
      </c>
      <c r="I120" s="106">
        <v>84.1</v>
      </c>
      <c r="J120" s="106">
        <f t="shared" si="6"/>
        <v>49.6</v>
      </c>
      <c r="K120" s="106">
        <f t="shared" si="7"/>
        <v>22.7</v>
      </c>
    </row>
    <row r="121" s="76" customFormat="1" ht="21" customHeight="1" spans="1:11">
      <c r="A121" s="53" t="s">
        <v>132</v>
      </c>
      <c r="B121" s="54" t="s">
        <v>142</v>
      </c>
      <c r="C121" s="55" t="s">
        <v>147</v>
      </c>
      <c r="D121" s="55" t="s">
        <v>144</v>
      </c>
      <c r="E121" s="104" t="s">
        <v>145</v>
      </c>
      <c r="F121" s="55" t="s">
        <v>137</v>
      </c>
      <c r="G121" s="105">
        <v>16</v>
      </c>
      <c r="H121" s="106">
        <v>22.5</v>
      </c>
      <c r="I121" s="106">
        <v>84.1</v>
      </c>
      <c r="J121" s="106">
        <f t="shared" si="6"/>
        <v>49.6</v>
      </c>
      <c r="K121" s="106">
        <f t="shared" si="7"/>
        <v>22.7</v>
      </c>
    </row>
    <row r="122" s="76" customFormat="1" ht="21" customHeight="1" spans="1:11">
      <c r="A122" s="53" t="s">
        <v>132</v>
      </c>
      <c r="B122" s="54" t="s">
        <v>142</v>
      </c>
      <c r="C122" s="55" t="s">
        <v>147</v>
      </c>
      <c r="D122" s="55" t="s">
        <v>144</v>
      </c>
      <c r="E122" s="104" t="s">
        <v>145</v>
      </c>
      <c r="F122" s="55" t="s">
        <v>137</v>
      </c>
      <c r="G122" s="105">
        <v>17</v>
      </c>
      <c r="H122" s="106">
        <v>21.9</v>
      </c>
      <c r="I122" s="106">
        <v>81.9</v>
      </c>
      <c r="J122" s="106">
        <f t="shared" si="6"/>
        <v>48.28</v>
      </c>
      <c r="K122" s="106">
        <f t="shared" si="7"/>
        <v>22.1</v>
      </c>
    </row>
    <row r="123" s="76" customFormat="1" ht="21" customHeight="1" spans="1:11">
      <c r="A123" s="53" t="s">
        <v>132</v>
      </c>
      <c r="B123" s="54" t="s">
        <v>142</v>
      </c>
      <c r="C123" s="55" t="s">
        <v>147</v>
      </c>
      <c r="D123" s="55" t="s">
        <v>144</v>
      </c>
      <c r="E123" s="104" t="s">
        <v>145</v>
      </c>
      <c r="F123" s="55" t="s">
        <v>137</v>
      </c>
      <c r="G123" s="105">
        <v>18</v>
      </c>
      <c r="H123" s="106">
        <v>22.5</v>
      </c>
      <c r="I123" s="106">
        <v>84.1</v>
      </c>
      <c r="J123" s="106">
        <f t="shared" si="6"/>
        <v>49.6</v>
      </c>
      <c r="K123" s="106">
        <f t="shared" si="7"/>
        <v>22.7</v>
      </c>
    </row>
    <row r="124" s="76" customFormat="1" ht="21" customHeight="1" spans="1:11">
      <c r="A124" s="53" t="s">
        <v>132</v>
      </c>
      <c r="B124" s="54" t="s">
        <v>142</v>
      </c>
      <c r="C124" s="55" t="s">
        <v>147</v>
      </c>
      <c r="D124" s="55" t="s">
        <v>144</v>
      </c>
      <c r="E124" s="104" t="s">
        <v>145</v>
      </c>
      <c r="F124" s="55" t="s">
        <v>137</v>
      </c>
      <c r="G124" s="105">
        <v>19</v>
      </c>
      <c r="H124" s="106">
        <v>22.2</v>
      </c>
      <c r="I124" s="106">
        <v>83</v>
      </c>
      <c r="J124" s="106">
        <f t="shared" si="6"/>
        <v>48.94</v>
      </c>
      <c r="K124" s="106">
        <f t="shared" si="7"/>
        <v>22.4</v>
      </c>
    </row>
    <row r="125" s="76" customFormat="1" ht="21" customHeight="1" spans="1:11">
      <c r="A125" s="53" t="s">
        <v>132</v>
      </c>
      <c r="B125" s="54" t="s">
        <v>142</v>
      </c>
      <c r="C125" s="55" t="s">
        <v>147</v>
      </c>
      <c r="D125" s="55" t="s">
        <v>144</v>
      </c>
      <c r="E125" s="104" t="s">
        <v>145</v>
      </c>
      <c r="F125" s="55" t="s">
        <v>137</v>
      </c>
      <c r="G125" s="105">
        <v>20</v>
      </c>
      <c r="H125" s="106">
        <v>22.2</v>
      </c>
      <c r="I125" s="106">
        <v>83</v>
      </c>
      <c r="J125" s="106">
        <f t="shared" si="6"/>
        <v>48.94</v>
      </c>
      <c r="K125" s="106">
        <f t="shared" si="7"/>
        <v>22.4</v>
      </c>
    </row>
    <row r="126" s="76" customFormat="1" ht="21" customHeight="1" spans="1:11">
      <c r="A126" s="53" t="s">
        <v>132</v>
      </c>
      <c r="B126" s="54" t="s">
        <v>142</v>
      </c>
      <c r="C126" s="55" t="s">
        <v>147</v>
      </c>
      <c r="D126" s="55" t="s">
        <v>144</v>
      </c>
      <c r="E126" s="104" t="s">
        <v>145</v>
      </c>
      <c r="F126" s="55" t="s">
        <v>137</v>
      </c>
      <c r="G126" s="105">
        <v>21</v>
      </c>
      <c r="H126" s="106">
        <v>21.4</v>
      </c>
      <c r="I126" s="106">
        <v>80</v>
      </c>
      <c r="J126" s="106">
        <f t="shared" si="6"/>
        <v>47.18</v>
      </c>
      <c r="K126" s="106">
        <f t="shared" si="7"/>
        <v>21.6</v>
      </c>
    </row>
    <row r="127" s="76" customFormat="1" ht="21" customHeight="1" spans="1:11">
      <c r="A127" s="53" t="s">
        <v>132</v>
      </c>
      <c r="B127" s="54" t="s">
        <v>142</v>
      </c>
      <c r="C127" s="55" t="s">
        <v>147</v>
      </c>
      <c r="D127" s="55" t="s">
        <v>144</v>
      </c>
      <c r="E127" s="104" t="s">
        <v>145</v>
      </c>
      <c r="F127" s="55" t="s">
        <v>137</v>
      </c>
      <c r="G127" s="105">
        <v>22</v>
      </c>
      <c r="H127" s="106">
        <v>22.2</v>
      </c>
      <c r="I127" s="106">
        <v>83</v>
      </c>
      <c r="J127" s="106">
        <f t="shared" si="6"/>
        <v>48.94</v>
      </c>
      <c r="K127" s="106">
        <f t="shared" si="7"/>
        <v>22.4</v>
      </c>
    </row>
    <row r="128" s="76" customFormat="1" ht="21" customHeight="1" spans="1:11">
      <c r="A128" s="53" t="s">
        <v>132</v>
      </c>
      <c r="B128" s="54" t="s">
        <v>142</v>
      </c>
      <c r="C128" s="55" t="s">
        <v>147</v>
      </c>
      <c r="D128" s="55" t="s">
        <v>144</v>
      </c>
      <c r="E128" s="104" t="s">
        <v>145</v>
      </c>
      <c r="F128" s="55" t="s">
        <v>137</v>
      </c>
      <c r="G128" s="105">
        <v>23</v>
      </c>
      <c r="H128" s="106">
        <v>22.5</v>
      </c>
      <c r="I128" s="106">
        <v>84.1</v>
      </c>
      <c r="J128" s="106">
        <f t="shared" si="6"/>
        <v>49.6</v>
      </c>
      <c r="K128" s="106">
        <f t="shared" si="7"/>
        <v>22.7</v>
      </c>
    </row>
    <row r="129" s="76" customFormat="1" ht="21" customHeight="1" spans="1:11">
      <c r="A129" s="53" t="s">
        <v>132</v>
      </c>
      <c r="B129" s="54" t="s">
        <v>142</v>
      </c>
      <c r="C129" s="55" t="s">
        <v>147</v>
      </c>
      <c r="D129" s="55" t="s">
        <v>144</v>
      </c>
      <c r="E129" s="104" t="s">
        <v>145</v>
      </c>
      <c r="F129" s="55" t="s">
        <v>137</v>
      </c>
      <c r="G129" s="105">
        <v>24</v>
      </c>
      <c r="H129" s="106">
        <v>22.3</v>
      </c>
      <c r="I129" s="106">
        <v>83.3</v>
      </c>
      <c r="J129" s="106">
        <f t="shared" si="6"/>
        <v>49.16</v>
      </c>
      <c r="K129" s="106">
        <f t="shared" si="7"/>
        <v>22.5</v>
      </c>
    </row>
    <row r="130" s="76" customFormat="1" ht="21" customHeight="1" spans="1:11">
      <c r="A130" s="53" t="s">
        <v>132</v>
      </c>
      <c r="B130" s="54" t="s">
        <v>142</v>
      </c>
      <c r="C130" s="55" t="s">
        <v>147</v>
      </c>
      <c r="D130" s="55" t="s">
        <v>144</v>
      </c>
      <c r="E130" s="104" t="s">
        <v>145</v>
      </c>
      <c r="F130" s="55" t="s">
        <v>137</v>
      </c>
      <c r="G130" s="105">
        <v>25</v>
      </c>
      <c r="H130" s="106">
        <v>22.1</v>
      </c>
      <c r="I130" s="106">
        <v>82.6</v>
      </c>
      <c r="J130" s="106">
        <f t="shared" si="6"/>
        <v>48.72</v>
      </c>
      <c r="K130" s="106">
        <f t="shared" si="7"/>
        <v>22.3</v>
      </c>
    </row>
    <row r="131" s="76" customFormat="1" ht="21" customHeight="1" spans="1:11">
      <c r="A131" s="53" t="s">
        <v>132</v>
      </c>
      <c r="B131" s="54" t="s">
        <v>142</v>
      </c>
      <c r="C131" s="55" t="s">
        <v>147</v>
      </c>
      <c r="D131" s="55" t="s">
        <v>144</v>
      </c>
      <c r="E131" s="104" t="s">
        <v>145</v>
      </c>
      <c r="F131" s="55" t="s">
        <v>137</v>
      </c>
      <c r="G131" s="105">
        <v>26</v>
      </c>
      <c r="H131" s="106">
        <v>22.5</v>
      </c>
      <c r="I131" s="106">
        <v>84.1</v>
      </c>
      <c r="J131" s="106">
        <f t="shared" si="6"/>
        <v>49.6</v>
      </c>
      <c r="K131" s="106">
        <f t="shared" si="7"/>
        <v>22.7</v>
      </c>
    </row>
    <row r="132" s="76" customFormat="1" ht="21" customHeight="1" spans="1:11">
      <c r="A132" s="53" t="s">
        <v>132</v>
      </c>
      <c r="B132" s="54" t="s">
        <v>142</v>
      </c>
      <c r="C132" s="55" t="s">
        <v>147</v>
      </c>
      <c r="D132" s="55" t="s">
        <v>144</v>
      </c>
      <c r="E132" s="104" t="s">
        <v>145</v>
      </c>
      <c r="F132" s="55" t="s">
        <v>137</v>
      </c>
      <c r="G132" s="105">
        <v>27</v>
      </c>
      <c r="H132" s="106">
        <v>22.6</v>
      </c>
      <c r="I132" s="106">
        <v>84.5</v>
      </c>
      <c r="J132" s="106">
        <f t="shared" si="6"/>
        <v>49.82</v>
      </c>
      <c r="K132" s="106">
        <f t="shared" si="7"/>
        <v>22.8</v>
      </c>
    </row>
    <row r="133" s="76" customFormat="1" ht="21" customHeight="1" spans="1:11">
      <c r="A133" s="53" t="s">
        <v>132</v>
      </c>
      <c r="B133" s="54" t="s">
        <v>142</v>
      </c>
      <c r="C133" s="55" t="s">
        <v>147</v>
      </c>
      <c r="D133" s="55" t="s">
        <v>144</v>
      </c>
      <c r="E133" s="104" t="s">
        <v>145</v>
      </c>
      <c r="F133" s="55" t="s">
        <v>137</v>
      </c>
      <c r="G133" s="105">
        <v>28</v>
      </c>
      <c r="H133" s="106">
        <v>22.6</v>
      </c>
      <c r="I133" s="106">
        <v>84.5</v>
      </c>
      <c r="J133" s="106">
        <f t="shared" si="6"/>
        <v>49.82</v>
      </c>
      <c r="K133" s="106">
        <f t="shared" si="7"/>
        <v>22.8</v>
      </c>
    </row>
    <row r="134" s="76" customFormat="1" ht="21" customHeight="1" spans="1:11">
      <c r="A134" s="53" t="s">
        <v>132</v>
      </c>
      <c r="B134" s="54" t="s">
        <v>142</v>
      </c>
      <c r="C134" s="55" t="s">
        <v>147</v>
      </c>
      <c r="D134" s="55" t="s">
        <v>144</v>
      </c>
      <c r="E134" s="104" t="s">
        <v>145</v>
      </c>
      <c r="F134" s="55" t="s">
        <v>137</v>
      </c>
      <c r="G134" s="105">
        <v>29</v>
      </c>
      <c r="H134" s="106">
        <v>22.3</v>
      </c>
      <c r="I134" s="106">
        <v>83.3</v>
      </c>
      <c r="J134" s="106">
        <f t="shared" si="6"/>
        <v>49.16</v>
      </c>
      <c r="K134" s="106">
        <f t="shared" si="7"/>
        <v>22.5</v>
      </c>
    </row>
    <row r="135" s="76" customFormat="1" ht="21" customHeight="1" spans="1:11">
      <c r="A135" s="53" t="s">
        <v>132</v>
      </c>
      <c r="B135" s="54" t="s">
        <v>142</v>
      </c>
      <c r="C135" s="55" t="s">
        <v>147</v>
      </c>
      <c r="D135" s="55" t="s">
        <v>144</v>
      </c>
      <c r="E135" s="104" t="s">
        <v>145</v>
      </c>
      <c r="F135" s="55" t="s">
        <v>137</v>
      </c>
      <c r="G135" s="105">
        <v>30</v>
      </c>
      <c r="H135" s="106">
        <v>22.1</v>
      </c>
      <c r="I135" s="106">
        <v>82.6</v>
      </c>
      <c r="J135" s="106">
        <f t="shared" si="6"/>
        <v>48.72</v>
      </c>
      <c r="K135" s="106">
        <f t="shared" si="7"/>
        <v>22.3</v>
      </c>
    </row>
    <row r="136" s="76" customFormat="1" ht="21" customHeight="1" spans="1:11">
      <c r="A136" s="53" t="s">
        <v>132</v>
      </c>
      <c r="B136" s="54" t="s">
        <v>142</v>
      </c>
      <c r="C136" s="55" t="s">
        <v>147</v>
      </c>
      <c r="D136" s="55" t="s">
        <v>144</v>
      </c>
      <c r="E136" s="104" t="s">
        <v>145</v>
      </c>
      <c r="F136" s="55" t="s">
        <v>137</v>
      </c>
      <c r="G136" s="105">
        <v>31</v>
      </c>
      <c r="H136" s="106">
        <v>22.5</v>
      </c>
      <c r="I136" s="106">
        <v>84.1</v>
      </c>
      <c r="J136" s="106">
        <f t="shared" si="6"/>
        <v>49.6</v>
      </c>
      <c r="K136" s="106">
        <f t="shared" si="7"/>
        <v>22.7</v>
      </c>
    </row>
    <row r="137" s="76" customFormat="1" ht="21" customHeight="1" spans="1:11">
      <c r="A137" s="53" t="s">
        <v>132</v>
      </c>
      <c r="B137" s="54" t="s">
        <v>142</v>
      </c>
      <c r="C137" s="55" t="s">
        <v>147</v>
      </c>
      <c r="D137" s="55" t="s">
        <v>144</v>
      </c>
      <c r="E137" s="104" t="s">
        <v>145</v>
      </c>
      <c r="F137" s="55" t="s">
        <v>137</v>
      </c>
      <c r="G137" s="105">
        <v>32</v>
      </c>
      <c r="H137" s="106">
        <v>21.4</v>
      </c>
      <c r="I137" s="106">
        <v>80</v>
      </c>
      <c r="J137" s="106">
        <f t="shared" si="6"/>
        <v>47.18</v>
      </c>
      <c r="K137" s="106">
        <f t="shared" si="7"/>
        <v>21.6</v>
      </c>
    </row>
    <row r="138" s="77" customFormat="1" ht="21" customHeight="1" spans="1:11">
      <c r="A138" s="107"/>
      <c r="B138" s="108"/>
      <c r="C138" s="109" t="s">
        <v>138</v>
      </c>
      <c r="D138" s="109"/>
      <c r="E138" s="109"/>
      <c r="F138" s="110"/>
      <c r="G138" s="111">
        <f>COUNT(G106:G137)</f>
        <v>32</v>
      </c>
      <c r="H138" s="112">
        <f>SUM(H106:H137)</f>
        <v>709.7</v>
      </c>
      <c r="I138" s="112">
        <f>SUM(I106:I137)</f>
        <v>2652.7</v>
      </c>
      <c r="J138" s="112">
        <f>SUM(J106:J137)</f>
        <v>1564.54</v>
      </c>
      <c r="K138" s="112">
        <f>SUM(K106:K137)</f>
        <v>716.1</v>
      </c>
    </row>
    <row r="139" s="76" customFormat="1" ht="21" customHeight="1" spans="1:11">
      <c r="A139" s="53" t="s">
        <v>132</v>
      </c>
      <c r="B139" s="54" t="s">
        <v>142</v>
      </c>
      <c r="C139" s="55" t="s">
        <v>148</v>
      </c>
      <c r="D139" s="55" t="s">
        <v>144</v>
      </c>
      <c r="E139" s="104" t="s">
        <v>145</v>
      </c>
      <c r="F139" s="55" t="s">
        <v>137</v>
      </c>
      <c r="G139" s="105">
        <v>1</v>
      </c>
      <c r="H139" s="106">
        <v>22</v>
      </c>
      <c r="I139" s="106">
        <v>82.2</v>
      </c>
      <c r="J139" s="106">
        <f t="shared" ref="J139:J170" si="8">ROUND(H139*2.2046,2)</f>
        <v>48.5</v>
      </c>
      <c r="K139" s="106">
        <f t="shared" ref="K139:K170" si="9">H139+0.2</f>
        <v>22.2</v>
      </c>
    </row>
    <row r="140" s="76" customFormat="1" ht="21" customHeight="1" spans="1:11">
      <c r="A140" s="53" t="s">
        <v>132</v>
      </c>
      <c r="B140" s="54" t="s">
        <v>142</v>
      </c>
      <c r="C140" s="55" t="s">
        <v>148</v>
      </c>
      <c r="D140" s="55" t="s">
        <v>144</v>
      </c>
      <c r="E140" s="104" t="s">
        <v>145</v>
      </c>
      <c r="F140" s="55" t="s">
        <v>137</v>
      </c>
      <c r="G140" s="105">
        <v>2</v>
      </c>
      <c r="H140" s="106">
        <v>19.7</v>
      </c>
      <c r="I140" s="106">
        <v>73.6</v>
      </c>
      <c r="J140" s="106">
        <f t="shared" si="8"/>
        <v>43.43</v>
      </c>
      <c r="K140" s="106">
        <f t="shared" si="9"/>
        <v>19.9</v>
      </c>
    </row>
    <row r="141" s="76" customFormat="1" ht="21" customHeight="1" spans="1:11">
      <c r="A141" s="53" t="s">
        <v>132</v>
      </c>
      <c r="B141" s="54" t="s">
        <v>142</v>
      </c>
      <c r="C141" s="55" t="s">
        <v>148</v>
      </c>
      <c r="D141" s="55" t="s">
        <v>144</v>
      </c>
      <c r="E141" s="104" t="s">
        <v>145</v>
      </c>
      <c r="F141" s="55" t="s">
        <v>137</v>
      </c>
      <c r="G141" s="105">
        <v>3</v>
      </c>
      <c r="H141" s="106">
        <v>21.5</v>
      </c>
      <c r="I141" s="106">
        <v>80.4</v>
      </c>
      <c r="J141" s="106">
        <f t="shared" si="8"/>
        <v>47.4</v>
      </c>
      <c r="K141" s="106">
        <f t="shared" si="9"/>
        <v>21.7</v>
      </c>
    </row>
    <row r="142" s="76" customFormat="1" ht="21" customHeight="1" spans="1:11">
      <c r="A142" s="53" t="s">
        <v>132</v>
      </c>
      <c r="B142" s="54" t="s">
        <v>142</v>
      </c>
      <c r="C142" s="55" t="s">
        <v>148</v>
      </c>
      <c r="D142" s="55" t="s">
        <v>144</v>
      </c>
      <c r="E142" s="104" t="s">
        <v>145</v>
      </c>
      <c r="F142" s="55" t="s">
        <v>137</v>
      </c>
      <c r="G142" s="105">
        <v>4</v>
      </c>
      <c r="H142" s="106">
        <v>22.2</v>
      </c>
      <c r="I142" s="106">
        <v>83</v>
      </c>
      <c r="J142" s="106">
        <f t="shared" si="8"/>
        <v>48.94</v>
      </c>
      <c r="K142" s="106">
        <f t="shared" si="9"/>
        <v>22.4</v>
      </c>
    </row>
    <row r="143" s="76" customFormat="1" ht="21" customHeight="1" spans="1:11">
      <c r="A143" s="53" t="s">
        <v>132</v>
      </c>
      <c r="B143" s="54" t="s">
        <v>142</v>
      </c>
      <c r="C143" s="55" t="s">
        <v>148</v>
      </c>
      <c r="D143" s="55" t="s">
        <v>144</v>
      </c>
      <c r="E143" s="104" t="s">
        <v>145</v>
      </c>
      <c r="F143" s="55" t="s">
        <v>137</v>
      </c>
      <c r="G143" s="105">
        <v>5</v>
      </c>
      <c r="H143" s="106">
        <v>22</v>
      </c>
      <c r="I143" s="106">
        <v>82.2</v>
      </c>
      <c r="J143" s="106">
        <f t="shared" si="8"/>
        <v>48.5</v>
      </c>
      <c r="K143" s="106">
        <f t="shared" si="9"/>
        <v>22.2</v>
      </c>
    </row>
    <row r="144" s="76" customFormat="1" ht="21" customHeight="1" spans="1:11">
      <c r="A144" s="53" t="s">
        <v>132</v>
      </c>
      <c r="B144" s="54" t="s">
        <v>142</v>
      </c>
      <c r="C144" s="55" t="s">
        <v>148</v>
      </c>
      <c r="D144" s="55" t="s">
        <v>144</v>
      </c>
      <c r="E144" s="104" t="s">
        <v>145</v>
      </c>
      <c r="F144" s="55" t="s">
        <v>137</v>
      </c>
      <c r="G144" s="105">
        <v>6</v>
      </c>
      <c r="H144" s="106">
        <v>21.9</v>
      </c>
      <c r="I144" s="106">
        <v>81.9</v>
      </c>
      <c r="J144" s="106">
        <f t="shared" si="8"/>
        <v>48.28</v>
      </c>
      <c r="K144" s="106">
        <f t="shared" si="9"/>
        <v>22.1</v>
      </c>
    </row>
    <row r="145" s="76" customFormat="1" ht="21" customHeight="1" spans="1:11">
      <c r="A145" s="53" t="s">
        <v>132</v>
      </c>
      <c r="B145" s="54" t="s">
        <v>142</v>
      </c>
      <c r="C145" s="55" t="s">
        <v>148</v>
      </c>
      <c r="D145" s="55" t="s">
        <v>144</v>
      </c>
      <c r="E145" s="104" t="s">
        <v>145</v>
      </c>
      <c r="F145" s="55" t="s">
        <v>137</v>
      </c>
      <c r="G145" s="105">
        <v>7</v>
      </c>
      <c r="H145" s="106">
        <v>21.7</v>
      </c>
      <c r="I145" s="106">
        <v>81.1</v>
      </c>
      <c r="J145" s="106">
        <f t="shared" si="8"/>
        <v>47.84</v>
      </c>
      <c r="K145" s="106">
        <f t="shared" si="9"/>
        <v>21.9</v>
      </c>
    </row>
    <row r="146" s="76" customFormat="1" ht="21" customHeight="1" spans="1:11">
      <c r="A146" s="53" t="s">
        <v>132</v>
      </c>
      <c r="B146" s="54" t="s">
        <v>142</v>
      </c>
      <c r="C146" s="55" t="s">
        <v>148</v>
      </c>
      <c r="D146" s="55" t="s">
        <v>144</v>
      </c>
      <c r="E146" s="104" t="s">
        <v>145</v>
      </c>
      <c r="F146" s="55" t="s">
        <v>137</v>
      </c>
      <c r="G146" s="105">
        <v>8</v>
      </c>
      <c r="H146" s="106">
        <v>22.3</v>
      </c>
      <c r="I146" s="106">
        <v>83.3</v>
      </c>
      <c r="J146" s="106">
        <f t="shared" si="8"/>
        <v>49.16</v>
      </c>
      <c r="K146" s="106">
        <f t="shared" si="9"/>
        <v>22.5</v>
      </c>
    </row>
    <row r="147" s="76" customFormat="1" ht="21" customHeight="1" spans="1:11">
      <c r="A147" s="53" t="s">
        <v>132</v>
      </c>
      <c r="B147" s="54" t="s">
        <v>142</v>
      </c>
      <c r="C147" s="55" t="s">
        <v>148</v>
      </c>
      <c r="D147" s="55" t="s">
        <v>144</v>
      </c>
      <c r="E147" s="104" t="s">
        <v>145</v>
      </c>
      <c r="F147" s="55" t="s">
        <v>137</v>
      </c>
      <c r="G147" s="105">
        <v>9</v>
      </c>
      <c r="H147" s="106">
        <v>22.4</v>
      </c>
      <c r="I147" s="106">
        <v>83.7</v>
      </c>
      <c r="J147" s="106">
        <f t="shared" si="8"/>
        <v>49.38</v>
      </c>
      <c r="K147" s="106">
        <f t="shared" si="9"/>
        <v>22.6</v>
      </c>
    </row>
    <row r="148" s="76" customFormat="1" ht="21" customHeight="1" spans="1:11">
      <c r="A148" s="53" t="s">
        <v>132</v>
      </c>
      <c r="B148" s="54" t="s">
        <v>142</v>
      </c>
      <c r="C148" s="55" t="s">
        <v>148</v>
      </c>
      <c r="D148" s="55" t="s">
        <v>144</v>
      </c>
      <c r="E148" s="104" t="s">
        <v>145</v>
      </c>
      <c r="F148" s="55" t="s">
        <v>137</v>
      </c>
      <c r="G148" s="105">
        <v>10</v>
      </c>
      <c r="H148" s="106">
        <v>22.8</v>
      </c>
      <c r="I148" s="106">
        <v>85.2</v>
      </c>
      <c r="J148" s="106">
        <f t="shared" si="8"/>
        <v>50.26</v>
      </c>
      <c r="K148" s="106">
        <f t="shared" si="9"/>
        <v>23</v>
      </c>
    </row>
    <row r="149" s="76" customFormat="1" ht="21" customHeight="1" spans="1:11">
      <c r="A149" s="53" t="s">
        <v>132</v>
      </c>
      <c r="B149" s="54" t="s">
        <v>142</v>
      </c>
      <c r="C149" s="55" t="s">
        <v>148</v>
      </c>
      <c r="D149" s="55" t="s">
        <v>144</v>
      </c>
      <c r="E149" s="104" t="s">
        <v>145</v>
      </c>
      <c r="F149" s="55" t="s">
        <v>137</v>
      </c>
      <c r="G149" s="105">
        <v>11</v>
      </c>
      <c r="H149" s="106">
        <v>17.6</v>
      </c>
      <c r="I149" s="106">
        <v>65.8</v>
      </c>
      <c r="J149" s="106">
        <f t="shared" si="8"/>
        <v>38.8</v>
      </c>
      <c r="K149" s="106">
        <f t="shared" si="9"/>
        <v>17.8</v>
      </c>
    </row>
    <row r="150" s="76" customFormat="1" ht="21" customHeight="1" spans="1:11">
      <c r="A150" s="53" t="s">
        <v>132</v>
      </c>
      <c r="B150" s="54" t="s">
        <v>142</v>
      </c>
      <c r="C150" s="55" t="s">
        <v>148</v>
      </c>
      <c r="D150" s="55" t="s">
        <v>144</v>
      </c>
      <c r="E150" s="104" t="s">
        <v>145</v>
      </c>
      <c r="F150" s="55" t="s">
        <v>137</v>
      </c>
      <c r="G150" s="105">
        <v>12</v>
      </c>
      <c r="H150" s="106">
        <v>24.1</v>
      </c>
      <c r="I150" s="106">
        <v>90.1</v>
      </c>
      <c r="J150" s="106">
        <f t="shared" si="8"/>
        <v>53.13</v>
      </c>
      <c r="K150" s="106">
        <f t="shared" si="9"/>
        <v>24.3</v>
      </c>
    </row>
    <row r="151" s="76" customFormat="1" ht="21" customHeight="1" spans="1:11">
      <c r="A151" s="53" t="s">
        <v>132</v>
      </c>
      <c r="B151" s="54" t="s">
        <v>142</v>
      </c>
      <c r="C151" s="55" t="s">
        <v>148</v>
      </c>
      <c r="D151" s="55" t="s">
        <v>144</v>
      </c>
      <c r="E151" s="104" t="s">
        <v>145</v>
      </c>
      <c r="F151" s="55" t="s">
        <v>137</v>
      </c>
      <c r="G151" s="105">
        <v>13</v>
      </c>
      <c r="H151" s="106">
        <v>14.6</v>
      </c>
      <c r="I151" s="106">
        <v>54.6</v>
      </c>
      <c r="J151" s="106">
        <f t="shared" si="8"/>
        <v>32.19</v>
      </c>
      <c r="K151" s="106">
        <f t="shared" si="9"/>
        <v>14.8</v>
      </c>
    </row>
    <row r="152" s="76" customFormat="1" ht="21" customHeight="1" spans="1:11">
      <c r="A152" s="53" t="s">
        <v>132</v>
      </c>
      <c r="B152" s="54" t="s">
        <v>142</v>
      </c>
      <c r="C152" s="55" t="s">
        <v>148</v>
      </c>
      <c r="D152" s="55" t="s">
        <v>144</v>
      </c>
      <c r="E152" s="104" t="s">
        <v>145</v>
      </c>
      <c r="F152" s="55" t="s">
        <v>137</v>
      </c>
      <c r="G152" s="105">
        <v>14</v>
      </c>
      <c r="H152" s="106">
        <v>19.8</v>
      </c>
      <c r="I152" s="106">
        <v>74</v>
      </c>
      <c r="J152" s="106">
        <f t="shared" si="8"/>
        <v>43.65</v>
      </c>
      <c r="K152" s="106">
        <f t="shared" si="9"/>
        <v>20</v>
      </c>
    </row>
    <row r="153" s="76" customFormat="1" ht="21" customHeight="1" spans="1:11">
      <c r="A153" s="53" t="s">
        <v>132</v>
      </c>
      <c r="B153" s="54" t="s">
        <v>142</v>
      </c>
      <c r="C153" s="55" t="s">
        <v>148</v>
      </c>
      <c r="D153" s="55" t="s">
        <v>144</v>
      </c>
      <c r="E153" s="104" t="s">
        <v>145</v>
      </c>
      <c r="F153" s="55" t="s">
        <v>137</v>
      </c>
      <c r="G153" s="105">
        <v>15</v>
      </c>
      <c r="H153" s="106">
        <v>22.8</v>
      </c>
      <c r="I153" s="106">
        <v>85.2</v>
      </c>
      <c r="J153" s="106">
        <f t="shared" si="8"/>
        <v>50.26</v>
      </c>
      <c r="K153" s="106">
        <f t="shared" si="9"/>
        <v>23</v>
      </c>
    </row>
    <row r="154" s="76" customFormat="1" ht="21" customHeight="1" spans="1:11">
      <c r="A154" s="53" t="s">
        <v>132</v>
      </c>
      <c r="B154" s="54" t="s">
        <v>142</v>
      </c>
      <c r="C154" s="55" t="s">
        <v>148</v>
      </c>
      <c r="D154" s="55" t="s">
        <v>144</v>
      </c>
      <c r="E154" s="104" t="s">
        <v>145</v>
      </c>
      <c r="F154" s="55" t="s">
        <v>137</v>
      </c>
      <c r="G154" s="105">
        <v>16</v>
      </c>
      <c r="H154" s="106">
        <v>22.6</v>
      </c>
      <c r="I154" s="106">
        <v>84.5</v>
      </c>
      <c r="J154" s="106">
        <f t="shared" si="8"/>
        <v>49.82</v>
      </c>
      <c r="K154" s="106">
        <f t="shared" si="9"/>
        <v>22.8</v>
      </c>
    </row>
    <row r="155" s="76" customFormat="1" ht="21" customHeight="1" spans="1:11">
      <c r="A155" s="53" t="s">
        <v>132</v>
      </c>
      <c r="B155" s="54" t="s">
        <v>142</v>
      </c>
      <c r="C155" s="55" t="s">
        <v>148</v>
      </c>
      <c r="D155" s="55" t="s">
        <v>144</v>
      </c>
      <c r="E155" s="104" t="s">
        <v>145</v>
      </c>
      <c r="F155" s="55" t="s">
        <v>137</v>
      </c>
      <c r="G155" s="105">
        <v>17</v>
      </c>
      <c r="H155" s="106">
        <v>22.6</v>
      </c>
      <c r="I155" s="106">
        <v>84.5</v>
      </c>
      <c r="J155" s="106">
        <f t="shared" si="8"/>
        <v>49.82</v>
      </c>
      <c r="K155" s="106">
        <f t="shared" si="9"/>
        <v>22.8</v>
      </c>
    </row>
    <row r="156" s="76" customFormat="1" ht="21" customHeight="1" spans="1:11">
      <c r="A156" s="53" t="s">
        <v>132</v>
      </c>
      <c r="B156" s="54" t="s">
        <v>142</v>
      </c>
      <c r="C156" s="55" t="s">
        <v>148</v>
      </c>
      <c r="D156" s="55" t="s">
        <v>144</v>
      </c>
      <c r="E156" s="104" t="s">
        <v>145</v>
      </c>
      <c r="F156" s="55" t="s">
        <v>137</v>
      </c>
      <c r="G156" s="105">
        <v>18</v>
      </c>
      <c r="H156" s="106">
        <v>22.3</v>
      </c>
      <c r="I156" s="106">
        <v>83.3</v>
      </c>
      <c r="J156" s="106">
        <f t="shared" si="8"/>
        <v>49.16</v>
      </c>
      <c r="K156" s="106">
        <f t="shared" si="9"/>
        <v>22.5</v>
      </c>
    </row>
    <row r="157" s="76" customFormat="1" ht="21" customHeight="1" spans="1:11">
      <c r="A157" s="53" t="s">
        <v>132</v>
      </c>
      <c r="B157" s="54" t="s">
        <v>142</v>
      </c>
      <c r="C157" s="55" t="s">
        <v>148</v>
      </c>
      <c r="D157" s="55" t="s">
        <v>144</v>
      </c>
      <c r="E157" s="104" t="s">
        <v>145</v>
      </c>
      <c r="F157" s="55" t="s">
        <v>137</v>
      </c>
      <c r="G157" s="105">
        <v>19</v>
      </c>
      <c r="H157" s="106">
        <v>22</v>
      </c>
      <c r="I157" s="106">
        <v>82.2</v>
      </c>
      <c r="J157" s="106">
        <f t="shared" si="8"/>
        <v>48.5</v>
      </c>
      <c r="K157" s="106">
        <f t="shared" si="9"/>
        <v>22.2</v>
      </c>
    </row>
    <row r="158" s="76" customFormat="1" ht="21" customHeight="1" spans="1:11">
      <c r="A158" s="53" t="s">
        <v>132</v>
      </c>
      <c r="B158" s="54" t="s">
        <v>142</v>
      </c>
      <c r="C158" s="55" t="s">
        <v>148</v>
      </c>
      <c r="D158" s="55" t="s">
        <v>144</v>
      </c>
      <c r="E158" s="104" t="s">
        <v>145</v>
      </c>
      <c r="F158" s="55" t="s">
        <v>137</v>
      </c>
      <c r="G158" s="105">
        <v>20</v>
      </c>
      <c r="H158" s="106">
        <v>21.3</v>
      </c>
      <c r="I158" s="106">
        <v>79.6</v>
      </c>
      <c r="J158" s="106">
        <f t="shared" si="8"/>
        <v>46.96</v>
      </c>
      <c r="K158" s="106">
        <f t="shared" si="9"/>
        <v>21.5</v>
      </c>
    </row>
    <row r="159" s="76" customFormat="1" ht="21" customHeight="1" spans="1:11">
      <c r="A159" s="53" t="s">
        <v>132</v>
      </c>
      <c r="B159" s="54" t="s">
        <v>142</v>
      </c>
      <c r="C159" s="55" t="s">
        <v>148</v>
      </c>
      <c r="D159" s="55" t="s">
        <v>144</v>
      </c>
      <c r="E159" s="104" t="s">
        <v>145</v>
      </c>
      <c r="F159" s="55" t="s">
        <v>137</v>
      </c>
      <c r="G159" s="105">
        <v>21</v>
      </c>
      <c r="H159" s="106">
        <v>21.5</v>
      </c>
      <c r="I159" s="106">
        <v>80.4</v>
      </c>
      <c r="J159" s="106">
        <f t="shared" si="8"/>
        <v>47.4</v>
      </c>
      <c r="K159" s="106">
        <f t="shared" si="9"/>
        <v>21.7</v>
      </c>
    </row>
    <row r="160" s="76" customFormat="1" ht="21" customHeight="1" spans="1:11">
      <c r="A160" s="53" t="s">
        <v>132</v>
      </c>
      <c r="B160" s="54" t="s">
        <v>142</v>
      </c>
      <c r="C160" s="55" t="s">
        <v>148</v>
      </c>
      <c r="D160" s="55" t="s">
        <v>144</v>
      </c>
      <c r="E160" s="104" t="s">
        <v>145</v>
      </c>
      <c r="F160" s="55" t="s">
        <v>137</v>
      </c>
      <c r="G160" s="105">
        <v>22</v>
      </c>
      <c r="H160" s="106">
        <v>22</v>
      </c>
      <c r="I160" s="106">
        <v>82.2</v>
      </c>
      <c r="J160" s="106">
        <f t="shared" si="8"/>
        <v>48.5</v>
      </c>
      <c r="K160" s="106">
        <f t="shared" si="9"/>
        <v>22.2</v>
      </c>
    </row>
    <row r="161" s="76" customFormat="1" ht="21" customHeight="1" spans="1:11">
      <c r="A161" s="53" t="s">
        <v>132</v>
      </c>
      <c r="B161" s="54" t="s">
        <v>142</v>
      </c>
      <c r="C161" s="55" t="s">
        <v>148</v>
      </c>
      <c r="D161" s="55" t="s">
        <v>144</v>
      </c>
      <c r="E161" s="104" t="s">
        <v>145</v>
      </c>
      <c r="F161" s="55" t="s">
        <v>137</v>
      </c>
      <c r="G161" s="105">
        <v>23</v>
      </c>
      <c r="H161" s="106">
        <v>19.8</v>
      </c>
      <c r="I161" s="106">
        <v>74</v>
      </c>
      <c r="J161" s="106">
        <f t="shared" si="8"/>
        <v>43.65</v>
      </c>
      <c r="K161" s="106">
        <f t="shared" si="9"/>
        <v>20</v>
      </c>
    </row>
    <row r="162" s="76" customFormat="1" ht="21" customHeight="1" spans="1:11">
      <c r="A162" s="53" t="s">
        <v>132</v>
      </c>
      <c r="B162" s="54" t="s">
        <v>142</v>
      </c>
      <c r="C162" s="55" t="s">
        <v>148</v>
      </c>
      <c r="D162" s="55" t="s">
        <v>144</v>
      </c>
      <c r="E162" s="104" t="s">
        <v>145</v>
      </c>
      <c r="F162" s="55" t="s">
        <v>137</v>
      </c>
      <c r="G162" s="105">
        <v>24</v>
      </c>
      <c r="H162" s="106">
        <v>22</v>
      </c>
      <c r="I162" s="106">
        <v>82.2</v>
      </c>
      <c r="J162" s="106">
        <f t="shared" si="8"/>
        <v>48.5</v>
      </c>
      <c r="K162" s="106">
        <f t="shared" si="9"/>
        <v>22.2</v>
      </c>
    </row>
    <row r="163" s="76" customFormat="1" ht="21" customHeight="1" spans="1:11">
      <c r="A163" s="53" t="s">
        <v>132</v>
      </c>
      <c r="B163" s="54" t="s">
        <v>142</v>
      </c>
      <c r="C163" s="55" t="s">
        <v>148</v>
      </c>
      <c r="D163" s="55" t="s">
        <v>144</v>
      </c>
      <c r="E163" s="104" t="s">
        <v>145</v>
      </c>
      <c r="F163" s="55" t="s">
        <v>137</v>
      </c>
      <c r="G163" s="105">
        <v>25</v>
      </c>
      <c r="H163" s="106">
        <v>22.4</v>
      </c>
      <c r="I163" s="106">
        <v>83.7</v>
      </c>
      <c r="J163" s="106">
        <f t="shared" si="8"/>
        <v>49.38</v>
      </c>
      <c r="K163" s="106">
        <f t="shared" si="9"/>
        <v>22.6</v>
      </c>
    </row>
    <row r="164" s="76" customFormat="1" ht="21" customHeight="1" spans="1:11">
      <c r="A164" s="53" t="s">
        <v>132</v>
      </c>
      <c r="B164" s="54" t="s">
        <v>142</v>
      </c>
      <c r="C164" s="55" t="s">
        <v>148</v>
      </c>
      <c r="D164" s="55" t="s">
        <v>144</v>
      </c>
      <c r="E164" s="104" t="s">
        <v>145</v>
      </c>
      <c r="F164" s="55" t="s">
        <v>137</v>
      </c>
      <c r="G164" s="105">
        <v>26</v>
      </c>
      <c r="H164" s="106">
        <v>22.7</v>
      </c>
      <c r="I164" s="106">
        <v>84.8</v>
      </c>
      <c r="J164" s="106">
        <f t="shared" si="8"/>
        <v>50.04</v>
      </c>
      <c r="K164" s="106">
        <f t="shared" si="9"/>
        <v>22.9</v>
      </c>
    </row>
    <row r="165" s="76" customFormat="1" ht="21" customHeight="1" spans="1:11">
      <c r="A165" s="53" t="s">
        <v>132</v>
      </c>
      <c r="B165" s="54" t="s">
        <v>142</v>
      </c>
      <c r="C165" s="55" t="s">
        <v>148</v>
      </c>
      <c r="D165" s="55" t="s">
        <v>144</v>
      </c>
      <c r="E165" s="104" t="s">
        <v>145</v>
      </c>
      <c r="F165" s="55" t="s">
        <v>137</v>
      </c>
      <c r="G165" s="105">
        <v>27</v>
      </c>
      <c r="H165" s="106">
        <v>22.4</v>
      </c>
      <c r="I165" s="106">
        <v>83.7</v>
      </c>
      <c r="J165" s="106">
        <f t="shared" si="8"/>
        <v>49.38</v>
      </c>
      <c r="K165" s="106">
        <f t="shared" si="9"/>
        <v>22.6</v>
      </c>
    </row>
    <row r="166" s="76" customFormat="1" ht="21" customHeight="1" spans="1:11">
      <c r="A166" s="53" t="s">
        <v>132</v>
      </c>
      <c r="B166" s="54" t="s">
        <v>142</v>
      </c>
      <c r="C166" s="55" t="s">
        <v>148</v>
      </c>
      <c r="D166" s="55" t="s">
        <v>144</v>
      </c>
      <c r="E166" s="104" t="s">
        <v>145</v>
      </c>
      <c r="F166" s="55" t="s">
        <v>137</v>
      </c>
      <c r="G166" s="105">
        <v>28</v>
      </c>
      <c r="H166" s="106">
        <v>22.2</v>
      </c>
      <c r="I166" s="106">
        <v>83</v>
      </c>
      <c r="J166" s="106">
        <f t="shared" si="8"/>
        <v>48.94</v>
      </c>
      <c r="K166" s="106">
        <f t="shared" si="9"/>
        <v>22.4</v>
      </c>
    </row>
    <row r="167" s="76" customFormat="1" ht="21" customHeight="1" spans="1:11">
      <c r="A167" s="53" t="s">
        <v>132</v>
      </c>
      <c r="B167" s="54" t="s">
        <v>142</v>
      </c>
      <c r="C167" s="55" t="s">
        <v>148</v>
      </c>
      <c r="D167" s="55" t="s">
        <v>144</v>
      </c>
      <c r="E167" s="104" t="s">
        <v>145</v>
      </c>
      <c r="F167" s="55" t="s">
        <v>137</v>
      </c>
      <c r="G167" s="105">
        <v>29</v>
      </c>
      <c r="H167" s="106">
        <v>22.6</v>
      </c>
      <c r="I167" s="106">
        <v>84.5</v>
      </c>
      <c r="J167" s="106">
        <f t="shared" si="8"/>
        <v>49.82</v>
      </c>
      <c r="K167" s="106">
        <f t="shared" si="9"/>
        <v>22.8</v>
      </c>
    </row>
    <row r="168" s="76" customFormat="1" ht="21" customHeight="1" spans="1:11">
      <c r="A168" s="53" t="s">
        <v>132</v>
      </c>
      <c r="B168" s="54" t="s">
        <v>142</v>
      </c>
      <c r="C168" s="55" t="s">
        <v>148</v>
      </c>
      <c r="D168" s="55" t="s">
        <v>144</v>
      </c>
      <c r="E168" s="104" t="s">
        <v>145</v>
      </c>
      <c r="F168" s="55" t="s">
        <v>137</v>
      </c>
      <c r="G168" s="105">
        <v>30</v>
      </c>
      <c r="H168" s="106">
        <v>22.7</v>
      </c>
      <c r="I168" s="106">
        <v>84.8</v>
      </c>
      <c r="J168" s="106">
        <f t="shared" si="8"/>
        <v>50.04</v>
      </c>
      <c r="K168" s="106">
        <f t="shared" si="9"/>
        <v>22.9</v>
      </c>
    </row>
    <row r="169" s="77" customFormat="1" ht="21" customHeight="1" spans="1:11">
      <c r="A169" s="107"/>
      <c r="B169" s="108"/>
      <c r="C169" s="109" t="s">
        <v>138</v>
      </c>
      <c r="D169" s="109"/>
      <c r="E169" s="109"/>
      <c r="F169" s="110"/>
      <c r="G169" s="111">
        <f>COUNT(G139:G168)</f>
        <v>30</v>
      </c>
      <c r="H169" s="112">
        <f>SUM(H139:H168)</f>
        <v>648.5</v>
      </c>
      <c r="I169" s="112">
        <f>SUM(I139:I168)</f>
        <v>2423.7</v>
      </c>
      <c r="J169" s="112">
        <f>SUM(J139:J168)</f>
        <v>1429.63</v>
      </c>
      <c r="K169" s="112">
        <f>SUM(K139:K168)</f>
        <v>654.5</v>
      </c>
    </row>
    <row r="170" s="76" customFormat="1" ht="21" customHeight="1" spans="1:11">
      <c r="A170" s="53" t="s">
        <v>132</v>
      </c>
      <c r="B170" s="54" t="s">
        <v>149</v>
      </c>
      <c r="C170" s="55" t="s">
        <v>150</v>
      </c>
      <c r="D170" s="55" t="s">
        <v>151</v>
      </c>
      <c r="E170" s="104" t="s">
        <v>152</v>
      </c>
      <c r="F170" s="55" t="s">
        <v>153</v>
      </c>
      <c r="G170" s="105">
        <v>1</v>
      </c>
      <c r="H170" s="106">
        <v>22.1</v>
      </c>
      <c r="I170" s="106">
        <v>107.2</v>
      </c>
      <c r="J170" s="106">
        <f t="shared" ref="J170:J176" si="10">ROUND(H170*2.2046,2)</f>
        <v>48.72</v>
      </c>
      <c r="K170" s="106">
        <f t="shared" ref="K170:K176" si="11">H170+0.2</f>
        <v>22.3</v>
      </c>
    </row>
    <row r="171" s="76" customFormat="1" ht="21" customHeight="1" spans="1:11">
      <c r="A171" s="53" t="s">
        <v>132</v>
      </c>
      <c r="B171" s="54" t="s">
        <v>149</v>
      </c>
      <c r="C171" s="55" t="s">
        <v>150</v>
      </c>
      <c r="D171" s="55" t="s">
        <v>151</v>
      </c>
      <c r="E171" s="104" t="s">
        <v>152</v>
      </c>
      <c r="F171" s="55" t="s">
        <v>153</v>
      </c>
      <c r="G171" s="105">
        <v>2</v>
      </c>
      <c r="H171" s="106">
        <v>22.2</v>
      </c>
      <c r="I171" s="106">
        <v>107.7</v>
      </c>
      <c r="J171" s="106">
        <f t="shared" si="10"/>
        <v>48.94</v>
      </c>
      <c r="K171" s="106">
        <f t="shared" si="11"/>
        <v>22.4</v>
      </c>
    </row>
    <row r="172" s="76" customFormat="1" ht="21" customHeight="1" spans="1:11">
      <c r="A172" s="53" t="s">
        <v>132</v>
      </c>
      <c r="B172" s="54" t="s">
        <v>149</v>
      </c>
      <c r="C172" s="55" t="s">
        <v>150</v>
      </c>
      <c r="D172" s="55" t="s">
        <v>151</v>
      </c>
      <c r="E172" s="104" t="s">
        <v>152</v>
      </c>
      <c r="F172" s="55" t="s">
        <v>153</v>
      </c>
      <c r="G172" s="105">
        <v>3</v>
      </c>
      <c r="H172" s="106">
        <v>21.9</v>
      </c>
      <c r="I172" s="106">
        <v>106.2</v>
      </c>
      <c r="J172" s="106">
        <f t="shared" si="10"/>
        <v>48.28</v>
      </c>
      <c r="K172" s="106">
        <f t="shared" si="11"/>
        <v>22.1</v>
      </c>
    </row>
    <row r="173" s="76" customFormat="1" ht="21" customHeight="1" spans="1:11">
      <c r="A173" s="53" t="s">
        <v>132</v>
      </c>
      <c r="B173" s="54" t="s">
        <v>149</v>
      </c>
      <c r="C173" s="55" t="s">
        <v>150</v>
      </c>
      <c r="D173" s="55" t="s">
        <v>151</v>
      </c>
      <c r="E173" s="104" t="s">
        <v>152</v>
      </c>
      <c r="F173" s="55" t="s">
        <v>153</v>
      </c>
      <c r="G173" s="105">
        <v>4</v>
      </c>
      <c r="H173" s="106">
        <v>22</v>
      </c>
      <c r="I173" s="106">
        <v>106.7</v>
      </c>
      <c r="J173" s="106">
        <f t="shared" si="10"/>
        <v>48.5</v>
      </c>
      <c r="K173" s="106">
        <f t="shared" si="11"/>
        <v>22.2</v>
      </c>
    </row>
    <row r="174" s="76" customFormat="1" ht="21" customHeight="1" spans="1:11">
      <c r="A174" s="53" t="s">
        <v>132</v>
      </c>
      <c r="B174" s="54" t="s">
        <v>149</v>
      </c>
      <c r="C174" s="55" t="s">
        <v>150</v>
      </c>
      <c r="D174" s="55" t="s">
        <v>151</v>
      </c>
      <c r="E174" s="104" t="s">
        <v>152</v>
      </c>
      <c r="F174" s="55" t="s">
        <v>153</v>
      </c>
      <c r="G174" s="105">
        <v>5</v>
      </c>
      <c r="H174" s="106">
        <v>22.1</v>
      </c>
      <c r="I174" s="106">
        <v>107.2</v>
      </c>
      <c r="J174" s="106">
        <f t="shared" si="10"/>
        <v>48.72</v>
      </c>
      <c r="K174" s="106">
        <f t="shared" si="11"/>
        <v>22.3</v>
      </c>
    </row>
    <row r="175" s="76" customFormat="1" ht="21" customHeight="1" spans="1:11">
      <c r="A175" s="53" t="s">
        <v>132</v>
      </c>
      <c r="B175" s="54" t="s">
        <v>149</v>
      </c>
      <c r="C175" s="55" t="s">
        <v>150</v>
      </c>
      <c r="D175" s="55" t="s">
        <v>151</v>
      </c>
      <c r="E175" s="104" t="s">
        <v>152</v>
      </c>
      <c r="F175" s="55" t="s">
        <v>153</v>
      </c>
      <c r="G175" s="105">
        <v>6</v>
      </c>
      <c r="H175" s="106">
        <v>21.8</v>
      </c>
      <c r="I175" s="106">
        <v>105.8</v>
      </c>
      <c r="J175" s="106">
        <f t="shared" si="10"/>
        <v>48.06</v>
      </c>
      <c r="K175" s="106">
        <f t="shared" si="11"/>
        <v>22</v>
      </c>
    </row>
    <row r="176" s="76" customFormat="1" ht="21" customHeight="1" spans="1:11">
      <c r="A176" s="53" t="s">
        <v>132</v>
      </c>
      <c r="B176" s="54" t="s">
        <v>149</v>
      </c>
      <c r="C176" s="55" t="s">
        <v>150</v>
      </c>
      <c r="D176" s="55" t="s">
        <v>151</v>
      </c>
      <c r="E176" s="104" t="s">
        <v>152</v>
      </c>
      <c r="F176" s="55" t="s">
        <v>153</v>
      </c>
      <c r="G176" s="105">
        <v>7</v>
      </c>
      <c r="H176" s="106">
        <v>22</v>
      </c>
      <c r="I176" s="106">
        <v>106.7</v>
      </c>
      <c r="J176" s="106">
        <f t="shared" si="10"/>
        <v>48.5</v>
      </c>
      <c r="K176" s="106">
        <f t="shared" si="11"/>
        <v>22.2</v>
      </c>
    </row>
    <row r="177" s="77" customFormat="1" ht="21" customHeight="1" spans="1:11">
      <c r="A177" s="107"/>
      <c r="B177" s="108"/>
      <c r="C177" s="109" t="s">
        <v>138</v>
      </c>
      <c r="D177" s="109"/>
      <c r="E177" s="109"/>
      <c r="F177" s="110"/>
      <c r="G177" s="111">
        <f>COUNT(G170:G176)</f>
        <v>7</v>
      </c>
      <c r="H177" s="112">
        <f>SUM(H170:H176)</f>
        <v>154.1</v>
      </c>
      <c r="I177" s="112">
        <f>SUM(I170:I176)</f>
        <v>747.5</v>
      </c>
      <c r="J177" s="112">
        <f>SUM(J170:J176)</f>
        <v>339.72</v>
      </c>
      <c r="K177" s="112">
        <f>SUM(K170:K176)</f>
        <v>155.5</v>
      </c>
    </row>
    <row r="178" s="76" customFormat="1" ht="21" customHeight="1" spans="1:11">
      <c r="A178" s="53" t="s">
        <v>132</v>
      </c>
      <c r="B178" s="54" t="s">
        <v>149</v>
      </c>
      <c r="C178" s="55" t="s">
        <v>154</v>
      </c>
      <c r="D178" s="55" t="s">
        <v>151</v>
      </c>
      <c r="E178" s="104" t="s">
        <v>152</v>
      </c>
      <c r="F178" s="55" t="s">
        <v>153</v>
      </c>
      <c r="G178" s="105">
        <v>8</v>
      </c>
      <c r="H178" s="106">
        <v>21.3</v>
      </c>
      <c r="I178" s="106">
        <v>103.3</v>
      </c>
      <c r="J178" s="106">
        <f t="shared" ref="J178:J209" si="12">ROUND(H178*2.2046,2)</f>
        <v>46.96</v>
      </c>
      <c r="K178" s="106">
        <f t="shared" ref="K178:K209" si="13">H178+0.2</f>
        <v>21.5</v>
      </c>
    </row>
    <row r="179" s="76" customFormat="1" ht="21" customHeight="1" spans="1:11">
      <c r="A179" s="53" t="s">
        <v>132</v>
      </c>
      <c r="B179" s="54" t="s">
        <v>149</v>
      </c>
      <c r="C179" s="55" t="s">
        <v>154</v>
      </c>
      <c r="D179" s="55" t="s">
        <v>151</v>
      </c>
      <c r="E179" s="104" t="s">
        <v>152</v>
      </c>
      <c r="F179" s="55" t="s">
        <v>153</v>
      </c>
      <c r="G179" s="105">
        <v>9</v>
      </c>
      <c r="H179" s="106">
        <v>21.5</v>
      </c>
      <c r="I179" s="106">
        <v>104.3</v>
      </c>
      <c r="J179" s="106">
        <f t="shared" si="12"/>
        <v>47.4</v>
      </c>
      <c r="K179" s="106">
        <f t="shared" si="13"/>
        <v>21.7</v>
      </c>
    </row>
    <row r="180" s="76" customFormat="1" ht="21" customHeight="1" spans="1:11">
      <c r="A180" s="53" t="s">
        <v>132</v>
      </c>
      <c r="B180" s="54" t="s">
        <v>149</v>
      </c>
      <c r="C180" s="55" t="s">
        <v>154</v>
      </c>
      <c r="D180" s="55" t="s">
        <v>151</v>
      </c>
      <c r="E180" s="104" t="s">
        <v>152</v>
      </c>
      <c r="F180" s="55" t="s">
        <v>153</v>
      </c>
      <c r="G180" s="105">
        <v>10</v>
      </c>
      <c r="H180" s="106">
        <v>22.2</v>
      </c>
      <c r="I180" s="106">
        <v>107.7</v>
      </c>
      <c r="J180" s="106">
        <f t="shared" si="12"/>
        <v>48.94</v>
      </c>
      <c r="K180" s="106">
        <f t="shared" si="13"/>
        <v>22.4</v>
      </c>
    </row>
    <row r="181" s="76" customFormat="1" ht="21" customHeight="1" spans="1:11">
      <c r="A181" s="53" t="s">
        <v>132</v>
      </c>
      <c r="B181" s="54" t="s">
        <v>149</v>
      </c>
      <c r="C181" s="55" t="s">
        <v>154</v>
      </c>
      <c r="D181" s="55" t="s">
        <v>151</v>
      </c>
      <c r="E181" s="104" t="s">
        <v>152</v>
      </c>
      <c r="F181" s="55" t="s">
        <v>153</v>
      </c>
      <c r="G181" s="105">
        <v>11</v>
      </c>
      <c r="H181" s="106">
        <v>22</v>
      </c>
      <c r="I181" s="106">
        <v>106.7</v>
      </c>
      <c r="J181" s="106">
        <f t="shared" si="12"/>
        <v>48.5</v>
      </c>
      <c r="K181" s="106">
        <f t="shared" si="13"/>
        <v>22.2</v>
      </c>
    </row>
    <row r="182" s="76" customFormat="1" ht="21" customHeight="1" spans="1:11">
      <c r="A182" s="53" t="s">
        <v>132</v>
      </c>
      <c r="B182" s="54" t="s">
        <v>149</v>
      </c>
      <c r="C182" s="55" t="s">
        <v>154</v>
      </c>
      <c r="D182" s="55" t="s">
        <v>151</v>
      </c>
      <c r="E182" s="104" t="s">
        <v>152</v>
      </c>
      <c r="F182" s="55" t="s">
        <v>153</v>
      </c>
      <c r="G182" s="105">
        <v>12</v>
      </c>
      <c r="H182" s="106">
        <v>21.5</v>
      </c>
      <c r="I182" s="106">
        <v>104.3</v>
      </c>
      <c r="J182" s="106">
        <f t="shared" si="12"/>
        <v>47.4</v>
      </c>
      <c r="K182" s="106">
        <f t="shared" si="13"/>
        <v>21.7</v>
      </c>
    </row>
    <row r="183" s="76" customFormat="1" ht="21" customHeight="1" spans="1:11">
      <c r="A183" s="53" t="s">
        <v>132</v>
      </c>
      <c r="B183" s="54" t="s">
        <v>149</v>
      </c>
      <c r="C183" s="55" t="s">
        <v>154</v>
      </c>
      <c r="D183" s="55" t="s">
        <v>151</v>
      </c>
      <c r="E183" s="104" t="s">
        <v>152</v>
      </c>
      <c r="F183" s="55" t="s">
        <v>153</v>
      </c>
      <c r="G183" s="105">
        <v>13</v>
      </c>
      <c r="H183" s="106">
        <v>22</v>
      </c>
      <c r="I183" s="106">
        <v>106.7</v>
      </c>
      <c r="J183" s="106">
        <f t="shared" si="12"/>
        <v>48.5</v>
      </c>
      <c r="K183" s="106">
        <f t="shared" si="13"/>
        <v>22.2</v>
      </c>
    </row>
    <row r="184" s="76" customFormat="1" ht="21" customHeight="1" spans="1:11">
      <c r="A184" s="53" t="s">
        <v>132</v>
      </c>
      <c r="B184" s="54" t="s">
        <v>149</v>
      </c>
      <c r="C184" s="55" t="s">
        <v>154</v>
      </c>
      <c r="D184" s="55" t="s">
        <v>151</v>
      </c>
      <c r="E184" s="104" t="s">
        <v>152</v>
      </c>
      <c r="F184" s="55" t="s">
        <v>153</v>
      </c>
      <c r="G184" s="105">
        <v>14</v>
      </c>
      <c r="H184" s="106">
        <v>22</v>
      </c>
      <c r="I184" s="106">
        <v>106.7</v>
      </c>
      <c r="J184" s="106">
        <f t="shared" si="12"/>
        <v>48.5</v>
      </c>
      <c r="K184" s="106">
        <f t="shared" si="13"/>
        <v>22.2</v>
      </c>
    </row>
    <row r="185" s="76" customFormat="1" ht="21" customHeight="1" spans="1:11">
      <c r="A185" s="53" t="s">
        <v>132</v>
      </c>
      <c r="B185" s="54" t="s">
        <v>149</v>
      </c>
      <c r="C185" s="55" t="s">
        <v>154</v>
      </c>
      <c r="D185" s="55" t="s">
        <v>151</v>
      </c>
      <c r="E185" s="104" t="s">
        <v>152</v>
      </c>
      <c r="F185" s="55" t="s">
        <v>153</v>
      </c>
      <c r="G185" s="105">
        <v>15</v>
      </c>
      <c r="H185" s="106">
        <v>21.6</v>
      </c>
      <c r="I185" s="106">
        <v>104.8</v>
      </c>
      <c r="J185" s="106">
        <f t="shared" si="12"/>
        <v>47.62</v>
      </c>
      <c r="K185" s="106">
        <f t="shared" si="13"/>
        <v>21.8</v>
      </c>
    </row>
    <row r="186" s="76" customFormat="1" ht="21" customHeight="1" spans="1:11">
      <c r="A186" s="53" t="s">
        <v>132</v>
      </c>
      <c r="B186" s="54" t="s">
        <v>149</v>
      </c>
      <c r="C186" s="55" t="s">
        <v>154</v>
      </c>
      <c r="D186" s="55" t="s">
        <v>151</v>
      </c>
      <c r="E186" s="104" t="s">
        <v>152</v>
      </c>
      <c r="F186" s="55" t="s">
        <v>153</v>
      </c>
      <c r="G186" s="105">
        <v>16</v>
      </c>
      <c r="H186" s="106">
        <v>22</v>
      </c>
      <c r="I186" s="106">
        <v>106.7</v>
      </c>
      <c r="J186" s="106">
        <f t="shared" si="12"/>
        <v>48.5</v>
      </c>
      <c r="K186" s="106">
        <f t="shared" si="13"/>
        <v>22.2</v>
      </c>
    </row>
    <row r="187" s="77" customFormat="1" ht="21" customHeight="1" spans="1:11">
      <c r="A187" s="107"/>
      <c r="B187" s="108"/>
      <c r="C187" s="109" t="s">
        <v>138</v>
      </c>
      <c r="D187" s="109"/>
      <c r="E187" s="109"/>
      <c r="F187" s="110"/>
      <c r="G187" s="111">
        <f>COUNT(G178:G186)</f>
        <v>9</v>
      </c>
      <c r="H187" s="112">
        <f>SUM(H178:H186)</f>
        <v>196.1</v>
      </c>
      <c r="I187" s="112">
        <f>SUM(I178:I186)</f>
        <v>951.2</v>
      </c>
      <c r="J187" s="112">
        <f>SUM(J178:J186)</f>
        <v>432.32</v>
      </c>
      <c r="K187" s="112">
        <f>SUM(K178:K186)</f>
        <v>197.9</v>
      </c>
    </row>
    <row r="188" s="76" customFormat="1" ht="21" customHeight="1" spans="1:11">
      <c r="A188" s="53" t="s">
        <v>132</v>
      </c>
      <c r="B188" s="54" t="s">
        <v>149</v>
      </c>
      <c r="C188" s="55" t="s">
        <v>155</v>
      </c>
      <c r="D188" s="55" t="s">
        <v>151</v>
      </c>
      <c r="E188" s="104" t="s">
        <v>152</v>
      </c>
      <c r="F188" s="55" t="s">
        <v>153</v>
      </c>
      <c r="G188" s="105">
        <v>1</v>
      </c>
      <c r="H188" s="106">
        <v>22.2</v>
      </c>
      <c r="I188" s="106">
        <v>107.7</v>
      </c>
      <c r="J188" s="106">
        <f t="shared" ref="J188:J219" si="14">ROUND(H188*2.2046,2)</f>
        <v>48.94</v>
      </c>
      <c r="K188" s="106">
        <f t="shared" ref="K188:K219" si="15">H188+0.2</f>
        <v>22.4</v>
      </c>
    </row>
    <row r="189" s="76" customFormat="1" ht="21" customHeight="1" spans="1:11">
      <c r="A189" s="53" t="s">
        <v>132</v>
      </c>
      <c r="B189" s="54" t="s">
        <v>149</v>
      </c>
      <c r="C189" s="55" t="s">
        <v>155</v>
      </c>
      <c r="D189" s="55" t="s">
        <v>151</v>
      </c>
      <c r="E189" s="104" t="s">
        <v>152</v>
      </c>
      <c r="F189" s="55" t="s">
        <v>153</v>
      </c>
      <c r="G189" s="105">
        <v>2</v>
      </c>
      <c r="H189" s="106">
        <v>22.1</v>
      </c>
      <c r="I189" s="106">
        <v>107.2</v>
      </c>
      <c r="J189" s="106">
        <f t="shared" si="14"/>
        <v>48.72</v>
      </c>
      <c r="K189" s="106">
        <f t="shared" si="15"/>
        <v>22.3</v>
      </c>
    </row>
    <row r="190" s="76" customFormat="1" ht="21" customHeight="1" spans="1:11">
      <c r="A190" s="53" t="s">
        <v>132</v>
      </c>
      <c r="B190" s="54" t="s">
        <v>149</v>
      </c>
      <c r="C190" s="55" t="s">
        <v>155</v>
      </c>
      <c r="D190" s="55" t="s">
        <v>151</v>
      </c>
      <c r="E190" s="104" t="s">
        <v>152</v>
      </c>
      <c r="F190" s="55" t="s">
        <v>153</v>
      </c>
      <c r="G190" s="105">
        <v>3</v>
      </c>
      <c r="H190" s="106">
        <v>21.9</v>
      </c>
      <c r="I190" s="106">
        <v>106.2</v>
      </c>
      <c r="J190" s="106">
        <f t="shared" si="14"/>
        <v>48.28</v>
      </c>
      <c r="K190" s="106">
        <f t="shared" si="15"/>
        <v>22.1</v>
      </c>
    </row>
    <row r="191" s="76" customFormat="1" ht="21" customHeight="1" spans="1:11">
      <c r="A191" s="53" t="s">
        <v>132</v>
      </c>
      <c r="B191" s="54" t="s">
        <v>149</v>
      </c>
      <c r="C191" s="55" t="s">
        <v>155</v>
      </c>
      <c r="D191" s="55" t="s">
        <v>151</v>
      </c>
      <c r="E191" s="104" t="s">
        <v>152</v>
      </c>
      <c r="F191" s="55" t="s">
        <v>153</v>
      </c>
      <c r="G191" s="105">
        <v>4</v>
      </c>
      <c r="H191" s="106">
        <v>22.1</v>
      </c>
      <c r="I191" s="106">
        <v>107.2</v>
      </c>
      <c r="J191" s="106">
        <f t="shared" si="14"/>
        <v>48.72</v>
      </c>
      <c r="K191" s="106">
        <f t="shared" si="15"/>
        <v>22.3</v>
      </c>
    </row>
    <row r="192" s="76" customFormat="1" ht="21" customHeight="1" spans="1:11">
      <c r="A192" s="53" t="s">
        <v>132</v>
      </c>
      <c r="B192" s="54" t="s">
        <v>149</v>
      </c>
      <c r="C192" s="55" t="s">
        <v>155</v>
      </c>
      <c r="D192" s="55" t="s">
        <v>151</v>
      </c>
      <c r="E192" s="104" t="s">
        <v>152</v>
      </c>
      <c r="F192" s="55" t="s">
        <v>153</v>
      </c>
      <c r="G192" s="105">
        <v>5</v>
      </c>
      <c r="H192" s="106">
        <v>21.8</v>
      </c>
      <c r="I192" s="106">
        <v>105.8</v>
      </c>
      <c r="J192" s="106">
        <f t="shared" si="14"/>
        <v>48.06</v>
      </c>
      <c r="K192" s="106">
        <f t="shared" si="15"/>
        <v>22</v>
      </c>
    </row>
    <row r="193" s="76" customFormat="1" ht="21" customHeight="1" spans="1:11">
      <c r="A193" s="53" t="s">
        <v>132</v>
      </c>
      <c r="B193" s="54" t="s">
        <v>149</v>
      </c>
      <c r="C193" s="55" t="s">
        <v>155</v>
      </c>
      <c r="D193" s="55" t="s">
        <v>151</v>
      </c>
      <c r="E193" s="104" t="s">
        <v>152</v>
      </c>
      <c r="F193" s="55" t="s">
        <v>153</v>
      </c>
      <c r="G193" s="105">
        <v>6</v>
      </c>
      <c r="H193" s="106">
        <v>22</v>
      </c>
      <c r="I193" s="106">
        <v>106.7</v>
      </c>
      <c r="J193" s="106">
        <f t="shared" si="14"/>
        <v>48.5</v>
      </c>
      <c r="K193" s="106">
        <f t="shared" si="15"/>
        <v>22.2</v>
      </c>
    </row>
    <row r="194" s="76" customFormat="1" ht="21" customHeight="1" spans="1:11">
      <c r="A194" s="53" t="s">
        <v>132</v>
      </c>
      <c r="B194" s="54" t="s">
        <v>149</v>
      </c>
      <c r="C194" s="55" t="s">
        <v>155</v>
      </c>
      <c r="D194" s="55" t="s">
        <v>151</v>
      </c>
      <c r="E194" s="104" t="s">
        <v>152</v>
      </c>
      <c r="F194" s="55" t="s">
        <v>153</v>
      </c>
      <c r="G194" s="105">
        <v>7</v>
      </c>
      <c r="H194" s="106">
        <v>19.8</v>
      </c>
      <c r="I194" s="106">
        <v>96.1</v>
      </c>
      <c r="J194" s="106">
        <f t="shared" si="14"/>
        <v>43.65</v>
      </c>
      <c r="K194" s="106">
        <f t="shared" si="15"/>
        <v>20</v>
      </c>
    </row>
    <row r="195" s="76" customFormat="1" ht="21" customHeight="1" spans="1:11">
      <c r="A195" s="53" t="s">
        <v>132</v>
      </c>
      <c r="B195" s="54" t="s">
        <v>149</v>
      </c>
      <c r="C195" s="55" t="s">
        <v>155</v>
      </c>
      <c r="D195" s="55" t="s">
        <v>151</v>
      </c>
      <c r="E195" s="104" t="s">
        <v>152</v>
      </c>
      <c r="F195" s="55" t="s">
        <v>153</v>
      </c>
      <c r="G195" s="105">
        <v>8</v>
      </c>
      <c r="H195" s="106">
        <v>22.1</v>
      </c>
      <c r="I195" s="106">
        <v>107.2</v>
      </c>
      <c r="J195" s="106">
        <f t="shared" si="14"/>
        <v>48.72</v>
      </c>
      <c r="K195" s="106">
        <f t="shared" si="15"/>
        <v>22.3</v>
      </c>
    </row>
    <row r="196" s="76" customFormat="1" ht="21" customHeight="1" spans="1:11">
      <c r="A196" s="53" t="s">
        <v>132</v>
      </c>
      <c r="B196" s="54" t="s">
        <v>149</v>
      </c>
      <c r="C196" s="55" t="s">
        <v>155</v>
      </c>
      <c r="D196" s="55" t="s">
        <v>151</v>
      </c>
      <c r="E196" s="104" t="s">
        <v>152</v>
      </c>
      <c r="F196" s="55" t="s">
        <v>153</v>
      </c>
      <c r="G196" s="105">
        <v>9</v>
      </c>
      <c r="H196" s="106">
        <v>21.8</v>
      </c>
      <c r="I196" s="106">
        <v>105.8</v>
      </c>
      <c r="J196" s="106">
        <f t="shared" si="14"/>
        <v>48.06</v>
      </c>
      <c r="K196" s="106">
        <f t="shared" si="15"/>
        <v>22</v>
      </c>
    </row>
    <row r="197" s="76" customFormat="1" ht="21" customHeight="1" spans="1:11">
      <c r="A197" s="53" t="s">
        <v>132</v>
      </c>
      <c r="B197" s="54" t="s">
        <v>149</v>
      </c>
      <c r="C197" s="55" t="s">
        <v>155</v>
      </c>
      <c r="D197" s="55" t="s">
        <v>151</v>
      </c>
      <c r="E197" s="104" t="s">
        <v>152</v>
      </c>
      <c r="F197" s="55" t="s">
        <v>153</v>
      </c>
      <c r="G197" s="105">
        <v>10</v>
      </c>
      <c r="H197" s="106">
        <v>21.7</v>
      </c>
      <c r="I197" s="106">
        <v>105.3</v>
      </c>
      <c r="J197" s="106">
        <f t="shared" si="14"/>
        <v>47.84</v>
      </c>
      <c r="K197" s="106">
        <f t="shared" si="15"/>
        <v>21.9</v>
      </c>
    </row>
    <row r="198" s="76" customFormat="1" ht="21" customHeight="1" spans="1:11">
      <c r="A198" s="53" t="s">
        <v>132</v>
      </c>
      <c r="B198" s="54" t="s">
        <v>149</v>
      </c>
      <c r="C198" s="55" t="s">
        <v>155</v>
      </c>
      <c r="D198" s="55" t="s">
        <v>151</v>
      </c>
      <c r="E198" s="104" t="s">
        <v>152</v>
      </c>
      <c r="F198" s="55" t="s">
        <v>153</v>
      </c>
      <c r="G198" s="105">
        <v>11</v>
      </c>
      <c r="H198" s="106">
        <v>22</v>
      </c>
      <c r="I198" s="106">
        <v>106.7</v>
      </c>
      <c r="J198" s="106">
        <f t="shared" si="14"/>
        <v>48.5</v>
      </c>
      <c r="K198" s="106">
        <f t="shared" si="15"/>
        <v>22.2</v>
      </c>
    </row>
    <row r="199" s="76" customFormat="1" ht="21" customHeight="1" spans="1:11">
      <c r="A199" s="53" t="s">
        <v>132</v>
      </c>
      <c r="B199" s="54" t="s">
        <v>149</v>
      </c>
      <c r="C199" s="55" t="s">
        <v>155</v>
      </c>
      <c r="D199" s="55" t="s">
        <v>151</v>
      </c>
      <c r="E199" s="104" t="s">
        <v>152</v>
      </c>
      <c r="F199" s="55" t="s">
        <v>153</v>
      </c>
      <c r="G199" s="105">
        <v>12</v>
      </c>
      <c r="H199" s="106">
        <v>21.9</v>
      </c>
      <c r="I199" s="106">
        <v>106.2</v>
      </c>
      <c r="J199" s="106">
        <f t="shared" si="14"/>
        <v>48.28</v>
      </c>
      <c r="K199" s="106">
        <f t="shared" si="15"/>
        <v>22.1</v>
      </c>
    </row>
    <row r="200" s="76" customFormat="1" ht="21" customHeight="1" spans="1:11">
      <c r="A200" s="53" t="s">
        <v>132</v>
      </c>
      <c r="B200" s="54" t="s">
        <v>149</v>
      </c>
      <c r="C200" s="55" t="s">
        <v>155</v>
      </c>
      <c r="D200" s="55" t="s">
        <v>151</v>
      </c>
      <c r="E200" s="104" t="s">
        <v>152</v>
      </c>
      <c r="F200" s="55" t="s">
        <v>153</v>
      </c>
      <c r="G200" s="105">
        <v>13</v>
      </c>
      <c r="H200" s="106">
        <v>21.9</v>
      </c>
      <c r="I200" s="106">
        <v>106.2</v>
      </c>
      <c r="J200" s="106">
        <f t="shared" si="14"/>
        <v>48.28</v>
      </c>
      <c r="K200" s="106">
        <f t="shared" si="15"/>
        <v>22.1</v>
      </c>
    </row>
    <row r="201" s="76" customFormat="1" ht="21" customHeight="1" spans="1:11">
      <c r="A201" s="53" t="s">
        <v>132</v>
      </c>
      <c r="B201" s="54" t="s">
        <v>149</v>
      </c>
      <c r="C201" s="55" t="s">
        <v>155</v>
      </c>
      <c r="D201" s="55" t="s">
        <v>151</v>
      </c>
      <c r="E201" s="104" t="s">
        <v>152</v>
      </c>
      <c r="F201" s="55" t="s">
        <v>153</v>
      </c>
      <c r="G201" s="105">
        <v>14</v>
      </c>
      <c r="H201" s="106">
        <v>22</v>
      </c>
      <c r="I201" s="106">
        <v>106.7</v>
      </c>
      <c r="J201" s="106">
        <f t="shared" si="14"/>
        <v>48.5</v>
      </c>
      <c r="K201" s="106">
        <f t="shared" si="15"/>
        <v>22.2</v>
      </c>
    </row>
    <row r="202" s="76" customFormat="1" ht="21" customHeight="1" spans="1:11">
      <c r="A202" s="53" t="s">
        <v>132</v>
      </c>
      <c r="B202" s="54" t="s">
        <v>149</v>
      </c>
      <c r="C202" s="55" t="s">
        <v>155</v>
      </c>
      <c r="D202" s="55" t="s">
        <v>151</v>
      </c>
      <c r="E202" s="104" t="s">
        <v>152</v>
      </c>
      <c r="F202" s="55" t="s">
        <v>153</v>
      </c>
      <c r="G202" s="105">
        <v>15</v>
      </c>
      <c r="H202" s="106">
        <v>22</v>
      </c>
      <c r="I202" s="106">
        <v>106.7</v>
      </c>
      <c r="J202" s="106">
        <f t="shared" si="14"/>
        <v>48.5</v>
      </c>
      <c r="K202" s="106">
        <f t="shared" si="15"/>
        <v>22.2</v>
      </c>
    </row>
    <row r="203" s="76" customFormat="1" ht="21" customHeight="1" spans="1:11">
      <c r="A203" s="53" t="s">
        <v>132</v>
      </c>
      <c r="B203" s="54" t="s">
        <v>149</v>
      </c>
      <c r="C203" s="55" t="s">
        <v>155</v>
      </c>
      <c r="D203" s="55" t="s">
        <v>151</v>
      </c>
      <c r="E203" s="104" t="s">
        <v>152</v>
      </c>
      <c r="F203" s="55" t="s">
        <v>153</v>
      </c>
      <c r="G203" s="105">
        <v>16</v>
      </c>
      <c r="H203" s="106">
        <v>22.3</v>
      </c>
      <c r="I203" s="106">
        <v>108.2</v>
      </c>
      <c r="J203" s="106">
        <f t="shared" si="14"/>
        <v>49.16</v>
      </c>
      <c r="K203" s="106">
        <f t="shared" si="15"/>
        <v>22.5</v>
      </c>
    </row>
    <row r="204" s="76" customFormat="1" ht="21" customHeight="1" spans="1:11">
      <c r="A204" s="53" t="s">
        <v>132</v>
      </c>
      <c r="B204" s="54" t="s">
        <v>149</v>
      </c>
      <c r="C204" s="55" t="s">
        <v>155</v>
      </c>
      <c r="D204" s="55" t="s">
        <v>151</v>
      </c>
      <c r="E204" s="104" t="s">
        <v>152</v>
      </c>
      <c r="F204" s="55" t="s">
        <v>153</v>
      </c>
      <c r="G204" s="105">
        <v>17</v>
      </c>
      <c r="H204" s="106">
        <v>22.3</v>
      </c>
      <c r="I204" s="106">
        <v>108.2</v>
      </c>
      <c r="J204" s="106">
        <f t="shared" si="14"/>
        <v>49.16</v>
      </c>
      <c r="K204" s="106">
        <f t="shared" si="15"/>
        <v>22.5</v>
      </c>
    </row>
    <row r="205" s="76" customFormat="1" ht="21" customHeight="1" spans="1:11">
      <c r="A205" s="53" t="s">
        <v>132</v>
      </c>
      <c r="B205" s="54" t="s">
        <v>149</v>
      </c>
      <c r="C205" s="55" t="s">
        <v>155</v>
      </c>
      <c r="D205" s="55" t="s">
        <v>151</v>
      </c>
      <c r="E205" s="104" t="s">
        <v>152</v>
      </c>
      <c r="F205" s="55" t="s">
        <v>153</v>
      </c>
      <c r="G205" s="105">
        <v>18</v>
      </c>
      <c r="H205" s="106">
        <v>22</v>
      </c>
      <c r="I205" s="106">
        <v>106.7</v>
      </c>
      <c r="J205" s="106">
        <f t="shared" si="14"/>
        <v>48.5</v>
      </c>
      <c r="K205" s="106">
        <f t="shared" si="15"/>
        <v>22.2</v>
      </c>
    </row>
    <row r="206" s="76" customFormat="1" ht="21" customHeight="1" spans="1:11">
      <c r="A206" s="53" t="s">
        <v>132</v>
      </c>
      <c r="B206" s="54" t="s">
        <v>149</v>
      </c>
      <c r="C206" s="55" t="s">
        <v>155</v>
      </c>
      <c r="D206" s="55" t="s">
        <v>151</v>
      </c>
      <c r="E206" s="104" t="s">
        <v>152</v>
      </c>
      <c r="F206" s="55" t="s">
        <v>153</v>
      </c>
      <c r="G206" s="105">
        <v>19</v>
      </c>
      <c r="H206" s="106">
        <v>21.9</v>
      </c>
      <c r="I206" s="106">
        <v>106.2</v>
      </c>
      <c r="J206" s="106">
        <f t="shared" si="14"/>
        <v>48.28</v>
      </c>
      <c r="K206" s="106">
        <f t="shared" si="15"/>
        <v>22.1</v>
      </c>
    </row>
    <row r="207" s="76" customFormat="1" ht="21" customHeight="1" spans="1:11">
      <c r="A207" s="53" t="s">
        <v>132</v>
      </c>
      <c r="B207" s="54" t="s">
        <v>149</v>
      </c>
      <c r="C207" s="55" t="s">
        <v>155</v>
      </c>
      <c r="D207" s="55" t="s">
        <v>151</v>
      </c>
      <c r="E207" s="104" t="s">
        <v>152</v>
      </c>
      <c r="F207" s="55" t="s">
        <v>153</v>
      </c>
      <c r="G207" s="105">
        <v>20</v>
      </c>
      <c r="H207" s="106">
        <v>21.9</v>
      </c>
      <c r="I207" s="106">
        <v>106.2</v>
      </c>
      <c r="J207" s="106">
        <f t="shared" si="14"/>
        <v>48.28</v>
      </c>
      <c r="K207" s="106">
        <f t="shared" si="15"/>
        <v>22.1</v>
      </c>
    </row>
    <row r="208" s="76" customFormat="1" ht="21" customHeight="1" spans="1:11">
      <c r="A208" s="53" t="s">
        <v>132</v>
      </c>
      <c r="B208" s="54" t="s">
        <v>149</v>
      </c>
      <c r="C208" s="55" t="s">
        <v>155</v>
      </c>
      <c r="D208" s="55" t="s">
        <v>151</v>
      </c>
      <c r="E208" s="104" t="s">
        <v>152</v>
      </c>
      <c r="F208" s="55" t="s">
        <v>153</v>
      </c>
      <c r="G208" s="105">
        <v>21</v>
      </c>
      <c r="H208" s="106">
        <v>22.1</v>
      </c>
      <c r="I208" s="106">
        <v>107.2</v>
      </c>
      <c r="J208" s="106">
        <f t="shared" si="14"/>
        <v>48.72</v>
      </c>
      <c r="K208" s="106">
        <f t="shared" si="15"/>
        <v>22.3</v>
      </c>
    </row>
    <row r="209" s="76" customFormat="1" ht="21" customHeight="1" spans="1:11">
      <c r="A209" s="53" t="s">
        <v>132</v>
      </c>
      <c r="B209" s="54" t="s">
        <v>149</v>
      </c>
      <c r="C209" s="55" t="s">
        <v>155</v>
      </c>
      <c r="D209" s="55" t="s">
        <v>151</v>
      </c>
      <c r="E209" s="104" t="s">
        <v>152</v>
      </c>
      <c r="F209" s="55" t="s">
        <v>153</v>
      </c>
      <c r="G209" s="105">
        <v>22</v>
      </c>
      <c r="H209" s="106">
        <v>22</v>
      </c>
      <c r="I209" s="106">
        <v>106.7</v>
      </c>
      <c r="J209" s="106">
        <f t="shared" si="14"/>
        <v>48.5</v>
      </c>
      <c r="K209" s="106">
        <f t="shared" si="15"/>
        <v>22.2</v>
      </c>
    </row>
    <row r="210" s="76" customFormat="1" ht="21" customHeight="1" spans="1:11">
      <c r="A210" s="53" t="s">
        <v>132</v>
      </c>
      <c r="B210" s="54" t="s">
        <v>149</v>
      </c>
      <c r="C210" s="55" t="s">
        <v>155</v>
      </c>
      <c r="D210" s="55" t="s">
        <v>151</v>
      </c>
      <c r="E210" s="104" t="s">
        <v>152</v>
      </c>
      <c r="F210" s="55" t="s">
        <v>153</v>
      </c>
      <c r="G210" s="105">
        <v>23</v>
      </c>
      <c r="H210" s="106">
        <v>22.3</v>
      </c>
      <c r="I210" s="106">
        <v>108.2</v>
      </c>
      <c r="J210" s="106">
        <f t="shared" si="14"/>
        <v>49.16</v>
      </c>
      <c r="K210" s="106">
        <f t="shared" si="15"/>
        <v>22.5</v>
      </c>
    </row>
    <row r="211" s="76" customFormat="1" ht="21" customHeight="1" spans="1:11">
      <c r="A211" s="53" t="s">
        <v>132</v>
      </c>
      <c r="B211" s="54" t="s">
        <v>149</v>
      </c>
      <c r="C211" s="55" t="s">
        <v>155</v>
      </c>
      <c r="D211" s="55" t="s">
        <v>151</v>
      </c>
      <c r="E211" s="104" t="s">
        <v>152</v>
      </c>
      <c r="F211" s="55" t="s">
        <v>153</v>
      </c>
      <c r="G211" s="105">
        <v>24</v>
      </c>
      <c r="H211" s="106">
        <v>21.9</v>
      </c>
      <c r="I211" s="106">
        <v>106.2</v>
      </c>
      <c r="J211" s="106">
        <f t="shared" si="14"/>
        <v>48.28</v>
      </c>
      <c r="K211" s="106">
        <f t="shared" si="15"/>
        <v>22.1</v>
      </c>
    </row>
    <row r="212" s="76" customFormat="1" ht="21" customHeight="1" spans="1:11">
      <c r="A212" s="53" t="s">
        <v>132</v>
      </c>
      <c r="B212" s="54" t="s">
        <v>149</v>
      </c>
      <c r="C212" s="55" t="s">
        <v>155</v>
      </c>
      <c r="D212" s="55" t="s">
        <v>151</v>
      </c>
      <c r="E212" s="104" t="s">
        <v>152</v>
      </c>
      <c r="F212" s="55" t="s">
        <v>153</v>
      </c>
      <c r="G212" s="105">
        <v>25</v>
      </c>
      <c r="H212" s="106">
        <v>21.2</v>
      </c>
      <c r="I212" s="106">
        <v>102.8</v>
      </c>
      <c r="J212" s="106">
        <f t="shared" si="14"/>
        <v>46.74</v>
      </c>
      <c r="K212" s="106">
        <f t="shared" si="15"/>
        <v>21.4</v>
      </c>
    </row>
    <row r="213" s="77" customFormat="1" ht="21" customHeight="1" spans="1:11">
      <c r="A213" s="107"/>
      <c r="B213" s="108"/>
      <c r="C213" s="109" t="s">
        <v>138</v>
      </c>
      <c r="D213" s="109"/>
      <c r="E213" s="109"/>
      <c r="F213" s="110"/>
      <c r="G213" s="111">
        <f>COUNT(G188:G212)</f>
        <v>25</v>
      </c>
      <c r="H213" s="112">
        <f>SUM(H188:H212)</f>
        <v>547.2</v>
      </c>
      <c r="I213" s="112">
        <f>SUM(I188:I212)</f>
        <v>2654.3</v>
      </c>
      <c r="J213" s="112">
        <f>SUM(J188:J212)</f>
        <v>1206.33</v>
      </c>
      <c r="K213" s="112">
        <f>SUM(K188:K212)</f>
        <v>552.2</v>
      </c>
    </row>
    <row r="214" s="76" customFormat="1" ht="21" customHeight="1" spans="1:11">
      <c r="A214" s="53" t="s">
        <v>132</v>
      </c>
      <c r="B214" s="54" t="s">
        <v>156</v>
      </c>
      <c r="C214" s="55" t="s">
        <v>157</v>
      </c>
      <c r="D214" s="55" t="s">
        <v>158</v>
      </c>
      <c r="E214" s="104" t="s">
        <v>159</v>
      </c>
      <c r="F214" s="55" t="s">
        <v>160</v>
      </c>
      <c r="G214" s="105">
        <v>1</v>
      </c>
      <c r="H214" s="106">
        <v>22.3</v>
      </c>
      <c r="I214" s="106">
        <v>108.2</v>
      </c>
      <c r="J214" s="106">
        <f t="shared" ref="J214:J245" si="16">ROUND(H214*2.2046,2)</f>
        <v>49.16</v>
      </c>
      <c r="K214" s="106">
        <f t="shared" ref="K214:K245" si="17">H214+0.2</f>
        <v>22.5</v>
      </c>
    </row>
    <row r="215" s="76" customFormat="1" ht="21" customHeight="1" spans="1:11">
      <c r="A215" s="53" t="s">
        <v>132</v>
      </c>
      <c r="B215" s="54" t="s">
        <v>156</v>
      </c>
      <c r="C215" s="55" t="s">
        <v>157</v>
      </c>
      <c r="D215" s="55" t="s">
        <v>158</v>
      </c>
      <c r="E215" s="104" t="s">
        <v>159</v>
      </c>
      <c r="F215" s="55" t="s">
        <v>160</v>
      </c>
      <c r="G215" s="105">
        <v>2</v>
      </c>
      <c r="H215" s="106">
        <v>21.5</v>
      </c>
      <c r="I215" s="106">
        <v>104.3</v>
      </c>
      <c r="J215" s="106">
        <f t="shared" si="16"/>
        <v>47.4</v>
      </c>
      <c r="K215" s="106">
        <f t="shared" si="17"/>
        <v>21.7</v>
      </c>
    </row>
    <row r="216" s="76" customFormat="1" ht="21" customHeight="1" spans="1:11">
      <c r="A216" s="53" t="s">
        <v>132</v>
      </c>
      <c r="B216" s="54" t="s">
        <v>156</v>
      </c>
      <c r="C216" s="55" t="s">
        <v>157</v>
      </c>
      <c r="D216" s="55" t="s">
        <v>158</v>
      </c>
      <c r="E216" s="104" t="s">
        <v>159</v>
      </c>
      <c r="F216" s="55" t="s">
        <v>160</v>
      </c>
      <c r="G216" s="105">
        <v>3</v>
      </c>
      <c r="H216" s="106">
        <v>27.1</v>
      </c>
      <c r="I216" s="106">
        <v>131.5</v>
      </c>
      <c r="J216" s="106">
        <f t="shared" si="16"/>
        <v>59.74</v>
      </c>
      <c r="K216" s="106">
        <f t="shared" si="17"/>
        <v>27.3</v>
      </c>
    </row>
    <row r="217" s="76" customFormat="1" ht="21" customHeight="1" spans="1:11">
      <c r="A217" s="53" t="s">
        <v>132</v>
      </c>
      <c r="B217" s="54" t="s">
        <v>156</v>
      </c>
      <c r="C217" s="55" t="s">
        <v>157</v>
      </c>
      <c r="D217" s="55" t="s">
        <v>158</v>
      </c>
      <c r="E217" s="104" t="s">
        <v>159</v>
      </c>
      <c r="F217" s="55" t="s">
        <v>160</v>
      </c>
      <c r="G217" s="105">
        <v>4</v>
      </c>
      <c r="H217" s="106">
        <v>22.2</v>
      </c>
      <c r="I217" s="106">
        <v>107.7</v>
      </c>
      <c r="J217" s="106">
        <f t="shared" si="16"/>
        <v>48.94</v>
      </c>
      <c r="K217" s="106">
        <f t="shared" si="17"/>
        <v>22.4</v>
      </c>
    </row>
    <row r="218" s="76" customFormat="1" ht="21" customHeight="1" spans="1:11">
      <c r="A218" s="53" t="s">
        <v>132</v>
      </c>
      <c r="B218" s="54" t="s">
        <v>156</v>
      </c>
      <c r="C218" s="55" t="s">
        <v>157</v>
      </c>
      <c r="D218" s="55" t="s">
        <v>158</v>
      </c>
      <c r="E218" s="104" t="s">
        <v>159</v>
      </c>
      <c r="F218" s="55" t="s">
        <v>160</v>
      </c>
      <c r="G218" s="105">
        <v>5</v>
      </c>
      <c r="H218" s="106">
        <v>23.2</v>
      </c>
      <c r="I218" s="106">
        <v>112.6</v>
      </c>
      <c r="J218" s="106">
        <f t="shared" si="16"/>
        <v>51.15</v>
      </c>
      <c r="K218" s="106">
        <f t="shared" si="17"/>
        <v>23.4</v>
      </c>
    </row>
    <row r="219" s="76" customFormat="1" ht="21" customHeight="1" spans="1:11">
      <c r="A219" s="53" t="s">
        <v>132</v>
      </c>
      <c r="B219" s="54" t="s">
        <v>156</v>
      </c>
      <c r="C219" s="55" t="s">
        <v>157</v>
      </c>
      <c r="D219" s="55" t="s">
        <v>158</v>
      </c>
      <c r="E219" s="104" t="s">
        <v>159</v>
      </c>
      <c r="F219" s="55" t="s">
        <v>160</v>
      </c>
      <c r="G219" s="105">
        <v>6</v>
      </c>
      <c r="H219" s="106">
        <v>22.9</v>
      </c>
      <c r="I219" s="106">
        <v>111.1</v>
      </c>
      <c r="J219" s="106">
        <f t="shared" si="16"/>
        <v>50.49</v>
      </c>
      <c r="K219" s="106">
        <f t="shared" si="17"/>
        <v>23.1</v>
      </c>
    </row>
    <row r="220" s="76" customFormat="1" ht="21" customHeight="1" spans="1:11">
      <c r="A220" s="53" t="s">
        <v>132</v>
      </c>
      <c r="B220" s="54" t="s">
        <v>156</v>
      </c>
      <c r="C220" s="55" t="s">
        <v>157</v>
      </c>
      <c r="D220" s="55" t="s">
        <v>158</v>
      </c>
      <c r="E220" s="104" t="s">
        <v>159</v>
      </c>
      <c r="F220" s="55" t="s">
        <v>160</v>
      </c>
      <c r="G220" s="105">
        <v>7</v>
      </c>
      <c r="H220" s="106">
        <v>22.4</v>
      </c>
      <c r="I220" s="106">
        <v>108.7</v>
      </c>
      <c r="J220" s="106">
        <f t="shared" si="16"/>
        <v>49.38</v>
      </c>
      <c r="K220" s="106">
        <f t="shared" si="17"/>
        <v>22.6</v>
      </c>
    </row>
    <row r="221" s="76" customFormat="1" ht="21" customHeight="1" spans="1:11">
      <c r="A221" s="53" t="s">
        <v>132</v>
      </c>
      <c r="B221" s="54" t="s">
        <v>156</v>
      </c>
      <c r="C221" s="55" t="s">
        <v>157</v>
      </c>
      <c r="D221" s="55" t="s">
        <v>158</v>
      </c>
      <c r="E221" s="104" t="s">
        <v>159</v>
      </c>
      <c r="F221" s="55" t="s">
        <v>160</v>
      </c>
      <c r="G221" s="105">
        <v>8</v>
      </c>
      <c r="H221" s="106">
        <v>23.1</v>
      </c>
      <c r="I221" s="106">
        <v>112.1</v>
      </c>
      <c r="J221" s="106">
        <f t="shared" si="16"/>
        <v>50.93</v>
      </c>
      <c r="K221" s="106">
        <f t="shared" si="17"/>
        <v>23.3</v>
      </c>
    </row>
    <row r="222" s="76" customFormat="1" ht="21" customHeight="1" spans="1:11">
      <c r="A222" s="53" t="s">
        <v>132</v>
      </c>
      <c r="B222" s="54" t="s">
        <v>156</v>
      </c>
      <c r="C222" s="55" t="s">
        <v>157</v>
      </c>
      <c r="D222" s="55" t="s">
        <v>158</v>
      </c>
      <c r="E222" s="104" t="s">
        <v>159</v>
      </c>
      <c r="F222" s="55" t="s">
        <v>160</v>
      </c>
      <c r="G222" s="105">
        <v>9</v>
      </c>
      <c r="H222" s="106">
        <v>21.1</v>
      </c>
      <c r="I222" s="106">
        <v>102.4</v>
      </c>
      <c r="J222" s="106">
        <f t="shared" si="16"/>
        <v>46.52</v>
      </c>
      <c r="K222" s="106">
        <f t="shared" si="17"/>
        <v>21.3</v>
      </c>
    </row>
    <row r="223" s="76" customFormat="1" ht="21" customHeight="1" spans="1:11">
      <c r="A223" s="53" t="s">
        <v>132</v>
      </c>
      <c r="B223" s="54" t="s">
        <v>156</v>
      </c>
      <c r="C223" s="55" t="s">
        <v>157</v>
      </c>
      <c r="D223" s="55" t="s">
        <v>158</v>
      </c>
      <c r="E223" s="104" t="s">
        <v>159</v>
      </c>
      <c r="F223" s="55" t="s">
        <v>160</v>
      </c>
      <c r="G223" s="105">
        <v>10</v>
      </c>
      <c r="H223" s="106">
        <v>18</v>
      </c>
      <c r="I223" s="106">
        <v>87.3</v>
      </c>
      <c r="J223" s="106">
        <f t="shared" si="16"/>
        <v>39.68</v>
      </c>
      <c r="K223" s="106">
        <f t="shared" si="17"/>
        <v>18.2</v>
      </c>
    </row>
    <row r="224" s="76" customFormat="1" ht="21" customHeight="1" spans="1:11">
      <c r="A224" s="53" t="s">
        <v>132</v>
      </c>
      <c r="B224" s="54" t="s">
        <v>156</v>
      </c>
      <c r="C224" s="55" t="s">
        <v>157</v>
      </c>
      <c r="D224" s="55" t="s">
        <v>158</v>
      </c>
      <c r="E224" s="104" t="s">
        <v>159</v>
      </c>
      <c r="F224" s="55" t="s">
        <v>160</v>
      </c>
      <c r="G224" s="105">
        <v>11</v>
      </c>
      <c r="H224" s="106">
        <v>22</v>
      </c>
      <c r="I224" s="106">
        <v>106.7</v>
      </c>
      <c r="J224" s="106">
        <f t="shared" si="16"/>
        <v>48.5</v>
      </c>
      <c r="K224" s="106">
        <f t="shared" si="17"/>
        <v>22.2</v>
      </c>
    </row>
    <row r="225" s="76" customFormat="1" ht="21" customHeight="1" spans="1:11">
      <c r="A225" s="53" t="s">
        <v>132</v>
      </c>
      <c r="B225" s="54" t="s">
        <v>156</v>
      </c>
      <c r="C225" s="55" t="s">
        <v>157</v>
      </c>
      <c r="D225" s="55" t="s">
        <v>158</v>
      </c>
      <c r="E225" s="104" t="s">
        <v>159</v>
      </c>
      <c r="F225" s="55" t="s">
        <v>160</v>
      </c>
      <c r="G225" s="105">
        <v>12</v>
      </c>
      <c r="H225" s="106">
        <v>20.7</v>
      </c>
      <c r="I225" s="106">
        <v>100.4</v>
      </c>
      <c r="J225" s="106">
        <f t="shared" si="16"/>
        <v>45.64</v>
      </c>
      <c r="K225" s="106">
        <f t="shared" si="17"/>
        <v>20.9</v>
      </c>
    </row>
    <row r="226" s="76" customFormat="1" ht="21" customHeight="1" spans="1:11">
      <c r="A226" s="53" t="s">
        <v>132</v>
      </c>
      <c r="B226" s="54" t="s">
        <v>156</v>
      </c>
      <c r="C226" s="55" t="s">
        <v>157</v>
      </c>
      <c r="D226" s="55" t="s">
        <v>158</v>
      </c>
      <c r="E226" s="104" t="s">
        <v>159</v>
      </c>
      <c r="F226" s="55" t="s">
        <v>160</v>
      </c>
      <c r="G226" s="105">
        <v>13</v>
      </c>
      <c r="H226" s="106">
        <v>21.3</v>
      </c>
      <c r="I226" s="106">
        <v>103.3</v>
      </c>
      <c r="J226" s="106">
        <f t="shared" si="16"/>
        <v>46.96</v>
      </c>
      <c r="K226" s="106">
        <f t="shared" si="17"/>
        <v>21.5</v>
      </c>
    </row>
    <row r="227" s="76" customFormat="1" ht="21" customHeight="1" spans="1:11">
      <c r="A227" s="53" t="s">
        <v>132</v>
      </c>
      <c r="B227" s="54" t="s">
        <v>156</v>
      </c>
      <c r="C227" s="55" t="s">
        <v>157</v>
      </c>
      <c r="D227" s="55" t="s">
        <v>158</v>
      </c>
      <c r="E227" s="104" t="s">
        <v>159</v>
      </c>
      <c r="F227" s="55" t="s">
        <v>160</v>
      </c>
      <c r="G227" s="105">
        <v>14</v>
      </c>
      <c r="H227" s="106">
        <v>18.5</v>
      </c>
      <c r="I227" s="106">
        <v>89.7</v>
      </c>
      <c r="J227" s="106">
        <f t="shared" si="16"/>
        <v>40.79</v>
      </c>
      <c r="K227" s="106">
        <f t="shared" si="17"/>
        <v>18.7</v>
      </c>
    </row>
    <row r="228" s="76" customFormat="1" ht="21" customHeight="1" spans="1:11">
      <c r="A228" s="53" t="s">
        <v>132</v>
      </c>
      <c r="B228" s="54" t="s">
        <v>156</v>
      </c>
      <c r="C228" s="55" t="s">
        <v>157</v>
      </c>
      <c r="D228" s="55" t="s">
        <v>158</v>
      </c>
      <c r="E228" s="104" t="s">
        <v>159</v>
      </c>
      <c r="F228" s="55" t="s">
        <v>160</v>
      </c>
      <c r="G228" s="105">
        <v>15</v>
      </c>
      <c r="H228" s="106">
        <v>21.3</v>
      </c>
      <c r="I228" s="106">
        <v>103.3</v>
      </c>
      <c r="J228" s="106">
        <f t="shared" si="16"/>
        <v>46.96</v>
      </c>
      <c r="K228" s="106">
        <f t="shared" si="17"/>
        <v>21.5</v>
      </c>
    </row>
    <row r="229" s="76" customFormat="1" ht="21" customHeight="1" spans="1:11">
      <c r="A229" s="53" t="s">
        <v>132</v>
      </c>
      <c r="B229" s="54" t="s">
        <v>156</v>
      </c>
      <c r="C229" s="55" t="s">
        <v>157</v>
      </c>
      <c r="D229" s="55" t="s">
        <v>158</v>
      </c>
      <c r="E229" s="104" t="s">
        <v>159</v>
      </c>
      <c r="F229" s="55" t="s">
        <v>160</v>
      </c>
      <c r="G229" s="105">
        <v>16</v>
      </c>
      <c r="H229" s="106">
        <v>21.8</v>
      </c>
      <c r="I229" s="106">
        <v>105.8</v>
      </c>
      <c r="J229" s="106">
        <f t="shared" si="16"/>
        <v>48.06</v>
      </c>
      <c r="K229" s="106">
        <f t="shared" si="17"/>
        <v>22</v>
      </c>
    </row>
    <row r="230" s="76" customFormat="1" ht="21" customHeight="1" spans="1:11">
      <c r="A230" s="53" t="s">
        <v>132</v>
      </c>
      <c r="B230" s="54" t="s">
        <v>156</v>
      </c>
      <c r="C230" s="55" t="s">
        <v>157</v>
      </c>
      <c r="D230" s="55" t="s">
        <v>158</v>
      </c>
      <c r="E230" s="104" t="s">
        <v>159</v>
      </c>
      <c r="F230" s="55" t="s">
        <v>160</v>
      </c>
      <c r="G230" s="105">
        <v>17</v>
      </c>
      <c r="H230" s="106">
        <v>22.3</v>
      </c>
      <c r="I230" s="106">
        <v>108.2</v>
      </c>
      <c r="J230" s="106">
        <f t="shared" si="16"/>
        <v>49.16</v>
      </c>
      <c r="K230" s="106">
        <f t="shared" si="17"/>
        <v>22.5</v>
      </c>
    </row>
    <row r="231" s="76" customFormat="1" ht="21" customHeight="1" spans="1:11">
      <c r="A231" s="53" t="s">
        <v>132</v>
      </c>
      <c r="B231" s="54" t="s">
        <v>156</v>
      </c>
      <c r="C231" s="55" t="s">
        <v>157</v>
      </c>
      <c r="D231" s="55" t="s">
        <v>158</v>
      </c>
      <c r="E231" s="104" t="s">
        <v>159</v>
      </c>
      <c r="F231" s="55" t="s">
        <v>160</v>
      </c>
      <c r="G231" s="105">
        <v>18</v>
      </c>
      <c r="H231" s="106">
        <v>21.1</v>
      </c>
      <c r="I231" s="106">
        <v>102.4</v>
      </c>
      <c r="J231" s="106">
        <f t="shared" si="16"/>
        <v>46.52</v>
      </c>
      <c r="K231" s="106">
        <f t="shared" si="17"/>
        <v>21.3</v>
      </c>
    </row>
    <row r="232" s="76" customFormat="1" ht="21" customHeight="1" spans="1:11">
      <c r="A232" s="53" t="s">
        <v>132</v>
      </c>
      <c r="B232" s="54" t="s">
        <v>156</v>
      </c>
      <c r="C232" s="55" t="s">
        <v>157</v>
      </c>
      <c r="D232" s="55" t="s">
        <v>158</v>
      </c>
      <c r="E232" s="104" t="s">
        <v>159</v>
      </c>
      <c r="F232" s="55" t="s">
        <v>160</v>
      </c>
      <c r="G232" s="105">
        <v>19</v>
      </c>
      <c r="H232" s="106">
        <v>21.2</v>
      </c>
      <c r="I232" s="106">
        <v>102.8</v>
      </c>
      <c r="J232" s="106">
        <f t="shared" si="16"/>
        <v>46.74</v>
      </c>
      <c r="K232" s="106">
        <f t="shared" si="17"/>
        <v>21.4</v>
      </c>
    </row>
    <row r="233" s="76" customFormat="1" ht="21" customHeight="1" spans="1:11">
      <c r="A233" s="53" t="s">
        <v>132</v>
      </c>
      <c r="B233" s="54" t="s">
        <v>156</v>
      </c>
      <c r="C233" s="55" t="s">
        <v>157</v>
      </c>
      <c r="D233" s="55" t="s">
        <v>158</v>
      </c>
      <c r="E233" s="104" t="s">
        <v>159</v>
      </c>
      <c r="F233" s="55" t="s">
        <v>160</v>
      </c>
      <c r="G233" s="105">
        <v>20</v>
      </c>
      <c r="H233" s="106">
        <v>22</v>
      </c>
      <c r="I233" s="106">
        <v>106.7</v>
      </c>
      <c r="J233" s="106">
        <f t="shared" si="16"/>
        <v>48.5</v>
      </c>
      <c r="K233" s="106">
        <f t="shared" si="17"/>
        <v>22.2</v>
      </c>
    </row>
    <row r="234" s="76" customFormat="1" ht="21" customHeight="1" spans="1:11">
      <c r="A234" s="53" t="s">
        <v>132</v>
      </c>
      <c r="B234" s="54" t="s">
        <v>156</v>
      </c>
      <c r="C234" s="55" t="s">
        <v>157</v>
      </c>
      <c r="D234" s="55" t="s">
        <v>158</v>
      </c>
      <c r="E234" s="104" t="s">
        <v>159</v>
      </c>
      <c r="F234" s="55" t="s">
        <v>160</v>
      </c>
      <c r="G234" s="105">
        <v>21</v>
      </c>
      <c r="H234" s="106">
        <v>22.3</v>
      </c>
      <c r="I234" s="106">
        <v>108.2</v>
      </c>
      <c r="J234" s="106">
        <f t="shared" si="16"/>
        <v>49.16</v>
      </c>
      <c r="K234" s="106">
        <f t="shared" si="17"/>
        <v>22.5</v>
      </c>
    </row>
    <row r="235" s="76" customFormat="1" ht="21" customHeight="1" spans="1:11">
      <c r="A235" s="53" t="s">
        <v>132</v>
      </c>
      <c r="B235" s="54" t="s">
        <v>156</v>
      </c>
      <c r="C235" s="55" t="s">
        <v>157</v>
      </c>
      <c r="D235" s="55" t="s">
        <v>158</v>
      </c>
      <c r="E235" s="104" t="s">
        <v>159</v>
      </c>
      <c r="F235" s="55" t="s">
        <v>160</v>
      </c>
      <c r="G235" s="105">
        <v>22</v>
      </c>
      <c r="H235" s="106">
        <v>22.3</v>
      </c>
      <c r="I235" s="106">
        <v>108.2</v>
      </c>
      <c r="J235" s="106">
        <f t="shared" si="16"/>
        <v>49.16</v>
      </c>
      <c r="K235" s="106">
        <f t="shared" si="17"/>
        <v>22.5</v>
      </c>
    </row>
    <row r="236" s="76" customFormat="1" ht="21" customHeight="1" spans="1:11">
      <c r="A236" s="53" t="s">
        <v>132</v>
      </c>
      <c r="B236" s="54" t="s">
        <v>156</v>
      </c>
      <c r="C236" s="55" t="s">
        <v>157</v>
      </c>
      <c r="D236" s="55" t="s">
        <v>158</v>
      </c>
      <c r="E236" s="104" t="s">
        <v>159</v>
      </c>
      <c r="F236" s="55" t="s">
        <v>160</v>
      </c>
      <c r="G236" s="105">
        <v>23</v>
      </c>
      <c r="H236" s="106">
        <v>21.6</v>
      </c>
      <c r="I236" s="106">
        <v>104.8</v>
      </c>
      <c r="J236" s="106">
        <f t="shared" si="16"/>
        <v>47.62</v>
      </c>
      <c r="K236" s="106">
        <f t="shared" si="17"/>
        <v>21.8</v>
      </c>
    </row>
    <row r="237" s="76" customFormat="1" ht="21" customHeight="1" spans="1:11">
      <c r="A237" s="53" t="s">
        <v>132</v>
      </c>
      <c r="B237" s="54" t="s">
        <v>156</v>
      </c>
      <c r="C237" s="55" t="s">
        <v>157</v>
      </c>
      <c r="D237" s="55" t="s">
        <v>158</v>
      </c>
      <c r="E237" s="104" t="s">
        <v>159</v>
      </c>
      <c r="F237" s="55" t="s">
        <v>160</v>
      </c>
      <c r="G237" s="105">
        <v>24</v>
      </c>
      <c r="H237" s="106">
        <v>21.9</v>
      </c>
      <c r="I237" s="106">
        <v>106.2</v>
      </c>
      <c r="J237" s="106">
        <f t="shared" si="16"/>
        <v>48.28</v>
      </c>
      <c r="K237" s="106">
        <f t="shared" si="17"/>
        <v>22.1</v>
      </c>
    </row>
    <row r="238" s="76" customFormat="1" ht="21" customHeight="1" spans="1:11">
      <c r="A238" s="53" t="s">
        <v>132</v>
      </c>
      <c r="B238" s="54" t="s">
        <v>156</v>
      </c>
      <c r="C238" s="55" t="s">
        <v>157</v>
      </c>
      <c r="D238" s="55" t="s">
        <v>158</v>
      </c>
      <c r="E238" s="104" t="s">
        <v>159</v>
      </c>
      <c r="F238" s="55" t="s">
        <v>160</v>
      </c>
      <c r="G238" s="105">
        <v>25</v>
      </c>
      <c r="H238" s="106">
        <v>22.1</v>
      </c>
      <c r="I238" s="106">
        <v>107.2</v>
      </c>
      <c r="J238" s="106">
        <f t="shared" si="16"/>
        <v>48.72</v>
      </c>
      <c r="K238" s="106">
        <f t="shared" si="17"/>
        <v>22.3</v>
      </c>
    </row>
    <row r="239" s="76" customFormat="1" ht="21" customHeight="1" spans="1:11">
      <c r="A239" s="53" t="s">
        <v>132</v>
      </c>
      <c r="B239" s="54" t="s">
        <v>156</v>
      </c>
      <c r="C239" s="55" t="s">
        <v>157</v>
      </c>
      <c r="D239" s="55" t="s">
        <v>158</v>
      </c>
      <c r="E239" s="104" t="s">
        <v>159</v>
      </c>
      <c r="F239" s="55" t="s">
        <v>160</v>
      </c>
      <c r="G239" s="105">
        <v>26</v>
      </c>
      <c r="H239" s="106">
        <v>16</v>
      </c>
      <c r="I239" s="106">
        <v>77.6</v>
      </c>
      <c r="J239" s="106">
        <f t="shared" si="16"/>
        <v>35.27</v>
      </c>
      <c r="K239" s="106">
        <f t="shared" si="17"/>
        <v>16.2</v>
      </c>
    </row>
    <row r="240" s="77" customFormat="1" ht="21" customHeight="1" spans="1:11">
      <c r="A240" s="107"/>
      <c r="B240" s="108"/>
      <c r="C240" s="109" t="s">
        <v>138</v>
      </c>
      <c r="D240" s="109"/>
      <c r="E240" s="109"/>
      <c r="F240" s="110"/>
      <c r="G240" s="111">
        <f>COUNT(G214:G239)</f>
        <v>26</v>
      </c>
      <c r="H240" s="112">
        <f>SUM(H214:H239)</f>
        <v>562.2</v>
      </c>
      <c r="I240" s="112">
        <f>SUM(I214:I239)</f>
        <v>2727.4</v>
      </c>
      <c r="J240" s="112">
        <f>SUM(J214:J239)</f>
        <v>1239.43</v>
      </c>
      <c r="K240" s="112">
        <f>SUM(K214:K239)</f>
        <v>567.4</v>
      </c>
    </row>
    <row r="241" s="76" customFormat="1" ht="21" customHeight="1" spans="1:11">
      <c r="A241" s="53" t="s">
        <v>132</v>
      </c>
      <c r="B241" s="54" t="s">
        <v>161</v>
      </c>
      <c r="C241" s="55" t="s">
        <v>162</v>
      </c>
      <c r="D241" s="55" t="s">
        <v>163</v>
      </c>
      <c r="E241" s="104" t="s">
        <v>159</v>
      </c>
      <c r="F241" s="55" t="s">
        <v>160</v>
      </c>
      <c r="G241" s="105">
        <v>1</v>
      </c>
      <c r="H241" s="106">
        <v>20.7</v>
      </c>
      <c r="I241" s="106">
        <v>100.4</v>
      </c>
      <c r="J241" s="106">
        <f t="shared" ref="J241:J272" si="18">ROUND(H241*2.2046,2)</f>
        <v>45.64</v>
      </c>
      <c r="K241" s="106">
        <f t="shared" ref="K241:K272" si="19">H241+0.2</f>
        <v>20.9</v>
      </c>
    </row>
    <row r="242" s="76" customFormat="1" ht="21" customHeight="1" spans="1:11">
      <c r="A242" s="53" t="s">
        <v>132</v>
      </c>
      <c r="B242" s="54" t="s">
        <v>161</v>
      </c>
      <c r="C242" s="55" t="s">
        <v>162</v>
      </c>
      <c r="D242" s="55" t="s">
        <v>163</v>
      </c>
      <c r="E242" s="104" t="s">
        <v>159</v>
      </c>
      <c r="F242" s="55" t="s">
        <v>160</v>
      </c>
      <c r="G242" s="105">
        <v>2</v>
      </c>
      <c r="H242" s="106">
        <v>20.1</v>
      </c>
      <c r="I242" s="106">
        <v>97.5</v>
      </c>
      <c r="J242" s="106">
        <f t="shared" si="18"/>
        <v>44.31</v>
      </c>
      <c r="K242" s="106">
        <f t="shared" si="19"/>
        <v>20.3</v>
      </c>
    </row>
    <row r="243" s="76" customFormat="1" ht="21" customHeight="1" spans="1:11">
      <c r="A243" s="53" t="s">
        <v>132</v>
      </c>
      <c r="B243" s="54" t="s">
        <v>161</v>
      </c>
      <c r="C243" s="55" t="s">
        <v>162</v>
      </c>
      <c r="D243" s="55" t="s">
        <v>163</v>
      </c>
      <c r="E243" s="104" t="s">
        <v>159</v>
      </c>
      <c r="F243" s="55" t="s">
        <v>160</v>
      </c>
      <c r="G243" s="105">
        <v>3</v>
      </c>
      <c r="H243" s="106">
        <v>22.4</v>
      </c>
      <c r="I243" s="106">
        <v>108.7</v>
      </c>
      <c r="J243" s="106">
        <f t="shared" si="18"/>
        <v>49.38</v>
      </c>
      <c r="K243" s="106">
        <f t="shared" si="19"/>
        <v>22.6</v>
      </c>
    </row>
    <row r="244" s="76" customFormat="1" ht="21" customHeight="1" spans="1:11">
      <c r="A244" s="53" t="s">
        <v>132</v>
      </c>
      <c r="B244" s="54" t="s">
        <v>161</v>
      </c>
      <c r="C244" s="55" t="s">
        <v>162</v>
      </c>
      <c r="D244" s="55" t="s">
        <v>163</v>
      </c>
      <c r="E244" s="104" t="s">
        <v>159</v>
      </c>
      <c r="F244" s="55" t="s">
        <v>160</v>
      </c>
      <c r="G244" s="105">
        <v>4</v>
      </c>
      <c r="H244" s="106">
        <v>22.3</v>
      </c>
      <c r="I244" s="106">
        <v>108.2</v>
      </c>
      <c r="J244" s="106">
        <f t="shared" si="18"/>
        <v>49.16</v>
      </c>
      <c r="K244" s="106">
        <f t="shared" si="19"/>
        <v>22.5</v>
      </c>
    </row>
    <row r="245" s="76" customFormat="1" ht="21" customHeight="1" spans="1:11">
      <c r="A245" s="53" t="s">
        <v>132</v>
      </c>
      <c r="B245" s="54" t="s">
        <v>161</v>
      </c>
      <c r="C245" s="55" t="s">
        <v>162</v>
      </c>
      <c r="D245" s="55" t="s">
        <v>163</v>
      </c>
      <c r="E245" s="104" t="s">
        <v>159</v>
      </c>
      <c r="F245" s="55" t="s">
        <v>160</v>
      </c>
      <c r="G245" s="105">
        <v>5</v>
      </c>
      <c r="H245" s="106">
        <v>23.3</v>
      </c>
      <c r="I245" s="106">
        <v>113</v>
      </c>
      <c r="J245" s="106">
        <f t="shared" si="18"/>
        <v>51.37</v>
      </c>
      <c r="K245" s="106">
        <f t="shared" si="19"/>
        <v>23.5</v>
      </c>
    </row>
    <row r="246" s="76" customFormat="1" ht="21" customHeight="1" spans="1:11">
      <c r="A246" s="53" t="s">
        <v>132</v>
      </c>
      <c r="B246" s="54" t="s">
        <v>161</v>
      </c>
      <c r="C246" s="55" t="s">
        <v>162</v>
      </c>
      <c r="D246" s="55" t="s">
        <v>163</v>
      </c>
      <c r="E246" s="104" t="s">
        <v>159</v>
      </c>
      <c r="F246" s="55" t="s">
        <v>160</v>
      </c>
      <c r="G246" s="105">
        <v>6</v>
      </c>
      <c r="H246" s="106">
        <v>25.3</v>
      </c>
      <c r="I246" s="106">
        <v>122.7</v>
      </c>
      <c r="J246" s="106">
        <f t="shared" si="18"/>
        <v>55.78</v>
      </c>
      <c r="K246" s="106">
        <f t="shared" si="19"/>
        <v>25.5</v>
      </c>
    </row>
    <row r="247" s="76" customFormat="1" ht="21" customHeight="1" spans="1:11">
      <c r="A247" s="53" t="s">
        <v>132</v>
      </c>
      <c r="B247" s="54" t="s">
        <v>161</v>
      </c>
      <c r="C247" s="55" t="s">
        <v>162</v>
      </c>
      <c r="D247" s="55" t="s">
        <v>163</v>
      </c>
      <c r="E247" s="104" t="s">
        <v>159</v>
      </c>
      <c r="F247" s="55" t="s">
        <v>160</v>
      </c>
      <c r="G247" s="105">
        <v>7</v>
      </c>
      <c r="H247" s="106">
        <v>21.6</v>
      </c>
      <c r="I247" s="106">
        <v>104.8</v>
      </c>
      <c r="J247" s="106">
        <f t="shared" si="18"/>
        <v>47.62</v>
      </c>
      <c r="K247" s="106">
        <f t="shared" si="19"/>
        <v>21.8</v>
      </c>
    </row>
    <row r="248" s="77" customFormat="1" ht="21" customHeight="1" spans="1:11">
      <c r="A248" s="107"/>
      <c r="B248" s="108"/>
      <c r="C248" s="109" t="s">
        <v>138</v>
      </c>
      <c r="D248" s="109"/>
      <c r="E248" s="109"/>
      <c r="F248" s="110"/>
      <c r="G248" s="111">
        <f>COUNT(G241:G247)</f>
        <v>7</v>
      </c>
      <c r="H248" s="112">
        <f>SUM(H241:H247)</f>
        <v>155.7</v>
      </c>
      <c r="I248" s="112">
        <f>SUM(I241:I247)</f>
        <v>755.3</v>
      </c>
      <c r="J248" s="112">
        <f>SUM(J241:J247)</f>
        <v>343.26</v>
      </c>
      <c r="K248" s="112">
        <f>SUM(K241:K247)</f>
        <v>157.1</v>
      </c>
    </row>
    <row r="249" s="76" customFormat="1" ht="21" customHeight="1" spans="1:11">
      <c r="A249" s="53" t="s">
        <v>132</v>
      </c>
      <c r="B249" s="54" t="s">
        <v>161</v>
      </c>
      <c r="C249" s="55" t="s">
        <v>164</v>
      </c>
      <c r="D249" s="55" t="s">
        <v>163</v>
      </c>
      <c r="E249" s="104" t="s">
        <v>159</v>
      </c>
      <c r="F249" s="55" t="s">
        <v>165</v>
      </c>
      <c r="G249" s="105">
        <v>23</v>
      </c>
      <c r="H249" s="106">
        <v>19.5</v>
      </c>
      <c r="I249" s="106">
        <v>94.6</v>
      </c>
      <c r="J249" s="106">
        <f>ROUND(H249*2.2046,2)</f>
        <v>42.99</v>
      </c>
      <c r="K249" s="106">
        <f>H249+0.2</f>
        <v>19.7</v>
      </c>
    </row>
    <row r="250" s="77" customFormat="1" ht="21" customHeight="1" spans="1:11">
      <c r="A250" s="107"/>
      <c r="B250" s="108"/>
      <c r="C250" s="109" t="s">
        <v>138</v>
      </c>
      <c r="D250" s="109"/>
      <c r="E250" s="109"/>
      <c r="F250" s="110"/>
      <c r="G250" s="111">
        <f>COUNT(G249:G249)</f>
        <v>1</v>
      </c>
      <c r="H250" s="112">
        <f>SUM(H249:H249)</f>
        <v>19.5</v>
      </c>
      <c r="I250" s="112">
        <f>SUM(I249:I249)</f>
        <v>94.6</v>
      </c>
      <c r="J250" s="112">
        <f>SUM(J249:J249)</f>
        <v>42.99</v>
      </c>
      <c r="K250" s="112">
        <f>SUM(K249:K249)</f>
        <v>19.7</v>
      </c>
    </row>
    <row r="251" s="76" customFormat="1" ht="21" customHeight="1" spans="1:11">
      <c r="A251" s="53" t="s">
        <v>132</v>
      </c>
      <c r="B251" s="54" t="s">
        <v>161</v>
      </c>
      <c r="C251" s="55" t="s">
        <v>166</v>
      </c>
      <c r="D251" s="55" t="s">
        <v>163</v>
      </c>
      <c r="E251" s="104" t="s">
        <v>159</v>
      </c>
      <c r="F251" s="55" t="s">
        <v>165</v>
      </c>
      <c r="G251" s="105">
        <v>46</v>
      </c>
      <c r="H251" s="106">
        <v>21.3</v>
      </c>
      <c r="I251" s="106">
        <v>103.3</v>
      </c>
      <c r="J251" s="106">
        <f>ROUND(H251*2.2046,2)</f>
        <v>46.96</v>
      </c>
      <c r="K251" s="106">
        <f>H251+0.2</f>
        <v>21.5</v>
      </c>
    </row>
    <row r="252" s="77" customFormat="1" ht="21" customHeight="1" spans="1:11">
      <c r="A252" s="107"/>
      <c r="B252" s="108"/>
      <c r="C252" s="109" t="s">
        <v>138</v>
      </c>
      <c r="D252" s="109"/>
      <c r="E252" s="109"/>
      <c r="F252" s="110"/>
      <c r="G252" s="111">
        <f>COUNT(G251:G251)</f>
        <v>1</v>
      </c>
      <c r="H252" s="112">
        <f>SUM(H251:H251)</f>
        <v>21.3</v>
      </c>
      <c r="I252" s="112">
        <f>SUM(I251:I251)</f>
        <v>103.3</v>
      </c>
      <c r="J252" s="112">
        <f>SUM(J251:J251)</f>
        <v>46.96</v>
      </c>
      <c r="K252" s="112">
        <f>SUM(K251:K251)</f>
        <v>21.5</v>
      </c>
    </row>
    <row r="253" s="76" customFormat="1" ht="21" customHeight="1" spans="1:11">
      <c r="A253" s="53" t="s">
        <v>132</v>
      </c>
      <c r="B253" s="54" t="s">
        <v>161</v>
      </c>
      <c r="C253" s="55" t="s">
        <v>167</v>
      </c>
      <c r="D253" s="55" t="s">
        <v>163</v>
      </c>
      <c r="E253" s="104" t="s">
        <v>159</v>
      </c>
      <c r="F253" s="55" t="s">
        <v>165</v>
      </c>
      <c r="G253" s="105">
        <v>1</v>
      </c>
      <c r="H253" s="106">
        <v>20.9</v>
      </c>
      <c r="I253" s="106">
        <v>101.4</v>
      </c>
      <c r="J253" s="106">
        <f t="shared" ref="J253:J284" si="20">ROUND(H253*2.2046,2)</f>
        <v>46.08</v>
      </c>
      <c r="K253" s="106">
        <f t="shared" ref="K253:K284" si="21">H253+0.2</f>
        <v>21.1</v>
      </c>
    </row>
    <row r="254" s="76" customFormat="1" ht="21" customHeight="1" spans="1:11">
      <c r="A254" s="53" t="s">
        <v>132</v>
      </c>
      <c r="B254" s="54" t="s">
        <v>161</v>
      </c>
      <c r="C254" s="55" t="s">
        <v>167</v>
      </c>
      <c r="D254" s="55" t="s">
        <v>163</v>
      </c>
      <c r="E254" s="104" t="s">
        <v>159</v>
      </c>
      <c r="F254" s="55" t="s">
        <v>165</v>
      </c>
      <c r="G254" s="105">
        <v>2</v>
      </c>
      <c r="H254" s="106">
        <v>21.8</v>
      </c>
      <c r="I254" s="106">
        <v>105.8</v>
      </c>
      <c r="J254" s="106">
        <f t="shared" si="20"/>
        <v>48.06</v>
      </c>
      <c r="K254" s="106">
        <f t="shared" si="21"/>
        <v>22</v>
      </c>
    </row>
    <row r="255" s="76" customFormat="1" ht="21" customHeight="1" spans="1:11">
      <c r="A255" s="53" t="s">
        <v>132</v>
      </c>
      <c r="B255" s="54" t="s">
        <v>161</v>
      </c>
      <c r="C255" s="55" t="s">
        <v>167</v>
      </c>
      <c r="D255" s="55" t="s">
        <v>163</v>
      </c>
      <c r="E255" s="104" t="s">
        <v>159</v>
      </c>
      <c r="F255" s="55" t="s">
        <v>165</v>
      </c>
      <c r="G255" s="105">
        <v>3</v>
      </c>
      <c r="H255" s="106">
        <v>21.5</v>
      </c>
      <c r="I255" s="106">
        <v>104.3</v>
      </c>
      <c r="J255" s="106">
        <f t="shared" si="20"/>
        <v>47.4</v>
      </c>
      <c r="K255" s="106">
        <f t="shared" si="21"/>
        <v>21.7</v>
      </c>
    </row>
    <row r="256" s="76" customFormat="1" ht="21" customHeight="1" spans="1:11">
      <c r="A256" s="53" t="s">
        <v>132</v>
      </c>
      <c r="B256" s="54" t="s">
        <v>161</v>
      </c>
      <c r="C256" s="55" t="s">
        <v>167</v>
      </c>
      <c r="D256" s="55" t="s">
        <v>163</v>
      </c>
      <c r="E256" s="104" t="s">
        <v>159</v>
      </c>
      <c r="F256" s="55" t="s">
        <v>165</v>
      </c>
      <c r="G256" s="105">
        <v>4</v>
      </c>
      <c r="H256" s="106">
        <v>21.9</v>
      </c>
      <c r="I256" s="106">
        <v>106.2</v>
      </c>
      <c r="J256" s="106">
        <f t="shared" si="20"/>
        <v>48.28</v>
      </c>
      <c r="K256" s="106">
        <f t="shared" si="21"/>
        <v>22.1</v>
      </c>
    </row>
    <row r="257" s="76" customFormat="1" ht="21" customHeight="1" spans="1:11">
      <c r="A257" s="53" t="s">
        <v>132</v>
      </c>
      <c r="B257" s="54" t="s">
        <v>161</v>
      </c>
      <c r="C257" s="55" t="s">
        <v>167</v>
      </c>
      <c r="D257" s="55" t="s">
        <v>163</v>
      </c>
      <c r="E257" s="104" t="s">
        <v>159</v>
      </c>
      <c r="F257" s="55" t="s">
        <v>165</v>
      </c>
      <c r="G257" s="105">
        <v>5</v>
      </c>
      <c r="H257" s="106">
        <v>21.7</v>
      </c>
      <c r="I257" s="106">
        <v>105.3</v>
      </c>
      <c r="J257" s="106">
        <f t="shared" si="20"/>
        <v>47.84</v>
      </c>
      <c r="K257" s="106">
        <f t="shared" si="21"/>
        <v>21.9</v>
      </c>
    </row>
    <row r="258" s="76" customFormat="1" ht="21" customHeight="1" spans="1:11">
      <c r="A258" s="53" t="s">
        <v>132</v>
      </c>
      <c r="B258" s="54" t="s">
        <v>161</v>
      </c>
      <c r="C258" s="55" t="s">
        <v>167</v>
      </c>
      <c r="D258" s="55" t="s">
        <v>163</v>
      </c>
      <c r="E258" s="104" t="s">
        <v>159</v>
      </c>
      <c r="F258" s="55" t="s">
        <v>165</v>
      </c>
      <c r="G258" s="105">
        <v>6</v>
      </c>
      <c r="H258" s="106">
        <v>22.5</v>
      </c>
      <c r="I258" s="106">
        <v>109.2</v>
      </c>
      <c r="J258" s="106">
        <f t="shared" si="20"/>
        <v>49.6</v>
      </c>
      <c r="K258" s="106">
        <f t="shared" si="21"/>
        <v>22.7</v>
      </c>
    </row>
    <row r="259" s="76" customFormat="1" ht="21" customHeight="1" spans="1:11">
      <c r="A259" s="53" t="s">
        <v>132</v>
      </c>
      <c r="B259" s="54" t="s">
        <v>161</v>
      </c>
      <c r="C259" s="55" t="s">
        <v>167</v>
      </c>
      <c r="D259" s="55" t="s">
        <v>163</v>
      </c>
      <c r="E259" s="104" t="s">
        <v>159</v>
      </c>
      <c r="F259" s="55" t="s">
        <v>165</v>
      </c>
      <c r="G259" s="105">
        <v>7</v>
      </c>
      <c r="H259" s="106">
        <v>22</v>
      </c>
      <c r="I259" s="106">
        <v>106.7</v>
      </c>
      <c r="J259" s="106">
        <f t="shared" si="20"/>
        <v>48.5</v>
      </c>
      <c r="K259" s="106">
        <f t="shared" si="21"/>
        <v>22.2</v>
      </c>
    </row>
    <row r="260" s="76" customFormat="1" ht="21" customHeight="1" spans="1:11">
      <c r="A260" s="53" t="s">
        <v>132</v>
      </c>
      <c r="B260" s="54" t="s">
        <v>161</v>
      </c>
      <c r="C260" s="55" t="s">
        <v>167</v>
      </c>
      <c r="D260" s="55" t="s">
        <v>163</v>
      </c>
      <c r="E260" s="104" t="s">
        <v>159</v>
      </c>
      <c r="F260" s="55" t="s">
        <v>165</v>
      </c>
      <c r="G260" s="105">
        <v>8</v>
      </c>
      <c r="H260" s="106">
        <v>21.6</v>
      </c>
      <c r="I260" s="106">
        <v>104.8</v>
      </c>
      <c r="J260" s="106">
        <f t="shared" si="20"/>
        <v>47.62</v>
      </c>
      <c r="K260" s="106">
        <f t="shared" si="21"/>
        <v>21.8</v>
      </c>
    </row>
    <row r="261" s="76" customFormat="1" ht="21" customHeight="1" spans="1:11">
      <c r="A261" s="53" t="s">
        <v>132</v>
      </c>
      <c r="B261" s="54" t="s">
        <v>161</v>
      </c>
      <c r="C261" s="55" t="s">
        <v>167</v>
      </c>
      <c r="D261" s="55" t="s">
        <v>163</v>
      </c>
      <c r="E261" s="104" t="s">
        <v>159</v>
      </c>
      <c r="F261" s="55" t="s">
        <v>165</v>
      </c>
      <c r="G261" s="105">
        <v>9</v>
      </c>
      <c r="H261" s="106">
        <v>21.9</v>
      </c>
      <c r="I261" s="106">
        <v>106.2</v>
      </c>
      <c r="J261" s="106">
        <f t="shared" si="20"/>
        <v>48.28</v>
      </c>
      <c r="K261" s="106">
        <f t="shared" si="21"/>
        <v>22.1</v>
      </c>
    </row>
    <row r="262" s="76" customFormat="1" ht="21" customHeight="1" spans="1:11">
      <c r="A262" s="53" t="s">
        <v>132</v>
      </c>
      <c r="B262" s="54" t="s">
        <v>161</v>
      </c>
      <c r="C262" s="55" t="s">
        <v>167</v>
      </c>
      <c r="D262" s="55" t="s">
        <v>163</v>
      </c>
      <c r="E262" s="104" t="s">
        <v>159</v>
      </c>
      <c r="F262" s="55" t="s">
        <v>165</v>
      </c>
      <c r="G262" s="105">
        <v>10</v>
      </c>
      <c r="H262" s="106">
        <v>21.8</v>
      </c>
      <c r="I262" s="106">
        <v>105.8</v>
      </c>
      <c r="J262" s="106">
        <f t="shared" si="20"/>
        <v>48.06</v>
      </c>
      <c r="K262" s="106">
        <f t="shared" si="21"/>
        <v>22</v>
      </c>
    </row>
    <row r="263" s="76" customFormat="1" ht="21" customHeight="1" spans="1:11">
      <c r="A263" s="53" t="s">
        <v>132</v>
      </c>
      <c r="B263" s="54" t="s">
        <v>161</v>
      </c>
      <c r="C263" s="55" t="s">
        <v>167</v>
      </c>
      <c r="D263" s="55" t="s">
        <v>163</v>
      </c>
      <c r="E263" s="104" t="s">
        <v>159</v>
      </c>
      <c r="F263" s="55" t="s">
        <v>165</v>
      </c>
      <c r="G263" s="105">
        <v>11</v>
      </c>
      <c r="H263" s="106">
        <v>21.6</v>
      </c>
      <c r="I263" s="106">
        <v>104.8</v>
      </c>
      <c r="J263" s="106">
        <f t="shared" si="20"/>
        <v>47.62</v>
      </c>
      <c r="K263" s="106">
        <f t="shared" si="21"/>
        <v>21.8</v>
      </c>
    </row>
    <row r="264" s="76" customFormat="1" ht="21" customHeight="1" spans="1:11">
      <c r="A264" s="53" t="s">
        <v>132</v>
      </c>
      <c r="B264" s="54" t="s">
        <v>161</v>
      </c>
      <c r="C264" s="55" t="s">
        <v>167</v>
      </c>
      <c r="D264" s="55" t="s">
        <v>163</v>
      </c>
      <c r="E264" s="104" t="s">
        <v>159</v>
      </c>
      <c r="F264" s="55" t="s">
        <v>165</v>
      </c>
      <c r="G264" s="105">
        <v>12</v>
      </c>
      <c r="H264" s="106">
        <v>22.2</v>
      </c>
      <c r="I264" s="106">
        <v>107.7</v>
      </c>
      <c r="J264" s="106">
        <f t="shared" si="20"/>
        <v>48.94</v>
      </c>
      <c r="K264" s="106">
        <f t="shared" si="21"/>
        <v>22.4</v>
      </c>
    </row>
    <row r="265" s="76" customFormat="1" ht="21" customHeight="1" spans="1:11">
      <c r="A265" s="53" t="s">
        <v>132</v>
      </c>
      <c r="B265" s="54" t="s">
        <v>161</v>
      </c>
      <c r="C265" s="55" t="s">
        <v>167</v>
      </c>
      <c r="D265" s="55" t="s">
        <v>163</v>
      </c>
      <c r="E265" s="104" t="s">
        <v>159</v>
      </c>
      <c r="F265" s="55" t="s">
        <v>165</v>
      </c>
      <c r="G265" s="105">
        <v>13</v>
      </c>
      <c r="H265" s="106">
        <v>22</v>
      </c>
      <c r="I265" s="106">
        <v>106.7</v>
      </c>
      <c r="J265" s="106">
        <f t="shared" si="20"/>
        <v>48.5</v>
      </c>
      <c r="K265" s="106">
        <f t="shared" si="21"/>
        <v>22.2</v>
      </c>
    </row>
    <row r="266" s="76" customFormat="1" ht="21" customHeight="1" spans="1:11">
      <c r="A266" s="53" t="s">
        <v>132</v>
      </c>
      <c r="B266" s="54" t="s">
        <v>161</v>
      </c>
      <c r="C266" s="55" t="s">
        <v>167</v>
      </c>
      <c r="D266" s="55" t="s">
        <v>163</v>
      </c>
      <c r="E266" s="104" t="s">
        <v>159</v>
      </c>
      <c r="F266" s="55" t="s">
        <v>165</v>
      </c>
      <c r="G266" s="105">
        <v>14</v>
      </c>
      <c r="H266" s="106">
        <v>21.3</v>
      </c>
      <c r="I266" s="106">
        <v>103.3</v>
      </c>
      <c r="J266" s="106">
        <f t="shared" si="20"/>
        <v>46.96</v>
      </c>
      <c r="K266" s="106">
        <f t="shared" si="21"/>
        <v>21.5</v>
      </c>
    </row>
    <row r="267" s="76" customFormat="1" ht="21" customHeight="1" spans="1:11">
      <c r="A267" s="53" t="s">
        <v>132</v>
      </c>
      <c r="B267" s="54" t="s">
        <v>161</v>
      </c>
      <c r="C267" s="55" t="s">
        <v>167</v>
      </c>
      <c r="D267" s="55" t="s">
        <v>163</v>
      </c>
      <c r="E267" s="104" t="s">
        <v>159</v>
      </c>
      <c r="F267" s="55" t="s">
        <v>165</v>
      </c>
      <c r="G267" s="105">
        <v>15</v>
      </c>
      <c r="H267" s="106">
        <v>21.5</v>
      </c>
      <c r="I267" s="106">
        <v>104.3</v>
      </c>
      <c r="J267" s="106">
        <f t="shared" si="20"/>
        <v>47.4</v>
      </c>
      <c r="K267" s="106">
        <f t="shared" si="21"/>
        <v>21.7</v>
      </c>
    </row>
    <row r="268" s="76" customFormat="1" ht="21" customHeight="1" spans="1:11">
      <c r="A268" s="53" t="s">
        <v>132</v>
      </c>
      <c r="B268" s="54" t="s">
        <v>161</v>
      </c>
      <c r="C268" s="55" t="s">
        <v>167</v>
      </c>
      <c r="D268" s="55" t="s">
        <v>163</v>
      </c>
      <c r="E268" s="104" t="s">
        <v>159</v>
      </c>
      <c r="F268" s="55" t="s">
        <v>165</v>
      </c>
      <c r="G268" s="105">
        <v>16</v>
      </c>
      <c r="H268" s="106">
        <v>18.8</v>
      </c>
      <c r="I268" s="106">
        <v>91.2</v>
      </c>
      <c r="J268" s="106">
        <f t="shared" si="20"/>
        <v>41.45</v>
      </c>
      <c r="K268" s="106">
        <f t="shared" si="21"/>
        <v>19</v>
      </c>
    </row>
    <row r="269" s="76" customFormat="1" ht="21" customHeight="1" spans="1:11">
      <c r="A269" s="53" t="s">
        <v>132</v>
      </c>
      <c r="B269" s="54" t="s">
        <v>161</v>
      </c>
      <c r="C269" s="55" t="s">
        <v>167</v>
      </c>
      <c r="D269" s="55" t="s">
        <v>163</v>
      </c>
      <c r="E269" s="104" t="s">
        <v>159</v>
      </c>
      <c r="F269" s="55" t="s">
        <v>165</v>
      </c>
      <c r="G269" s="105">
        <v>17</v>
      </c>
      <c r="H269" s="106">
        <v>22.1</v>
      </c>
      <c r="I269" s="106">
        <v>107.2</v>
      </c>
      <c r="J269" s="106">
        <f t="shared" si="20"/>
        <v>48.72</v>
      </c>
      <c r="K269" s="106">
        <f t="shared" si="21"/>
        <v>22.3</v>
      </c>
    </row>
    <row r="270" s="76" customFormat="1" ht="21" customHeight="1" spans="1:11">
      <c r="A270" s="53" t="s">
        <v>132</v>
      </c>
      <c r="B270" s="54" t="s">
        <v>161</v>
      </c>
      <c r="C270" s="55" t="s">
        <v>167</v>
      </c>
      <c r="D270" s="55" t="s">
        <v>163</v>
      </c>
      <c r="E270" s="104" t="s">
        <v>159</v>
      </c>
      <c r="F270" s="55" t="s">
        <v>165</v>
      </c>
      <c r="G270" s="105">
        <v>18</v>
      </c>
      <c r="H270" s="106">
        <v>22.1</v>
      </c>
      <c r="I270" s="106">
        <v>107.2</v>
      </c>
      <c r="J270" s="106">
        <f t="shared" si="20"/>
        <v>48.72</v>
      </c>
      <c r="K270" s="106">
        <f t="shared" si="21"/>
        <v>22.3</v>
      </c>
    </row>
    <row r="271" s="76" customFormat="1" ht="21" customHeight="1" spans="1:11">
      <c r="A271" s="53" t="s">
        <v>132</v>
      </c>
      <c r="B271" s="54" t="s">
        <v>161</v>
      </c>
      <c r="C271" s="55" t="s">
        <v>167</v>
      </c>
      <c r="D271" s="55" t="s">
        <v>163</v>
      </c>
      <c r="E271" s="104" t="s">
        <v>159</v>
      </c>
      <c r="F271" s="55" t="s">
        <v>165</v>
      </c>
      <c r="G271" s="105">
        <v>19</v>
      </c>
      <c r="H271" s="106">
        <v>22.2</v>
      </c>
      <c r="I271" s="106">
        <v>107.7</v>
      </c>
      <c r="J271" s="106">
        <f t="shared" si="20"/>
        <v>48.94</v>
      </c>
      <c r="K271" s="106">
        <f t="shared" si="21"/>
        <v>22.4</v>
      </c>
    </row>
    <row r="272" s="77" customFormat="1" ht="21" customHeight="1" spans="1:11">
      <c r="A272" s="107"/>
      <c r="B272" s="108"/>
      <c r="C272" s="109" t="s">
        <v>138</v>
      </c>
      <c r="D272" s="109"/>
      <c r="E272" s="109"/>
      <c r="F272" s="110"/>
      <c r="G272" s="111">
        <f>COUNT(G253:G271)</f>
        <v>19</v>
      </c>
      <c r="H272" s="112">
        <f>SUM(H253:H271)</f>
        <v>411.4</v>
      </c>
      <c r="I272" s="112">
        <f>SUM(I253:I271)</f>
        <v>1995.8</v>
      </c>
      <c r="J272" s="112">
        <f>SUM(J253:J271)</f>
        <v>906.97</v>
      </c>
      <c r="K272" s="112">
        <f>SUM(K253:K271)</f>
        <v>415.2</v>
      </c>
    </row>
    <row r="273" s="76" customFormat="1" ht="21" customHeight="1" spans="1:11">
      <c r="A273" s="53" t="s">
        <v>132</v>
      </c>
      <c r="B273" s="54" t="s">
        <v>161</v>
      </c>
      <c r="C273" s="55" t="s">
        <v>168</v>
      </c>
      <c r="D273" s="55" t="s">
        <v>163</v>
      </c>
      <c r="E273" s="104" t="s">
        <v>169</v>
      </c>
      <c r="F273" s="55" t="s">
        <v>170</v>
      </c>
      <c r="G273" s="105">
        <v>1</v>
      </c>
      <c r="H273" s="106">
        <v>22.3</v>
      </c>
      <c r="I273" s="106">
        <v>103.5</v>
      </c>
      <c r="J273" s="106">
        <f t="shared" ref="J273:J304" si="22">ROUND(H273*2.2046,2)</f>
        <v>49.16</v>
      </c>
      <c r="K273" s="106">
        <f t="shared" ref="K273:K304" si="23">H273+0.2</f>
        <v>22.5</v>
      </c>
    </row>
    <row r="274" s="76" customFormat="1" ht="21" customHeight="1" spans="1:11">
      <c r="A274" s="53" t="s">
        <v>132</v>
      </c>
      <c r="B274" s="54" t="s">
        <v>161</v>
      </c>
      <c r="C274" s="55" t="s">
        <v>168</v>
      </c>
      <c r="D274" s="55" t="s">
        <v>163</v>
      </c>
      <c r="E274" s="104" t="s">
        <v>169</v>
      </c>
      <c r="F274" s="55" t="s">
        <v>170</v>
      </c>
      <c r="G274" s="105">
        <v>2</v>
      </c>
      <c r="H274" s="106">
        <v>22.5</v>
      </c>
      <c r="I274" s="106">
        <v>104.4</v>
      </c>
      <c r="J274" s="106">
        <f t="shared" si="22"/>
        <v>49.6</v>
      </c>
      <c r="K274" s="106">
        <f t="shared" si="23"/>
        <v>22.7</v>
      </c>
    </row>
    <row r="275" s="76" customFormat="1" ht="21" customHeight="1" spans="1:11">
      <c r="A275" s="53" t="s">
        <v>132</v>
      </c>
      <c r="B275" s="54" t="s">
        <v>161</v>
      </c>
      <c r="C275" s="55" t="s">
        <v>168</v>
      </c>
      <c r="D275" s="55" t="s">
        <v>163</v>
      </c>
      <c r="E275" s="104" t="s">
        <v>169</v>
      </c>
      <c r="F275" s="55" t="s">
        <v>170</v>
      </c>
      <c r="G275" s="105">
        <v>3</v>
      </c>
      <c r="H275" s="106">
        <v>22.3</v>
      </c>
      <c r="I275" s="106">
        <v>103.5</v>
      </c>
      <c r="J275" s="106">
        <f t="shared" si="22"/>
        <v>49.16</v>
      </c>
      <c r="K275" s="106">
        <f t="shared" si="23"/>
        <v>22.5</v>
      </c>
    </row>
    <row r="276" s="76" customFormat="1" ht="21" customHeight="1" spans="1:11">
      <c r="A276" s="53" t="s">
        <v>132</v>
      </c>
      <c r="B276" s="54" t="s">
        <v>161</v>
      </c>
      <c r="C276" s="55" t="s">
        <v>168</v>
      </c>
      <c r="D276" s="55" t="s">
        <v>163</v>
      </c>
      <c r="E276" s="104" t="s">
        <v>169</v>
      </c>
      <c r="F276" s="55" t="s">
        <v>170</v>
      </c>
      <c r="G276" s="105">
        <v>4</v>
      </c>
      <c r="H276" s="106">
        <v>22.4</v>
      </c>
      <c r="I276" s="106">
        <v>103.9</v>
      </c>
      <c r="J276" s="106">
        <f t="shared" si="22"/>
        <v>49.38</v>
      </c>
      <c r="K276" s="106">
        <f t="shared" si="23"/>
        <v>22.6</v>
      </c>
    </row>
    <row r="277" s="76" customFormat="1" ht="21" customHeight="1" spans="1:11">
      <c r="A277" s="53" t="s">
        <v>132</v>
      </c>
      <c r="B277" s="54" t="s">
        <v>161</v>
      </c>
      <c r="C277" s="55" t="s">
        <v>168</v>
      </c>
      <c r="D277" s="55" t="s">
        <v>163</v>
      </c>
      <c r="E277" s="104" t="s">
        <v>169</v>
      </c>
      <c r="F277" s="55" t="s">
        <v>170</v>
      </c>
      <c r="G277" s="105">
        <v>5</v>
      </c>
      <c r="H277" s="106">
        <v>22.1</v>
      </c>
      <c r="I277" s="106">
        <v>102.5</v>
      </c>
      <c r="J277" s="106">
        <f t="shared" si="22"/>
        <v>48.72</v>
      </c>
      <c r="K277" s="106">
        <f t="shared" si="23"/>
        <v>22.3</v>
      </c>
    </row>
    <row r="278" s="76" customFormat="1" ht="21" customHeight="1" spans="1:11">
      <c r="A278" s="53" t="s">
        <v>132</v>
      </c>
      <c r="B278" s="54" t="s">
        <v>161</v>
      </c>
      <c r="C278" s="55" t="s">
        <v>168</v>
      </c>
      <c r="D278" s="55" t="s">
        <v>163</v>
      </c>
      <c r="E278" s="104" t="s">
        <v>169</v>
      </c>
      <c r="F278" s="55" t="s">
        <v>170</v>
      </c>
      <c r="G278" s="105">
        <v>6</v>
      </c>
      <c r="H278" s="106">
        <v>21.5</v>
      </c>
      <c r="I278" s="106">
        <v>99.8</v>
      </c>
      <c r="J278" s="106">
        <f t="shared" si="22"/>
        <v>47.4</v>
      </c>
      <c r="K278" s="106">
        <f t="shared" si="23"/>
        <v>21.7</v>
      </c>
    </row>
    <row r="279" s="76" customFormat="1" ht="21" customHeight="1" spans="1:11">
      <c r="A279" s="53" t="s">
        <v>132</v>
      </c>
      <c r="B279" s="54" t="s">
        <v>161</v>
      </c>
      <c r="C279" s="55" t="s">
        <v>168</v>
      </c>
      <c r="D279" s="55" t="s">
        <v>163</v>
      </c>
      <c r="E279" s="104" t="s">
        <v>169</v>
      </c>
      <c r="F279" s="55" t="s">
        <v>170</v>
      </c>
      <c r="G279" s="105">
        <v>7</v>
      </c>
      <c r="H279" s="106">
        <v>22.1</v>
      </c>
      <c r="I279" s="106">
        <v>102.5</v>
      </c>
      <c r="J279" s="106">
        <f t="shared" si="22"/>
        <v>48.72</v>
      </c>
      <c r="K279" s="106">
        <f t="shared" si="23"/>
        <v>22.3</v>
      </c>
    </row>
    <row r="280" s="76" customFormat="1" ht="21" customHeight="1" spans="1:11">
      <c r="A280" s="53" t="s">
        <v>132</v>
      </c>
      <c r="B280" s="54" t="s">
        <v>161</v>
      </c>
      <c r="C280" s="55" t="s">
        <v>168</v>
      </c>
      <c r="D280" s="55" t="s">
        <v>163</v>
      </c>
      <c r="E280" s="104" t="s">
        <v>169</v>
      </c>
      <c r="F280" s="55" t="s">
        <v>170</v>
      </c>
      <c r="G280" s="105">
        <v>8</v>
      </c>
      <c r="H280" s="106">
        <v>22.7</v>
      </c>
      <c r="I280" s="106">
        <v>105.3</v>
      </c>
      <c r="J280" s="106">
        <f t="shared" si="22"/>
        <v>50.04</v>
      </c>
      <c r="K280" s="106">
        <f t="shared" si="23"/>
        <v>22.9</v>
      </c>
    </row>
    <row r="281" s="76" customFormat="1" ht="21" customHeight="1" spans="1:11">
      <c r="A281" s="53" t="s">
        <v>132</v>
      </c>
      <c r="B281" s="54" t="s">
        <v>161</v>
      </c>
      <c r="C281" s="55" t="s">
        <v>168</v>
      </c>
      <c r="D281" s="55" t="s">
        <v>163</v>
      </c>
      <c r="E281" s="104" t="s">
        <v>169</v>
      </c>
      <c r="F281" s="55" t="s">
        <v>170</v>
      </c>
      <c r="G281" s="105">
        <v>9</v>
      </c>
      <c r="H281" s="106">
        <v>22.4</v>
      </c>
      <c r="I281" s="106">
        <v>103.9</v>
      </c>
      <c r="J281" s="106">
        <f t="shared" si="22"/>
        <v>49.38</v>
      </c>
      <c r="K281" s="106">
        <f t="shared" si="23"/>
        <v>22.6</v>
      </c>
    </row>
    <row r="282" s="76" customFormat="1" ht="21" customHeight="1" spans="1:11">
      <c r="A282" s="53" t="s">
        <v>132</v>
      </c>
      <c r="B282" s="54" t="s">
        <v>161</v>
      </c>
      <c r="C282" s="55" t="s">
        <v>168</v>
      </c>
      <c r="D282" s="55" t="s">
        <v>163</v>
      </c>
      <c r="E282" s="104" t="s">
        <v>169</v>
      </c>
      <c r="F282" s="55" t="s">
        <v>170</v>
      </c>
      <c r="G282" s="105">
        <v>10</v>
      </c>
      <c r="H282" s="106">
        <v>22.5</v>
      </c>
      <c r="I282" s="106">
        <v>104.4</v>
      </c>
      <c r="J282" s="106">
        <f t="shared" si="22"/>
        <v>49.6</v>
      </c>
      <c r="K282" s="106">
        <f t="shared" si="23"/>
        <v>22.7</v>
      </c>
    </row>
    <row r="283" s="76" customFormat="1" ht="21" customHeight="1" spans="1:11">
      <c r="A283" s="53" t="s">
        <v>132</v>
      </c>
      <c r="B283" s="54" t="s">
        <v>161</v>
      </c>
      <c r="C283" s="55" t="s">
        <v>168</v>
      </c>
      <c r="D283" s="55" t="s">
        <v>163</v>
      </c>
      <c r="E283" s="104" t="s">
        <v>169</v>
      </c>
      <c r="F283" s="55" t="s">
        <v>170</v>
      </c>
      <c r="G283" s="105">
        <v>11</v>
      </c>
      <c r="H283" s="106">
        <v>21.3</v>
      </c>
      <c r="I283" s="106">
        <v>98.8</v>
      </c>
      <c r="J283" s="106">
        <f t="shared" si="22"/>
        <v>46.96</v>
      </c>
      <c r="K283" s="106">
        <f t="shared" si="23"/>
        <v>21.5</v>
      </c>
    </row>
    <row r="284" s="76" customFormat="1" ht="21" customHeight="1" spans="1:11">
      <c r="A284" s="53" t="s">
        <v>132</v>
      </c>
      <c r="B284" s="54" t="s">
        <v>161</v>
      </c>
      <c r="C284" s="55" t="s">
        <v>168</v>
      </c>
      <c r="D284" s="55" t="s">
        <v>163</v>
      </c>
      <c r="E284" s="104" t="s">
        <v>169</v>
      </c>
      <c r="F284" s="55" t="s">
        <v>170</v>
      </c>
      <c r="G284" s="105">
        <v>12</v>
      </c>
      <c r="H284" s="106">
        <v>22.1</v>
      </c>
      <c r="I284" s="106">
        <v>102.5</v>
      </c>
      <c r="J284" s="106">
        <f t="shared" si="22"/>
        <v>48.72</v>
      </c>
      <c r="K284" s="106">
        <f t="shared" si="23"/>
        <v>22.3</v>
      </c>
    </row>
    <row r="285" s="76" customFormat="1" ht="21" customHeight="1" spans="1:11">
      <c r="A285" s="53" t="s">
        <v>132</v>
      </c>
      <c r="B285" s="54" t="s">
        <v>161</v>
      </c>
      <c r="C285" s="55" t="s">
        <v>168</v>
      </c>
      <c r="D285" s="55" t="s">
        <v>163</v>
      </c>
      <c r="E285" s="104" t="s">
        <v>169</v>
      </c>
      <c r="F285" s="55" t="s">
        <v>170</v>
      </c>
      <c r="G285" s="105">
        <v>13</v>
      </c>
      <c r="H285" s="106">
        <v>22.5</v>
      </c>
      <c r="I285" s="106">
        <v>104.4</v>
      </c>
      <c r="J285" s="106">
        <f t="shared" si="22"/>
        <v>49.6</v>
      </c>
      <c r="K285" s="106">
        <f t="shared" si="23"/>
        <v>22.7</v>
      </c>
    </row>
    <row r="286" s="76" customFormat="1" ht="21" customHeight="1" spans="1:11">
      <c r="A286" s="53" t="s">
        <v>132</v>
      </c>
      <c r="B286" s="54" t="s">
        <v>161</v>
      </c>
      <c r="C286" s="55" t="s">
        <v>168</v>
      </c>
      <c r="D286" s="55" t="s">
        <v>163</v>
      </c>
      <c r="E286" s="104" t="s">
        <v>169</v>
      </c>
      <c r="F286" s="55" t="s">
        <v>170</v>
      </c>
      <c r="G286" s="105">
        <v>14</v>
      </c>
      <c r="H286" s="106">
        <v>22.5</v>
      </c>
      <c r="I286" s="106">
        <v>104.4</v>
      </c>
      <c r="J286" s="106">
        <f t="shared" si="22"/>
        <v>49.6</v>
      </c>
      <c r="K286" s="106">
        <f t="shared" si="23"/>
        <v>22.7</v>
      </c>
    </row>
    <row r="287" s="76" customFormat="1" ht="21" customHeight="1" spans="1:11">
      <c r="A287" s="53" t="s">
        <v>132</v>
      </c>
      <c r="B287" s="54" t="s">
        <v>161</v>
      </c>
      <c r="C287" s="55" t="s">
        <v>168</v>
      </c>
      <c r="D287" s="55" t="s">
        <v>163</v>
      </c>
      <c r="E287" s="104" t="s">
        <v>169</v>
      </c>
      <c r="F287" s="55" t="s">
        <v>170</v>
      </c>
      <c r="G287" s="105">
        <v>15</v>
      </c>
      <c r="H287" s="106">
        <v>21.2</v>
      </c>
      <c r="I287" s="106">
        <v>98.4</v>
      </c>
      <c r="J287" s="106">
        <f t="shared" si="22"/>
        <v>46.74</v>
      </c>
      <c r="K287" s="106">
        <f t="shared" si="23"/>
        <v>21.4</v>
      </c>
    </row>
    <row r="288" s="76" customFormat="1" ht="21" customHeight="1" spans="1:11">
      <c r="A288" s="53" t="s">
        <v>132</v>
      </c>
      <c r="B288" s="54" t="s">
        <v>161</v>
      </c>
      <c r="C288" s="55" t="s">
        <v>168</v>
      </c>
      <c r="D288" s="55" t="s">
        <v>163</v>
      </c>
      <c r="E288" s="104" t="s">
        <v>169</v>
      </c>
      <c r="F288" s="55" t="s">
        <v>170</v>
      </c>
      <c r="G288" s="105">
        <v>16</v>
      </c>
      <c r="H288" s="106">
        <v>22.4</v>
      </c>
      <c r="I288" s="106">
        <v>103.9</v>
      </c>
      <c r="J288" s="106">
        <f t="shared" si="22"/>
        <v>49.38</v>
      </c>
      <c r="K288" s="106">
        <f t="shared" si="23"/>
        <v>22.6</v>
      </c>
    </row>
    <row r="289" s="76" customFormat="1" ht="21" customHeight="1" spans="1:11">
      <c r="A289" s="53" t="s">
        <v>132</v>
      </c>
      <c r="B289" s="54" t="s">
        <v>161</v>
      </c>
      <c r="C289" s="55" t="s">
        <v>168</v>
      </c>
      <c r="D289" s="55" t="s">
        <v>163</v>
      </c>
      <c r="E289" s="104" t="s">
        <v>169</v>
      </c>
      <c r="F289" s="55" t="s">
        <v>170</v>
      </c>
      <c r="G289" s="105">
        <v>17</v>
      </c>
      <c r="H289" s="106">
        <v>22.4</v>
      </c>
      <c r="I289" s="106">
        <v>103.9</v>
      </c>
      <c r="J289" s="106">
        <f t="shared" si="22"/>
        <v>49.38</v>
      </c>
      <c r="K289" s="106">
        <f t="shared" si="23"/>
        <v>22.6</v>
      </c>
    </row>
    <row r="290" s="76" customFormat="1" ht="21" customHeight="1" spans="1:11">
      <c r="A290" s="53" t="s">
        <v>132</v>
      </c>
      <c r="B290" s="54" t="s">
        <v>161</v>
      </c>
      <c r="C290" s="55" t="s">
        <v>168</v>
      </c>
      <c r="D290" s="55" t="s">
        <v>163</v>
      </c>
      <c r="E290" s="104" t="s">
        <v>169</v>
      </c>
      <c r="F290" s="55" t="s">
        <v>170</v>
      </c>
      <c r="G290" s="105">
        <v>18</v>
      </c>
      <c r="H290" s="106">
        <v>22.5</v>
      </c>
      <c r="I290" s="106">
        <v>104.4</v>
      </c>
      <c r="J290" s="106">
        <f t="shared" si="22"/>
        <v>49.6</v>
      </c>
      <c r="K290" s="106">
        <f t="shared" si="23"/>
        <v>22.7</v>
      </c>
    </row>
    <row r="291" s="76" customFormat="1" ht="21" customHeight="1" spans="1:11">
      <c r="A291" s="53" t="s">
        <v>132</v>
      </c>
      <c r="B291" s="54" t="s">
        <v>161</v>
      </c>
      <c r="C291" s="55" t="s">
        <v>168</v>
      </c>
      <c r="D291" s="55" t="s">
        <v>163</v>
      </c>
      <c r="E291" s="104" t="s">
        <v>169</v>
      </c>
      <c r="F291" s="55" t="s">
        <v>170</v>
      </c>
      <c r="G291" s="105">
        <v>19</v>
      </c>
      <c r="H291" s="106">
        <v>22.5</v>
      </c>
      <c r="I291" s="106">
        <v>104.4</v>
      </c>
      <c r="J291" s="106">
        <f t="shared" si="22"/>
        <v>49.6</v>
      </c>
      <c r="K291" s="106">
        <f t="shared" si="23"/>
        <v>22.7</v>
      </c>
    </row>
    <row r="292" s="76" customFormat="1" ht="21" customHeight="1" spans="1:11">
      <c r="A292" s="53" t="s">
        <v>132</v>
      </c>
      <c r="B292" s="54" t="s">
        <v>161</v>
      </c>
      <c r="C292" s="55" t="s">
        <v>168</v>
      </c>
      <c r="D292" s="55" t="s">
        <v>163</v>
      </c>
      <c r="E292" s="104" t="s">
        <v>169</v>
      </c>
      <c r="F292" s="55" t="s">
        <v>170</v>
      </c>
      <c r="G292" s="105">
        <v>20</v>
      </c>
      <c r="H292" s="106">
        <v>22.5</v>
      </c>
      <c r="I292" s="106">
        <v>104.4</v>
      </c>
      <c r="J292" s="106">
        <f t="shared" si="22"/>
        <v>49.6</v>
      </c>
      <c r="K292" s="106">
        <f t="shared" si="23"/>
        <v>22.7</v>
      </c>
    </row>
    <row r="293" s="76" customFormat="1" ht="21" customHeight="1" spans="1:11">
      <c r="A293" s="53" t="s">
        <v>132</v>
      </c>
      <c r="B293" s="54" t="s">
        <v>161</v>
      </c>
      <c r="C293" s="55" t="s">
        <v>168</v>
      </c>
      <c r="D293" s="55" t="s">
        <v>163</v>
      </c>
      <c r="E293" s="104" t="s">
        <v>169</v>
      </c>
      <c r="F293" s="55" t="s">
        <v>170</v>
      </c>
      <c r="G293" s="105">
        <v>21</v>
      </c>
      <c r="H293" s="106">
        <v>21.3</v>
      </c>
      <c r="I293" s="106">
        <v>98.8</v>
      </c>
      <c r="J293" s="106">
        <f t="shared" si="22"/>
        <v>46.96</v>
      </c>
      <c r="K293" s="106">
        <f t="shared" si="23"/>
        <v>21.5</v>
      </c>
    </row>
    <row r="294" s="77" customFormat="1" ht="21" customHeight="1" spans="1:11">
      <c r="A294" s="107"/>
      <c r="B294" s="108"/>
      <c r="C294" s="109" t="s">
        <v>138</v>
      </c>
      <c r="D294" s="109"/>
      <c r="E294" s="109"/>
      <c r="F294" s="110"/>
      <c r="G294" s="111">
        <f>COUNT(G273:G293)</f>
        <v>21</v>
      </c>
      <c r="H294" s="112">
        <f>SUM(H273:H293)</f>
        <v>466</v>
      </c>
      <c r="I294" s="112">
        <f>SUM(I273:I293)</f>
        <v>2162</v>
      </c>
      <c r="J294" s="112">
        <f>SUM(J273:J293)</f>
        <v>1027.3</v>
      </c>
      <c r="K294" s="112">
        <f>SUM(K273:K293)</f>
        <v>470.2</v>
      </c>
    </row>
    <row r="295" s="76" customFormat="1" ht="21" customHeight="1" spans="1:11">
      <c r="A295" s="53" t="s">
        <v>132</v>
      </c>
      <c r="B295" s="54" t="s">
        <v>161</v>
      </c>
      <c r="C295" s="55" t="s">
        <v>171</v>
      </c>
      <c r="D295" s="55" t="s">
        <v>163</v>
      </c>
      <c r="E295" s="104" t="s">
        <v>169</v>
      </c>
      <c r="F295" s="55" t="s">
        <v>170</v>
      </c>
      <c r="G295" s="105">
        <v>1</v>
      </c>
      <c r="H295" s="106">
        <v>21</v>
      </c>
      <c r="I295" s="106">
        <v>97.4</v>
      </c>
      <c r="J295" s="106">
        <f>ROUND(H295*2.2046,2)</f>
        <v>46.3</v>
      </c>
      <c r="K295" s="106">
        <f>H295+0.2</f>
        <v>21.2</v>
      </c>
    </row>
    <row r="296" s="76" customFormat="1" ht="21" customHeight="1" spans="1:11">
      <c r="A296" s="53" t="s">
        <v>132</v>
      </c>
      <c r="B296" s="54" t="s">
        <v>161</v>
      </c>
      <c r="C296" s="55" t="s">
        <v>171</v>
      </c>
      <c r="D296" s="55" t="s">
        <v>163</v>
      </c>
      <c r="E296" s="104" t="s">
        <v>169</v>
      </c>
      <c r="F296" s="55" t="s">
        <v>170</v>
      </c>
      <c r="G296" s="105">
        <v>2</v>
      </c>
      <c r="H296" s="106">
        <v>21.7</v>
      </c>
      <c r="I296" s="106">
        <v>100.7</v>
      </c>
      <c r="J296" s="106">
        <f>ROUND(H296*2.2046,2)</f>
        <v>47.84</v>
      </c>
      <c r="K296" s="106">
        <f>H296+0.2</f>
        <v>21.9</v>
      </c>
    </row>
    <row r="297" s="76" customFormat="1" ht="21" customHeight="1" spans="1:11">
      <c r="A297" s="53" t="s">
        <v>132</v>
      </c>
      <c r="B297" s="54" t="s">
        <v>161</v>
      </c>
      <c r="C297" s="55" t="s">
        <v>171</v>
      </c>
      <c r="D297" s="55" t="s">
        <v>163</v>
      </c>
      <c r="E297" s="104" t="s">
        <v>169</v>
      </c>
      <c r="F297" s="55" t="s">
        <v>170</v>
      </c>
      <c r="G297" s="105">
        <v>3</v>
      </c>
      <c r="H297" s="106">
        <v>21.8</v>
      </c>
      <c r="I297" s="106">
        <v>101.1</v>
      </c>
      <c r="J297" s="106">
        <f>ROUND(H297*2.2046,2)</f>
        <v>48.06</v>
      </c>
      <c r="K297" s="106">
        <f>H297+0.2</f>
        <v>22</v>
      </c>
    </row>
    <row r="298" s="76" customFormat="1" ht="21" customHeight="1" spans="1:11">
      <c r="A298" s="53" t="s">
        <v>132</v>
      </c>
      <c r="B298" s="54" t="s">
        <v>161</v>
      </c>
      <c r="C298" s="55" t="s">
        <v>171</v>
      </c>
      <c r="D298" s="55" t="s">
        <v>163</v>
      </c>
      <c r="E298" s="104" t="s">
        <v>169</v>
      </c>
      <c r="F298" s="55" t="s">
        <v>170</v>
      </c>
      <c r="G298" s="105">
        <v>4</v>
      </c>
      <c r="H298" s="106">
        <v>21.8</v>
      </c>
      <c r="I298" s="106">
        <v>101.1</v>
      </c>
      <c r="J298" s="106">
        <f>ROUND(H298*2.2046,2)</f>
        <v>48.06</v>
      </c>
      <c r="K298" s="106">
        <f>H298+0.2</f>
        <v>22</v>
      </c>
    </row>
    <row r="299" s="76" customFormat="1" ht="21" customHeight="1" spans="1:11">
      <c r="A299" s="53" t="s">
        <v>132</v>
      </c>
      <c r="B299" s="54" t="s">
        <v>161</v>
      </c>
      <c r="C299" s="55" t="s">
        <v>171</v>
      </c>
      <c r="D299" s="55" t="s">
        <v>163</v>
      </c>
      <c r="E299" s="104" t="s">
        <v>169</v>
      </c>
      <c r="F299" s="55" t="s">
        <v>170</v>
      </c>
      <c r="G299" s="105">
        <v>5</v>
      </c>
      <c r="H299" s="106">
        <v>11</v>
      </c>
      <c r="I299" s="106">
        <v>51</v>
      </c>
      <c r="J299" s="106">
        <f>ROUND(H299*2.2046,2)</f>
        <v>24.25</v>
      </c>
      <c r="K299" s="106">
        <f>H299+0.2</f>
        <v>11.2</v>
      </c>
    </row>
    <row r="300" s="77" customFormat="1" ht="21" customHeight="1" spans="1:11">
      <c r="A300" s="107"/>
      <c r="B300" s="108"/>
      <c r="C300" s="109" t="s">
        <v>138</v>
      </c>
      <c r="D300" s="109"/>
      <c r="E300" s="109"/>
      <c r="F300" s="110"/>
      <c r="G300" s="111">
        <f>COUNT(G295:G299)</f>
        <v>5</v>
      </c>
      <c r="H300" s="112">
        <f>SUM(H295:H299)</f>
        <v>97.3</v>
      </c>
      <c r="I300" s="112">
        <f>SUM(I295:I299)</f>
        <v>451.3</v>
      </c>
      <c r="J300" s="112">
        <f>SUM(J295:J299)</f>
        <v>214.51</v>
      </c>
      <c r="K300" s="112">
        <f>SUM(K295:K299)</f>
        <v>98.3</v>
      </c>
    </row>
    <row r="301" s="76" customFormat="1" ht="21" customHeight="1" spans="1:11">
      <c r="A301" s="53" t="s">
        <v>132</v>
      </c>
      <c r="B301" s="54" t="s">
        <v>142</v>
      </c>
      <c r="C301" s="55" t="s">
        <v>172</v>
      </c>
      <c r="D301" s="55" t="s">
        <v>144</v>
      </c>
      <c r="E301" s="104" t="s">
        <v>173</v>
      </c>
      <c r="F301" s="55" t="s">
        <v>174</v>
      </c>
      <c r="G301" s="105">
        <v>1</v>
      </c>
      <c r="H301" s="106">
        <v>21.9</v>
      </c>
      <c r="I301" s="106">
        <v>91.6</v>
      </c>
      <c r="J301" s="106">
        <f t="shared" ref="J301:J332" si="24">ROUND(H301*2.2046,2)</f>
        <v>48.28</v>
      </c>
      <c r="K301" s="106">
        <f t="shared" ref="K301:K332" si="25">H301+0.2</f>
        <v>22.1</v>
      </c>
    </row>
    <row r="302" s="76" customFormat="1" ht="21" customHeight="1" spans="1:11">
      <c r="A302" s="53" t="s">
        <v>132</v>
      </c>
      <c r="B302" s="54" t="s">
        <v>142</v>
      </c>
      <c r="C302" s="55" t="s">
        <v>172</v>
      </c>
      <c r="D302" s="55" t="s">
        <v>144</v>
      </c>
      <c r="E302" s="104" t="s">
        <v>173</v>
      </c>
      <c r="F302" s="55" t="s">
        <v>174</v>
      </c>
      <c r="G302" s="105">
        <v>2</v>
      </c>
      <c r="H302" s="106">
        <v>21.7</v>
      </c>
      <c r="I302" s="106">
        <v>90.8</v>
      </c>
      <c r="J302" s="106">
        <f t="shared" si="24"/>
        <v>47.84</v>
      </c>
      <c r="K302" s="106">
        <f t="shared" si="25"/>
        <v>21.9</v>
      </c>
    </row>
    <row r="303" s="76" customFormat="1" ht="21" customHeight="1" spans="1:11">
      <c r="A303" s="53" t="s">
        <v>132</v>
      </c>
      <c r="B303" s="54" t="s">
        <v>142</v>
      </c>
      <c r="C303" s="55" t="s">
        <v>172</v>
      </c>
      <c r="D303" s="55" t="s">
        <v>144</v>
      </c>
      <c r="E303" s="104" t="s">
        <v>173</v>
      </c>
      <c r="F303" s="55" t="s">
        <v>174</v>
      </c>
      <c r="G303" s="105">
        <v>3</v>
      </c>
      <c r="H303" s="106">
        <v>22.6</v>
      </c>
      <c r="I303" s="106">
        <v>94.5</v>
      </c>
      <c r="J303" s="106">
        <f t="shared" si="24"/>
        <v>49.82</v>
      </c>
      <c r="K303" s="106">
        <f t="shared" si="25"/>
        <v>22.8</v>
      </c>
    </row>
    <row r="304" s="76" customFormat="1" ht="21" customHeight="1" spans="1:11">
      <c r="A304" s="53" t="s">
        <v>132</v>
      </c>
      <c r="B304" s="54" t="s">
        <v>142</v>
      </c>
      <c r="C304" s="55" t="s">
        <v>172</v>
      </c>
      <c r="D304" s="55" t="s">
        <v>144</v>
      </c>
      <c r="E304" s="104" t="s">
        <v>173</v>
      </c>
      <c r="F304" s="55" t="s">
        <v>174</v>
      </c>
      <c r="G304" s="105">
        <v>4</v>
      </c>
      <c r="H304" s="106">
        <v>22</v>
      </c>
      <c r="I304" s="106">
        <v>92</v>
      </c>
      <c r="J304" s="106">
        <f t="shared" si="24"/>
        <v>48.5</v>
      </c>
      <c r="K304" s="106">
        <f t="shared" si="25"/>
        <v>22.2</v>
      </c>
    </row>
    <row r="305" s="76" customFormat="1" ht="21" customHeight="1" spans="1:11">
      <c r="A305" s="53" t="s">
        <v>132</v>
      </c>
      <c r="B305" s="54" t="s">
        <v>142</v>
      </c>
      <c r="C305" s="55" t="s">
        <v>172</v>
      </c>
      <c r="D305" s="55" t="s">
        <v>144</v>
      </c>
      <c r="E305" s="104" t="s">
        <v>173</v>
      </c>
      <c r="F305" s="55" t="s">
        <v>174</v>
      </c>
      <c r="G305" s="105">
        <v>5</v>
      </c>
      <c r="H305" s="106">
        <v>22.8</v>
      </c>
      <c r="I305" s="106">
        <v>95.4</v>
      </c>
      <c r="J305" s="106">
        <f t="shared" si="24"/>
        <v>50.26</v>
      </c>
      <c r="K305" s="106">
        <f t="shared" si="25"/>
        <v>23</v>
      </c>
    </row>
    <row r="306" s="76" customFormat="1" ht="21" customHeight="1" spans="1:11">
      <c r="A306" s="53" t="s">
        <v>132</v>
      </c>
      <c r="B306" s="54" t="s">
        <v>142</v>
      </c>
      <c r="C306" s="55" t="s">
        <v>172</v>
      </c>
      <c r="D306" s="55" t="s">
        <v>144</v>
      </c>
      <c r="E306" s="104" t="s">
        <v>173</v>
      </c>
      <c r="F306" s="55" t="s">
        <v>174</v>
      </c>
      <c r="G306" s="105">
        <v>6</v>
      </c>
      <c r="H306" s="106">
        <v>22.7</v>
      </c>
      <c r="I306" s="106">
        <v>94.9</v>
      </c>
      <c r="J306" s="106">
        <f t="shared" si="24"/>
        <v>50.04</v>
      </c>
      <c r="K306" s="106">
        <f t="shared" si="25"/>
        <v>22.9</v>
      </c>
    </row>
    <row r="307" s="76" customFormat="1" ht="21" customHeight="1" spans="1:11">
      <c r="A307" s="53" t="s">
        <v>132</v>
      </c>
      <c r="B307" s="54" t="s">
        <v>142</v>
      </c>
      <c r="C307" s="55" t="s">
        <v>172</v>
      </c>
      <c r="D307" s="55" t="s">
        <v>144</v>
      </c>
      <c r="E307" s="104" t="s">
        <v>173</v>
      </c>
      <c r="F307" s="55" t="s">
        <v>174</v>
      </c>
      <c r="G307" s="105">
        <v>7</v>
      </c>
      <c r="H307" s="106">
        <v>22.7</v>
      </c>
      <c r="I307" s="106">
        <v>94.9</v>
      </c>
      <c r="J307" s="106">
        <f t="shared" si="24"/>
        <v>50.04</v>
      </c>
      <c r="K307" s="106">
        <f t="shared" si="25"/>
        <v>22.9</v>
      </c>
    </row>
    <row r="308" s="76" customFormat="1" ht="21" customHeight="1" spans="1:11">
      <c r="A308" s="53" t="s">
        <v>132</v>
      </c>
      <c r="B308" s="54" t="s">
        <v>142</v>
      </c>
      <c r="C308" s="55" t="s">
        <v>172</v>
      </c>
      <c r="D308" s="55" t="s">
        <v>144</v>
      </c>
      <c r="E308" s="104" t="s">
        <v>173</v>
      </c>
      <c r="F308" s="55" t="s">
        <v>174</v>
      </c>
      <c r="G308" s="105">
        <v>8</v>
      </c>
      <c r="H308" s="106">
        <v>22</v>
      </c>
      <c r="I308" s="106">
        <v>92</v>
      </c>
      <c r="J308" s="106">
        <f t="shared" si="24"/>
        <v>48.5</v>
      </c>
      <c r="K308" s="106">
        <f t="shared" si="25"/>
        <v>22.2</v>
      </c>
    </row>
    <row r="309" s="76" customFormat="1" ht="21" customHeight="1" spans="1:11">
      <c r="A309" s="53" t="s">
        <v>132</v>
      </c>
      <c r="B309" s="54" t="s">
        <v>142</v>
      </c>
      <c r="C309" s="55" t="s">
        <v>172</v>
      </c>
      <c r="D309" s="55" t="s">
        <v>144</v>
      </c>
      <c r="E309" s="104" t="s">
        <v>173</v>
      </c>
      <c r="F309" s="55" t="s">
        <v>174</v>
      </c>
      <c r="G309" s="105">
        <v>9</v>
      </c>
      <c r="H309" s="106">
        <v>22.6</v>
      </c>
      <c r="I309" s="106">
        <v>94.5</v>
      </c>
      <c r="J309" s="106">
        <f t="shared" si="24"/>
        <v>49.82</v>
      </c>
      <c r="K309" s="106">
        <f t="shared" si="25"/>
        <v>22.8</v>
      </c>
    </row>
    <row r="310" s="76" customFormat="1" ht="21" customHeight="1" spans="1:11">
      <c r="A310" s="53" t="s">
        <v>132</v>
      </c>
      <c r="B310" s="54" t="s">
        <v>142</v>
      </c>
      <c r="C310" s="55" t="s">
        <v>172</v>
      </c>
      <c r="D310" s="55" t="s">
        <v>144</v>
      </c>
      <c r="E310" s="104" t="s">
        <v>173</v>
      </c>
      <c r="F310" s="55" t="s">
        <v>174</v>
      </c>
      <c r="G310" s="105">
        <v>10</v>
      </c>
      <c r="H310" s="106">
        <v>22.2</v>
      </c>
      <c r="I310" s="106">
        <v>92.8</v>
      </c>
      <c r="J310" s="106">
        <f t="shared" si="24"/>
        <v>48.94</v>
      </c>
      <c r="K310" s="106">
        <f t="shared" si="25"/>
        <v>22.4</v>
      </c>
    </row>
    <row r="311" s="76" customFormat="1" ht="21" customHeight="1" spans="1:11">
      <c r="A311" s="53" t="s">
        <v>132</v>
      </c>
      <c r="B311" s="54" t="s">
        <v>142</v>
      </c>
      <c r="C311" s="55" t="s">
        <v>172</v>
      </c>
      <c r="D311" s="55" t="s">
        <v>144</v>
      </c>
      <c r="E311" s="104" t="s">
        <v>173</v>
      </c>
      <c r="F311" s="55" t="s">
        <v>174</v>
      </c>
      <c r="G311" s="105">
        <v>11</v>
      </c>
      <c r="H311" s="106">
        <v>22.7</v>
      </c>
      <c r="I311" s="106">
        <v>94.9</v>
      </c>
      <c r="J311" s="106">
        <f t="shared" si="24"/>
        <v>50.04</v>
      </c>
      <c r="K311" s="106">
        <f t="shared" si="25"/>
        <v>22.9</v>
      </c>
    </row>
    <row r="312" s="76" customFormat="1" ht="21" customHeight="1" spans="1:11">
      <c r="A312" s="53" t="s">
        <v>132</v>
      </c>
      <c r="B312" s="54" t="s">
        <v>142</v>
      </c>
      <c r="C312" s="55" t="s">
        <v>172</v>
      </c>
      <c r="D312" s="55" t="s">
        <v>144</v>
      </c>
      <c r="E312" s="104" t="s">
        <v>173</v>
      </c>
      <c r="F312" s="55" t="s">
        <v>174</v>
      </c>
      <c r="G312" s="105">
        <v>12</v>
      </c>
      <c r="H312" s="106">
        <v>22.7</v>
      </c>
      <c r="I312" s="106">
        <v>94.9</v>
      </c>
      <c r="J312" s="106">
        <f t="shared" si="24"/>
        <v>50.04</v>
      </c>
      <c r="K312" s="106">
        <f t="shared" si="25"/>
        <v>22.9</v>
      </c>
    </row>
    <row r="313" s="76" customFormat="1" ht="21" customHeight="1" spans="1:11">
      <c r="A313" s="53" t="s">
        <v>132</v>
      </c>
      <c r="B313" s="54" t="s">
        <v>142</v>
      </c>
      <c r="C313" s="55" t="s">
        <v>172</v>
      </c>
      <c r="D313" s="55" t="s">
        <v>144</v>
      </c>
      <c r="E313" s="104" t="s">
        <v>173</v>
      </c>
      <c r="F313" s="55" t="s">
        <v>174</v>
      </c>
      <c r="G313" s="105">
        <v>13</v>
      </c>
      <c r="H313" s="106">
        <v>22.3</v>
      </c>
      <c r="I313" s="106">
        <v>93.3</v>
      </c>
      <c r="J313" s="106">
        <f t="shared" si="24"/>
        <v>49.16</v>
      </c>
      <c r="K313" s="106">
        <f t="shared" si="25"/>
        <v>22.5</v>
      </c>
    </row>
    <row r="314" s="76" customFormat="1" ht="21" customHeight="1" spans="1:11">
      <c r="A314" s="53" t="s">
        <v>132</v>
      </c>
      <c r="B314" s="54" t="s">
        <v>142</v>
      </c>
      <c r="C314" s="55" t="s">
        <v>172</v>
      </c>
      <c r="D314" s="55" t="s">
        <v>144</v>
      </c>
      <c r="E314" s="104" t="s">
        <v>173</v>
      </c>
      <c r="F314" s="55" t="s">
        <v>174</v>
      </c>
      <c r="G314" s="105">
        <v>14</v>
      </c>
      <c r="H314" s="106">
        <v>22.3</v>
      </c>
      <c r="I314" s="106">
        <v>93.3</v>
      </c>
      <c r="J314" s="106">
        <f t="shared" si="24"/>
        <v>49.16</v>
      </c>
      <c r="K314" s="106">
        <f t="shared" si="25"/>
        <v>22.5</v>
      </c>
    </row>
    <row r="315" s="76" customFormat="1" ht="21" customHeight="1" spans="1:11">
      <c r="A315" s="53" t="s">
        <v>132</v>
      </c>
      <c r="B315" s="54" t="s">
        <v>142</v>
      </c>
      <c r="C315" s="55" t="s">
        <v>172</v>
      </c>
      <c r="D315" s="55" t="s">
        <v>144</v>
      </c>
      <c r="E315" s="104" t="s">
        <v>173</v>
      </c>
      <c r="F315" s="55" t="s">
        <v>174</v>
      </c>
      <c r="G315" s="105">
        <v>15</v>
      </c>
      <c r="H315" s="106">
        <v>22.3</v>
      </c>
      <c r="I315" s="106">
        <v>93.3</v>
      </c>
      <c r="J315" s="106">
        <f t="shared" si="24"/>
        <v>49.16</v>
      </c>
      <c r="K315" s="106">
        <f t="shared" si="25"/>
        <v>22.5</v>
      </c>
    </row>
    <row r="316" s="76" customFormat="1" ht="21" customHeight="1" spans="1:11">
      <c r="A316" s="53" t="s">
        <v>132</v>
      </c>
      <c r="B316" s="54" t="s">
        <v>142</v>
      </c>
      <c r="C316" s="55" t="s">
        <v>172</v>
      </c>
      <c r="D316" s="55" t="s">
        <v>144</v>
      </c>
      <c r="E316" s="104" t="s">
        <v>173</v>
      </c>
      <c r="F316" s="55" t="s">
        <v>174</v>
      </c>
      <c r="G316" s="105">
        <v>16</v>
      </c>
      <c r="H316" s="106">
        <v>22.7</v>
      </c>
      <c r="I316" s="106">
        <v>94.9</v>
      </c>
      <c r="J316" s="106">
        <f t="shared" si="24"/>
        <v>50.04</v>
      </c>
      <c r="K316" s="106">
        <f t="shared" si="25"/>
        <v>22.9</v>
      </c>
    </row>
    <row r="317" s="76" customFormat="1" ht="21" customHeight="1" spans="1:11">
      <c r="A317" s="53" t="s">
        <v>132</v>
      </c>
      <c r="B317" s="54" t="s">
        <v>142</v>
      </c>
      <c r="C317" s="55" t="s">
        <v>172</v>
      </c>
      <c r="D317" s="55" t="s">
        <v>144</v>
      </c>
      <c r="E317" s="104" t="s">
        <v>173</v>
      </c>
      <c r="F317" s="55" t="s">
        <v>174</v>
      </c>
      <c r="G317" s="105">
        <v>17</v>
      </c>
      <c r="H317" s="106">
        <v>22.7</v>
      </c>
      <c r="I317" s="106">
        <v>94.9</v>
      </c>
      <c r="J317" s="106">
        <f t="shared" si="24"/>
        <v>50.04</v>
      </c>
      <c r="K317" s="106">
        <f t="shared" si="25"/>
        <v>22.9</v>
      </c>
    </row>
    <row r="318" s="76" customFormat="1" ht="21" customHeight="1" spans="1:11">
      <c r="A318" s="53" t="s">
        <v>132</v>
      </c>
      <c r="B318" s="54" t="s">
        <v>142</v>
      </c>
      <c r="C318" s="55" t="s">
        <v>172</v>
      </c>
      <c r="D318" s="55" t="s">
        <v>144</v>
      </c>
      <c r="E318" s="104" t="s">
        <v>173</v>
      </c>
      <c r="F318" s="55" t="s">
        <v>174</v>
      </c>
      <c r="G318" s="105">
        <v>18</v>
      </c>
      <c r="H318" s="106">
        <v>22.2</v>
      </c>
      <c r="I318" s="106">
        <v>92.8</v>
      </c>
      <c r="J318" s="106">
        <f t="shared" si="24"/>
        <v>48.94</v>
      </c>
      <c r="K318" s="106">
        <f t="shared" si="25"/>
        <v>22.4</v>
      </c>
    </row>
    <row r="319" s="76" customFormat="1" ht="21" customHeight="1" spans="1:11">
      <c r="A319" s="53" t="s">
        <v>132</v>
      </c>
      <c r="B319" s="54" t="s">
        <v>142</v>
      </c>
      <c r="C319" s="55" t="s">
        <v>172</v>
      </c>
      <c r="D319" s="55" t="s">
        <v>144</v>
      </c>
      <c r="E319" s="104" t="s">
        <v>173</v>
      </c>
      <c r="F319" s="55" t="s">
        <v>174</v>
      </c>
      <c r="G319" s="105">
        <v>19</v>
      </c>
      <c r="H319" s="106">
        <v>21</v>
      </c>
      <c r="I319" s="106">
        <v>87.8</v>
      </c>
      <c r="J319" s="106">
        <f t="shared" si="24"/>
        <v>46.3</v>
      </c>
      <c r="K319" s="106">
        <f t="shared" si="25"/>
        <v>21.2</v>
      </c>
    </row>
    <row r="320" s="76" customFormat="1" ht="21" customHeight="1" spans="1:11">
      <c r="A320" s="53" t="s">
        <v>132</v>
      </c>
      <c r="B320" s="54" t="s">
        <v>142</v>
      </c>
      <c r="C320" s="55" t="s">
        <v>172</v>
      </c>
      <c r="D320" s="55" t="s">
        <v>144</v>
      </c>
      <c r="E320" s="104" t="s">
        <v>173</v>
      </c>
      <c r="F320" s="55" t="s">
        <v>174</v>
      </c>
      <c r="G320" s="105">
        <v>20</v>
      </c>
      <c r="H320" s="106">
        <v>21.8</v>
      </c>
      <c r="I320" s="106">
        <v>91.2</v>
      </c>
      <c r="J320" s="106">
        <f t="shared" si="24"/>
        <v>48.06</v>
      </c>
      <c r="K320" s="106">
        <f t="shared" si="25"/>
        <v>22</v>
      </c>
    </row>
    <row r="321" s="76" customFormat="1" ht="21" customHeight="1" spans="1:11">
      <c r="A321" s="53" t="s">
        <v>132</v>
      </c>
      <c r="B321" s="54" t="s">
        <v>142</v>
      </c>
      <c r="C321" s="55" t="s">
        <v>172</v>
      </c>
      <c r="D321" s="55" t="s">
        <v>144</v>
      </c>
      <c r="E321" s="104" t="s">
        <v>173</v>
      </c>
      <c r="F321" s="55" t="s">
        <v>174</v>
      </c>
      <c r="G321" s="105">
        <v>21</v>
      </c>
      <c r="H321" s="106">
        <v>22.1</v>
      </c>
      <c r="I321" s="106">
        <v>92.4</v>
      </c>
      <c r="J321" s="106">
        <f t="shared" si="24"/>
        <v>48.72</v>
      </c>
      <c r="K321" s="106">
        <f t="shared" si="25"/>
        <v>22.3</v>
      </c>
    </row>
    <row r="322" s="76" customFormat="1" ht="21" customHeight="1" spans="1:11">
      <c r="A322" s="53" t="s">
        <v>132</v>
      </c>
      <c r="B322" s="54" t="s">
        <v>142</v>
      </c>
      <c r="C322" s="55" t="s">
        <v>172</v>
      </c>
      <c r="D322" s="55" t="s">
        <v>144</v>
      </c>
      <c r="E322" s="104" t="s">
        <v>173</v>
      </c>
      <c r="F322" s="55" t="s">
        <v>174</v>
      </c>
      <c r="G322" s="105">
        <v>22</v>
      </c>
      <c r="H322" s="106">
        <v>22.7</v>
      </c>
      <c r="I322" s="106">
        <v>94.9</v>
      </c>
      <c r="J322" s="106">
        <f t="shared" si="24"/>
        <v>50.04</v>
      </c>
      <c r="K322" s="106">
        <f t="shared" si="25"/>
        <v>22.9</v>
      </c>
    </row>
    <row r="323" s="76" customFormat="1" ht="21" customHeight="1" spans="1:11">
      <c r="A323" s="53" t="s">
        <v>132</v>
      </c>
      <c r="B323" s="54" t="s">
        <v>142</v>
      </c>
      <c r="C323" s="55" t="s">
        <v>172</v>
      </c>
      <c r="D323" s="55" t="s">
        <v>144</v>
      </c>
      <c r="E323" s="104" t="s">
        <v>173</v>
      </c>
      <c r="F323" s="55" t="s">
        <v>174</v>
      </c>
      <c r="G323" s="105">
        <v>23</v>
      </c>
      <c r="H323" s="106">
        <v>22.5</v>
      </c>
      <c r="I323" s="106">
        <v>94.1</v>
      </c>
      <c r="J323" s="106">
        <f t="shared" si="24"/>
        <v>49.6</v>
      </c>
      <c r="K323" s="106">
        <f t="shared" si="25"/>
        <v>22.7</v>
      </c>
    </row>
    <row r="324" s="76" customFormat="1" ht="21" customHeight="1" spans="1:11">
      <c r="A324" s="53" t="s">
        <v>132</v>
      </c>
      <c r="B324" s="54" t="s">
        <v>142</v>
      </c>
      <c r="C324" s="55" t="s">
        <v>172</v>
      </c>
      <c r="D324" s="55" t="s">
        <v>144</v>
      </c>
      <c r="E324" s="104" t="s">
        <v>173</v>
      </c>
      <c r="F324" s="55" t="s">
        <v>174</v>
      </c>
      <c r="G324" s="105">
        <v>24</v>
      </c>
      <c r="H324" s="106">
        <v>22.5</v>
      </c>
      <c r="I324" s="106">
        <v>94.1</v>
      </c>
      <c r="J324" s="106">
        <f t="shared" si="24"/>
        <v>49.6</v>
      </c>
      <c r="K324" s="106">
        <f t="shared" si="25"/>
        <v>22.7</v>
      </c>
    </row>
    <row r="325" s="76" customFormat="1" ht="21" customHeight="1" spans="1:11">
      <c r="A325" s="53" t="s">
        <v>132</v>
      </c>
      <c r="B325" s="54" t="s">
        <v>142</v>
      </c>
      <c r="C325" s="55" t="s">
        <v>172</v>
      </c>
      <c r="D325" s="55" t="s">
        <v>144</v>
      </c>
      <c r="E325" s="104" t="s">
        <v>173</v>
      </c>
      <c r="F325" s="55" t="s">
        <v>174</v>
      </c>
      <c r="G325" s="105">
        <v>25</v>
      </c>
      <c r="H325" s="106">
        <v>22.7</v>
      </c>
      <c r="I325" s="106">
        <v>94.9</v>
      </c>
      <c r="J325" s="106">
        <f t="shared" si="24"/>
        <v>50.04</v>
      </c>
      <c r="K325" s="106">
        <f t="shared" si="25"/>
        <v>22.9</v>
      </c>
    </row>
    <row r="326" s="76" customFormat="1" ht="21" customHeight="1" spans="1:11">
      <c r="A326" s="53" t="s">
        <v>132</v>
      </c>
      <c r="B326" s="54" t="s">
        <v>142</v>
      </c>
      <c r="C326" s="55" t="s">
        <v>172</v>
      </c>
      <c r="D326" s="55" t="s">
        <v>144</v>
      </c>
      <c r="E326" s="104" t="s">
        <v>173</v>
      </c>
      <c r="F326" s="55" t="s">
        <v>174</v>
      </c>
      <c r="G326" s="105">
        <v>26</v>
      </c>
      <c r="H326" s="106">
        <v>22</v>
      </c>
      <c r="I326" s="106">
        <v>92</v>
      </c>
      <c r="J326" s="106">
        <f t="shared" si="24"/>
        <v>48.5</v>
      </c>
      <c r="K326" s="106">
        <f t="shared" si="25"/>
        <v>22.2</v>
      </c>
    </row>
    <row r="327" s="76" customFormat="1" ht="21" customHeight="1" spans="1:11">
      <c r="A327" s="53" t="s">
        <v>132</v>
      </c>
      <c r="B327" s="54" t="s">
        <v>142</v>
      </c>
      <c r="C327" s="55" t="s">
        <v>172</v>
      </c>
      <c r="D327" s="55" t="s">
        <v>144</v>
      </c>
      <c r="E327" s="104" t="s">
        <v>173</v>
      </c>
      <c r="F327" s="55" t="s">
        <v>174</v>
      </c>
      <c r="G327" s="105">
        <v>27</v>
      </c>
      <c r="H327" s="106">
        <v>22.2</v>
      </c>
      <c r="I327" s="106">
        <v>92.8</v>
      </c>
      <c r="J327" s="106">
        <f t="shared" si="24"/>
        <v>48.94</v>
      </c>
      <c r="K327" s="106">
        <f t="shared" si="25"/>
        <v>22.4</v>
      </c>
    </row>
    <row r="328" s="76" customFormat="1" ht="21" customHeight="1" spans="1:11">
      <c r="A328" s="53" t="s">
        <v>132</v>
      </c>
      <c r="B328" s="54" t="s">
        <v>142</v>
      </c>
      <c r="C328" s="55" t="s">
        <v>172</v>
      </c>
      <c r="D328" s="55" t="s">
        <v>144</v>
      </c>
      <c r="E328" s="104" t="s">
        <v>173</v>
      </c>
      <c r="F328" s="55" t="s">
        <v>174</v>
      </c>
      <c r="G328" s="105">
        <v>28</v>
      </c>
      <c r="H328" s="106">
        <v>22.5</v>
      </c>
      <c r="I328" s="106">
        <v>94.1</v>
      </c>
      <c r="J328" s="106">
        <f t="shared" si="24"/>
        <v>49.6</v>
      </c>
      <c r="K328" s="106">
        <f t="shared" si="25"/>
        <v>22.7</v>
      </c>
    </row>
    <row r="329" s="76" customFormat="1" ht="21" customHeight="1" spans="1:11">
      <c r="A329" s="53" t="s">
        <v>132</v>
      </c>
      <c r="B329" s="54" t="s">
        <v>142</v>
      </c>
      <c r="C329" s="55" t="s">
        <v>172</v>
      </c>
      <c r="D329" s="55" t="s">
        <v>144</v>
      </c>
      <c r="E329" s="104" t="s">
        <v>173</v>
      </c>
      <c r="F329" s="55" t="s">
        <v>174</v>
      </c>
      <c r="G329" s="105">
        <v>29</v>
      </c>
      <c r="H329" s="106">
        <v>22.7</v>
      </c>
      <c r="I329" s="106">
        <v>94.9</v>
      </c>
      <c r="J329" s="106">
        <f t="shared" si="24"/>
        <v>50.04</v>
      </c>
      <c r="K329" s="106">
        <f t="shared" si="25"/>
        <v>22.9</v>
      </c>
    </row>
    <row r="330" s="76" customFormat="1" ht="21" customHeight="1" spans="1:11">
      <c r="A330" s="53" t="s">
        <v>132</v>
      </c>
      <c r="B330" s="54" t="s">
        <v>142</v>
      </c>
      <c r="C330" s="55" t="s">
        <v>172</v>
      </c>
      <c r="D330" s="55" t="s">
        <v>144</v>
      </c>
      <c r="E330" s="104" t="s">
        <v>173</v>
      </c>
      <c r="F330" s="55" t="s">
        <v>174</v>
      </c>
      <c r="G330" s="105">
        <v>30</v>
      </c>
      <c r="H330" s="106">
        <v>22.3</v>
      </c>
      <c r="I330" s="106">
        <v>93.3</v>
      </c>
      <c r="J330" s="106">
        <f t="shared" si="24"/>
        <v>49.16</v>
      </c>
      <c r="K330" s="106">
        <f t="shared" si="25"/>
        <v>22.5</v>
      </c>
    </row>
    <row r="331" s="77" customFormat="1" ht="21" customHeight="1" spans="1:11">
      <c r="A331" s="107"/>
      <c r="B331" s="108"/>
      <c r="C331" s="109" t="s">
        <v>138</v>
      </c>
      <c r="D331" s="109"/>
      <c r="E331" s="109"/>
      <c r="F331" s="110"/>
      <c r="G331" s="111">
        <f>COUNT(G301:G330)</f>
        <v>30</v>
      </c>
      <c r="H331" s="112">
        <f>SUM(H301:H330)</f>
        <v>670.1</v>
      </c>
      <c r="I331" s="112">
        <f>SUM(I301:I330)</f>
        <v>2802.2</v>
      </c>
      <c r="J331" s="112">
        <f>SUM(J301:J330)</f>
        <v>1477.22</v>
      </c>
      <c r="K331" s="112">
        <f>SUM(K301:K330)</f>
        <v>676.1</v>
      </c>
    </row>
    <row r="332" s="76" customFormat="1" ht="21" customHeight="1" spans="1:11">
      <c r="A332" s="53" t="s">
        <v>132</v>
      </c>
      <c r="B332" s="54" t="s">
        <v>142</v>
      </c>
      <c r="C332" s="55" t="s">
        <v>175</v>
      </c>
      <c r="D332" s="55" t="s">
        <v>144</v>
      </c>
      <c r="E332" s="104" t="s">
        <v>173</v>
      </c>
      <c r="F332" s="55" t="s">
        <v>176</v>
      </c>
      <c r="G332" s="105">
        <v>1</v>
      </c>
      <c r="H332" s="106">
        <v>21.9</v>
      </c>
      <c r="I332" s="106">
        <v>91.6</v>
      </c>
      <c r="J332" s="106">
        <f t="shared" ref="J332:J368" si="26">ROUND(H332*2.2046,2)</f>
        <v>48.28</v>
      </c>
      <c r="K332" s="106">
        <f t="shared" ref="K332:K368" si="27">H332+0.2</f>
        <v>22.1</v>
      </c>
    </row>
    <row r="333" s="76" customFormat="1" ht="21" customHeight="1" spans="1:11">
      <c r="A333" s="53" t="s">
        <v>132</v>
      </c>
      <c r="B333" s="54" t="s">
        <v>142</v>
      </c>
      <c r="C333" s="55" t="s">
        <v>175</v>
      </c>
      <c r="D333" s="55" t="s">
        <v>144</v>
      </c>
      <c r="E333" s="104" t="s">
        <v>173</v>
      </c>
      <c r="F333" s="55" t="s">
        <v>176</v>
      </c>
      <c r="G333" s="105">
        <v>2</v>
      </c>
      <c r="H333" s="106">
        <v>22.7</v>
      </c>
      <c r="I333" s="106">
        <v>94.9</v>
      </c>
      <c r="J333" s="106">
        <f t="shared" si="26"/>
        <v>50.04</v>
      </c>
      <c r="K333" s="106">
        <f t="shared" si="27"/>
        <v>22.9</v>
      </c>
    </row>
    <row r="334" s="76" customFormat="1" ht="21" customHeight="1" spans="1:11">
      <c r="A334" s="53" t="s">
        <v>132</v>
      </c>
      <c r="B334" s="54" t="s">
        <v>142</v>
      </c>
      <c r="C334" s="55" t="s">
        <v>175</v>
      </c>
      <c r="D334" s="55" t="s">
        <v>144</v>
      </c>
      <c r="E334" s="104" t="s">
        <v>173</v>
      </c>
      <c r="F334" s="55" t="s">
        <v>176</v>
      </c>
      <c r="G334" s="105">
        <v>3</v>
      </c>
      <c r="H334" s="106">
        <v>22.6</v>
      </c>
      <c r="I334" s="106">
        <v>94.5</v>
      </c>
      <c r="J334" s="106">
        <f t="shared" si="26"/>
        <v>49.82</v>
      </c>
      <c r="K334" s="106">
        <f t="shared" si="27"/>
        <v>22.8</v>
      </c>
    </row>
    <row r="335" s="76" customFormat="1" ht="21" customHeight="1" spans="1:11">
      <c r="A335" s="53" t="s">
        <v>132</v>
      </c>
      <c r="B335" s="54" t="s">
        <v>142</v>
      </c>
      <c r="C335" s="55" t="s">
        <v>175</v>
      </c>
      <c r="D335" s="55" t="s">
        <v>144</v>
      </c>
      <c r="E335" s="104" t="s">
        <v>173</v>
      </c>
      <c r="F335" s="55" t="s">
        <v>176</v>
      </c>
      <c r="G335" s="105">
        <v>4</v>
      </c>
      <c r="H335" s="106">
        <v>22.8</v>
      </c>
      <c r="I335" s="106">
        <v>95.4</v>
      </c>
      <c r="J335" s="106">
        <f t="shared" si="26"/>
        <v>50.26</v>
      </c>
      <c r="K335" s="106">
        <f t="shared" si="27"/>
        <v>23</v>
      </c>
    </row>
    <row r="336" s="76" customFormat="1" ht="21" customHeight="1" spans="1:11">
      <c r="A336" s="53" t="s">
        <v>132</v>
      </c>
      <c r="B336" s="54" t="s">
        <v>142</v>
      </c>
      <c r="C336" s="55" t="s">
        <v>175</v>
      </c>
      <c r="D336" s="55" t="s">
        <v>144</v>
      </c>
      <c r="E336" s="104" t="s">
        <v>173</v>
      </c>
      <c r="F336" s="55" t="s">
        <v>176</v>
      </c>
      <c r="G336" s="105">
        <v>5</v>
      </c>
      <c r="H336" s="106">
        <v>22.3</v>
      </c>
      <c r="I336" s="106">
        <v>93.3</v>
      </c>
      <c r="J336" s="106">
        <f t="shared" si="26"/>
        <v>49.16</v>
      </c>
      <c r="K336" s="106">
        <f t="shared" si="27"/>
        <v>22.5</v>
      </c>
    </row>
    <row r="337" s="76" customFormat="1" ht="21" customHeight="1" spans="1:11">
      <c r="A337" s="53" t="s">
        <v>132</v>
      </c>
      <c r="B337" s="54" t="s">
        <v>142</v>
      </c>
      <c r="C337" s="55" t="s">
        <v>175</v>
      </c>
      <c r="D337" s="55" t="s">
        <v>144</v>
      </c>
      <c r="E337" s="104" t="s">
        <v>173</v>
      </c>
      <c r="F337" s="55" t="s">
        <v>176</v>
      </c>
      <c r="G337" s="105">
        <v>6</v>
      </c>
      <c r="H337" s="106">
        <v>21.4</v>
      </c>
      <c r="I337" s="106">
        <v>89.5</v>
      </c>
      <c r="J337" s="106">
        <f t="shared" si="26"/>
        <v>47.18</v>
      </c>
      <c r="K337" s="106">
        <f t="shared" si="27"/>
        <v>21.6</v>
      </c>
    </row>
    <row r="338" s="76" customFormat="1" ht="21" customHeight="1" spans="1:11">
      <c r="A338" s="53" t="s">
        <v>132</v>
      </c>
      <c r="B338" s="54" t="s">
        <v>142</v>
      </c>
      <c r="C338" s="55" t="s">
        <v>175</v>
      </c>
      <c r="D338" s="55" t="s">
        <v>144</v>
      </c>
      <c r="E338" s="104" t="s">
        <v>173</v>
      </c>
      <c r="F338" s="55" t="s">
        <v>176</v>
      </c>
      <c r="G338" s="105">
        <v>7</v>
      </c>
      <c r="H338" s="106">
        <v>22.6</v>
      </c>
      <c r="I338" s="106">
        <v>94.5</v>
      </c>
      <c r="J338" s="106">
        <f t="shared" si="26"/>
        <v>49.82</v>
      </c>
      <c r="K338" s="106">
        <f t="shared" si="27"/>
        <v>22.8</v>
      </c>
    </row>
    <row r="339" s="76" customFormat="1" ht="21" customHeight="1" spans="1:11">
      <c r="A339" s="53" t="s">
        <v>132</v>
      </c>
      <c r="B339" s="54" t="s">
        <v>142</v>
      </c>
      <c r="C339" s="55" t="s">
        <v>175</v>
      </c>
      <c r="D339" s="55" t="s">
        <v>144</v>
      </c>
      <c r="E339" s="104" t="s">
        <v>173</v>
      </c>
      <c r="F339" s="55" t="s">
        <v>176</v>
      </c>
      <c r="G339" s="105">
        <v>8</v>
      </c>
      <c r="H339" s="106">
        <v>23</v>
      </c>
      <c r="I339" s="106">
        <v>96.2</v>
      </c>
      <c r="J339" s="106">
        <f t="shared" si="26"/>
        <v>50.71</v>
      </c>
      <c r="K339" s="106">
        <f t="shared" si="27"/>
        <v>23.2</v>
      </c>
    </row>
    <row r="340" s="76" customFormat="1" ht="21" customHeight="1" spans="1:11">
      <c r="A340" s="53" t="s">
        <v>132</v>
      </c>
      <c r="B340" s="54" t="s">
        <v>142</v>
      </c>
      <c r="C340" s="55" t="s">
        <v>175</v>
      </c>
      <c r="D340" s="55" t="s">
        <v>144</v>
      </c>
      <c r="E340" s="104" t="s">
        <v>173</v>
      </c>
      <c r="F340" s="55" t="s">
        <v>176</v>
      </c>
      <c r="G340" s="105">
        <v>9</v>
      </c>
      <c r="H340" s="106">
        <v>22.4</v>
      </c>
      <c r="I340" s="106">
        <v>93.7</v>
      </c>
      <c r="J340" s="106">
        <f t="shared" si="26"/>
        <v>49.38</v>
      </c>
      <c r="K340" s="106">
        <f t="shared" si="27"/>
        <v>22.6</v>
      </c>
    </row>
    <row r="341" s="76" customFormat="1" ht="21" customHeight="1" spans="1:11">
      <c r="A341" s="53" t="s">
        <v>132</v>
      </c>
      <c r="B341" s="54" t="s">
        <v>142</v>
      </c>
      <c r="C341" s="55" t="s">
        <v>175</v>
      </c>
      <c r="D341" s="55" t="s">
        <v>144</v>
      </c>
      <c r="E341" s="104" t="s">
        <v>173</v>
      </c>
      <c r="F341" s="55" t="s">
        <v>176</v>
      </c>
      <c r="G341" s="105">
        <v>10</v>
      </c>
      <c r="H341" s="106">
        <v>22.3</v>
      </c>
      <c r="I341" s="106">
        <v>93.3</v>
      </c>
      <c r="J341" s="106">
        <f t="shared" si="26"/>
        <v>49.16</v>
      </c>
      <c r="K341" s="106">
        <f t="shared" si="27"/>
        <v>22.5</v>
      </c>
    </row>
    <row r="342" s="76" customFormat="1" ht="21" customHeight="1" spans="1:11">
      <c r="A342" s="53" t="s">
        <v>132</v>
      </c>
      <c r="B342" s="54" t="s">
        <v>142</v>
      </c>
      <c r="C342" s="55" t="s">
        <v>175</v>
      </c>
      <c r="D342" s="55" t="s">
        <v>144</v>
      </c>
      <c r="E342" s="104" t="s">
        <v>173</v>
      </c>
      <c r="F342" s="55" t="s">
        <v>176</v>
      </c>
      <c r="G342" s="105">
        <v>11</v>
      </c>
      <c r="H342" s="106">
        <v>22.1</v>
      </c>
      <c r="I342" s="106">
        <v>92.4</v>
      </c>
      <c r="J342" s="106">
        <f t="shared" si="26"/>
        <v>48.72</v>
      </c>
      <c r="K342" s="106">
        <f t="shared" si="27"/>
        <v>22.3</v>
      </c>
    </row>
    <row r="343" s="76" customFormat="1" ht="21" customHeight="1" spans="1:11">
      <c r="A343" s="53" t="s">
        <v>132</v>
      </c>
      <c r="B343" s="54" t="s">
        <v>142</v>
      </c>
      <c r="C343" s="55" t="s">
        <v>175</v>
      </c>
      <c r="D343" s="55" t="s">
        <v>144</v>
      </c>
      <c r="E343" s="104" t="s">
        <v>173</v>
      </c>
      <c r="F343" s="55" t="s">
        <v>176</v>
      </c>
      <c r="G343" s="105">
        <v>12</v>
      </c>
      <c r="H343" s="106">
        <v>21.4</v>
      </c>
      <c r="I343" s="106">
        <v>89.5</v>
      </c>
      <c r="J343" s="106">
        <f t="shared" si="26"/>
        <v>47.18</v>
      </c>
      <c r="K343" s="106">
        <f t="shared" si="27"/>
        <v>21.6</v>
      </c>
    </row>
    <row r="344" s="76" customFormat="1" ht="21" customHeight="1" spans="1:11">
      <c r="A344" s="53" t="s">
        <v>132</v>
      </c>
      <c r="B344" s="54" t="s">
        <v>142</v>
      </c>
      <c r="C344" s="55" t="s">
        <v>175</v>
      </c>
      <c r="D344" s="55" t="s">
        <v>144</v>
      </c>
      <c r="E344" s="104" t="s">
        <v>173</v>
      </c>
      <c r="F344" s="55" t="s">
        <v>176</v>
      </c>
      <c r="G344" s="105">
        <v>13</v>
      </c>
      <c r="H344" s="106">
        <v>22.8</v>
      </c>
      <c r="I344" s="106">
        <v>95.4</v>
      </c>
      <c r="J344" s="106">
        <f t="shared" si="26"/>
        <v>50.26</v>
      </c>
      <c r="K344" s="106">
        <f t="shared" si="27"/>
        <v>23</v>
      </c>
    </row>
    <row r="345" s="76" customFormat="1" ht="21" customHeight="1" spans="1:11">
      <c r="A345" s="53" t="s">
        <v>132</v>
      </c>
      <c r="B345" s="54" t="s">
        <v>142</v>
      </c>
      <c r="C345" s="55" t="s">
        <v>175</v>
      </c>
      <c r="D345" s="55" t="s">
        <v>144</v>
      </c>
      <c r="E345" s="104" t="s">
        <v>173</v>
      </c>
      <c r="F345" s="55" t="s">
        <v>176</v>
      </c>
      <c r="G345" s="105">
        <v>14</v>
      </c>
      <c r="H345" s="106">
        <v>22.3</v>
      </c>
      <c r="I345" s="106">
        <v>93.3</v>
      </c>
      <c r="J345" s="106">
        <f t="shared" si="26"/>
        <v>49.16</v>
      </c>
      <c r="K345" s="106">
        <f t="shared" si="27"/>
        <v>22.5</v>
      </c>
    </row>
    <row r="346" s="76" customFormat="1" ht="21" customHeight="1" spans="1:11">
      <c r="A346" s="53" t="s">
        <v>132</v>
      </c>
      <c r="B346" s="54" t="s">
        <v>142</v>
      </c>
      <c r="C346" s="55" t="s">
        <v>175</v>
      </c>
      <c r="D346" s="55" t="s">
        <v>144</v>
      </c>
      <c r="E346" s="104" t="s">
        <v>173</v>
      </c>
      <c r="F346" s="55" t="s">
        <v>176</v>
      </c>
      <c r="G346" s="105">
        <v>15</v>
      </c>
      <c r="H346" s="106">
        <v>22.4</v>
      </c>
      <c r="I346" s="106">
        <v>93.7</v>
      </c>
      <c r="J346" s="106">
        <f t="shared" si="26"/>
        <v>49.38</v>
      </c>
      <c r="K346" s="106">
        <f t="shared" si="27"/>
        <v>22.6</v>
      </c>
    </row>
    <row r="347" s="76" customFormat="1" ht="21" customHeight="1" spans="1:11">
      <c r="A347" s="53" t="s">
        <v>132</v>
      </c>
      <c r="B347" s="54" t="s">
        <v>142</v>
      </c>
      <c r="C347" s="55" t="s">
        <v>175</v>
      </c>
      <c r="D347" s="55" t="s">
        <v>144</v>
      </c>
      <c r="E347" s="104" t="s">
        <v>173</v>
      </c>
      <c r="F347" s="55" t="s">
        <v>176</v>
      </c>
      <c r="G347" s="105">
        <v>16</v>
      </c>
      <c r="H347" s="106">
        <v>22.4</v>
      </c>
      <c r="I347" s="106">
        <v>93.7</v>
      </c>
      <c r="J347" s="106">
        <f t="shared" si="26"/>
        <v>49.38</v>
      </c>
      <c r="K347" s="106">
        <f t="shared" si="27"/>
        <v>22.6</v>
      </c>
    </row>
    <row r="348" s="76" customFormat="1" ht="21" customHeight="1" spans="1:11">
      <c r="A348" s="53" t="s">
        <v>132</v>
      </c>
      <c r="B348" s="54" t="s">
        <v>142</v>
      </c>
      <c r="C348" s="55" t="s">
        <v>175</v>
      </c>
      <c r="D348" s="55" t="s">
        <v>144</v>
      </c>
      <c r="E348" s="104" t="s">
        <v>173</v>
      </c>
      <c r="F348" s="55" t="s">
        <v>176</v>
      </c>
      <c r="G348" s="105">
        <v>17</v>
      </c>
      <c r="H348" s="106">
        <v>22.5</v>
      </c>
      <c r="I348" s="106">
        <v>94.1</v>
      </c>
      <c r="J348" s="106">
        <f t="shared" si="26"/>
        <v>49.6</v>
      </c>
      <c r="K348" s="106">
        <f t="shared" si="27"/>
        <v>22.7</v>
      </c>
    </row>
    <row r="349" s="76" customFormat="1" ht="21" customHeight="1" spans="1:11">
      <c r="A349" s="53" t="s">
        <v>132</v>
      </c>
      <c r="B349" s="54" t="s">
        <v>142</v>
      </c>
      <c r="C349" s="55" t="s">
        <v>175</v>
      </c>
      <c r="D349" s="55" t="s">
        <v>144</v>
      </c>
      <c r="E349" s="104" t="s">
        <v>173</v>
      </c>
      <c r="F349" s="55" t="s">
        <v>176</v>
      </c>
      <c r="G349" s="105">
        <v>18</v>
      </c>
      <c r="H349" s="106">
        <v>21.2</v>
      </c>
      <c r="I349" s="106">
        <v>88.7</v>
      </c>
      <c r="J349" s="106">
        <f t="shared" si="26"/>
        <v>46.74</v>
      </c>
      <c r="K349" s="106">
        <f t="shared" si="27"/>
        <v>21.4</v>
      </c>
    </row>
    <row r="350" s="76" customFormat="1" ht="21" customHeight="1" spans="1:11">
      <c r="A350" s="53" t="s">
        <v>132</v>
      </c>
      <c r="B350" s="54" t="s">
        <v>142</v>
      </c>
      <c r="C350" s="55" t="s">
        <v>175</v>
      </c>
      <c r="D350" s="55" t="s">
        <v>144</v>
      </c>
      <c r="E350" s="104" t="s">
        <v>173</v>
      </c>
      <c r="F350" s="55" t="s">
        <v>176</v>
      </c>
      <c r="G350" s="105">
        <v>19</v>
      </c>
      <c r="H350" s="106">
        <v>22.4</v>
      </c>
      <c r="I350" s="106">
        <v>93.7</v>
      </c>
      <c r="J350" s="106">
        <f t="shared" si="26"/>
        <v>49.38</v>
      </c>
      <c r="K350" s="106">
        <f t="shared" si="27"/>
        <v>22.6</v>
      </c>
    </row>
    <row r="351" s="76" customFormat="1" ht="21" customHeight="1" spans="1:11">
      <c r="A351" s="53" t="s">
        <v>132</v>
      </c>
      <c r="B351" s="54" t="s">
        <v>142</v>
      </c>
      <c r="C351" s="55" t="s">
        <v>175</v>
      </c>
      <c r="D351" s="55" t="s">
        <v>144</v>
      </c>
      <c r="E351" s="104" t="s">
        <v>173</v>
      </c>
      <c r="F351" s="55" t="s">
        <v>176</v>
      </c>
      <c r="G351" s="105">
        <v>20</v>
      </c>
      <c r="H351" s="106">
        <v>22.3</v>
      </c>
      <c r="I351" s="106">
        <v>93.3</v>
      </c>
      <c r="J351" s="106">
        <f t="shared" si="26"/>
        <v>49.16</v>
      </c>
      <c r="K351" s="106">
        <f t="shared" si="27"/>
        <v>22.5</v>
      </c>
    </row>
    <row r="352" s="76" customFormat="1" ht="21" customHeight="1" spans="1:11">
      <c r="A352" s="53" t="s">
        <v>132</v>
      </c>
      <c r="B352" s="54" t="s">
        <v>142</v>
      </c>
      <c r="C352" s="55" t="s">
        <v>175</v>
      </c>
      <c r="D352" s="55" t="s">
        <v>144</v>
      </c>
      <c r="E352" s="104" t="s">
        <v>173</v>
      </c>
      <c r="F352" s="55" t="s">
        <v>176</v>
      </c>
      <c r="G352" s="105">
        <v>21</v>
      </c>
      <c r="H352" s="106">
        <v>22.4</v>
      </c>
      <c r="I352" s="106">
        <v>93.7</v>
      </c>
      <c r="J352" s="106">
        <f t="shared" si="26"/>
        <v>49.38</v>
      </c>
      <c r="K352" s="106">
        <f t="shared" si="27"/>
        <v>22.6</v>
      </c>
    </row>
    <row r="353" s="76" customFormat="1" ht="21" customHeight="1" spans="1:11">
      <c r="A353" s="53" t="s">
        <v>132</v>
      </c>
      <c r="B353" s="54" t="s">
        <v>142</v>
      </c>
      <c r="C353" s="55" t="s">
        <v>175</v>
      </c>
      <c r="D353" s="55" t="s">
        <v>144</v>
      </c>
      <c r="E353" s="104" t="s">
        <v>173</v>
      </c>
      <c r="F353" s="55" t="s">
        <v>176</v>
      </c>
      <c r="G353" s="105">
        <v>22</v>
      </c>
      <c r="H353" s="106">
        <v>22.1</v>
      </c>
      <c r="I353" s="106">
        <v>92.4</v>
      </c>
      <c r="J353" s="106">
        <f t="shared" si="26"/>
        <v>48.72</v>
      </c>
      <c r="K353" s="106">
        <f t="shared" si="27"/>
        <v>22.3</v>
      </c>
    </row>
    <row r="354" s="76" customFormat="1" ht="21" customHeight="1" spans="1:11">
      <c r="A354" s="53" t="s">
        <v>132</v>
      </c>
      <c r="B354" s="54" t="s">
        <v>142</v>
      </c>
      <c r="C354" s="55" t="s">
        <v>175</v>
      </c>
      <c r="D354" s="55" t="s">
        <v>144</v>
      </c>
      <c r="E354" s="104" t="s">
        <v>173</v>
      </c>
      <c r="F354" s="55" t="s">
        <v>176</v>
      </c>
      <c r="G354" s="105">
        <v>23</v>
      </c>
      <c r="H354" s="106">
        <v>22.5</v>
      </c>
      <c r="I354" s="106">
        <v>94.1</v>
      </c>
      <c r="J354" s="106">
        <f t="shared" si="26"/>
        <v>49.6</v>
      </c>
      <c r="K354" s="106">
        <f t="shared" si="27"/>
        <v>22.7</v>
      </c>
    </row>
    <row r="355" s="76" customFormat="1" ht="21" customHeight="1" spans="1:11">
      <c r="A355" s="53" t="s">
        <v>132</v>
      </c>
      <c r="B355" s="54" t="s">
        <v>142</v>
      </c>
      <c r="C355" s="55" t="s">
        <v>175</v>
      </c>
      <c r="D355" s="55" t="s">
        <v>144</v>
      </c>
      <c r="E355" s="104" t="s">
        <v>173</v>
      </c>
      <c r="F355" s="55" t="s">
        <v>176</v>
      </c>
      <c r="G355" s="105">
        <v>24</v>
      </c>
      <c r="H355" s="106">
        <v>21.9</v>
      </c>
      <c r="I355" s="106">
        <v>91.6</v>
      </c>
      <c r="J355" s="106">
        <f t="shared" si="26"/>
        <v>48.28</v>
      </c>
      <c r="K355" s="106">
        <f t="shared" si="27"/>
        <v>22.1</v>
      </c>
    </row>
    <row r="356" s="76" customFormat="1" ht="21" customHeight="1" spans="1:11">
      <c r="A356" s="53" t="s">
        <v>132</v>
      </c>
      <c r="B356" s="54" t="s">
        <v>142</v>
      </c>
      <c r="C356" s="55" t="s">
        <v>175</v>
      </c>
      <c r="D356" s="55" t="s">
        <v>144</v>
      </c>
      <c r="E356" s="104" t="s">
        <v>173</v>
      </c>
      <c r="F356" s="55" t="s">
        <v>176</v>
      </c>
      <c r="G356" s="105">
        <v>25</v>
      </c>
      <c r="H356" s="106">
        <v>22</v>
      </c>
      <c r="I356" s="106">
        <v>92</v>
      </c>
      <c r="J356" s="106">
        <f t="shared" si="26"/>
        <v>48.5</v>
      </c>
      <c r="K356" s="106">
        <f t="shared" si="27"/>
        <v>22.2</v>
      </c>
    </row>
    <row r="357" s="76" customFormat="1" ht="21" customHeight="1" spans="1:11">
      <c r="A357" s="53" t="s">
        <v>132</v>
      </c>
      <c r="B357" s="54" t="s">
        <v>142</v>
      </c>
      <c r="C357" s="55" t="s">
        <v>175</v>
      </c>
      <c r="D357" s="55" t="s">
        <v>144</v>
      </c>
      <c r="E357" s="104" t="s">
        <v>173</v>
      </c>
      <c r="F357" s="55" t="s">
        <v>176</v>
      </c>
      <c r="G357" s="105">
        <v>26</v>
      </c>
      <c r="H357" s="106">
        <v>22.6</v>
      </c>
      <c r="I357" s="106">
        <v>94.5</v>
      </c>
      <c r="J357" s="106">
        <f t="shared" si="26"/>
        <v>49.82</v>
      </c>
      <c r="K357" s="106">
        <f t="shared" si="27"/>
        <v>22.8</v>
      </c>
    </row>
    <row r="358" s="76" customFormat="1" ht="21" customHeight="1" spans="1:11">
      <c r="A358" s="53" t="s">
        <v>132</v>
      </c>
      <c r="B358" s="54" t="s">
        <v>142</v>
      </c>
      <c r="C358" s="55" t="s">
        <v>175</v>
      </c>
      <c r="D358" s="55" t="s">
        <v>144</v>
      </c>
      <c r="E358" s="104" t="s">
        <v>173</v>
      </c>
      <c r="F358" s="55" t="s">
        <v>176</v>
      </c>
      <c r="G358" s="105">
        <v>27</v>
      </c>
      <c r="H358" s="106">
        <v>20.5</v>
      </c>
      <c r="I358" s="106">
        <v>85.7</v>
      </c>
      <c r="J358" s="106">
        <f t="shared" si="26"/>
        <v>45.19</v>
      </c>
      <c r="K358" s="106">
        <f t="shared" si="27"/>
        <v>20.7</v>
      </c>
    </row>
    <row r="359" s="76" customFormat="1" ht="21" customHeight="1" spans="1:11">
      <c r="A359" s="53" t="s">
        <v>132</v>
      </c>
      <c r="B359" s="54" t="s">
        <v>142</v>
      </c>
      <c r="C359" s="55" t="s">
        <v>175</v>
      </c>
      <c r="D359" s="55" t="s">
        <v>144</v>
      </c>
      <c r="E359" s="104" t="s">
        <v>173</v>
      </c>
      <c r="F359" s="55" t="s">
        <v>176</v>
      </c>
      <c r="G359" s="105">
        <v>28</v>
      </c>
      <c r="H359" s="106">
        <v>22.5</v>
      </c>
      <c r="I359" s="106">
        <v>94.1</v>
      </c>
      <c r="J359" s="106">
        <f t="shared" si="26"/>
        <v>49.6</v>
      </c>
      <c r="K359" s="106">
        <f t="shared" si="27"/>
        <v>22.7</v>
      </c>
    </row>
    <row r="360" s="76" customFormat="1" ht="21" customHeight="1" spans="1:11">
      <c r="A360" s="53" t="s">
        <v>132</v>
      </c>
      <c r="B360" s="54" t="s">
        <v>142</v>
      </c>
      <c r="C360" s="55" t="s">
        <v>175</v>
      </c>
      <c r="D360" s="55" t="s">
        <v>144</v>
      </c>
      <c r="E360" s="104" t="s">
        <v>173</v>
      </c>
      <c r="F360" s="55" t="s">
        <v>176</v>
      </c>
      <c r="G360" s="105">
        <v>29</v>
      </c>
      <c r="H360" s="106">
        <v>22.4</v>
      </c>
      <c r="I360" s="106">
        <v>93.7</v>
      </c>
      <c r="J360" s="106">
        <f t="shared" si="26"/>
        <v>49.38</v>
      </c>
      <c r="K360" s="106">
        <f t="shared" si="27"/>
        <v>22.6</v>
      </c>
    </row>
    <row r="361" s="76" customFormat="1" ht="21" customHeight="1" spans="1:11">
      <c r="A361" s="53" t="s">
        <v>132</v>
      </c>
      <c r="B361" s="54" t="s">
        <v>142</v>
      </c>
      <c r="C361" s="55" t="s">
        <v>175</v>
      </c>
      <c r="D361" s="55" t="s">
        <v>144</v>
      </c>
      <c r="E361" s="104" t="s">
        <v>173</v>
      </c>
      <c r="F361" s="55" t="s">
        <v>176</v>
      </c>
      <c r="G361" s="105">
        <v>30</v>
      </c>
      <c r="H361" s="106">
        <v>22.4</v>
      </c>
      <c r="I361" s="106">
        <v>93.7</v>
      </c>
      <c r="J361" s="106">
        <f t="shared" si="26"/>
        <v>49.38</v>
      </c>
      <c r="K361" s="106">
        <f t="shared" si="27"/>
        <v>22.6</v>
      </c>
    </row>
    <row r="362" s="76" customFormat="1" ht="21" customHeight="1" spans="1:11">
      <c r="A362" s="53" t="s">
        <v>132</v>
      </c>
      <c r="B362" s="54" t="s">
        <v>142</v>
      </c>
      <c r="C362" s="55" t="s">
        <v>175</v>
      </c>
      <c r="D362" s="55" t="s">
        <v>144</v>
      </c>
      <c r="E362" s="104" t="s">
        <v>173</v>
      </c>
      <c r="F362" s="55" t="s">
        <v>176</v>
      </c>
      <c r="G362" s="105">
        <v>31</v>
      </c>
      <c r="H362" s="106">
        <v>22.6</v>
      </c>
      <c r="I362" s="106">
        <v>94.5</v>
      </c>
      <c r="J362" s="106">
        <f t="shared" si="26"/>
        <v>49.82</v>
      </c>
      <c r="K362" s="106">
        <f t="shared" si="27"/>
        <v>22.8</v>
      </c>
    </row>
    <row r="363" s="76" customFormat="1" ht="21" customHeight="1" spans="1:11">
      <c r="A363" s="53" t="s">
        <v>132</v>
      </c>
      <c r="B363" s="54" t="s">
        <v>142</v>
      </c>
      <c r="C363" s="55" t="s">
        <v>175</v>
      </c>
      <c r="D363" s="55" t="s">
        <v>144</v>
      </c>
      <c r="E363" s="104" t="s">
        <v>173</v>
      </c>
      <c r="F363" s="55" t="s">
        <v>176</v>
      </c>
      <c r="G363" s="105">
        <v>32</v>
      </c>
      <c r="H363" s="106">
        <v>21.7</v>
      </c>
      <c r="I363" s="106">
        <v>90.8</v>
      </c>
      <c r="J363" s="106">
        <f t="shared" si="26"/>
        <v>47.84</v>
      </c>
      <c r="K363" s="106">
        <f t="shared" si="27"/>
        <v>21.9</v>
      </c>
    </row>
    <row r="364" s="76" customFormat="1" ht="21" customHeight="1" spans="1:11">
      <c r="A364" s="53" t="s">
        <v>132</v>
      </c>
      <c r="B364" s="54" t="s">
        <v>142</v>
      </c>
      <c r="C364" s="55" t="s">
        <v>175</v>
      </c>
      <c r="D364" s="55" t="s">
        <v>144</v>
      </c>
      <c r="E364" s="104" t="s">
        <v>173</v>
      </c>
      <c r="F364" s="55" t="s">
        <v>176</v>
      </c>
      <c r="G364" s="105">
        <v>33</v>
      </c>
      <c r="H364" s="106">
        <v>21.4</v>
      </c>
      <c r="I364" s="106">
        <v>89.5</v>
      </c>
      <c r="J364" s="106">
        <f t="shared" si="26"/>
        <v>47.18</v>
      </c>
      <c r="K364" s="106">
        <f t="shared" si="27"/>
        <v>21.6</v>
      </c>
    </row>
    <row r="365" s="76" customFormat="1" ht="21" customHeight="1" spans="1:11">
      <c r="A365" s="53" t="s">
        <v>132</v>
      </c>
      <c r="B365" s="54" t="s">
        <v>142</v>
      </c>
      <c r="C365" s="55" t="s">
        <v>175</v>
      </c>
      <c r="D365" s="55" t="s">
        <v>144</v>
      </c>
      <c r="E365" s="104" t="s">
        <v>173</v>
      </c>
      <c r="F365" s="55" t="s">
        <v>176</v>
      </c>
      <c r="G365" s="105">
        <v>34</v>
      </c>
      <c r="H365" s="106">
        <v>21.7</v>
      </c>
      <c r="I365" s="106">
        <v>90.8</v>
      </c>
      <c r="J365" s="106">
        <f t="shared" si="26"/>
        <v>47.84</v>
      </c>
      <c r="K365" s="106">
        <f t="shared" si="27"/>
        <v>21.9</v>
      </c>
    </row>
    <row r="366" s="76" customFormat="1" ht="21" customHeight="1" spans="1:11">
      <c r="A366" s="53" t="s">
        <v>132</v>
      </c>
      <c r="B366" s="54" t="s">
        <v>142</v>
      </c>
      <c r="C366" s="55" t="s">
        <v>175</v>
      </c>
      <c r="D366" s="55" t="s">
        <v>144</v>
      </c>
      <c r="E366" s="104" t="s">
        <v>173</v>
      </c>
      <c r="F366" s="55" t="s">
        <v>176</v>
      </c>
      <c r="G366" s="105">
        <v>35</v>
      </c>
      <c r="H366" s="106">
        <v>21.9</v>
      </c>
      <c r="I366" s="106">
        <v>91.6</v>
      </c>
      <c r="J366" s="106">
        <f t="shared" si="26"/>
        <v>48.28</v>
      </c>
      <c r="K366" s="106">
        <f t="shared" si="27"/>
        <v>22.1</v>
      </c>
    </row>
    <row r="367" s="76" customFormat="1" ht="21" customHeight="1" spans="1:11">
      <c r="A367" s="53" t="s">
        <v>132</v>
      </c>
      <c r="B367" s="54" t="s">
        <v>142</v>
      </c>
      <c r="C367" s="55" t="s">
        <v>175</v>
      </c>
      <c r="D367" s="55" t="s">
        <v>144</v>
      </c>
      <c r="E367" s="104" t="s">
        <v>173</v>
      </c>
      <c r="F367" s="55" t="s">
        <v>176</v>
      </c>
      <c r="G367" s="105">
        <v>36</v>
      </c>
      <c r="H367" s="106">
        <v>21.7</v>
      </c>
      <c r="I367" s="106">
        <v>90.8</v>
      </c>
      <c r="J367" s="106">
        <f t="shared" si="26"/>
        <v>47.84</v>
      </c>
      <c r="K367" s="106">
        <f t="shared" si="27"/>
        <v>21.9</v>
      </c>
    </row>
    <row r="368" s="76" customFormat="1" ht="21" customHeight="1" spans="1:11">
      <c r="A368" s="53" t="s">
        <v>132</v>
      </c>
      <c r="B368" s="54" t="s">
        <v>142</v>
      </c>
      <c r="C368" s="55" t="s">
        <v>175</v>
      </c>
      <c r="D368" s="55" t="s">
        <v>144</v>
      </c>
      <c r="E368" s="104" t="s">
        <v>173</v>
      </c>
      <c r="F368" s="55" t="s">
        <v>176</v>
      </c>
      <c r="G368" s="105">
        <v>37</v>
      </c>
      <c r="H368" s="106">
        <v>21.6</v>
      </c>
      <c r="I368" s="106">
        <v>90.3</v>
      </c>
      <c r="J368" s="106">
        <f t="shared" si="26"/>
        <v>47.62</v>
      </c>
      <c r="K368" s="106">
        <f t="shared" si="27"/>
        <v>21.8</v>
      </c>
    </row>
    <row r="369" s="77" customFormat="1" ht="21" customHeight="1" spans="1:11">
      <c r="A369" s="107"/>
      <c r="B369" s="108"/>
      <c r="C369" s="109" t="s">
        <v>138</v>
      </c>
      <c r="D369" s="109"/>
      <c r="E369" s="109"/>
      <c r="F369" s="110"/>
      <c r="G369" s="111">
        <f>COUNT(G332:G368)</f>
        <v>37</v>
      </c>
      <c r="H369" s="112">
        <f>SUM(H332:H368)</f>
        <v>819.7</v>
      </c>
      <c r="I369" s="112">
        <f>SUM(I332:I368)</f>
        <v>3428.5</v>
      </c>
      <c r="J369" s="112">
        <f>SUM(J332:J368)</f>
        <v>1807.04</v>
      </c>
      <c r="K369" s="112">
        <f>SUM(K332:K368)</f>
        <v>827.1</v>
      </c>
    </row>
    <row r="370" s="76" customFormat="1" ht="21" customHeight="1" spans="1:11">
      <c r="A370" s="53" t="s">
        <v>132</v>
      </c>
      <c r="B370" s="54" t="s">
        <v>142</v>
      </c>
      <c r="C370" s="55" t="s">
        <v>177</v>
      </c>
      <c r="D370" s="55" t="s">
        <v>144</v>
      </c>
      <c r="E370" s="104" t="s">
        <v>173</v>
      </c>
      <c r="F370" s="55" t="s">
        <v>176</v>
      </c>
      <c r="G370" s="105">
        <v>1</v>
      </c>
      <c r="H370" s="106">
        <v>19.9</v>
      </c>
      <c r="I370" s="106">
        <v>83.2</v>
      </c>
      <c r="J370" s="106">
        <f t="shared" ref="J370:J401" si="28">ROUND(H370*2.2046,2)</f>
        <v>43.87</v>
      </c>
      <c r="K370" s="106">
        <f t="shared" ref="K370:K401" si="29">H370+0.2</f>
        <v>20.1</v>
      </c>
    </row>
    <row r="371" s="76" customFormat="1" ht="21" customHeight="1" spans="1:11">
      <c r="A371" s="53" t="s">
        <v>132</v>
      </c>
      <c r="B371" s="54" t="s">
        <v>142</v>
      </c>
      <c r="C371" s="55" t="s">
        <v>177</v>
      </c>
      <c r="D371" s="55" t="s">
        <v>144</v>
      </c>
      <c r="E371" s="104" t="s">
        <v>173</v>
      </c>
      <c r="F371" s="55" t="s">
        <v>176</v>
      </c>
      <c r="G371" s="105">
        <v>2</v>
      </c>
      <c r="H371" s="106">
        <v>22.1</v>
      </c>
      <c r="I371" s="106">
        <v>92.4</v>
      </c>
      <c r="J371" s="106">
        <f t="shared" si="28"/>
        <v>48.72</v>
      </c>
      <c r="K371" s="106">
        <f t="shared" si="29"/>
        <v>22.3</v>
      </c>
    </row>
    <row r="372" s="76" customFormat="1" ht="21" customHeight="1" spans="1:11">
      <c r="A372" s="53" t="s">
        <v>132</v>
      </c>
      <c r="B372" s="54" t="s">
        <v>142</v>
      </c>
      <c r="C372" s="55" t="s">
        <v>177</v>
      </c>
      <c r="D372" s="55" t="s">
        <v>144</v>
      </c>
      <c r="E372" s="104" t="s">
        <v>173</v>
      </c>
      <c r="F372" s="55" t="s">
        <v>176</v>
      </c>
      <c r="G372" s="105">
        <v>3</v>
      </c>
      <c r="H372" s="106">
        <v>22.1</v>
      </c>
      <c r="I372" s="106">
        <v>92.4</v>
      </c>
      <c r="J372" s="106">
        <f t="shared" si="28"/>
        <v>48.72</v>
      </c>
      <c r="K372" s="106">
        <f t="shared" si="29"/>
        <v>22.3</v>
      </c>
    </row>
    <row r="373" s="76" customFormat="1" ht="21" customHeight="1" spans="1:11">
      <c r="A373" s="53" t="s">
        <v>132</v>
      </c>
      <c r="B373" s="54" t="s">
        <v>142</v>
      </c>
      <c r="C373" s="55" t="s">
        <v>177</v>
      </c>
      <c r="D373" s="55" t="s">
        <v>144</v>
      </c>
      <c r="E373" s="104" t="s">
        <v>173</v>
      </c>
      <c r="F373" s="55" t="s">
        <v>176</v>
      </c>
      <c r="G373" s="105">
        <v>4</v>
      </c>
      <c r="H373" s="106">
        <v>22</v>
      </c>
      <c r="I373" s="106">
        <v>92</v>
      </c>
      <c r="J373" s="106">
        <f t="shared" si="28"/>
        <v>48.5</v>
      </c>
      <c r="K373" s="106">
        <f t="shared" si="29"/>
        <v>22.2</v>
      </c>
    </row>
    <row r="374" s="76" customFormat="1" ht="21" customHeight="1" spans="1:11">
      <c r="A374" s="53" t="s">
        <v>132</v>
      </c>
      <c r="B374" s="54" t="s">
        <v>142</v>
      </c>
      <c r="C374" s="55" t="s">
        <v>177</v>
      </c>
      <c r="D374" s="55" t="s">
        <v>144</v>
      </c>
      <c r="E374" s="104" t="s">
        <v>173</v>
      </c>
      <c r="F374" s="55" t="s">
        <v>176</v>
      </c>
      <c r="G374" s="105">
        <v>5</v>
      </c>
      <c r="H374" s="106">
        <v>22.1</v>
      </c>
      <c r="I374" s="106">
        <v>92.4</v>
      </c>
      <c r="J374" s="106">
        <f t="shared" si="28"/>
        <v>48.72</v>
      </c>
      <c r="K374" s="106">
        <f t="shared" si="29"/>
        <v>22.3</v>
      </c>
    </row>
    <row r="375" s="76" customFormat="1" ht="21" customHeight="1" spans="1:11">
      <c r="A375" s="53" t="s">
        <v>132</v>
      </c>
      <c r="B375" s="54" t="s">
        <v>142</v>
      </c>
      <c r="C375" s="55" t="s">
        <v>177</v>
      </c>
      <c r="D375" s="55" t="s">
        <v>144</v>
      </c>
      <c r="E375" s="104" t="s">
        <v>173</v>
      </c>
      <c r="F375" s="55" t="s">
        <v>176</v>
      </c>
      <c r="G375" s="105">
        <v>6</v>
      </c>
      <c r="H375" s="106">
        <v>22</v>
      </c>
      <c r="I375" s="106">
        <v>92</v>
      </c>
      <c r="J375" s="106">
        <f t="shared" si="28"/>
        <v>48.5</v>
      </c>
      <c r="K375" s="106">
        <f t="shared" si="29"/>
        <v>22.2</v>
      </c>
    </row>
    <row r="376" s="76" customFormat="1" ht="21" customHeight="1" spans="1:11">
      <c r="A376" s="53" t="s">
        <v>132</v>
      </c>
      <c r="B376" s="54" t="s">
        <v>142</v>
      </c>
      <c r="C376" s="55" t="s">
        <v>177</v>
      </c>
      <c r="D376" s="55" t="s">
        <v>144</v>
      </c>
      <c r="E376" s="104" t="s">
        <v>173</v>
      </c>
      <c r="F376" s="55" t="s">
        <v>176</v>
      </c>
      <c r="G376" s="105">
        <v>7</v>
      </c>
      <c r="H376" s="106">
        <v>21.9</v>
      </c>
      <c r="I376" s="106">
        <v>91.6</v>
      </c>
      <c r="J376" s="106">
        <f t="shared" si="28"/>
        <v>48.28</v>
      </c>
      <c r="K376" s="106">
        <f t="shared" si="29"/>
        <v>22.1</v>
      </c>
    </row>
    <row r="377" s="76" customFormat="1" ht="21" customHeight="1" spans="1:11">
      <c r="A377" s="53" t="s">
        <v>132</v>
      </c>
      <c r="B377" s="54" t="s">
        <v>142</v>
      </c>
      <c r="C377" s="55" t="s">
        <v>177</v>
      </c>
      <c r="D377" s="55" t="s">
        <v>144</v>
      </c>
      <c r="E377" s="104" t="s">
        <v>173</v>
      </c>
      <c r="F377" s="55" t="s">
        <v>176</v>
      </c>
      <c r="G377" s="105">
        <v>8</v>
      </c>
      <c r="H377" s="106">
        <v>22.1</v>
      </c>
      <c r="I377" s="106">
        <v>92.4</v>
      </c>
      <c r="J377" s="106">
        <f t="shared" si="28"/>
        <v>48.72</v>
      </c>
      <c r="K377" s="106">
        <f t="shared" si="29"/>
        <v>22.3</v>
      </c>
    </row>
    <row r="378" s="76" customFormat="1" ht="21" customHeight="1" spans="1:11">
      <c r="A378" s="53" t="s">
        <v>132</v>
      </c>
      <c r="B378" s="54" t="s">
        <v>142</v>
      </c>
      <c r="C378" s="55" t="s">
        <v>177</v>
      </c>
      <c r="D378" s="55" t="s">
        <v>144</v>
      </c>
      <c r="E378" s="104" t="s">
        <v>173</v>
      </c>
      <c r="F378" s="55" t="s">
        <v>176</v>
      </c>
      <c r="G378" s="105">
        <v>9</v>
      </c>
      <c r="H378" s="106">
        <v>22.1</v>
      </c>
      <c r="I378" s="106">
        <v>92.4</v>
      </c>
      <c r="J378" s="106">
        <f t="shared" si="28"/>
        <v>48.72</v>
      </c>
      <c r="K378" s="106">
        <f t="shared" si="29"/>
        <v>22.3</v>
      </c>
    </row>
    <row r="379" s="76" customFormat="1" ht="21" customHeight="1" spans="1:11">
      <c r="A379" s="53" t="s">
        <v>132</v>
      </c>
      <c r="B379" s="54" t="s">
        <v>142</v>
      </c>
      <c r="C379" s="55" t="s">
        <v>177</v>
      </c>
      <c r="D379" s="55" t="s">
        <v>144</v>
      </c>
      <c r="E379" s="104" t="s">
        <v>173</v>
      </c>
      <c r="F379" s="55" t="s">
        <v>176</v>
      </c>
      <c r="G379" s="105">
        <v>10</v>
      </c>
      <c r="H379" s="106">
        <v>21.9</v>
      </c>
      <c r="I379" s="106">
        <v>91.6</v>
      </c>
      <c r="J379" s="106">
        <f t="shared" si="28"/>
        <v>48.28</v>
      </c>
      <c r="K379" s="106">
        <f t="shared" si="29"/>
        <v>22.1</v>
      </c>
    </row>
    <row r="380" s="76" customFormat="1" ht="21" customHeight="1" spans="1:11">
      <c r="A380" s="53" t="s">
        <v>132</v>
      </c>
      <c r="B380" s="54" t="s">
        <v>142</v>
      </c>
      <c r="C380" s="55" t="s">
        <v>177</v>
      </c>
      <c r="D380" s="55" t="s">
        <v>144</v>
      </c>
      <c r="E380" s="104" t="s">
        <v>173</v>
      </c>
      <c r="F380" s="55" t="s">
        <v>176</v>
      </c>
      <c r="G380" s="105">
        <v>11</v>
      </c>
      <c r="H380" s="106">
        <v>21.4</v>
      </c>
      <c r="I380" s="106">
        <v>89.5</v>
      </c>
      <c r="J380" s="106">
        <f t="shared" si="28"/>
        <v>47.18</v>
      </c>
      <c r="K380" s="106">
        <f t="shared" si="29"/>
        <v>21.6</v>
      </c>
    </row>
    <row r="381" s="76" customFormat="1" ht="21" customHeight="1" spans="1:11">
      <c r="A381" s="53" t="s">
        <v>132</v>
      </c>
      <c r="B381" s="54" t="s">
        <v>142</v>
      </c>
      <c r="C381" s="55" t="s">
        <v>177</v>
      </c>
      <c r="D381" s="55" t="s">
        <v>144</v>
      </c>
      <c r="E381" s="104" t="s">
        <v>173</v>
      </c>
      <c r="F381" s="55" t="s">
        <v>176</v>
      </c>
      <c r="G381" s="105">
        <v>12</v>
      </c>
      <c r="H381" s="106">
        <v>22</v>
      </c>
      <c r="I381" s="106">
        <v>92</v>
      </c>
      <c r="J381" s="106">
        <f t="shared" si="28"/>
        <v>48.5</v>
      </c>
      <c r="K381" s="106">
        <f t="shared" si="29"/>
        <v>22.2</v>
      </c>
    </row>
    <row r="382" s="76" customFormat="1" ht="21" customHeight="1" spans="1:11">
      <c r="A382" s="53" t="s">
        <v>132</v>
      </c>
      <c r="B382" s="54" t="s">
        <v>142</v>
      </c>
      <c r="C382" s="55" t="s">
        <v>177</v>
      </c>
      <c r="D382" s="55" t="s">
        <v>144</v>
      </c>
      <c r="E382" s="104" t="s">
        <v>173</v>
      </c>
      <c r="F382" s="55" t="s">
        <v>176</v>
      </c>
      <c r="G382" s="105">
        <v>13</v>
      </c>
      <c r="H382" s="106">
        <v>22</v>
      </c>
      <c r="I382" s="106">
        <v>92</v>
      </c>
      <c r="J382" s="106">
        <f t="shared" si="28"/>
        <v>48.5</v>
      </c>
      <c r="K382" s="106">
        <f t="shared" si="29"/>
        <v>22.2</v>
      </c>
    </row>
    <row r="383" s="76" customFormat="1" ht="21" customHeight="1" spans="1:11">
      <c r="A383" s="53" t="s">
        <v>132</v>
      </c>
      <c r="B383" s="54" t="s">
        <v>142</v>
      </c>
      <c r="C383" s="55" t="s">
        <v>177</v>
      </c>
      <c r="D383" s="55" t="s">
        <v>144</v>
      </c>
      <c r="E383" s="104" t="s">
        <v>173</v>
      </c>
      <c r="F383" s="55" t="s">
        <v>176</v>
      </c>
      <c r="G383" s="105">
        <v>14</v>
      </c>
      <c r="H383" s="106">
        <v>22.1</v>
      </c>
      <c r="I383" s="106">
        <v>92.4</v>
      </c>
      <c r="J383" s="106">
        <f t="shared" si="28"/>
        <v>48.72</v>
      </c>
      <c r="K383" s="106">
        <f t="shared" si="29"/>
        <v>22.3</v>
      </c>
    </row>
    <row r="384" s="76" customFormat="1" ht="21" customHeight="1" spans="1:11">
      <c r="A384" s="53" t="s">
        <v>132</v>
      </c>
      <c r="B384" s="54" t="s">
        <v>142</v>
      </c>
      <c r="C384" s="55" t="s">
        <v>177</v>
      </c>
      <c r="D384" s="55" t="s">
        <v>144</v>
      </c>
      <c r="E384" s="104" t="s">
        <v>173</v>
      </c>
      <c r="F384" s="55" t="s">
        <v>176</v>
      </c>
      <c r="G384" s="105">
        <v>15</v>
      </c>
      <c r="H384" s="106">
        <v>21.9</v>
      </c>
      <c r="I384" s="106">
        <v>91.6</v>
      </c>
      <c r="J384" s="106">
        <f t="shared" si="28"/>
        <v>48.28</v>
      </c>
      <c r="K384" s="106">
        <f t="shared" si="29"/>
        <v>22.1</v>
      </c>
    </row>
    <row r="385" s="76" customFormat="1" ht="21" customHeight="1" spans="1:11">
      <c r="A385" s="53" t="s">
        <v>132</v>
      </c>
      <c r="B385" s="54" t="s">
        <v>142</v>
      </c>
      <c r="C385" s="55" t="s">
        <v>177</v>
      </c>
      <c r="D385" s="55" t="s">
        <v>144</v>
      </c>
      <c r="E385" s="104" t="s">
        <v>173</v>
      </c>
      <c r="F385" s="55" t="s">
        <v>176</v>
      </c>
      <c r="G385" s="105">
        <v>16</v>
      </c>
      <c r="H385" s="106">
        <v>22</v>
      </c>
      <c r="I385" s="106">
        <v>92</v>
      </c>
      <c r="J385" s="106">
        <f t="shared" si="28"/>
        <v>48.5</v>
      </c>
      <c r="K385" s="106">
        <f t="shared" si="29"/>
        <v>22.2</v>
      </c>
    </row>
    <row r="386" s="76" customFormat="1" ht="21" customHeight="1" spans="1:11">
      <c r="A386" s="53" t="s">
        <v>132</v>
      </c>
      <c r="B386" s="54" t="s">
        <v>142</v>
      </c>
      <c r="C386" s="55" t="s">
        <v>177</v>
      </c>
      <c r="D386" s="55" t="s">
        <v>144</v>
      </c>
      <c r="E386" s="104" t="s">
        <v>173</v>
      </c>
      <c r="F386" s="55" t="s">
        <v>176</v>
      </c>
      <c r="G386" s="105">
        <v>17</v>
      </c>
      <c r="H386" s="106">
        <v>22</v>
      </c>
      <c r="I386" s="106">
        <v>92</v>
      </c>
      <c r="J386" s="106">
        <f t="shared" si="28"/>
        <v>48.5</v>
      </c>
      <c r="K386" s="106">
        <f t="shared" si="29"/>
        <v>22.2</v>
      </c>
    </row>
    <row r="387" s="76" customFormat="1" ht="21" customHeight="1" spans="1:11">
      <c r="A387" s="53" t="s">
        <v>132</v>
      </c>
      <c r="B387" s="54" t="s">
        <v>142</v>
      </c>
      <c r="C387" s="55" t="s">
        <v>177</v>
      </c>
      <c r="D387" s="55" t="s">
        <v>144</v>
      </c>
      <c r="E387" s="104" t="s">
        <v>173</v>
      </c>
      <c r="F387" s="55" t="s">
        <v>176</v>
      </c>
      <c r="G387" s="105">
        <v>18</v>
      </c>
      <c r="H387" s="106">
        <v>22.1</v>
      </c>
      <c r="I387" s="106">
        <v>92.4</v>
      </c>
      <c r="J387" s="106">
        <f t="shared" si="28"/>
        <v>48.72</v>
      </c>
      <c r="K387" s="106">
        <f t="shared" si="29"/>
        <v>22.3</v>
      </c>
    </row>
    <row r="388" s="76" customFormat="1" ht="21" customHeight="1" spans="1:11">
      <c r="A388" s="53" t="s">
        <v>132</v>
      </c>
      <c r="B388" s="54" t="s">
        <v>142</v>
      </c>
      <c r="C388" s="55" t="s">
        <v>177</v>
      </c>
      <c r="D388" s="55" t="s">
        <v>144</v>
      </c>
      <c r="E388" s="104" t="s">
        <v>173</v>
      </c>
      <c r="F388" s="55" t="s">
        <v>176</v>
      </c>
      <c r="G388" s="105">
        <v>19</v>
      </c>
      <c r="H388" s="106">
        <v>20.8</v>
      </c>
      <c r="I388" s="106">
        <v>87</v>
      </c>
      <c r="J388" s="106">
        <f t="shared" si="28"/>
        <v>45.86</v>
      </c>
      <c r="K388" s="106">
        <f t="shared" si="29"/>
        <v>21</v>
      </c>
    </row>
    <row r="389" s="77" customFormat="1" ht="21" customHeight="1" spans="1:11">
      <c r="A389" s="107"/>
      <c r="B389" s="108"/>
      <c r="C389" s="109" t="s">
        <v>138</v>
      </c>
      <c r="D389" s="109"/>
      <c r="E389" s="109"/>
      <c r="F389" s="110"/>
      <c r="G389" s="111">
        <f>COUNT(G370:G388)</f>
        <v>19</v>
      </c>
      <c r="H389" s="112">
        <f>SUM(H370:H388)</f>
        <v>414.5</v>
      </c>
      <c r="I389" s="112">
        <f>SUM(I370:I388)</f>
        <v>1733.3</v>
      </c>
      <c r="J389" s="112">
        <f>SUM(J370:J388)</f>
        <v>913.79</v>
      </c>
      <c r="K389" s="112">
        <f>SUM(K370:K388)</f>
        <v>418.3</v>
      </c>
    </row>
    <row r="390" s="76" customFormat="1" ht="21" customHeight="1" spans="1:11">
      <c r="A390" s="53" t="s">
        <v>132</v>
      </c>
      <c r="B390" s="54" t="s">
        <v>142</v>
      </c>
      <c r="C390" s="55" t="s">
        <v>178</v>
      </c>
      <c r="D390" s="55" t="s">
        <v>144</v>
      </c>
      <c r="E390" s="104" t="s">
        <v>173</v>
      </c>
      <c r="F390" s="55" t="s">
        <v>179</v>
      </c>
      <c r="G390" s="105">
        <v>1</v>
      </c>
      <c r="H390" s="106">
        <v>21.3</v>
      </c>
      <c r="I390" s="106">
        <v>89.1</v>
      </c>
      <c r="J390" s="106">
        <f t="shared" ref="J390:J428" si="30">ROUND(H390*2.2046,2)</f>
        <v>46.96</v>
      </c>
      <c r="K390" s="106">
        <f t="shared" ref="K390:K428" si="31">H390+0.2</f>
        <v>21.5</v>
      </c>
    </row>
    <row r="391" s="76" customFormat="1" ht="21" customHeight="1" spans="1:11">
      <c r="A391" s="53" t="s">
        <v>132</v>
      </c>
      <c r="B391" s="54" t="s">
        <v>142</v>
      </c>
      <c r="C391" s="55" t="s">
        <v>178</v>
      </c>
      <c r="D391" s="55" t="s">
        <v>144</v>
      </c>
      <c r="E391" s="104" t="s">
        <v>173</v>
      </c>
      <c r="F391" s="55" t="s">
        <v>179</v>
      </c>
      <c r="G391" s="105">
        <v>2</v>
      </c>
      <c r="H391" s="106">
        <v>21.8</v>
      </c>
      <c r="I391" s="106">
        <v>91.2</v>
      </c>
      <c r="J391" s="106">
        <f t="shared" si="30"/>
        <v>48.06</v>
      </c>
      <c r="K391" s="106">
        <f t="shared" si="31"/>
        <v>22</v>
      </c>
    </row>
    <row r="392" s="76" customFormat="1" ht="21" customHeight="1" spans="1:11">
      <c r="A392" s="53" t="s">
        <v>132</v>
      </c>
      <c r="B392" s="54" t="s">
        <v>142</v>
      </c>
      <c r="C392" s="55" t="s">
        <v>178</v>
      </c>
      <c r="D392" s="55" t="s">
        <v>144</v>
      </c>
      <c r="E392" s="104" t="s">
        <v>173</v>
      </c>
      <c r="F392" s="55" t="s">
        <v>179</v>
      </c>
      <c r="G392" s="105">
        <v>3</v>
      </c>
      <c r="H392" s="106">
        <v>22</v>
      </c>
      <c r="I392" s="106">
        <v>92</v>
      </c>
      <c r="J392" s="106">
        <f t="shared" si="30"/>
        <v>48.5</v>
      </c>
      <c r="K392" s="106">
        <f t="shared" si="31"/>
        <v>22.2</v>
      </c>
    </row>
    <row r="393" s="76" customFormat="1" ht="21" customHeight="1" spans="1:11">
      <c r="A393" s="53" t="s">
        <v>132</v>
      </c>
      <c r="B393" s="54" t="s">
        <v>142</v>
      </c>
      <c r="C393" s="55" t="s">
        <v>178</v>
      </c>
      <c r="D393" s="55" t="s">
        <v>144</v>
      </c>
      <c r="E393" s="104" t="s">
        <v>173</v>
      </c>
      <c r="F393" s="55" t="s">
        <v>179</v>
      </c>
      <c r="G393" s="105">
        <v>4</v>
      </c>
      <c r="H393" s="106">
        <v>21.8</v>
      </c>
      <c r="I393" s="106">
        <v>91.2</v>
      </c>
      <c r="J393" s="106">
        <f t="shared" si="30"/>
        <v>48.06</v>
      </c>
      <c r="K393" s="106">
        <f t="shared" si="31"/>
        <v>22</v>
      </c>
    </row>
    <row r="394" s="76" customFormat="1" ht="21" customHeight="1" spans="1:11">
      <c r="A394" s="53" t="s">
        <v>132</v>
      </c>
      <c r="B394" s="54" t="s">
        <v>142</v>
      </c>
      <c r="C394" s="55" t="s">
        <v>178</v>
      </c>
      <c r="D394" s="55" t="s">
        <v>144</v>
      </c>
      <c r="E394" s="104" t="s">
        <v>173</v>
      </c>
      <c r="F394" s="55" t="s">
        <v>179</v>
      </c>
      <c r="G394" s="105">
        <v>5</v>
      </c>
      <c r="H394" s="106">
        <v>22.1</v>
      </c>
      <c r="I394" s="106">
        <v>92.4</v>
      </c>
      <c r="J394" s="106">
        <f t="shared" si="30"/>
        <v>48.72</v>
      </c>
      <c r="K394" s="106">
        <f t="shared" si="31"/>
        <v>22.3</v>
      </c>
    </row>
    <row r="395" s="76" customFormat="1" ht="21" customHeight="1" spans="1:11">
      <c r="A395" s="53" t="s">
        <v>132</v>
      </c>
      <c r="B395" s="54" t="s">
        <v>142</v>
      </c>
      <c r="C395" s="55" t="s">
        <v>178</v>
      </c>
      <c r="D395" s="55" t="s">
        <v>144</v>
      </c>
      <c r="E395" s="104" t="s">
        <v>173</v>
      </c>
      <c r="F395" s="55" t="s">
        <v>179</v>
      </c>
      <c r="G395" s="105">
        <v>6</v>
      </c>
      <c r="H395" s="106">
        <v>21.9</v>
      </c>
      <c r="I395" s="106">
        <v>91.6</v>
      </c>
      <c r="J395" s="106">
        <f t="shared" si="30"/>
        <v>48.28</v>
      </c>
      <c r="K395" s="106">
        <f t="shared" si="31"/>
        <v>22.1</v>
      </c>
    </row>
    <row r="396" s="76" customFormat="1" ht="21" customHeight="1" spans="1:11">
      <c r="A396" s="53" t="s">
        <v>132</v>
      </c>
      <c r="B396" s="54" t="s">
        <v>142</v>
      </c>
      <c r="C396" s="55" t="s">
        <v>178</v>
      </c>
      <c r="D396" s="55" t="s">
        <v>144</v>
      </c>
      <c r="E396" s="104" t="s">
        <v>173</v>
      </c>
      <c r="F396" s="55" t="s">
        <v>179</v>
      </c>
      <c r="G396" s="105">
        <v>7</v>
      </c>
      <c r="H396" s="106">
        <v>21.9</v>
      </c>
      <c r="I396" s="106">
        <v>91.6</v>
      </c>
      <c r="J396" s="106">
        <f t="shared" si="30"/>
        <v>48.28</v>
      </c>
      <c r="K396" s="106">
        <f t="shared" si="31"/>
        <v>22.1</v>
      </c>
    </row>
    <row r="397" s="76" customFormat="1" ht="21" customHeight="1" spans="1:11">
      <c r="A397" s="53" t="s">
        <v>132</v>
      </c>
      <c r="B397" s="54" t="s">
        <v>142</v>
      </c>
      <c r="C397" s="55" t="s">
        <v>178</v>
      </c>
      <c r="D397" s="55" t="s">
        <v>144</v>
      </c>
      <c r="E397" s="104" t="s">
        <v>173</v>
      </c>
      <c r="F397" s="55" t="s">
        <v>179</v>
      </c>
      <c r="G397" s="105">
        <v>8</v>
      </c>
      <c r="H397" s="106">
        <v>22</v>
      </c>
      <c r="I397" s="106">
        <v>92</v>
      </c>
      <c r="J397" s="106">
        <f t="shared" si="30"/>
        <v>48.5</v>
      </c>
      <c r="K397" s="106">
        <f t="shared" si="31"/>
        <v>22.2</v>
      </c>
    </row>
    <row r="398" s="76" customFormat="1" ht="21" customHeight="1" spans="1:11">
      <c r="A398" s="53" t="s">
        <v>132</v>
      </c>
      <c r="B398" s="54" t="s">
        <v>142</v>
      </c>
      <c r="C398" s="55" t="s">
        <v>178</v>
      </c>
      <c r="D398" s="55" t="s">
        <v>144</v>
      </c>
      <c r="E398" s="104" t="s">
        <v>173</v>
      </c>
      <c r="F398" s="55" t="s">
        <v>179</v>
      </c>
      <c r="G398" s="105">
        <v>9</v>
      </c>
      <c r="H398" s="106">
        <v>22</v>
      </c>
      <c r="I398" s="106">
        <v>92</v>
      </c>
      <c r="J398" s="106">
        <f t="shared" si="30"/>
        <v>48.5</v>
      </c>
      <c r="K398" s="106">
        <f t="shared" si="31"/>
        <v>22.2</v>
      </c>
    </row>
    <row r="399" s="76" customFormat="1" ht="21" customHeight="1" spans="1:11">
      <c r="A399" s="53" t="s">
        <v>132</v>
      </c>
      <c r="B399" s="54" t="s">
        <v>142</v>
      </c>
      <c r="C399" s="55" t="s">
        <v>178</v>
      </c>
      <c r="D399" s="55" t="s">
        <v>144</v>
      </c>
      <c r="E399" s="104" t="s">
        <v>173</v>
      </c>
      <c r="F399" s="55" t="s">
        <v>179</v>
      </c>
      <c r="G399" s="105">
        <v>10</v>
      </c>
      <c r="H399" s="106">
        <v>22</v>
      </c>
      <c r="I399" s="106">
        <v>92</v>
      </c>
      <c r="J399" s="106">
        <f t="shared" si="30"/>
        <v>48.5</v>
      </c>
      <c r="K399" s="106">
        <f t="shared" si="31"/>
        <v>22.2</v>
      </c>
    </row>
    <row r="400" s="76" customFormat="1" ht="21" customHeight="1" spans="1:11">
      <c r="A400" s="53" t="s">
        <v>132</v>
      </c>
      <c r="B400" s="54" t="s">
        <v>142</v>
      </c>
      <c r="C400" s="55" t="s">
        <v>178</v>
      </c>
      <c r="D400" s="55" t="s">
        <v>144</v>
      </c>
      <c r="E400" s="104" t="s">
        <v>173</v>
      </c>
      <c r="F400" s="55" t="s">
        <v>179</v>
      </c>
      <c r="G400" s="105">
        <v>11</v>
      </c>
      <c r="H400" s="106">
        <v>21.9</v>
      </c>
      <c r="I400" s="106">
        <v>91.6</v>
      </c>
      <c r="J400" s="106">
        <f t="shared" si="30"/>
        <v>48.28</v>
      </c>
      <c r="K400" s="106">
        <f t="shared" si="31"/>
        <v>22.1</v>
      </c>
    </row>
    <row r="401" s="76" customFormat="1" ht="21" customHeight="1" spans="1:11">
      <c r="A401" s="53" t="s">
        <v>132</v>
      </c>
      <c r="B401" s="54" t="s">
        <v>142</v>
      </c>
      <c r="C401" s="55" t="s">
        <v>178</v>
      </c>
      <c r="D401" s="55" t="s">
        <v>144</v>
      </c>
      <c r="E401" s="104" t="s">
        <v>173</v>
      </c>
      <c r="F401" s="55" t="s">
        <v>179</v>
      </c>
      <c r="G401" s="105">
        <v>12</v>
      </c>
      <c r="H401" s="106">
        <v>21.7</v>
      </c>
      <c r="I401" s="106">
        <v>90.8</v>
      </c>
      <c r="J401" s="106">
        <f t="shared" si="30"/>
        <v>47.84</v>
      </c>
      <c r="K401" s="106">
        <f t="shared" si="31"/>
        <v>21.9</v>
      </c>
    </row>
    <row r="402" s="76" customFormat="1" ht="21" customHeight="1" spans="1:11">
      <c r="A402" s="53" t="s">
        <v>132</v>
      </c>
      <c r="B402" s="54" t="s">
        <v>142</v>
      </c>
      <c r="C402" s="55" t="s">
        <v>178</v>
      </c>
      <c r="D402" s="55" t="s">
        <v>144</v>
      </c>
      <c r="E402" s="104" t="s">
        <v>173</v>
      </c>
      <c r="F402" s="55" t="s">
        <v>179</v>
      </c>
      <c r="G402" s="105">
        <v>13</v>
      </c>
      <c r="H402" s="106">
        <v>22</v>
      </c>
      <c r="I402" s="106">
        <v>92</v>
      </c>
      <c r="J402" s="106">
        <f t="shared" si="30"/>
        <v>48.5</v>
      </c>
      <c r="K402" s="106">
        <f t="shared" si="31"/>
        <v>22.2</v>
      </c>
    </row>
    <row r="403" s="76" customFormat="1" ht="21" customHeight="1" spans="1:11">
      <c r="A403" s="53" t="s">
        <v>132</v>
      </c>
      <c r="B403" s="54" t="s">
        <v>142</v>
      </c>
      <c r="C403" s="55" t="s">
        <v>178</v>
      </c>
      <c r="D403" s="55" t="s">
        <v>144</v>
      </c>
      <c r="E403" s="104" t="s">
        <v>173</v>
      </c>
      <c r="F403" s="55" t="s">
        <v>179</v>
      </c>
      <c r="G403" s="105">
        <v>14</v>
      </c>
      <c r="H403" s="106">
        <v>22</v>
      </c>
      <c r="I403" s="106">
        <v>92</v>
      </c>
      <c r="J403" s="106">
        <f t="shared" si="30"/>
        <v>48.5</v>
      </c>
      <c r="K403" s="106">
        <f t="shared" si="31"/>
        <v>22.2</v>
      </c>
    </row>
    <row r="404" s="76" customFormat="1" ht="21" customHeight="1" spans="1:11">
      <c r="A404" s="53" t="s">
        <v>132</v>
      </c>
      <c r="B404" s="54" t="s">
        <v>142</v>
      </c>
      <c r="C404" s="55" t="s">
        <v>178</v>
      </c>
      <c r="D404" s="55" t="s">
        <v>144</v>
      </c>
      <c r="E404" s="104" t="s">
        <v>173</v>
      </c>
      <c r="F404" s="55" t="s">
        <v>179</v>
      </c>
      <c r="G404" s="105">
        <v>15</v>
      </c>
      <c r="H404" s="106">
        <v>23.3</v>
      </c>
      <c r="I404" s="106">
        <v>97.4</v>
      </c>
      <c r="J404" s="106">
        <f t="shared" si="30"/>
        <v>51.37</v>
      </c>
      <c r="K404" s="106">
        <f t="shared" si="31"/>
        <v>23.5</v>
      </c>
    </row>
    <row r="405" s="76" customFormat="1" ht="21" customHeight="1" spans="1:11">
      <c r="A405" s="53" t="s">
        <v>132</v>
      </c>
      <c r="B405" s="54" t="s">
        <v>142</v>
      </c>
      <c r="C405" s="55" t="s">
        <v>178</v>
      </c>
      <c r="D405" s="55" t="s">
        <v>144</v>
      </c>
      <c r="E405" s="104" t="s">
        <v>173</v>
      </c>
      <c r="F405" s="55" t="s">
        <v>179</v>
      </c>
      <c r="G405" s="105">
        <v>16</v>
      </c>
      <c r="H405" s="106">
        <v>24.4</v>
      </c>
      <c r="I405" s="106">
        <v>102</v>
      </c>
      <c r="J405" s="106">
        <f t="shared" si="30"/>
        <v>53.79</v>
      </c>
      <c r="K405" s="106">
        <f t="shared" si="31"/>
        <v>24.6</v>
      </c>
    </row>
    <row r="406" s="76" customFormat="1" ht="21" customHeight="1" spans="1:11">
      <c r="A406" s="53" t="s">
        <v>132</v>
      </c>
      <c r="B406" s="54" t="s">
        <v>142</v>
      </c>
      <c r="C406" s="55" t="s">
        <v>178</v>
      </c>
      <c r="D406" s="55" t="s">
        <v>144</v>
      </c>
      <c r="E406" s="104" t="s">
        <v>173</v>
      </c>
      <c r="F406" s="55" t="s">
        <v>179</v>
      </c>
      <c r="G406" s="105">
        <v>17</v>
      </c>
      <c r="H406" s="106">
        <v>24.4</v>
      </c>
      <c r="I406" s="106">
        <v>102</v>
      </c>
      <c r="J406" s="106">
        <f t="shared" si="30"/>
        <v>53.79</v>
      </c>
      <c r="K406" s="106">
        <f t="shared" si="31"/>
        <v>24.6</v>
      </c>
    </row>
    <row r="407" s="76" customFormat="1" ht="21" customHeight="1" spans="1:11">
      <c r="A407" s="53" t="s">
        <v>132</v>
      </c>
      <c r="B407" s="54" t="s">
        <v>142</v>
      </c>
      <c r="C407" s="55" t="s">
        <v>178</v>
      </c>
      <c r="D407" s="55" t="s">
        <v>144</v>
      </c>
      <c r="E407" s="104" t="s">
        <v>173</v>
      </c>
      <c r="F407" s="55" t="s">
        <v>179</v>
      </c>
      <c r="G407" s="105">
        <v>18</v>
      </c>
      <c r="H407" s="106">
        <v>21.8</v>
      </c>
      <c r="I407" s="106">
        <v>91.2</v>
      </c>
      <c r="J407" s="106">
        <f t="shared" si="30"/>
        <v>48.06</v>
      </c>
      <c r="K407" s="106">
        <f t="shared" si="31"/>
        <v>22</v>
      </c>
    </row>
    <row r="408" s="76" customFormat="1" ht="21" customHeight="1" spans="1:11">
      <c r="A408" s="53" t="s">
        <v>132</v>
      </c>
      <c r="B408" s="54" t="s">
        <v>142</v>
      </c>
      <c r="C408" s="55" t="s">
        <v>178</v>
      </c>
      <c r="D408" s="55" t="s">
        <v>144</v>
      </c>
      <c r="E408" s="104" t="s">
        <v>173</v>
      </c>
      <c r="F408" s="55" t="s">
        <v>179</v>
      </c>
      <c r="G408" s="105">
        <v>19</v>
      </c>
      <c r="H408" s="106">
        <v>24.8</v>
      </c>
      <c r="I408" s="106">
        <v>103.7</v>
      </c>
      <c r="J408" s="106">
        <f t="shared" si="30"/>
        <v>54.67</v>
      </c>
      <c r="K408" s="106">
        <f t="shared" si="31"/>
        <v>25</v>
      </c>
    </row>
    <row r="409" s="76" customFormat="1" ht="21" customHeight="1" spans="1:11">
      <c r="A409" s="53" t="s">
        <v>132</v>
      </c>
      <c r="B409" s="54" t="s">
        <v>142</v>
      </c>
      <c r="C409" s="55" t="s">
        <v>178</v>
      </c>
      <c r="D409" s="55" t="s">
        <v>144</v>
      </c>
      <c r="E409" s="104" t="s">
        <v>173</v>
      </c>
      <c r="F409" s="55" t="s">
        <v>179</v>
      </c>
      <c r="G409" s="105">
        <v>20</v>
      </c>
      <c r="H409" s="106">
        <v>21.9</v>
      </c>
      <c r="I409" s="106">
        <v>91.6</v>
      </c>
      <c r="J409" s="106">
        <f t="shared" si="30"/>
        <v>48.28</v>
      </c>
      <c r="K409" s="106">
        <f t="shared" si="31"/>
        <v>22.1</v>
      </c>
    </row>
    <row r="410" s="76" customFormat="1" ht="21" customHeight="1" spans="1:11">
      <c r="A410" s="53" t="s">
        <v>132</v>
      </c>
      <c r="B410" s="54" t="s">
        <v>142</v>
      </c>
      <c r="C410" s="55" t="s">
        <v>178</v>
      </c>
      <c r="D410" s="55" t="s">
        <v>144</v>
      </c>
      <c r="E410" s="104" t="s">
        <v>173</v>
      </c>
      <c r="F410" s="55" t="s">
        <v>179</v>
      </c>
      <c r="G410" s="105">
        <v>21</v>
      </c>
      <c r="H410" s="106">
        <v>22.1</v>
      </c>
      <c r="I410" s="106">
        <v>92.4</v>
      </c>
      <c r="J410" s="106">
        <f t="shared" si="30"/>
        <v>48.72</v>
      </c>
      <c r="K410" s="106">
        <f t="shared" si="31"/>
        <v>22.3</v>
      </c>
    </row>
    <row r="411" s="76" customFormat="1" ht="21" customHeight="1" spans="1:11">
      <c r="A411" s="53" t="s">
        <v>132</v>
      </c>
      <c r="B411" s="54" t="s">
        <v>142</v>
      </c>
      <c r="C411" s="55" t="s">
        <v>178</v>
      </c>
      <c r="D411" s="55" t="s">
        <v>144</v>
      </c>
      <c r="E411" s="104" t="s">
        <v>173</v>
      </c>
      <c r="F411" s="55" t="s">
        <v>179</v>
      </c>
      <c r="G411" s="105">
        <v>22</v>
      </c>
      <c r="H411" s="106">
        <v>21.6</v>
      </c>
      <c r="I411" s="106">
        <v>90.3</v>
      </c>
      <c r="J411" s="106">
        <f t="shared" si="30"/>
        <v>47.62</v>
      </c>
      <c r="K411" s="106">
        <f t="shared" si="31"/>
        <v>21.8</v>
      </c>
    </row>
    <row r="412" s="76" customFormat="1" ht="21" customHeight="1" spans="1:11">
      <c r="A412" s="53" t="s">
        <v>132</v>
      </c>
      <c r="B412" s="54" t="s">
        <v>142</v>
      </c>
      <c r="C412" s="55" t="s">
        <v>178</v>
      </c>
      <c r="D412" s="55" t="s">
        <v>144</v>
      </c>
      <c r="E412" s="104" t="s">
        <v>173</v>
      </c>
      <c r="F412" s="55" t="s">
        <v>179</v>
      </c>
      <c r="G412" s="105">
        <v>23</v>
      </c>
      <c r="H412" s="106">
        <v>19.7</v>
      </c>
      <c r="I412" s="106">
        <v>82.4</v>
      </c>
      <c r="J412" s="106">
        <f t="shared" si="30"/>
        <v>43.43</v>
      </c>
      <c r="K412" s="106">
        <f t="shared" si="31"/>
        <v>19.9</v>
      </c>
    </row>
    <row r="413" s="76" customFormat="1" ht="21" customHeight="1" spans="1:11">
      <c r="A413" s="53" t="s">
        <v>132</v>
      </c>
      <c r="B413" s="54" t="s">
        <v>142</v>
      </c>
      <c r="C413" s="55" t="s">
        <v>178</v>
      </c>
      <c r="D413" s="55" t="s">
        <v>144</v>
      </c>
      <c r="E413" s="104" t="s">
        <v>173</v>
      </c>
      <c r="F413" s="55" t="s">
        <v>179</v>
      </c>
      <c r="G413" s="105">
        <v>24</v>
      </c>
      <c r="H413" s="106">
        <v>21.9</v>
      </c>
      <c r="I413" s="106">
        <v>91.6</v>
      </c>
      <c r="J413" s="106">
        <f t="shared" si="30"/>
        <v>48.28</v>
      </c>
      <c r="K413" s="106">
        <f t="shared" si="31"/>
        <v>22.1</v>
      </c>
    </row>
    <row r="414" s="76" customFormat="1" ht="21" customHeight="1" spans="1:11">
      <c r="A414" s="53" t="s">
        <v>132</v>
      </c>
      <c r="B414" s="54" t="s">
        <v>142</v>
      </c>
      <c r="C414" s="55" t="s">
        <v>178</v>
      </c>
      <c r="D414" s="55" t="s">
        <v>144</v>
      </c>
      <c r="E414" s="104" t="s">
        <v>173</v>
      </c>
      <c r="F414" s="55" t="s">
        <v>179</v>
      </c>
      <c r="G414" s="105">
        <v>25</v>
      </c>
      <c r="H414" s="106">
        <v>22</v>
      </c>
      <c r="I414" s="106">
        <v>92</v>
      </c>
      <c r="J414" s="106">
        <f t="shared" si="30"/>
        <v>48.5</v>
      </c>
      <c r="K414" s="106">
        <f t="shared" si="31"/>
        <v>22.2</v>
      </c>
    </row>
    <row r="415" s="76" customFormat="1" ht="21" customHeight="1" spans="1:11">
      <c r="A415" s="53" t="s">
        <v>132</v>
      </c>
      <c r="B415" s="54" t="s">
        <v>142</v>
      </c>
      <c r="C415" s="55" t="s">
        <v>178</v>
      </c>
      <c r="D415" s="55" t="s">
        <v>144</v>
      </c>
      <c r="E415" s="104" t="s">
        <v>173</v>
      </c>
      <c r="F415" s="55" t="s">
        <v>179</v>
      </c>
      <c r="G415" s="105">
        <v>26</v>
      </c>
      <c r="H415" s="106">
        <v>20.8</v>
      </c>
      <c r="I415" s="106">
        <v>87</v>
      </c>
      <c r="J415" s="106">
        <f t="shared" si="30"/>
        <v>45.86</v>
      </c>
      <c r="K415" s="106">
        <f t="shared" si="31"/>
        <v>21</v>
      </c>
    </row>
    <row r="416" s="76" customFormat="1" ht="21" customHeight="1" spans="1:11">
      <c r="A416" s="53" t="s">
        <v>132</v>
      </c>
      <c r="B416" s="54" t="s">
        <v>142</v>
      </c>
      <c r="C416" s="55" t="s">
        <v>178</v>
      </c>
      <c r="D416" s="55" t="s">
        <v>144</v>
      </c>
      <c r="E416" s="104" t="s">
        <v>173</v>
      </c>
      <c r="F416" s="55" t="s">
        <v>179</v>
      </c>
      <c r="G416" s="105">
        <v>27</v>
      </c>
      <c r="H416" s="106">
        <v>23.3</v>
      </c>
      <c r="I416" s="106">
        <v>97.4</v>
      </c>
      <c r="J416" s="106">
        <f t="shared" si="30"/>
        <v>51.37</v>
      </c>
      <c r="K416" s="106">
        <f t="shared" si="31"/>
        <v>23.5</v>
      </c>
    </row>
    <row r="417" s="76" customFormat="1" ht="21" customHeight="1" spans="1:11">
      <c r="A417" s="53" t="s">
        <v>132</v>
      </c>
      <c r="B417" s="54" t="s">
        <v>142</v>
      </c>
      <c r="C417" s="55" t="s">
        <v>178</v>
      </c>
      <c r="D417" s="55" t="s">
        <v>144</v>
      </c>
      <c r="E417" s="104" t="s">
        <v>173</v>
      </c>
      <c r="F417" s="55" t="s">
        <v>179</v>
      </c>
      <c r="G417" s="105">
        <v>28</v>
      </c>
      <c r="H417" s="106">
        <v>21.7</v>
      </c>
      <c r="I417" s="106">
        <v>90.8</v>
      </c>
      <c r="J417" s="106">
        <f t="shared" si="30"/>
        <v>47.84</v>
      </c>
      <c r="K417" s="106">
        <f t="shared" si="31"/>
        <v>21.9</v>
      </c>
    </row>
    <row r="418" s="76" customFormat="1" ht="21" customHeight="1" spans="1:11">
      <c r="A418" s="53" t="s">
        <v>132</v>
      </c>
      <c r="B418" s="54" t="s">
        <v>142</v>
      </c>
      <c r="C418" s="55" t="s">
        <v>178</v>
      </c>
      <c r="D418" s="55" t="s">
        <v>144</v>
      </c>
      <c r="E418" s="104" t="s">
        <v>173</v>
      </c>
      <c r="F418" s="55" t="s">
        <v>179</v>
      </c>
      <c r="G418" s="105">
        <v>29</v>
      </c>
      <c r="H418" s="106">
        <v>22</v>
      </c>
      <c r="I418" s="106">
        <v>92</v>
      </c>
      <c r="J418" s="106">
        <f t="shared" si="30"/>
        <v>48.5</v>
      </c>
      <c r="K418" s="106">
        <f t="shared" si="31"/>
        <v>22.2</v>
      </c>
    </row>
    <row r="419" s="76" customFormat="1" ht="21" customHeight="1" spans="1:11">
      <c r="A419" s="53" t="s">
        <v>132</v>
      </c>
      <c r="B419" s="54" t="s">
        <v>142</v>
      </c>
      <c r="C419" s="55" t="s">
        <v>178</v>
      </c>
      <c r="D419" s="55" t="s">
        <v>144</v>
      </c>
      <c r="E419" s="104" t="s">
        <v>173</v>
      </c>
      <c r="F419" s="55" t="s">
        <v>179</v>
      </c>
      <c r="G419" s="105">
        <v>30</v>
      </c>
      <c r="H419" s="106">
        <v>22</v>
      </c>
      <c r="I419" s="106">
        <v>92</v>
      </c>
      <c r="J419" s="106">
        <f t="shared" si="30"/>
        <v>48.5</v>
      </c>
      <c r="K419" s="106">
        <f t="shared" si="31"/>
        <v>22.2</v>
      </c>
    </row>
    <row r="420" s="76" customFormat="1" ht="21" customHeight="1" spans="1:11">
      <c r="A420" s="53" t="s">
        <v>132</v>
      </c>
      <c r="B420" s="54" t="s">
        <v>142</v>
      </c>
      <c r="C420" s="55" t="s">
        <v>178</v>
      </c>
      <c r="D420" s="55" t="s">
        <v>144</v>
      </c>
      <c r="E420" s="104" t="s">
        <v>173</v>
      </c>
      <c r="F420" s="55" t="s">
        <v>179</v>
      </c>
      <c r="G420" s="105">
        <v>31</v>
      </c>
      <c r="H420" s="106">
        <v>21.6</v>
      </c>
      <c r="I420" s="106">
        <v>90.3</v>
      </c>
      <c r="J420" s="106">
        <f t="shared" si="30"/>
        <v>47.62</v>
      </c>
      <c r="K420" s="106">
        <f t="shared" si="31"/>
        <v>21.8</v>
      </c>
    </row>
    <row r="421" s="76" customFormat="1" ht="21" customHeight="1" spans="1:11">
      <c r="A421" s="53" t="s">
        <v>132</v>
      </c>
      <c r="B421" s="54" t="s">
        <v>142</v>
      </c>
      <c r="C421" s="55" t="s">
        <v>178</v>
      </c>
      <c r="D421" s="55" t="s">
        <v>144</v>
      </c>
      <c r="E421" s="104" t="s">
        <v>173</v>
      </c>
      <c r="F421" s="55" t="s">
        <v>179</v>
      </c>
      <c r="G421" s="105">
        <v>32</v>
      </c>
      <c r="H421" s="106">
        <v>21.7</v>
      </c>
      <c r="I421" s="106">
        <v>90.8</v>
      </c>
      <c r="J421" s="106">
        <f t="shared" si="30"/>
        <v>47.84</v>
      </c>
      <c r="K421" s="106">
        <f t="shared" si="31"/>
        <v>21.9</v>
      </c>
    </row>
    <row r="422" s="76" customFormat="1" ht="21" customHeight="1" spans="1:11">
      <c r="A422" s="53" t="s">
        <v>132</v>
      </c>
      <c r="B422" s="54" t="s">
        <v>142</v>
      </c>
      <c r="C422" s="55" t="s">
        <v>178</v>
      </c>
      <c r="D422" s="55" t="s">
        <v>144</v>
      </c>
      <c r="E422" s="104" t="s">
        <v>173</v>
      </c>
      <c r="F422" s="55" t="s">
        <v>179</v>
      </c>
      <c r="G422" s="105">
        <v>33</v>
      </c>
      <c r="H422" s="106">
        <v>22.5</v>
      </c>
      <c r="I422" s="106">
        <v>94.1</v>
      </c>
      <c r="J422" s="106">
        <f t="shared" si="30"/>
        <v>49.6</v>
      </c>
      <c r="K422" s="106">
        <f t="shared" si="31"/>
        <v>22.7</v>
      </c>
    </row>
    <row r="423" s="76" customFormat="1" ht="21" customHeight="1" spans="1:11">
      <c r="A423" s="53" t="s">
        <v>132</v>
      </c>
      <c r="B423" s="54" t="s">
        <v>142</v>
      </c>
      <c r="C423" s="55" t="s">
        <v>178</v>
      </c>
      <c r="D423" s="55" t="s">
        <v>144</v>
      </c>
      <c r="E423" s="104" t="s">
        <v>173</v>
      </c>
      <c r="F423" s="55" t="s">
        <v>179</v>
      </c>
      <c r="G423" s="105">
        <v>34</v>
      </c>
      <c r="H423" s="106">
        <v>20.5</v>
      </c>
      <c r="I423" s="106">
        <v>85.7</v>
      </c>
      <c r="J423" s="106">
        <f t="shared" si="30"/>
        <v>45.19</v>
      </c>
      <c r="K423" s="106">
        <f t="shared" si="31"/>
        <v>20.7</v>
      </c>
    </row>
    <row r="424" s="76" customFormat="1" ht="21" customHeight="1" spans="1:11">
      <c r="A424" s="53" t="s">
        <v>132</v>
      </c>
      <c r="B424" s="54" t="s">
        <v>142</v>
      </c>
      <c r="C424" s="55" t="s">
        <v>178</v>
      </c>
      <c r="D424" s="55" t="s">
        <v>144</v>
      </c>
      <c r="E424" s="104" t="s">
        <v>173</v>
      </c>
      <c r="F424" s="55" t="s">
        <v>179</v>
      </c>
      <c r="G424" s="105">
        <v>35</v>
      </c>
      <c r="H424" s="106">
        <v>22.1</v>
      </c>
      <c r="I424" s="106">
        <v>92.4</v>
      </c>
      <c r="J424" s="106">
        <f t="shared" si="30"/>
        <v>48.72</v>
      </c>
      <c r="K424" s="106">
        <f t="shared" si="31"/>
        <v>22.3</v>
      </c>
    </row>
    <row r="425" s="76" customFormat="1" ht="21" customHeight="1" spans="1:11">
      <c r="A425" s="53" t="s">
        <v>132</v>
      </c>
      <c r="B425" s="54" t="s">
        <v>142</v>
      </c>
      <c r="C425" s="55" t="s">
        <v>178</v>
      </c>
      <c r="D425" s="55" t="s">
        <v>144</v>
      </c>
      <c r="E425" s="104" t="s">
        <v>173</v>
      </c>
      <c r="F425" s="55" t="s">
        <v>179</v>
      </c>
      <c r="G425" s="105">
        <v>36</v>
      </c>
      <c r="H425" s="106">
        <v>21.7</v>
      </c>
      <c r="I425" s="106">
        <v>90.8</v>
      </c>
      <c r="J425" s="106">
        <f t="shared" si="30"/>
        <v>47.84</v>
      </c>
      <c r="K425" s="106">
        <f t="shared" si="31"/>
        <v>21.9</v>
      </c>
    </row>
    <row r="426" s="76" customFormat="1" ht="21" customHeight="1" spans="1:11">
      <c r="A426" s="53" t="s">
        <v>132</v>
      </c>
      <c r="B426" s="54" t="s">
        <v>142</v>
      </c>
      <c r="C426" s="55" t="s">
        <v>178</v>
      </c>
      <c r="D426" s="55" t="s">
        <v>144</v>
      </c>
      <c r="E426" s="104" t="s">
        <v>173</v>
      </c>
      <c r="F426" s="55" t="s">
        <v>179</v>
      </c>
      <c r="G426" s="105">
        <v>37</v>
      </c>
      <c r="H426" s="106">
        <v>22.1</v>
      </c>
      <c r="I426" s="106">
        <v>92.4</v>
      </c>
      <c r="J426" s="106">
        <f t="shared" si="30"/>
        <v>48.72</v>
      </c>
      <c r="K426" s="106">
        <f t="shared" si="31"/>
        <v>22.3</v>
      </c>
    </row>
    <row r="427" s="76" customFormat="1" ht="21" customHeight="1" spans="1:11">
      <c r="A427" s="53" t="s">
        <v>132</v>
      </c>
      <c r="B427" s="54" t="s">
        <v>142</v>
      </c>
      <c r="C427" s="55" t="s">
        <v>178</v>
      </c>
      <c r="D427" s="55" t="s">
        <v>144</v>
      </c>
      <c r="E427" s="104" t="s">
        <v>173</v>
      </c>
      <c r="F427" s="55" t="s">
        <v>179</v>
      </c>
      <c r="G427" s="105">
        <v>38</v>
      </c>
      <c r="H427" s="106">
        <v>22</v>
      </c>
      <c r="I427" s="106">
        <v>92</v>
      </c>
      <c r="J427" s="106">
        <f t="shared" si="30"/>
        <v>48.5</v>
      </c>
      <c r="K427" s="106">
        <f t="shared" si="31"/>
        <v>22.2</v>
      </c>
    </row>
    <row r="428" s="76" customFormat="1" ht="21" customHeight="1" spans="1:11">
      <c r="A428" s="53" t="s">
        <v>132</v>
      </c>
      <c r="B428" s="54" t="s">
        <v>142</v>
      </c>
      <c r="C428" s="55" t="s">
        <v>178</v>
      </c>
      <c r="D428" s="55" t="s">
        <v>144</v>
      </c>
      <c r="E428" s="104" t="s">
        <v>173</v>
      </c>
      <c r="F428" s="55" t="s">
        <v>179</v>
      </c>
      <c r="G428" s="105">
        <v>39</v>
      </c>
      <c r="H428" s="106">
        <v>22</v>
      </c>
      <c r="I428" s="106">
        <v>92</v>
      </c>
      <c r="J428" s="106">
        <f t="shared" si="30"/>
        <v>48.5</v>
      </c>
      <c r="K428" s="106">
        <f t="shared" si="31"/>
        <v>22.2</v>
      </c>
    </row>
    <row r="429" s="77" customFormat="1" ht="21" customHeight="1" spans="1:11">
      <c r="A429" s="107"/>
      <c r="B429" s="108"/>
      <c r="C429" s="109" t="s">
        <v>138</v>
      </c>
      <c r="D429" s="109"/>
      <c r="E429" s="109"/>
      <c r="F429" s="110"/>
      <c r="G429" s="111">
        <f>COUNT(G390:G428)</f>
        <v>39</v>
      </c>
      <c r="H429" s="112">
        <f>SUM(H390:H428)</f>
        <v>860.3</v>
      </c>
      <c r="I429" s="112">
        <f>SUM(I390:I428)</f>
        <v>3597.8</v>
      </c>
      <c r="J429" s="112">
        <f>SUM(J390:J428)</f>
        <v>1896.59</v>
      </c>
      <c r="K429" s="112">
        <f>SUM(K390:K428)</f>
        <v>868.1</v>
      </c>
    </row>
    <row r="430" s="76" customFormat="1" ht="21" customHeight="1" spans="1:11">
      <c r="A430" s="53" t="s">
        <v>132</v>
      </c>
      <c r="B430" s="54" t="s">
        <v>142</v>
      </c>
      <c r="C430" s="55" t="s">
        <v>180</v>
      </c>
      <c r="D430" s="55" t="s">
        <v>144</v>
      </c>
      <c r="E430" s="104" t="s">
        <v>173</v>
      </c>
      <c r="F430" s="55" t="s">
        <v>181</v>
      </c>
      <c r="G430" s="105">
        <v>1</v>
      </c>
      <c r="H430" s="106">
        <v>25</v>
      </c>
      <c r="I430" s="106">
        <v>104.6</v>
      </c>
      <c r="J430" s="106">
        <f t="shared" ref="J430:J469" si="32">ROUND(H430*2.2046,2)</f>
        <v>55.12</v>
      </c>
      <c r="K430" s="106">
        <f t="shared" ref="K430:K469" si="33">H430+0.2</f>
        <v>25.2</v>
      </c>
    </row>
    <row r="431" s="76" customFormat="1" ht="21" customHeight="1" spans="1:11">
      <c r="A431" s="53" t="s">
        <v>132</v>
      </c>
      <c r="B431" s="54" t="s">
        <v>142</v>
      </c>
      <c r="C431" s="55" t="s">
        <v>180</v>
      </c>
      <c r="D431" s="55" t="s">
        <v>144</v>
      </c>
      <c r="E431" s="104" t="s">
        <v>173</v>
      </c>
      <c r="F431" s="55" t="s">
        <v>181</v>
      </c>
      <c r="G431" s="105">
        <v>2</v>
      </c>
      <c r="H431" s="106">
        <v>22.4</v>
      </c>
      <c r="I431" s="106">
        <v>93.7</v>
      </c>
      <c r="J431" s="106">
        <f t="shared" si="32"/>
        <v>49.38</v>
      </c>
      <c r="K431" s="106">
        <f t="shared" si="33"/>
        <v>22.6</v>
      </c>
    </row>
    <row r="432" s="76" customFormat="1" ht="21" customHeight="1" spans="1:11">
      <c r="A432" s="53" t="s">
        <v>132</v>
      </c>
      <c r="B432" s="54" t="s">
        <v>142</v>
      </c>
      <c r="C432" s="55" t="s">
        <v>180</v>
      </c>
      <c r="D432" s="55" t="s">
        <v>144</v>
      </c>
      <c r="E432" s="104" t="s">
        <v>173</v>
      </c>
      <c r="F432" s="55" t="s">
        <v>181</v>
      </c>
      <c r="G432" s="105">
        <v>3</v>
      </c>
      <c r="H432" s="106">
        <v>21.9</v>
      </c>
      <c r="I432" s="106">
        <v>91.6</v>
      </c>
      <c r="J432" s="106">
        <f t="shared" si="32"/>
        <v>48.28</v>
      </c>
      <c r="K432" s="106">
        <f t="shared" si="33"/>
        <v>22.1</v>
      </c>
    </row>
    <row r="433" s="76" customFormat="1" ht="21" customHeight="1" spans="1:11">
      <c r="A433" s="53" t="s">
        <v>132</v>
      </c>
      <c r="B433" s="54" t="s">
        <v>142</v>
      </c>
      <c r="C433" s="55" t="s">
        <v>180</v>
      </c>
      <c r="D433" s="55" t="s">
        <v>144</v>
      </c>
      <c r="E433" s="104" t="s">
        <v>173</v>
      </c>
      <c r="F433" s="55" t="s">
        <v>181</v>
      </c>
      <c r="G433" s="105">
        <v>4</v>
      </c>
      <c r="H433" s="106">
        <v>20.4</v>
      </c>
      <c r="I433" s="106">
        <v>85.3</v>
      </c>
      <c r="J433" s="106">
        <f t="shared" si="32"/>
        <v>44.97</v>
      </c>
      <c r="K433" s="106">
        <f t="shared" si="33"/>
        <v>20.6</v>
      </c>
    </row>
    <row r="434" s="76" customFormat="1" ht="21" customHeight="1" spans="1:11">
      <c r="A434" s="53" t="s">
        <v>132</v>
      </c>
      <c r="B434" s="54" t="s">
        <v>142</v>
      </c>
      <c r="C434" s="55" t="s">
        <v>180</v>
      </c>
      <c r="D434" s="55" t="s">
        <v>144</v>
      </c>
      <c r="E434" s="104" t="s">
        <v>173</v>
      </c>
      <c r="F434" s="55" t="s">
        <v>181</v>
      </c>
      <c r="G434" s="105">
        <v>5</v>
      </c>
      <c r="H434" s="106">
        <v>22</v>
      </c>
      <c r="I434" s="106">
        <v>92</v>
      </c>
      <c r="J434" s="106">
        <f t="shared" si="32"/>
        <v>48.5</v>
      </c>
      <c r="K434" s="106">
        <f t="shared" si="33"/>
        <v>22.2</v>
      </c>
    </row>
    <row r="435" s="76" customFormat="1" ht="21" customHeight="1" spans="1:11">
      <c r="A435" s="53" t="s">
        <v>132</v>
      </c>
      <c r="B435" s="54" t="s">
        <v>142</v>
      </c>
      <c r="C435" s="55" t="s">
        <v>180</v>
      </c>
      <c r="D435" s="55" t="s">
        <v>144</v>
      </c>
      <c r="E435" s="104" t="s">
        <v>173</v>
      </c>
      <c r="F435" s="55" t="s">
        <v>181</v>
      </c>
      <c r="G435" s="105">
        <v>6</v>
      </c>
      <c r="H435" s="106">
        <v>22</v>
      </c>
      <c r="I435" s="106">
        <v>92</v>
      </c>
      <c r="J435" s="106">
        <f t="shared" si="32"/>
        <v>48.5</v>
      </c>
      <c r="K435" s="106">
        <f t="shared" si="33"/>
        <v>22.2</v>
      </c>
    </row>
    <row r="436" s="76" customFormat="1" ht="21" customHeight="1" spans="1:11">
      <c r="A436" s="53" t="s">
        <v>132</v>
      </c>
      <c r="B436" s="54" t="s">
        <v>142</v>
      </c>
      <c r="C436" s="55" t="s">
        <v>180</v>
      </c>
      <c r="D436" s="55" t="s">
        <v>144</v>
      </c>
      <c r="E436" s="104" t="s">
        <v>173</v>
      </c>
      <c r="F436" s="55" t="s">
        <v>181</v>
      </c>
      <c r="G436" s="105">
        <v>7</v>
      </c>
      <c r="H436" s="106">
        <v>22.3</v>
      </c>
      <c r="I436" s="106">
        <v>93.3</v>
      </c>
      <c r="J436" s="106">
        <f t="shared" si="32"/>
        <v>49.16</v>
      </c>
      <c r="K436" s="106">
        <f t="shared" si="33"/>
        <v>22.5</v>
      </c>
    </row>
    <row r="437" s="76" customFormat="1" ht="21" customHeight="1" spans="1:11">
      <c r="A437" s="53" t="s">
        <v>132</v>
      </c>
      <c r="B437" s="54" t="s">
        <v>142</v>
      </c>
      <c r="C437" s="55" t="s">
        <v>180</v>
      </c>
      <c r="D437" s="55" t="s">
        <v>144</v>
      </c>
      <c r="E437" s="104" t="s">
        <v>173</v>
      </c>
      <c r="F437" s="55" t="s">
        <v>181</v>
      </c>
      <c r="G437" s="105">
        <v>8</v>
      </c>
      <c r="H437" s="106">
        <v>22.4</v>
      </c>
      <c r="I437" s="106">
        <v>93.7</v>
      </c>
      <c r="J437" s="106">
        <f t="shared" si="32"/>
        <v>49.38</v>
      </c>
      <c r="K437" s="106">
        <f t="shared" si="33"/>
        <v>22.6</v>
      </c>
    </row>
    <row r="438" s="76" customFormat="1" ht="21" customHeight="1" spans="1:11">
      <c r="A438" s="53" t="s">
        <v>132</v>
      </c>
      <c r="B438" s="54" t="s">
        <v>142</v>
      </c>
      <c r="C438" s="55" t="s">
        <v>180</v>
      </c>
      <c r="D438" s="55" t="s">
        <v>144</v>
      </c>
      <c r="E438" s="104" t="s">
        <v>173</v>
      </c>
      <c r="F438" s="55" t="s">
        <v>181</v>
      </c>
      <c r="G438" s="105">
        <v>9</v>
      </c>
      <c r="H438" s="106">
        <v>20.6</v>
      </c>
      <c r="I438" s="106">
        <v>86.2</v>
      </c>
      <c r="J438" s="106">
        <f t="shared" si="32"/>
        <v>45.41</v>
      </c>
      <c r="K438" s="106">
        <f t="shared" si="33"/>
        <v>20.8</v>
      </c>
    </row>
    <row r="439" s="76" customFormat="1" ht="21" customHeight="1" spans="1:11">
      <c r="A439" s="53" t="s">
        <v>132</v>
      </c>
      <c r="B439" s="54" t="s">
        <v>142</v>
      </c>
      <c r="C439" s="55" t="s">
        <v>180</v>
      </c>
      <c r="D439" s="55" t="s">
        <v>144</v>
      </c>
      <c r="E439" s="104" t="s">
        <v>173</v>
      </c>
      <c r="F439" s="55" t="s">
        <v>181</v>
      </c>
      <c r="G439" s="105">
        <v>10</v>
      </c>
      <c r="H439" s="106">
        <v>22.2</v>
      </c>
      <c r="I439" s="106">
        <v>92.8</v>
      </c>
      <c r="J439" s="106">
        <f t="shared" si="32"/>
        <v>48.94</v>
      </c>
      <c r="K439" s="106">
        <f t="shared" si="33"/>
        <v>22.4</v>
      </c>
    </row>
    <row r="440" s="76" customFormat="1" ht="21" customHeight="1" spans="1:11">
      <c r="A440" s="53" t="s">
        <v>132</v>
      </c>
      <c r="B440" s="54" t="s">
        <v>142</v>
      </c>
      <c r="C440" s="55" t="s">
        <v>180</v>
      </c>
      <c r="D440" s="55" t="s">
        <v>144</v>
      </c>
      <c r="E440" s="104" t="s">
        <v>173</v>
      </c>
      <c r="F440" s="55" t="s">
        <v>181</v>
      </c>
      <c r="G440" s="105">
        <v>11</v>
      </c>
      <c r="H440" s="106">
        <v>22.4</v>
      </c>
      <c r="I440" s="106">
        <v>93.7</v>
      </c>
      <c r="J440" s="106">
        <f t="shared" si="32"/>
        <v>49.38</v>
      </c>
      <c r="K440" s="106">
        <f t="shared" si="33"/>
        <v>22.6</v>
      </c>
    </row>
    <row r="441" s="76" customFormat="1" ht="21" customHeight="1" spans="1:11">
      <c r="A441" s="53" t="s">
        <v>132</v>
      </c>
      <c r="B441" s="54" t="s">
        <v>142</v>
      </c>
      <c r="C441" s="55" t="s">
        <v>180</v>
      </c>
      <c r="D441" s="55" t="s">
        <v>144</v>
      </c>
      <c r="E441" s="104" t="s">
        <v>173</v>
      </c>
      <c r="F441" s="55" t="s">
        <v>181</v>
      </c>
      <c r="G441" s="105">
        <v>12</v>
      </c>
      <c r="H441" s="106">
        <v>22.3</v>
      </c>
      <c r="I441" s="106">
        <v>93.3</v>
      </c>
      <c r="J441" s="106">
        <f t="shared" si="32"/>
        <v>49.16</v>
      </c>
      <c r="K441" s="106">
        <f t="shared" si="33"/>
        <v>22.5</v>
      </c>
    </row>
    <row r="442" s="76" customFormat="1" ht="21" customHeight="1" spans="1:11">
      <c r="A442" s="53" t="s">
        <v>132</v>
      </c>
      <c r="B442" s="54" t="s">
        <v>142</v>
      </c>
      <c r="C442" s="55" t="s">
        <v>180</v>
      </c>
      <c r="D442" s="55" t="s">
        <v>144</v>
      </c>
      <c r="E442" s="104" t="s">
        <v>173</v>
      </c>
      <c r="F442" s="55" t="s">
        <v>181</v>
      </c>
      <c r="G442" s="105">
        <v>13</v>
      </c>
      <c r="H442" s="106">
        <v>20.3</v>
      </c>
      <c r="I442" s="106">
        <v>84.9</v>
      </c>
      <c r="J442" s="106">
        <f t="shared" si="32"/>
        <v>44.75</v>
      </c>
      <c r="K442" s="106">
        <f t="shared" si="33"/>
        <v>20.5</v>
      </c>
    </row>
    <row r="443" s="76" customFormat="1" ht="21" customHeight="1" spans="1:11">
      <c r="A443" s="53" t="s">
        <v>132</v>
      </c>
      <c r="B443" s="54" t="s">
        <v>142</v>
      </c>
      <c r="C443" s="55" t="s">
        <v>180</v>
      </c>
      <c r="D443" s="55" t="s">
        <v>144</v>
      </c>
      <c r="E443" s="104" t="s">
        <v>173</v>
      </c>
      <c r="F443" s="55" t="s">
        <v>181</v>
      </c>
      <c r="G443" s="105">
        <v>14</v>
      </c>
      <c r="H443" s="106">
        <v>24.5</v>
      </c>
      <c r="I443" s="106">
        <v>102.5</v>
      </c>
      <c r="J443" s="106">
        <f t="shared" si="32"/>
        <v>54.01</v>
      </c>
      <c r="K443" s="106">
        <f t="shared" si="33"/>
        <v>24.7</v>
      </c>
    </row>
    <row r="444" s="76" customFormat="1" ht="21" customHeight="1" spans="1:11">
      <c r="A444" s="53" t="s">
        <v>132</v>
      </c>
      <c r="B444" s="54" t="s">
        <v>142</v>
      </c>
      <c r="C444" s="55" t="s">
        <v>180</v>
      </c>
      <c r="D444" s="55" t="s">
        <v>144</v>
      </c>
      <c r="E444" s="104" t="s">
        <v>173</v>
      </c>
      <c r="F444" s="55" t="s">
        <v>181</v>
      </c>
      <c r="G444" s="105">
        <v>15</v>
      </c>
      <c r="H444" s="106">
        <v>22.1</v>
      </c>
      <c r="I444" s="106">
        <v>92.4</v>
      </c>
      <c r="J444" s="106">
        <f t="shared" si="32"/>
        <v>48.72</v>
      </c>
      <c r="K444" s="106">
        <f t="shared" si="33"/>
        <v>22.3</v>
      </c>
    </row>
    <row r="445" s="76" customFormat="1" ht="21" customHeight="1" spans="1:11">
      <c r="A445" s="53" t="s">
        <v>132</v>
      </c>
      <c r="B445" s="54" t="s">
        <v>142</v>
      </c>
      <c r="C445" s="55" t="s">
        <v>180</v>
      </c>
      <c r="D445" s="55" t="s">
        <v>144</v>
      </c>
      <c r="E445" s="104" t="s">
        <v>173</v>
      </c>
      <c r="F445" s="55" t="s">
        <v>181</v>
      </c>
      <c r="G445" s="105">
        <v>16</v>
      </c>
      <c r="H445" s="106">
        <v>21.4</v>
      </c>
      <c r="I445" s="106">
        <v>89.5</v>
      </c>
      <c r="J445" s="106">
        <f t="shared" si="32"/>
        <v>47.18</v>
      </c>
      <c r="K445" s="106">
        <f t="shared" si="33"/>
        <v>21.6</v>
      </c>
    </row>
    <row r="446" s="76" customFormat="1" ht="21" customHeight="1" spans="1:11">
      <c r="A446" s="53" t="s">
        <v>132</v>
      </c>
      <c r="B446" s="54" t="s">
        <v>142</v>
      </c>
      <c r="C446" s="55" t="s">
        <v>180</v>
      </c>
      <c r="D446" s="55" t="s">
        <v>144</v>
      </c>
      <c r="E446" s="104" t="s">
        <v>173</v>
      </c>
      <c r="F446" s="55" t="s">
        <v>181</v>
      </c>
      <c r="G446" s="105">
        <v>17</v>
      </c>
      <c r="H446" s="106">
        <v>21.2</v>
      </c>
      <c r="I446" s="106">
        <v>88.7</v>
      </c>
      <c r="J446" s="106">
        <f t="shared" si="32"/>
        <v>46.74</v>
      </c>
      <c r="K446" s="106">
        <f t="shared" si="33"/>
        <v>21.4</v>
      </c>
    </row>
    <row r="447" s="76" customFormat="1" ht="21" customHeight="1" spans="1:11">
      <c r="A447" s="53" t="s">
        <v>132</v>
      </c>
      <c r="B447" s="54" t="s">
        <v>142</v>
      </c>
      <c r="C447" s="55" t="s">
        <v>180</v>
      </c>
      <c r="D447" s="55" t="s">
        <v>144</v>
      </c>
      <c r="E447" s="104" t="s">
        <v>173</v>
      </c>
      <c r="F447" s="55" t="s">
        <v>181</v>
      </c>
      <c r="G447" s="105">
        <v>18</v>
      </c>
      <c r="H447" s="106">
        <v>22.1</v>
      </c>
      <c r="I447" s="106">
        <v>92.4</v>
      </c>
      <c r="J447" s="106">
        <f t="shared" si="32"/>
        <v>48.72</v>
      </c>
      <c r="K447" s="106">
        <f t="shared" si="33"/>
        <v>22.3</v>
      </c>
    </row>
    <row r="448" s="76" customFormat="1" ht="21" customHeight="1" spans="1:11">
      <c r="A448" s="53" t="s">
        <v>132</v>
      </c>
      <c r="B448" s="54" t="s">
        <v>142</v>
      </c>
      <c r="C448" s="55" t="s">
        <v>180</v>
      </c>
      <c r="D448" s="55" t="s">
        <v>144</v>
      </c>
      <c r="E448" s="104" t="s">
        <v>173</v>
      </c>
      <c r="F448" s="55" t="s">
        <v>181</v>
      </c>
      <c r="G448" s="105">
        <v>19</v>
      </c>
      <c r="H448" s="106">
        <v>22.4</v>
      </c>
      <c r="I448" s="106">
        <v>93.7</v>
      </c>
      <c r="J448" s="106">
        <f t="shared" si="32"/>
        <v>49.38</v>
      </c>
      <c r="K448" s="106">
        <f t="shared" si="33"/>
        <v>22.6</v>
      </c>
    </row>
    <row r="449" s="76" customFormat="1" ht="21" customHeight="1" spans="1:11">
      <c r="A449" s="53" t="s">
        <v>132</v>
      </c>
      <c r="B449" s="54" t="s">
        <v>142</v>
      </c>
      <c r="C449" s="55" t="s">
        <v>180</v>
      </c>
      <c r="D449" s="55" t="s">
        <v>144</v>
      </c>
      <c r="E449" s="104" t="s">
        <v>173</v>
      </c>
      <c r="F449" s="55" t="s">
        <v>181</v>
      </c>
      <c r="G449" s="105">
        <v>20</v>
      </c>
      <c r="H449" s="106">
        <v>20.5</v>
      </c>
      <c r="I449" s="106">
        <v>85.7</v>
      </c>
      <c r="J449" s="106">
        <f t="shared" si="32"/>
        <v>45.19</v>
      </c>
      <c r="K449" s="106">
        <f t="shared" si="33"/>
        <v>20.7</v>
      </c>
    </row>
    <row r="450" s="76" customFormat="1" ht="21" customHeight="1" spans="1:11">
      <c r="A450" s="53" t="s">
        <v>132</v>
      </c>
      <c r="B450" s="54" t="s">
        <v>142</v>
      </c>
      <c r="C450" s="55" t="s">
        <v>180</v>
      </c>
      <c r="D450" s="55" t="s">
        <v>144</v>
      </c>
      <c r="E450" s="104" t="s">
        <v>173</v>
      </c>
      <c r="F450" s="55" t="s">
        <v>181</v>
      </c>
      <c r="G450" s="105">
        <v>21</v>
      </c>
      <c r="H450" s="106">
        <v>22.5</v>
      </c>
      <c r="I450" s="106">
        <v>94.1</v>
      </c>
      <c r="J450" s="106">
        <f t="shared" si="32"/>
        <v>49.6</v>
      </c>
      <c r="K450" s="106">
        <f t="shared" si="33"/>
        <v>22.7</v>
      </c>
    </row>
    <row r="451" s="76" customFormat="1" ht="21" customHeight="1" spans="1:11">
      <c r="A451" s="53" t="s">
        <v>132</v>
      </c>
      <c r="B451" s="54" t="s">
        <v>142</v>
      </c>
      <c r="C451" s="55" t="s">
        <v>180</v>
      </c>
      <c r="D451" s="55" t="s">
        <v>144</v>
      </c>
      <c r="E451" s="104" t="s">
        <v>173</v>
      </c>
      <c r="F451" s="55" t="s">
        <v>181</v>
      </c>
      <c r="G451" s="105">
        <v>22</v>
      </c>
      <c r="H451" s="106">
        <v>22.5</v>
      </c>
      <c r="I451" s="106">
        <v>94.1</v>
      </c>
      <c r="J451" s="106">
        <f t="shared" si="32"/>
        <v>49.6</v>
      </c>
      <c r="K451" s="106">
        <f t="shared" si="33"/>
        <v>22.7</v>
      </c>
    </row>
    <row r="452" s="76" customFormat="1" ht="21" customHeight="1" spans="1:11">
      <c r="A452" s="53" t="s">
        <v>132</v>
      </c>
      <c r="B452" s="54" t="s">
        <v>142</v>
      </c>
      <c r="C452" s="55" t="s">
        <v>180</v>
      </c>
      <c r="D452" s="55" t="s">
        <v>144</v>
      </c>
      <c r="E452" s="104" t="s">
        <v>173</v>
      </c>
      <c r="F452" s="55" t="s">
        <v>181</v>
      </c>
      <c r="G452" s="105">
        <v>23</v>
      </c>
      <c r="H452" s="106">
        <v>22.5</v>
      </c>
      <c r="I452" s="106">
        <v>94.1</v>
      </c>
      <c r="J452" s="106">
        <f t="shared" si="32"/>
        <v>49.6</v>
      </c>
      <c r="K452" s="106">
        <f t="shared" si="33"/>
        <v>22.7</v>
      </c>
    </row>
    <row r="453" s="76" customFormat="1" ht="21" customHeight="1" spans="1:11">
      <c r="A453" s="53" t="s">
        <v>132</v>
      </c>
      <c r="B453" s="54" t="s">
        <v>142</v>
      </c>
      <c r="C453" s="55" t="s">
        <v>180</v>
      </c>
      <c r="D453" s="55" t="s">
        <v>144</v>
      </c>
      <c r="E453" s="104" t="s">
        <v>173</v>
      </c>
      <c r="F453" s="55" t="s">
        <v>181</v>
      </c>
      <c r="G453" s="105">
        <v>24</v>
      </c>
      <c r="H453" s="106">
        <v>22.4</v>
      </c>
      <c r="I453" s="106">
        <v>93.7</v>
      </c>
      <c r="J453" s="106">
        <f t="shared" si="32"/>
        <v>49.38</v>
      </c>
      <c r="K453" s="106">
        <f t="shared" si="33"/>
        <v>22.6</v>
      </c>
    </row>
    <row r="454" s="76" customFormat="1" ht="21" customHeight="1" spans="1:11">
      <c r="A454" s="53" t="s">
        <v>132</v>
      </c>
      <c r="B454" s="54" t="s">
        <v>142</v>
      </c>
      <c r="C454" s="55" t="s">
        <v>180</v>
      </c>
      <c r="D454" s="55" t="s">
        <v>144</v>
      </c>
      <c r="E454" s="104" t="s">
        <v>173</v>
      </c>
      <c r="F454" s="55" t="s">
        <v>181</v>
      </c>
      <c r="G454" s="105">
        <v>25</v>
      </c>
      <c r="H454" s="106">
        <v>22.5</v>
      </c>
      <c r="I454" s="106">
        <v>94.1</v>
      </c>
      <c r="J454" s="106">
        <f t="shared" si="32"/>
        <v>49.6</v>
      </c>
      <c r="K454" s="106">
        <f t="shared" si="33"/>
        <v>22.7</v>
      </c>
    </row>
    <row r="455" s="76" customFormat="1" ht="21" customHeight="1" spans="1:11">
      <c r="A455" s="53" t="s">
        <v>132</v>
      </c>
      <c r="B455" s="54" t="s">
        <v>142</v>
      </c>
      <c r="C455" s="55" t="s">
        <v>180</v>
      </c>
      <c r="D455" s="55" t="s">
        <v>144</v>
      </c>
      <c r="E455" s="104" t="s">
        <v>173</v>
      </c>
      <c r="F455" s="55" t="s">
        <v>181</v>
      </c>
      <c r="G455" s="105">
        <v>26</v>
      </c>
      <c r="H455" s="106">
        <v>22.2</v>
      </c>
      <c r="I455" s="106">
        <v>92.8</v>
      </c>
      <c r="J455" s="106">
        <f t="shared" si="32"/>
        <v>48.94</v>
      </c>
      <c r="K455" s="106">
        <f t="shared" si="33"/>
        <v>22.4</v>
      </c>
    </row>
    <row r="456" s="76" customFormat="1" ht="21" customHeight="1" spans="1:11">
      <c r="A456" s="53" t="s">
        <v>132</v>
      </c>
      <c r="B456" s="54" t="s">
        <v>142</v>
      </c>
      <c r="C456" s="55" t="s">
        <v>180</v>
      </c>
      <c r="D456" s="55" t="s">
        <v>144</v>
      </c>
      <c r="E456" s="104" t="s">
        <v>173</v>
      </c>
      <c r="F456" s="55" t="s">
        <v>181</v>
      </c>
      <c r="G456" s="105">
        <v>27</v>
      </c>
      <c r="H456" s="106">
        <v>21</v>
      </c>
      <c r="I456" s="106">
        <v>87.8</v>
      </c>
      <c r="J456" s="106">
        <f t="shared" si="32"/>
        <v>46.3</v>
      </c>
      <c r="K456" s="106">
        <f t="shared" si="33"/>
        <v>21.2</v>
      </c>
    </row>
    <row r="457" s="76" customFormat="1" ht="21" customHeight="1" spans="1:11">
      <c r="A457" s="53" t="s">
        <v>132</v>
      </c>
      <c r="B457" s="54" t="s">
        <v>142</v>
      </c>
      <c r="C457" s="55" t="s">
        <v>180</v>
      </c>
      <c r="D457" s="55" t="s">
        <v>144</v>
      </c>
      <c r="E457" s="104" t="s">
        <v>173</v>
      </c>
      <c r="F457" s="55" t="s">
        <v>181</v>
      </c>
      <c r="G457" s="105">
        <v>28</v>
      </c>
      <c r="H457" s="106">
        <v>22.4</v>
      </c>
      <c r="I457" s="106">
        <v>93.7</v>
      </c>
      <c r="J457" s="106">
        <f t="shared" si="32"/>
        <v>49.38</v>
      </c>
      <c r="K457" s="106">
        <f t="shared" si="33"/>
        <v>22.6</v>
      </c>
    </row>
    <row r="458" s="76" customFormat="1" ht="21" customHeight="1" spans="1:11">
      <c r="A458" s="53" t="s">
        <v>132</v>
      </c>
      <c r="B458" s="54" t="s">
        <v>142</v>
      </c>
      <c r="C458" s="55" t="s">
        <v>180</v>
      </c>
      <c r="D458" s="55" t="s">
        <v>144</v>
      </c>
      <c r="E458" s="104" t="s">
        <v>173</v>
      </c>
      <c r="F458" s="55" t="s">
        <v>181</v>
      </c>
      <c r="G458" s="105">
        <v>29</v>
      </c>
      <c r="H458" s="106">
        <v>21.5</v>
      </c>
      <c r="I458" s="106">
        <v>89.9</v>
      </c>
      <c r="J458" s="106">
        <f t="shared" si="32"/>
        <v>47.4</v>
      </c>
      <c r="K458" s="106">
        <f t="shared" si="33"/>
        <v>21.7</v>
      </c>
    </row>
    <row r="459" s="76" customFormat="1" ht="21" customHeight="1" spans="1:11">
      <c r="A459" s="53" t="s">
        <v>132</v>
      </c>
      <c r="B459" s="54" t="s">
        <v>142</v>
      </c>
      <c r="C459" s="55" t="s">
        <v>180</v>
      </c>
      <c r="D459" s="55" t="s">
        <v>144</v>
      </c>
      <c r="E459" s="104" t="s">
        <v>173</v>
      </c>
      <c r="F459" s="55" t="s">
        <v>181</v>
      </c>
      <c r="G459" s="105">
        <v>30</v>
      </c>
      <c r="H459" s="106">
        <v>22.2</v>
      </c>
      <c r="I459" s="106">
        <v>92.8</v>
      </c>
      <c r="J459" s="106">
        <f t="shared" si="32"/>
        <v>48.94</v>
      </c>
      <c r="K459" s="106">
        <f t="shared" si="33"/>
        <v>22.4</v>
      </c>
    </row>
    <row r="460" s="76" customFormat="1" ht="21" customHeight="1" spans="1:11">
      <c r="A460" s="53" t="s">
        <v>132</v>
      </c>
      <c r="B460" s="54" t="s">
        <v>142</v>
      </c>
      <c r="C460" s="55" t="s">
        <v>180</v>
      </c>
      <c r="D460" s="55" t="s">
        <v>144</v>
      </c>
      <c r="E460" s="104" t="s">
        <v>173</v>
      </c>
      <c r="F460" s="55" t="s">
        <v>181</v>
      </c>
      <c r="G460" s="105">
        <v>31</v>
      </c>
      <c r="H460" s="106">
        <v>20.1</v>
      </c>
      <c r="I460" s="106">
        <v>84.1</v>
      </c>
      <c r="J460" s="106">
        <f t="shared" si="32"/>
        <v>44.31</v>
      </c>
      <c r="K460" s="106">
        <f t="shared" si="33"/>
        <v>20.3</v>
      </c>
    </row>
    <row r="461" s="76" customFormat="1" ht="21" customHeight="1" spans="1:11">
      <c r="A461" s="53" t="s">
        <v>132</v>
      </c>
      <c r="B461" s="54" t="s">
        <v>142</v>
      </c>
      <c r="C461" s="55" t="s">
        <v>180</v>
      </c>
      <c r="D461" s="55" t="s">
        <v>144</v>
      </c>
      <c r="E461" s="104" t="s">
        <v>173</v>
      </c>
      <c r="F461" s="55" t="s">
        <v>181</v>
      </c>
      <c r="G461" s="105">
        <v>32</v>
      </c>
      <c r="H461" s="106">
        <v>21.7</v>
      </c>
      <c r="I461" s="106">
        <v>90.8</v>
      </c>
      <c r="J461" s="106">
        <f t="shared" si="32"/>
        <v>47.84</v>
      </c>
      <c r="K461" s="106">
        <f t="shared" si="33"/>
        <v>21.9</v>
      </c>
    </row>
    <row r="462" s="76" customFormat="1" ht="21" customHeight="1" spans="1:11">
      <c r="A462" s="53" t="s">
        <v>132</v>
      </c>
      <c r="B462" s="54" t="s">
        <v>142</v>
      </c>
      <c r="C462" s="55" t="s">
        <v>180</v>
      </c>
      <c r="D462" s="55" t="s">
        <v>144</v>
      </c>
      <c r="E462" s="104" t="s">
        <v>173</v>
      </c>
      <c r="F462" s="55" t="s">
        <v>181</v>
      </c>
      <c r="G462" s="105">
        <v>33</v>
      </c>
      <c r="H462" s="106">
        <v>22.4</v>
      </c>
      <c r="I462" s="106">
        <v>93.7</v>
      </c>
      <c r="J462" s="106">
        <f t="shared" si="32"/>
        <v>49.38</v>
      </c>
      <c r="K462" s="106">
        <f t="shared" si="33"/>
        <v>22.6</v>
      </c>
    </row>
    <row r="463" s="76" customFormat="1" ht="21" customHeight="1" spans="1:11">
      <c r="A463" s="53" t="s">
        <v>132</v>
      </c>
      <c r="B463" s="54" t="s">
        <v>142</v>
      </c>
      <c r="C463" s="55" t="s">
        <v>180</v>
      </c>
      <c r="D463" s="55" t="s">
        <v>144</v>
      </c>
      <c r="E463" s="104" t="s">
        <v>173</v>
      </c>
      <c r="F463" s="55" t="s">
        <v>181</v>
      </c>
      <c r="G463" s="105">
        <v>34</v>
      </c>
      <c r="H463" s="106">
        <v>22.1</v>
      </c>
      <c r="I463" s="106">
        <v>92.4</v>
      </c>
      <c r="J463" s="106">
        <f t="shared" si="32"/>
        <v>48.72</v>
      </c>
      <c r="K463" s="106">
        <f t="shared" si="33"/>
        <v>22.3</v>
      </c>
    </row>
    <row r="464" s="76" customFormat="1" ht="21" customHeight="1" spans="1:11">
      <c r="A464" s="53" t="s">
        <v>132</v>
      </c>
      <c r="B464" s="54" t="s">
        <v>142</v>
      </c>
      <c r="C464" s="55" t="s">
        <v>180</v>
      </c>
      <c r="D464" s="55" t="s">
        <v>144</v>
      </c>
      <c r="E464" s="104" t="s">
        <v>173</v>
      </c>
      <c r="F464" s="55" t="s">
        <v>181</v>
      </c>
      <c r="G464" s="105">
        <v>35</v>
      </c>
      <c r="H464" s="106">
        <v>22.1</v>
      </c>
      <c r="I464" s="106">
        <v>92.4</v>
      </c>
      <c r="J464" s="106">
        <f t="shared" si="32"/>
        <v>48.72</v>
      </c>
      <c r="K464" s="106">
        <f t="shared" si="33"/>
        <v>22.3</v>
      </c>
    </row>
    <row r="465" s="76" customFormat="1" ht="21" customHeight="1" spans="1:11">
      <c r="A465" s="53" t="s">
        <v>132</v>
      </c>
      <c r="B465" s="54" t="s">
        <v>142</v>
      </c>
      <c r="C465" s="55" t="s">
        <v>180</v>
      </c>
      <c r="D465" s="55" t="s">
        <v>144</v>
      </c>
      <c r="E465" s="104" t="s">
        <v>173</v>
      </c>
      <c r="F465" s="55" t="s">
        <v>181</v>
      </c>
      <c r="G465" s="105">
        <v>36</v>
      </c>
      <c r="H465" s="106">
        <v>22.4</v>
      </c>
      <c r="I465" s="106">
        <v>93.7</v>
      </c>
      <c r="J465" s="106">
        <f t="shared" si="32"/>
        <v>49.38</v>
      </c>
      <c r="K465" s="106">
        <f t="shared" si="33"/>
        <v>22.6</v>
      </c>
    </row>
    <row r="466" s="76" customFormat="1" ht="21" customHeight="1" spans="1:11">
      <c r="A466" s="53" t="s">
        <v>132</v>
      </c>
      <c r="B466" s="54" t="s">
        <v>142</v>
      </c>
      <c r="C466" s="55" t="s">
        <v>180</v>
      </c>
      <c r="D466" s="55" t="s">
        <v>144</v>
      </c>
      <c r="E466" s="104" t="s">
        <v>173</v>
      </c>
      <c r="F466" s="55" t="s">
        <v>181</v>
      </c>
      <c r="G466" s="105">
        <v>37</v>
      </c>
      <c r="H466" s="106">
        <v>22</v>
      </c>
      <c r="I466" s="106">
        <v>92</v>
      </c>
      <c r="J466" s="106">
        <f t="shared" si="32"/>
        <v>48.5</v>
      </c>
      <c r="K466" s="106">
        <f t="shared" si="33"/>
        <v>22.2</v>
      </c>
    </row>
    <row r="467" s="76" customFormat="1" ht="21" customHeight="1" spans="1:11">
      <c r="A467" s="53" t="s">
        <v>132</v>
      </c>
      <c r="B467" s="54" t="s">
        <v>142</v>
      </c>
      <c r="C467" s="55" t="s">
        <v>180</v>
      </c>
      <c r="D467" s="55" t="s">
        <v>144</v>
      </c>
      <c r="E467" s="104" t="s">
        <v>173</v>
      </c>
      <c r="F467" s="55" t="s">
        <v>181</v>
      </c>
      <c r="G467" s="105">
        <v>38</v>
      </c>
      <c r="H467" s="106">
        <v>22.3</v>
      </c>
      <c r="I467" s="106">
        <v>93.3</v>
      </c>
      <c r="J467" s="106">
        <f t="shared" si="32"/>
        <v>49.16</v>
      </c>
      <c r="K467" s="106">
        <f t="shared" si="33"/>
        <v>22.5</v>
      </c>
    </row>
    <row r="468" s="76" customFormat="1" ht="21" customHeight="1" spans="1:11">
      <c r="A468" s="53" t="s">
        <v>132</v>
      </c>
      <c r="B468" s="54" t="s">
        <v>142</v>
      </c>
      <c r="C468" s="55" t="s">
        <v>180</v>
      </c>
      <c r="D468" s="55" t="s">
        <v>144</v>
      </c>
      <c r="E468" s="104" t="s">
        <v>173</v>
      </c>
      <c r="F468" s="55" t="s">
        <v>181</v>
      </c>
      <c r="G468" s="105">
        <v>39</v>
      </c>
      <c r="H468" s="106">
        <v>22.8</v>
      </c>
      <c r="I468" s="106">
        <v>95.4</v>
      </c>
      <c r="J468" s="106">
        <f t="shared" si="32"/>
        <v>50.26</v>
      </c>
      <c r="K468" s="106">
        <f t="shared" si="33"/>
        <v>23</v>
      </c>
    </row>
    <row r="469" s="76" customFormat="1" ht="21" customHeight="1" spans="1:11">
      <c r="A469" s="53" t="s">
        <v>132</v>
      </c>
      <c r="B469" s="54" t="s">
        <v>142</v>
      </c>
      <c r="C469" s="55" t="s">
        <v>180</v>
      </c>
      <c r="D469" s="55" t="s">
        <v>144</v>
      </c>
      <c r="E469" s="104" t="s">
        <v>173</v>
      </c>
      <c r="F469" s="55" t="s">
        <v>181</v>
      </c>
      <c r="G469" s="105">
        <v>40</v>
      </c>
      <c r="H469" s="106">
        <v>20.3</v>
      </c>
      <c r="I469" s="106">
        <v>84.9</v>
      </c>
      <c r="J469" s="106">
        <f t="shared" si="32"/>
        <v>44.75</v>
      </c>
      <c r="K469" s="106">
        <f t="shared" si="33"/>
        <v>20.5</v>
      </c>
    </row>
    <row r="470" s="77" customFormat="1" ht="21" customHeight="1" spans="1:11">
      <c r="A470" s="107"/>
      <c r="B470" s="108"/>
      <c r="C470" s="109" t="s">
        <v>138</v>
      </c>
      <c r="D470" s="109"/>
      <c r="E470" s="109"/>
      <c r="F470" s="110"/>
      <c r="G470" s="111">
        <f>COUNT(G430:G469)</f>
        <v>40</v>
      </c>
      <c r="H470" s="112">
        <f>SUM(H430:H469)</f>
        <v>880.3</v>
      </c>
      <c r="I470" s="112">
        <f>SUM(I430:I469)</f>
        <v>3681.8</v>
      </c>
      <c r="J470" s="112">
        <f>SUM(J430:J469)</f>
        <v>1940.63</v>
      </c>
      <c r="K470" s="112">
        <f>SUM(K430:K469)</f>
        <v>888.3</v>
      </c>
    </row>
    <row r="471" s="76" customFormat="1" ht="21" customHeight="1" spans="1:11">
      <c r="A471" s="53" t="s">
        <v>132</v>
      </c>
      <c r="B471" s="54" t="s">
        <v>182</v>
      </c>
      <c r="C471" s="55" t="s">
        <v>183</v>
      </c>
      <c r="D471" s="55" t="s">
        <v>184</v>
      </c>
      <c r="E471" s="104" t="s">
        <v>185</v>
      </c>
      <c r="F471" s="55" t="s">
        <v>160</v>
      </c>
      <c r="G471" s="105">
        <v>1</v>
      </c>
      <c r="H471" s="106">
        <v>19.6</v>
      </c>
      <c r="I471" s="106">
        <v>73.3</v>
      </c>
      <c r="J471" s="106">
        <f t="shared" ref="J471:J515" si="34">ROUND(H471*2.2046,2)</f>
        <v>43.21</v>
      </c>
      <c r="K471" s="106">
        <f t="shared" ref="K471:K515" si="35">H471+0.2</f>
        <v>19.8</v>
      </c>
    </row>
    <row r="472" s="76" customFormat="1" ht="21" customHeight="1" spans="1:11">
      <c r="A472" s="53" t="s">
        <v>132</v>
      </c>
      <c r="B472" s="54" t="s">
        <v>182</v>
      </c>
      <c r="C472" s="55" t="s">
        <v>183</v>
      </c>
      <c r="D472" s="55" t="s">
        <v>184</v>
      </c>
      <c r="E472" s="104" t="s">
        <v>185</v>
      </c>
      <c r="F472" s="55" t="s">
        <v>160</v>
      </c>
      <c r="G472" s="105">
        <v>2</v>
      </c>
      <c r="H472" s="106">
        <v>25</v>
      </c>
      <c r="I472" s="106">
        <v>93.4</v>
      </c>
      <c r="J472" s="106">
        <f t="shared" si="34"/>
        <v>55.12</v>
      </c>
      <c r="K472" s="106">
        <f t="shared" si="35"/>
        <v>25.2</v>
      </c>
    </row>
    <row r="473" s="76" customFormat="1" ht="21" customHeight="1" spans="1:11">
      <c r="A473" s="53" t="s">
        <v>132</v>
      </c>
      <c r="B473" s="54" t="s">
        <v>182</v>
      </c>
      <c r="C473" s="55" t="s">
        <v>183</v>
      </c>
      <c r="D473" s="55" t="s">
        <v>184</v>
      </c>
      <c r="E473" s="104" t="s">
        <v>185</v>
      </c>
      <c r="F473" s="55" t="s">
        <v>160</v>
      </c>
      <c r="G473" s="105">
        <v>3</v>
      </c>
      <c r="H473" s="106">
        <v>19.3</v>
      </c>
      <c r="I473" s="106">
        <v>72.1</v>
      </c>
      <c r="J473" s="106">
        <f t="shared" si="34"/>
        <v>42.55</v>
      </c>
      <c r="K473" s="106">
        <f t="shared" si="35"/>
        <v>19.5</v>
      </c>
    </row>
    <row r="474" s="76" customFormat="1" ht="21" customHeight="1" spans="1:11">
      <c r="A474" s="53" t="s">
        <v>132</v>
      </c>
      <c r="B474" s="54" t="s">
        <v>182</v>
      </c>
      <c r="C474" s="55" t="s">
        <v>183</v>
      </c>
      <c r="D474" s="55" t="s">
        <v>184</v>
      </c>
      <c r="E474" s="104" t="s">
        <v>185</v>
      </c>
      <c r="F474" s="55" t="s">
        <v>160</v>
      </c>
      <c r="G474" s="105">
        <v>4</v>
      </c>
      <c r="H474" s="106">
        <v>4.2</v>
      </c>
      <c r="I474" s="106">
        <v>15.7</v>
      </c>
      <c r="J474" s="106">
        <f t="shared" si="34"/>
        <v>9.26</v>
      </c>
      <c r="K474" s="106">
        <f t="shared" si="35"/>
        <v>4.4</v>
      </c>
    </row>
    <row r="475" s="77" customFormat="1" ht="21" customHeight="1" spans="1:11">
      <c r="A475" s="107"/>
      <c r="B475" s="108"/>
      <c r="C475" s="109" t="s">
        <v>138</v>
      </c>
      <c r="D475" s="109"/>
      <c r="E475" s="109"/>
      <c r="F475" s="110"/>
      <c r="G475" s="111">
        <f>COUNT(G471:G474)</f>
        <v>4</v>
      </c>
      <c r="H475" s="112">
        <f>SUM(H471:H474)</f>
        <v>68.1</v>
      </c>
      <c r="I475" s="112">
        <f>SUM(I471:I474)</f>
        <v>254.5</v>
      </c>
      <c r="J475" s="112">
        <f>SUM(J471:J474)</f>
        <v>150.14</v>
      </c>
      <c r="K475" s="112">
        <f>SUM(K471:K474)</f>
        <v>68.9</v>
      </c>
    </row>
    <row r="476" s="76" customFormat="1" ht="21" customHeight="1" spans="1:11">
      <c r="A476" s="53" t="s">
        <v>132</v>
      </c>
      <c r="B476" s="54" t="s">
        <v>142</v>
      </c>
      <c r="C476" s="55" t="s">
        <v>186</v>
      </c>
      <c r="D476" s="55" t="s">
        <v>144</v>
      </c>
      <c r="E476" s="104" t="s">
        <v>173</v>
      </c>
      <c r="F476" s="55" t="s">
        <v>187</v>
      </c>
      <c r="G476" s="105">
        <v>1</v>
      </c>
      <c r="H476" s="106">
        <v>21.8</v>
      </c>
      <c r="I476" s="106">
        <v>91.2</v>
      </c>
      <c r="J476" s="106">
        <f t="shared" si="34"/>
        <v>48.06</v>
      </c>
      <c r="K476" s="106">
        <f t="shared" si="35"/>
        <v>22</v>
      </c>
    </row>
    <row r="477" s="76" customFormat="1" ht="21" customHeight="1" spans="1:11">
      <c r="A477" s="53" t="s">
        <v>132</v>
      </c>
      <c r="B477" s="54" t="s">
        <v>142</v>
      </c>
      <c r="C477" s="55" t="s">
        <v>186</v>
      </c>
      <c r="D477" s="55" t="s">
        <v>144</v>
      </c>
      <c r="E477" s="104" t="s">
        <v>173</v>
      </c>
      <c r="F477" s="55" t="s">
        <v>187</v>
      </c>
      <c r="G477" s="105">
        <v>2</v>
      </c>
      <c r="H477" s="106">
        <v>20.4</v>
      </c>
      <c r="I477" s="106">
        <v>85.3</v>
      </c>
      <c r="J477" s="106">
        <f t="shared" si="34"/>
        <v>44.97</v>
      </c>
      <c r="K477" s="106">
        <f t="shared" si="35"/>
        <v>20.6</v>
      </c>
    </row>
    <row r="478" s="76" customFormat="1" ht="21" customHeight="1" spans="1:11">
      <c r="A478" s="53" t="s">
        <v>132</v>
      </c>
      <c r="B478" s="54" t="s">
        <v>142</v>
      </c>
      <c r="C478" s="55" t="s">
        <v>186</v>
      </c>
      <c r="D478" s="55" t="s">
        <v>144</v>
      </c>
      <c r="E478" s="104" t="s">
        <v>173</v>
      </c>
      <c r="F478" s="55" t="s">
        <v>187</v>
      </c>
      <c r="G478" s="105">
        <v>3</v>
      </c>
      <c r="H478" s="106">
        <v>21.9</v>
      </c>
      <c r="I478" s="106">
        <v>91.6</v>
      </c>
      <c r="J478" s="106">
        <f t="shared" si="34"/>
        <v>48.28</v>
      </c>
      <c r="K478" s="106">
        <f t="shared" si="35"/>
        <v>22.1</v>
      </c>
    </row>
    <row r="479" s="76" customFormat="1" ht="21" customHeight="1" spans="1:11">
      <c r="A479" s="53" t="s">
        <v>132</v>
      </c>
      <c r="B479" s="54" t="s">
        <v>142</v>
      </c>
      <c r="C479" s="55" t="s">
        <v>186</v>
      </c>
      <c r="D479" s="55" t="s">
        <v>144</v>
      </c>
      <c r="E479" s="104" t="s">
        <v>173</v>
      </c>
      <c r="F479" s="55" t="s">
        <v>187</v>
      </c>
      <c r="G479" s="105">
        <v>4</v>
      </c>
      <c r="H479" s="106">
        <v>21.8</v>
      </c>
      <c r="I479" s="106">
        <v>91.2</v>
      </c>
      <c r="J479" s="106">
        <f t="shared" si="34"/>
        <v>48.06</v>
      </c>
      <c r="K479" s="106">
        <f t="shared" si="35"/>
        <v>22</v>
      </c>
    </row>
    <row r="480" s="76" customFormat="1" ht="21" customHeight="1" spans="1:11">
      <c r="A480" s="53" t="s">
        <v>132</v>
      </c>
      <c r="B480" s="54" t="s">
        <v>142</v>
      </c>
      <c r="C480" s="55" t="s">
        <v>186</v>
      </c>
      <c r="D480" s="55" t="s">
        <v>144</v>
      </c>
      <c r="E480" s="104" t="s">
        <v>173</v>
      </c>
      <c r="F480" s="55" t="s">
        <v>187</v>
      </c>
      <c r="G480" s="105">
        <v>5</v>
      </c>
      <c r="H480" s="106">
        <v>22</v>
      </c>
      <c r="I480" s="106">
        <v>92</v>
      </c>
      <c r="J480" s="106">
        <f t="shared" si="34"/>
        <v>48.5</v>
      </c>
      <c r="K480" s="106">
        <f t="shared" si="35"/>
        <v>22.2</v>
      </c>
    </row>
    <row r="481" s="76" customFormat="1" ht="21" customHeight="1" spans="1:11">
      <c r="A481" s="53" t="s">
        <v>132</v>
      </c>
      <c r="B481" s="54" t="s">
        <v>142</v>
      </c>
      <c r="C481" s="55" t="s">
        <v>186</v>
      </c>
      <c r="D481" s="55" t="s">
        <v>144</v>
      </c>
      <c r="E481" s="104" t="s">
        <v>173</v>
      </c>
      <c r="F481" s="55" t="s">
        <v>187</v>
      </c>
      <c r="G481" s="105">
        <v>6</v>
      </c>
      <c r="H481" s="106">
        <v>21.9</v>
      </c>
      <c r="I481" s="106">
        <v>91.6</v>
      </c>
      <c r="J481" s="106">
        <f t="shared" si="34"/>
        <v>48.28</v>
      </c>
      <c r="K481" s="106">
        <f t="shared" si="35"/>
        <v>22.1</v>
      </c>
    </row>
    <row r="482" s="76" customFormat="1" ht="21" customHeight="1" spans="1:11">
      <c r="A482" s="53" t="s">
        <v>132</v>
      </c>
      <c r="B482" s="54" t="s">
        <v>142</v>
      </c>
      <c r="C482" s="55" t="s">
        <v>186</v>
      </c>
      <c r="D482" s="55" t="s">
        <v>144</v>
      </c>
      <c r="E482" s="104" t="s">
        <v>173</v>
      </c>
      <c r="F482" s="55" t="s">
        <v>187</v>
      </c>
      <c r="G482" s="105">
        <v>7</v>
      </c>
      <c r="H482" s="106">
        <v>21.5</v>
      </c>
      <c r="I482" s="106">
        <v>89.9</v>
      </c>
      <c r="J482" s="106">
        <f t="shared" si="34"/>
        <v>47.4</v>
      </c>
      <c r="K482" s="106">
        <f t="shared" si="35"/>
        <v>21.7</v>
      </c>
    </row>
    <row r="483" s="76" customFormat="1" ht="21" customHeight="1" spans="1:11">
      <c r="A483" s="53" t="s">
        <v>132</v>
      </c>
      <c r="B483" s="54" t="s">
        <v>142</v>
      </c>
      <c r="C483" s="55" t="s">
        <v>186</v>
      </c>
      <c r="D483" s="55" t="s">
        <v>144</v>
      </c>
      <c r="E483" s="104" t="s">
        <v>173</v>
      </c>
      <c r="F483" s="55" t="s">
        <v>187</v>
      </c>
      <c r="G483" s="105">
        <v>9</v>
      </c>
      <c r="H483" s="106">
        <v>22</v>
      </c>
      <c r="I483" s="106">
        <v>92</v>
      </c>
      <c r="J483" s="106">
        <f t="shared" si="34"/>
        <v>48.5</v>
      </c>
      <c r="K483" s="106">
        <f t="shared" si="35"/>
        <v>22.2</v>
      </c>
    </row>
    <row r="484" s="76" customFormat="1" ht="21" customHeight="1" spans="1:11">
      <c r="A484" s="53" t="s">
        <v>132</v>
      </c>
      <c r="B484" s="54" t="s">
        <v>142</v>
      </c>
      <c r="C484" s="55" t="s">
        <v>186</v>
      </c>
      <c r="D484" s="55" t="s">
        <v>144</v>
      </c>
      <c r="E484" s="104" t="s">
        <v>173</v>
      </c>
      <c r="F484" s="55" t="s">
        <v>187</v>
      </c>
      <c r="G484" s="105">
        <v>10</v>
      </c>
      <c r="H484" s="106">
        <v>21.9</v>
      </c>
      <c r="I484" s="106">
        <v>91.6</v>
      </c>
      <c r="J484" s="106">
        <f t="shared" si="34"/>
        <v>48.28</v>
      </c>
      <c r="K484" s="106">
        <f t="shared" si="35"/>
        <v>22.1</v>
      </c>
    </row>
    <row r="485" s="76" customFormat="1" ht="21" customHeight="1" spans="1:11">
      <c r="A485" s="53" t="s">
        <v>132</v>
      </c>
      <c r="B485" s="54" t="s">
        <v>142</v>
      </c>
      <c r="C485" s="55" t="s">
        <v>186</v>
      </c>
      <c r="D485" s="55" t="s">
        <v>144</v>
      </c>
      <c r="E485" s="104" t="s">
        <v>173</v>
      </c>
      <c r="F485" s="55" t="s">
        <v>187</v>
      </c>
      <c r="G485" s="105">
        <v>11</v>
      </c>
      <c r="H485" s="106">
        <v>21.4</v>
      </c>
      <c r="I485" s="106">
        <v>89.5</v>
      </c>
      <c r="J485" s="106">
        <f t="shared" si="34"/>
        <v>47.18</v>
      </c>
      <c r="K485" s="106">
        <f t="shared" si="35"/>
        <v>21.6</v>
      </c>
    </row>
    <row r="486" s="76" customFormat="1" ht="21" customHeight="1" spans="1:11">
      <c r="A486" s="53" t="s">
        <v>132</v>
      </c>
      <c r="B486" s="54" t="s">
        <v>142</v>
      </c>
      <c r="C486" s="55" t="s">
        <v>186</v>
      </c>
      <c r="D486" s="55" t="s">
        <v>144</v>
      </c>
      <c r="E486" s="104" t="s">
        <v>173</v>
      </c>
      <c r="F486" s="55" t="s">
        <v>187</v>
      </c>
      <c r="G486" s="105">
        <v>12</v>
      </c>
      <c r="H486" s="106">
        <v>22.1</v>
      </c>
      <c r="I486" s="106">
        <v>92.4</v>
      </c>
      <c r="J486" s="106">
        <f t="shared" si="34"/>
        <v>48.72</v>
      </c>
      <c r="K486" s="106">
        <f t="shared" si="35"/>
        <v>22.3</v>
      </c>
    </row>
    <row r="487" s="76" customFormat="1" ht="21" customHeight="1" spans="1:11">
      <c r="A487" s="53" t="s">
        <v>132</v>
      </c>
      <c r="B487" s="54" t="s">
        <v>142</v>
      </c>
      <c r="C487" s="55" t="s">
        <v>186</v>
      </c>
      <c r="D487" s="55" t="s">
        <v>144</v>
      </c>
      <c r="E487" s="104" t="s">
        <v>173</v>
      </c>
      <c r="F487" s="55" t="s">
        <v>187</v>
      </c>
      <c r="G487" s="105">
        <v>13</v>
      </c>
      <c r="H487" s="106">
        <v>21.8</v>
      </c>
      <c r="I487" s="106">
        <v>91.2</v>
      </c>
      <c r="J487" s="106">
        <f t="shared" si="34"/>
        <v>48.06</v>
      </c>
      <c r="K487" s="106">
        <f t="shared" si="35"/>
        <v>22</v>
      </c>
    </row>
    <row r="488" s="76" customFormat="1" ht="21" customHeight="1" spans="1:11">
      <c r="A488" s="53" t="s">
        <v>132</v>
      </c>
      <c r="B488" s="54" t="s">
        <v>142</v>
      </c>
      <c r="C488" s="55" t="s">
        <v>186</v>
      </c>
      <c r="D488" s="55" t="s">
        <v>144</v>
      </c>
      <c r="E488" s="104" t="s">
        <v>173</v>
      </c>
      <c r="F488" s="55" t="s">
        <v>187</v>
      </c>
      <c r="G488" s="105">
        <v>14</v>
      </c>
      <c r="H488" s="106">
        <v>22.1</v>
      </c>
      <c r="I488" s="106">
        <v>92.4</v>
      </c>
      <c r="J488" s="106">
        <f t="shared" si="34"/>
        <v>48.72</v>
      </c>
      <c r="K488" s="106">
        <f t="shared" si="35"/>
        <v>22.3</v>
      </c>
    </row>
    <row r="489" s="76" customFormat="1" ht="21" customHeight="1" spans="1:11">
      <c r="A489" s="53" t="s">
        <v>132</v>
      </c>
      <c r="B489" s="54" t="s">
        <v>142</v>
      </c>
      <c r="C489" s="55" t="s">
        <v>186</v>
      </c>
      <c r="D489" s="55" t="s">
        <v>144</v>
      </c>
      <c r="E489" s="104" t="s">
        <v>173</v>
      </c>
      <c r="F489" s="55" t="s">
        <v>187</v>
      </c>
      <c r="G489" s="105">
        <v>15</v>
      </c>
      <c r="H489" s="106">
        <v>21.7</v>
      </c>
      <c r="I489" s="106">
        <v>90.8</v>
      </c>
      <c r="J489" s="106">
        <f t="shared" si="34"/>
        <v>47.84</v>
      </c>
      <c r="K489" s="106">
        <f t="shared" si="35"/>
        <v>21.9</v>
      </c>
    </row>
    <row r="490" s="76" customFormat="1" ht="21" customHeight="1" spans="1:11">
      <c r="A490" s="53" t="s">
        <v>132</v>
      </c>
      <c r="B490" s="54" t="s">
        <v>142</v>
      </c>
      <c r="C490" s="55" t="s">
        <v>186</v>
      </c>
      <c r="D490" s="55" t="s">
        <v>144</v>
      </c>
      <c r="E490" s="104" t="s">
        <v>173</v>
      </c>
      <c r="F490" s="55" t="s">
        <v>187</v>
      </c>
      <c r="G490" s="105">
        <v>16</v>
      </c>
      <c r="H490" s="106">
        <v>21.5</v>
      </c>
      <c r="I490" s="106">
        <v>89.9</v>
      </c>
      <c r="J490" s="106">
        <f t="shared" si="34"/>
        <v>47.4</v>
      </c>
      <c r="K490" s="106">
        <f t="shared" si="35"/>
        <v>21.7</v>
      </c>
    </row>
    <row r="491" s="76" customFormat="1" ht="21" customHeight="1" spans="1:11">
      <c r="A491" s="53" t="s">
        <v>132</v>
      </c>
      <c r="B491" s="54" t="s">
        <v>142</v>
      </c>
      <c r="C491" s="55" t="s">
        <v>186</v>
      </c>
      <c r="D491" s="55" t="s">
        <v>144</v>
      </c>
      <c r="E491" s="104" t="s">
        <v>173</v>
      </c>
      <c r="F491" s="55" t="s">
        <v>187</v>
      </c>
      <c r="G491" s="105">
        <v>17</v>
      </c>
      <c r="H491" s="106">
        <v>21.9</v>
      </c>
      <c r="I491" s="106">
        <v>91.6</v>
      </c>
      <c r="J491" s="106">
        <f t="shared" si="34"/>
        <v>48.28</v>
      </c>
      <c r="K491" s="106">
        <f t="shared" si="35"/>
        <v>22.1</v>
      </c>
    </row>
    <row r="492" s="76" customFormat="1" ht="21" customHeight="1" spans="1:11">
      <c r="A492" s="53" t="s">
        <v>132</v>
      </c>
      <c r="B492" s="54" t="s">
        <v>142</v>
      </c>
      <c r="C492" s="55" t="s">
        <v>186</v>
      </c>
      <c r="D492" s="55" t="s">
        <v>144</v>
      </c>
      <c r="E492" s="104" t="s">
        <v>173</v>
      </c>
      <c r="F492" s="55" t="s">
        <v>187</v>
      </c>
      <c r="G492" s="105">
        <v>18</v>
      </c>
      <c r="H492" s="106">
        <v>19.9</v>
      </c>
      <c r="I492" s="106">
        <v>83.2</v>
      </c>
      <c r="J492" s="106">
        <f t="shared" si="34"/>
        <v>43.87</v>
      </c>
      <c r="K492" s="106">
        <f t="shared" si="35"/>
        <v>20.1</v>
      </c>
    </row>
    <row r="493" s="76" customFormat="1" ht="21" customHeight="1" spans="1:11">
      <c r="A493" s="53" t="s">
        <v>132</v>
      </c>
      <c r="B493" s="54" t="s">
        <v>142</v>
      </c>
      <c r="C493" s="55" t="s">
        <v>186</v>
      </c>
      <c r="D493" s="55" t="s">
        <v>144</v>
      </c>
      <c r="E493" s="104" t="s">
        <v>173</v>
      </c>
      <c r="F493" s="55" t="s">
        <v>187</v>
      </c>
      <c r="G493" s="105">
        <v>19</v>
      </c>
      <c r="H493" s="106">
        <v>22.1</v>
      </c>
      <c r="I493" s="106">
        <v>92.4</v>
      </c>
      <c r="J493" s="106">
        <f t="shared" si="34"/>
        <v>48.72</v>
      </c>
      <c r="K493" s="106">
        <f t="shared" si="35"/>
        <v>22.3</v>
      </c>
    </row>
    <row r="494" s="76" customFormat="1" ht="21" customHeight="1" spans="1:11">
      <c r="A494" s="53" t="s">
        <v>132</v>
      </c>
      <c r="B494" s="54" t="s">
        <v>142</v>
      </c>
      <c r="C494" s="55" t="s">
        <v>186</v>
      </c>
      <c r="D494" s="55" t="s">
        <v>144</v>
      </c>
      <c r="E494" s="104" t="s">
        <v>173</v>
      </c>
      <c r="F494" s="55" t="s">
        <v>187</v>
      </c>
      <c r="G494" s="105">
        <v>20</v>
      </c>
      <c r="H494" s="106">
        <v>21.7</v>
      </c>
      <c r="I494" s="106">
        <v>90.8</v>
      </c>
      <c r="J494" s="106">
        <f t="shared" si="34"/>
        <v>47.84</v>
      </c>
      <c r="K494" s="106">
        <f t="shared" si="35"/>
        <v>21.9</v>
      </c>
    </row>
    <row r="495" s="76" customFormat="1" ht="21" customHeight="1" spans="1:11">
      <c r="A495" s="53" t="s">
        <v>132</v>
      </c>
      <c r="B495" s="54" t="s">
        <v>142</v>
      </c>
      <c r="C495" s="55" t="s">
        <v>186</v>
      </c>
      <c r="D495" s="55" t="s">
        <v>144</v>
      </c>
      <c r="E495" s="104" t="s">
        <v>173</v>
      </c>
      <c r="F495" s="55" t="s">
        <v>187</v>
      </c>
      <c r="G495" s="105">
        <v>21</v>
      </c>
      <c r="H495" s="106">
        <v>19</v>
      </c>
      <c r="I495" s="106">
        <v>79.5</v>
      </c>
      <c r="J495" s="106">
        <f t="shared" si="34"/>
        <v>41.89</v>
      </c>
      <c r="K495" s="106">
        <f t="shared" si="35"/>
        <v>19.2</v>
      </c>
    </row>
    <row r="496" s="76" customFormat="1" ht="21" customHeight="1" spans="1:11">
      <c r="A496" s="53" t="s">
        <v>132</v>
      </c>
      <c r="B496" s="54" t="s">
        <v>142</v>
      </c>
      <c r="C496" s="55" t="s">
        <v>186</v>
      </c>
      <c r="D496" s="55" t="s">
        <v>144</v>
      </c>
      <c r="E496" s="104" t="s">
        <v>173</v>
      </c>
      <c r="F496" s="55" t="s">
        <v>187</v>
      </c>
      <c r="G496" s="105">
        <v>22</v>
      </c>
      <c r="H496" s="106">
        <v>21.7</v>
      </c>
      <c r="I496" s="106">
        <v>90.8</v>
      </c>
      <c r="J496" s="106">
        <f t="shared" si="34"/>
        <v>47.84</v>
      </c>
      <c r="K496" s="106">
        <f t="shared" si="35"/>
        <v>21.9</v>
      </c>
    </row>
    <row r="497" s="76" customFormat="1" ht="21" customHeight="1" spans="1:11">
      <c r="A497" s="53" t="s">
        <v>132</v>
      </c>
      <c r="B497" s="54" t="s">
        <v>142</v>
      </c>
      <c r="C497" s="55" t="s">
        <v>186</v>
      </c>
      <c r="D497" s="55" t="s">
        <v>144</v>
      </c>
      <c r="E497" s="104" t="s">
        <v>173</v>
      </c>
      <c r="F497" s="55" t="s">
        <v>187</v>
      </c>
      <c r="G497" s="105">
        <v>23</v>
      </c>
      <c r="H497" s="106">
        <v>21.7</v>
      </c>
      <c r="I497" s="106">
        <v>90.8</v>
      </c>
      <c r="J497" s="106">
        <f t="shared" si="34"/>
        <v>47.84</v>
      </c>
      <c r="K497" s="106">
        <f t="shared" si="35"/>
        <v>21.9</v>
      </c>
    </row>
    <row r="498" s="76" customFormat="1" ht="21" customHeight="1" spans="1:11">
      <c r="A498" s="53" t="s">
        <v>132</v>
      </c>
      <c r="B498" s="54" t="s">
        <v>142</v>
      </c>
      <c r="C498" s="55" t="s">
        <v>186</v>
      </c>
      <c r="D498" s="55" t="s">
        <v>144</v>
      </c>
      <c r="E498" s="104" t="s">
        <v>173</v>
      </c>
      <c r="F498" s="55" t="s">
        <v>187</v>
      </c>
      <c r="G498" s="105">
        <v>24</v>
      </c>
      <c r="H498" s="106">
        <v>21.9</v>
      </c>
      <c r="I498" s="106">
        <v>91.6</v>
      </c>
      <c r="J498" s="106">
        <f t="shared" si="34"/>
        <v>48.28</v>
      </c>
      <c r="K498" s="106">
        <f t="shared" si="35"/>
        <v>22.1</v>
      </c>
    </row>
    <row r="499" s="76" customFormat="1" ht="21" customHeight="1" spans="1:11">
      <c r="A499" s="53" t="s">
        <v>132</v>
      </c>
      <c r="B499" s="54" t="s">
        <v>142</v>
      </c>
      <c r="C499" s="55" t="s">
        <v>186</v>
      </c>
      <c r="D499" s="55" t="s">
        <v>144</v>
      </c>
      <c r="E499" s="104" t="s">
        <v>173</v>
      </c>
      <c r="F499" s="55" t="s">
        <v>187</v>
      </c>
      <c r="G499" s="105">
        <v>25</v>
      </c>
      <c r="H499" s="106">
        <v>24.4</v>
      </c>
      <c r="I499" s="106">
        <v>102</v>
      </c>
      <c r="J499" s="106">
        <f t="shared" si="34"/>
        <v>53.79</v>
      </c>
      <c r="K499" s="106">
        <f t="shared" si="35"/>
        <v>24.6</v>
      </c>
    </row>
    <row r="500" s="76" customFormat="1" ht="21" customHeight="1" spans="1:11">
      <c r="A500" s="53" t="s">
        <v>132</v>
      </c>
      <c r="B500" s="54" t="s">
        <v>142</v>
      </c>
      <c r="C500" s="55" t="s">
        <v>186</v>
      </c>
      <c r="D500" s="55" t="s">
        <v>144</v>
      </c>
      <c r="E500" s="104" t="s">
        <v>173</v>
      </c>
      <c r="F500" s="55" t="s">
        <v>187</v>
      </c>
      <c r="G500" s="105">
        <v>26</v>
      </c>
      <c r="H500" s="106">
        <v>21.8</v>
      </c>
      <c r="I500" s="106">
        <v>91.2</v>
      </c>
      <c r="J500" s="106">
        <f t="shared" si="34"/>
        <v>48.06</v>
      </c>
      <c r="K500" s="106">
        <f t="shared" si="35"/>
        <v>22</v>
      </c>
    </row>
    <row r="501" s="76" customFormat="1" ht="21" customHeight="1" spans="1:11">
      <c r="A501" s="53" t="s">
        <v>132</v>
      </c>
      <c r="B501" s="54" t="s">
        <v>142</v>
      </c>
      <c r="C501" s="55" t="s">
        <v>186</v>
      </c>
      <c r="D501" s="55" t="s">
        <v>144</v>
      </c>
      <c r="E501" s="104" t="s">
        <v>173</v>
      </c>
      <c r="F501" s="55" t="s">
        <v>187</v>
      </c>
      <c r="G501" s="105">
        <v>27</v>
      </c>
      <c r="H501" s="106">
        <v>21.8</v>
      </c>
      <c r="I501" s="106">
        <v>91.2</v>
      </c>
      <c r="J501" s="106">
        <f t="shared" si="34"/>
        <v>48.06</v>
      </c>
      <c r="K501" s="106">
        <f t="shared" si="35"/>
        <v>22</v>
      </c>
    </row>
    <row r="502" s="76" customFormat="1" ht="21" customHeight="1" spans="1:11">
      <c r="A502" s="53" t="s">
        <v>132</v>
      </c>
      <c r="B502" s="54" t="s">
        <v>142</v>
      </c>
      <c r="C502" s="55" t="s">
        <v>186</v>
      </c>
      <c r="D502" s="55" t="s">
        <v>144</v>
      </c>
      <c r="E502" s="104" t="s">
        <v>173</v>
      </c>
      <c r="F502" s="55" t="s">
        <v>187</v>
      </c>
      <c r="G502" s="105">
        <v>28</v>
      </c>
      <c r="H502" s="106">
        <v>24.4</v>
      </c>
      <c r="I502" s="106">
        <v>102</v>
      </c>
      <c r="J502" s="106">
        <f t="shared" si="34"/>
        <v>53.79</v>
      </c>
      <c r="K502" s="106">
        <f t="shared" si="35"/>
        <v>24.6</v>
      </c>
    </row>
    <row r="503" s="76" customFormat="1" ht="21" customHeight="1" spans="1:11">
      <c r="A503" s="53" t="s">
        <v>132</v>
      </c>
      <c r="B503" s="54" t="s">
        <v>142</v>
      </c>
      <c r="C503" s="55" t="s">
        <v>186</v>
      </c>
      <c r="D503" s="55" t="s">
        <v>144</v>
      </c>
      <c r="E503" s="104" t="s">
        <v>173</v>
      </c>
      <c r="F503" s="55" t="s">
        <v>187</v>
      </c>
      <c r="G503" s="105">
        <v>29</v>
      </c>
      <c r="H503" s="106">
        <v>21.9</v>
      </c>
      <c r="I503" s="106">
        <v>91.6</v>
      </c>
      <c r="J503" s="106">
        <f t="shared" si="34"/>
        <v>48.28</v>
      </c>
      <c r="K503" s="106">
        <f t="shared" si="35"/>
        <v>22.1</v>
      </c>
    </row>
    <row r="504" s="76" customFormat="1" ht="21" customHeight="1" spans="1:11">
      <c r="A504" s="53" t="s">
        <v>132</v>
      </c>
      <c r="B504" s="54" t="s">
        <v>142</v>
      </c>
      <c r="C504" s="55" t="s">
        <v>186</v>
      </c>
      <c r="D504" s="55" t="s">
        <v>144</v>
      </c>
      <c r="E504" s="104" t="s">
        <v>173</v>
      </c>
      <c r="F504" s="55" t="s">
        <v>187</v>
      </c>
      <c r="G504" s="105">
        <v>30</v>
      </c>
      <c r="H504" s="106">
        <v>21.9</v>
      </c>
      <c r="I504" s="106">
        <v>91.6</v>
      </c>
      <c r="J504" s="106">
        <f t="shared" si="34"/>
        <v>48.28</v>
      </c>
      <c r="K504" s="106">
        <f t="shared" si="35"/>
        <v>22.1</v>
      </c>
    </row>
    <row r="505" s="77" customFormat="1" ht="21" customHeight="1" spans="1:11">
      <c r="A505" s="107"/>
      <c r="B505" s="108"/>
      <c r="C505" s="109" t="s">
        <v>138</v>
      </c>
      <c r="D505" s="109"/>
      <c r="E505" s="109"/>
      <c r="F505" s="110"/>
      <c r="G505" s="111">
        <f>COUNT(G476:G504)</f>
        <v>29</v>
      </c>
      <c r="H505" s="112">
        <f>SUM(H476:H504)</f>
        <v>631.9</v>
      </c>
      <c r="I505" s="112">
        <f>SUM(I476:I504)</f>
        <v>2642.9</v>
      </c>
      <c r="J505" s="112">
        <f>SUM(J476:J504)</f>
        <v>1393.07</v>
      </c>
      <c r="K505" s="112">
        <f>SUM(K476:K504)</f>
        <v>637.7</v>
      </c>
    </row>
    <row r="506" s="76" customFormat="1" ht="21" customHeight="1" spans="1:11">
      <c r="A506" s="53" t="s">
        <v>132</v>
      </c>
      <c r="B506" s="54" t="s">
        <v>156</v>
      </c>
      <c r="C506" s="55" t="s">
        <v>188</v>
      </c>
      <c r="D506" s="55" t="s">
        <v>158</v>
      </c>
      <c r="E506" s="104" t="s">
        <v>159</v>
      </c>
      <c r="F506" s="55" t="s">
        <v>160</v>
      </c>
      <c r="G506" s="105">
        <v>1</v>
      </c>
      <c r="H506" s="106">
        <v>20.9</v>
      </c>
      <c r="I506" s="106">
        <v>101.4</v>
      </c>
      <c r="J506" s="106">
        <f t="shared" ref="J506:J545" si="36">ROUND(H506*2.2046,2)</f>
        <v>46.08</v>
      </c>
      <c r="K506" s="106">
        <f t="shared" ref="K506:K545" si="37">H506+0.2</f>
        <v>21.1</v>
      </c>
    </row>
    <row r="507" s="76" customFormat="1" ht="21" customHeight="1" spans="1:11">
      <c r="A507" s="53" t="s">
        <v>132</v>
      </c>
      <c r="B507" s="54" t="s">
        <v>156</v>
      </c>
      <c r="C507" s="55" t="s">
        <v>188</v>
      </c>
      <c r="D507" s="55" t="s">
        <v>158</v>
      </c>
      <c r="E507" s="104" t="s">
        <v>159</v>
      </c>
      <c r="F507" s="55" t="s">
        <v>160</v>
      </c>
      <c r="G507" s="105">
        <v>2</v>
      </c>
      <c r="H507" s="106">
        <v>22</v>
      </c>
      <c r="I507" s="106">
        <v>106.7</v>
      </c>
      <c r="J507" s="106">
        <f t="shared" si="36"/>
        <v>48.5</v>
      </c>
      <c r="K507" s="106">
        <f t="shared" si="37"/>
        <v>22.2</v>
      </c>
    </row>
    <row r="508" s="76" customFormat="1" ht="21" customHeight="1" spans="1:11">
      <c r="A508" s="53" t="s">
        <v>132</v>
      </c>
      <c r="B508" s="54" t="s">
        <v>156</v>
      </c>
      <c r="C508" s="55" t="s">
        <v>188</v>
      </c>
      <c r="D508" s="55" t="s">
        <v>158</v>
      </c>
      <c r="E508" s="104" t="s">
        <v>159</v>
      </c>
      <c r="F508" s="55" t="s">
        <v>160</v>
      </c>
      <c r="G508" s="105">
        <v>3</v>
      </c>
      <c r="H508" s="106">
        <v>22.2</v>
      </c>
      <c r="I508" s="106">
        <v>107.7</v>
      </c>
      <c r="J508" s="106">
        <f t="shared" si="36"/>
        <v>48.94</v>
      </c>
      <c r="K508" s="106">
        <f t="shared" si="37"/>
        <v>22.4</v>
      </c>
    </row>
    <row r="509" s="76" customFormat="1" ht="21" customHeight="1" spans="1:11">
      <c r="A509" s="53" t="s">
        <v>132</v>
      </c>
      <c r="B509" s="54" t="s">
        <v>156</v>
      </c>
      <c r="C509" s="55" t="s">
        <v>188</v>
      </c>
      <c r="D509" s="55" t="s">
        <v>158</v>
      </c>
      <c r="E509" s="104" t="s">
        <v>159</v>
      </c>
      <c r="F509" s="55" t="s">
        <v>160</v>
      </c>
      <c r="G509" s="105">
        <v>4</v>
      </c>
      <c r="H509" s="106">
        <v>22</v>
      </c>
      <c r="I509" s="106">
        <v>106.7</v>
      </c>
      <c r="J509" s="106">
        <f t="shared" si="36"/>
        <v>48.5</v>
      </c>
      <c r="K509" s="106">
        <f t="shared" si="37"/>
        <v>22.2</v>
      </c>
    </row>
    <row r="510" s="76" customFormat="1" ht="21" customHeight="1" spans="1:11">
      <c r="A510" s="53" t="s">
        <v>132</v>
      </c>
      <c r="B510" s="54" t="s">
        <v>156</v>
      </c>
      <c r="C510" s="55" t="s">
        <v>188</v>
      </c>
      <c r="D510" s="55" t="s">
        <v>158</v>
      </c>
      <c r="E510" s="104" t="s">
        <v>159</v>
      </c>
      <c r="F510" s="55" t="s">
        <v>160</v>
      </c>
      <c r="G510" s="105">
        <v>5</v>
      </c>
      <c r="H510" s="106">
        <v>22.5</v>
      </c>
      <c r="I510" s="106">
        <v>109.2</v>
      </c>
      <c r="J510" s="106">
        <f t="shared" si="36"/>
        <v>49.6</v>
      </c>
      <c r="K510" s="106">
        <f t="shared" si="37"/>
        <v>22.7</v>
      </c>
    </row>
    <row r="511" s="76" customFormat="1" ht="21" customHeight="1" spans="1:11">
      <c r="A511" s="53" t="s">
        <v>132</v>
      </c>
      <c r="B511" s="54" t="s">
        <v>156</v>
      </c>
      <c r="C511" s="55" t="s">
        <v>188</v>
      </c>
      <c r="D511" s="55" t="s">
        <v>158</v>
      </c>
      <c r="E511" s="104" t="s">
        <v>159</v>
      </c>
      <c r="F511" s="55" t="s">
        <v>160</v>
      </c>
      <c r="G511" s="105">
        <v>6</v>
      </c>
      <c r="H511" s="106">
        <v>21.4</v>
      </c>
      <c r="I511" s="106">
        <v>103.8</v>
      </c>
      <c r="J511" s="106">
        <f t="shared" si="36"/>
        <v>47.18</v>
      </c>
      <c r="K511" s="106">
        <f t="shared" si="37"/>
        <v>21.6</v>
      </c>
    </row>
    <row r="512" s="76" customFormat="1" ht="21" customHeight="1" spans="1:11">
      <c r="A512" s="53" t="s">
        <v>132</v>
      </c>
      <c r="B512" s="54" t="s">
        <v>156</v>
      </c>
      <c r="C512" s="55" t="s">
        <v>188</v>
      </c>
      <c r="D512" s="55" t="s">
        <v>158</v>
      </c>
      <c r="E512" s="104" t="s">
        <v>159</v>
      </c>
      <c r="F512" s="55" t="s">
        <v>160</v>
      </c>
      <c r="G512" s="105">
        <v>7</v>
      </c>
      <c r="H512" s="106">
        <v>20.9</v>
      </c>
      <c r="I512" s="106">
        <v>101.4</v>
      </c>
      <c r="J512" s="106">
        <f t="shared" si="36"/>
        <v>46.08</v>
      </c>
      <c r="K512" s="106">
        <f t="shared" si="37"/>
        <v>21.1</v>
      </c>
    </row>
    <row r="513" s="76" customFormat="1" ht="21" customHeight="1" spans="1:11">
      <c r="A513" s="53" t="s">
        <v>132</v>
      </c>
      <c r="B513" s="54" t="s">
        <v>156</v>
      </c>
      <c r="C513" s="55" t="s">
        <v>188</v>
      </c>
      <c r="D513" s="55" t="s">
        <v>158</v>
      </c>
      <c r="E513" s="104" t="s">
        <v>159</v>
      </c>
      <c r="F513" s="55" t="s">
        <v>160</v>
      </c>
      <c r="G513" s="105">
        <v>8</v>
      </c>
      <c r="H513" s="106">
        <v>22.2</v>
      </c>
      <c r="I513" s="106">
        <v>107.7</v>
      </c>
      <c r="J513" s="106">
        <f t="shared" si="36"/>
        <v>48.94</v>
      </c>
      <c r="K513" s="106">
        <f t="shared" si="37"/>
        <v>22.4</v>
      </c>
    </row>
    <row r="514" s="76" customFormat="1" ht="21" customHeight="1" spans="1:11">
      <c r="A514" s="53" t="s">
        <v>132</v>
      </c>
      <c r="B514" s="54" t="s">
        <v>156</v>
      </c>
      <c r="C514" s="55" t="s">
        <v>188</v>
      </c>
      <c r="D514" s="55" t="s">
        <v>158</v>
      </c>
      <c r="E514" s="104" t="s">
        <v>159</v>
      </c>
      <c r="F514" s="55" t="s">
        <v>160</v>
      </c>
      <c r="G514" s="105">
        <v>9</v>
      </c>
      <c r="H514" s="106">
        <v>22</v>
      </c>
      <c r="I514" s="106">
        <v>106.7</v>
      </c>
      <c r="J514" s="106">
        <f t="shared" si="36"/>
        <v>48.5</v>
      </c>
      <c r="K514" s="106">
        <f t="shared" si="37"/>
        <v>22.2</v>
      </c>
    </row>
    <row r="515" s="76" customFormat="1" ht="21" customHeight="1" spans="1:11">
      <c r="A515" s="53" t="s">
        <v>132</v>
      </c>
      <c r="B515" s="54" t="s">
        <v>156</v>
      </c>
      <c r="C515" s="55" t="s">
        <v>188</v>
      </c>
      <c r="D515" s="55" t="s">
        <v>158</v>
      </c>
      <c r="E515" s="104" t="s">
        <v>159</v>
      </c>
      <c r="F515" s="55" t="s">
        <v>160</v>
      </c>
      <c r="G515" s="105">
        <v>10</v>
      </c>
      <c r="H515" s="106">
        <v>21.3</v>
      </c>
      <c r="I515" s="106">
        <v>103.3</v>
      </c>
      <c r="J515" s="106">
        <f t="shared" si="36"/>
        <v>46.96</v>
      </c>
      <c r="K515" s="106">
        <f t="shared" si="37"/>
        <v>21.5</v>
      </c>
    </row>
    <row r="516" s="76" customFormat="1" ht="21" customHeight="1" spans="1:11">
      <c r="A516" s="53" t="s">
        <v>132</v>
      </c>
      <c r="B516" s="54" t="s">
        <v>156</v>
      </c>
      <c r="C516" s="55" t="s">
        <v>188</v>
      </c>
      <c r="D516" s="55" t="s">
        <v>158</v>
      </c>
      <c r="E516" s="104" t="s">
        <v>159</v>
      </c>
      <c r="F516" s="55" t="s">
        <v>160</v>
      </c>
      <c r="G516" s="105">
        <v>11</v>
      </c>
      <c r="H516" s="106">
        <v>22.3</v>
      </c>
      <c r="I516" s="106">
        <v>108.2</v>
      </c>
      <c r="J516" s="106">
        <f t="shared" si="36"/>
        <v>49.16</v>
      </c>
      <c r="K516" s="106">
        <f t="shared" si="37"/>
        <v>22.5</v>
      </c>
    </row>
    <row r="517" s="76" customFormat="1" ht="21" customHeight="1" spans="1:11">
      <c r="A517" s="53" t="s">
        <v>132</v>
      </c>
      <c r="B517" s="54" t="s">
        <v>156</v>
      </c>
      <c r="C517" s="55" t="s">
        <v>188</v>
      </c>
      <c r="D517" s="55" t="s">
        <v>158</v>
      </c>
      <c r="E517" s="104" t="s">
        <v>159</v>
      </c>
      <c r="F517" s="55" t="s">
        <v>160</v>
      </c>
      <c r="G517" s="105">
        <v>12</v>
      </c>
      <c r="H517" s="106">
        <v>22.3</v>
      </c>
      <c r="I517" s="106">
        <v>108.2</v>
      </c>
      <c r="J517" s="106">
        <f t="shared" si="36"/>
        <v>49.16</v>
      </c>
      <c r="K517" s="106">
        <f t="shared" si="37"/>
        <v>22.5</v>
      </c>
    </row>
    <row r="518" s="76" customFormat="1" ht="21" customHeight="1" spans="1:11">
      <c r="A518" s="53" t="s">
        <v>132</v>
      </c>
      <c r="B518" s="54" t="s">
        <v>156</v>
      </c>
      <c r="C518" s="55" t="s">
        <v>188</v>
      </c>
      <c r="D518" s="55" t="s">
        <v>158</v>
      </c>
      <c r="E518" s="104" t="s">
        <v>159</v>
      </c>
      <c r="F518" s="55" t="s">
        <v>160</v>
      </c>
      <c r="G518" s="105">
        <v>13</v>
      </c>
      <c r="H518" s="106">
        <v>22.2</v>
      </c>
      <c r="I518" s="106">
        <v>107.7</v>
      </c>
      <c r="J518" s="106">
        <f t="shared" si="36"/>
        <v>48.94</v>
      </c>
      <c r="K518" s="106">
        <f t="shared" si="37"/>
        <v>22.4</v>
      </c>
    </row>
    <row r="519" s="76" customFormat="1" ht="21" customHeight="1" spans="1:11">
      <c r="A519" s="53" t="s">
        <v>132</v>
      </c>
      <c r="B519" s="54" t="s">
        <v>156</v>
      </c>
      <c r="C519" s="55" t="s">
        <v>188</v>
      </c>
      <c r="D519" s="55" t="s">
        <v>158</v>
      </c>
      <c r="E519" s="104" t="s">
        <v>159</v>
      </c>
      <c r="F519" s="55" t="s">
        <v>160</v>
      </c>
      <c r="G519" s="105">
        <v>14</v>
      </c>
      <c r="H519" s="106">
        <v>22.5</v>
      </c>
      <c r="I519" s="106">
        <v>109.2</v>
      </c>
      <c r="J519" s="106">
        <f t="shared" si="36"/>
        <v>49.6</v>
      </c>
      <c r="K519" s="106">
        <f t="shared" si="37"/>
        <v>22.7</v>
      </c>
    </row>
    <row r="520" s="76" customFormat="1" ht="21" customHeight="1" spans="1:11">
      <c r="A520" s="53" t="s">
        <v>132</v>
      </c>
      <c r="B520" s="54" t="s">
        <v>156</v>
      </c>
      <c r="C520" s="55" t="s">
        <v>188</v>
      </c>
      <c r="D520" s="55" t="s">
        <v>158</v>
      </c>
      <c r="E520" s="104" t="s">
        <v>159</v>
      </c>
      <c r="F520" s="55" t="s">
        <v>160</v>
      </c>
      <c r="G520" s="105">
        <v>15</v>
      </c>
      <c r="H520" s="106">
        <v>22.5</v>
      </c>
      <c r="I520" s="106">
        <v>109.2</v>
      </c>
      <c r="J520" s="106">
        <f t="shared" si="36"/>
        <v>49.6</v>
      </c>
      <c r="K520" s="106">
        <f t="shared" si="37"/>
        <v>22.7</v>
      </c>
    </row>
    <row r="521" s="76" customFormat="1" ht="21" customHeight="1" spans="1:11">
      <c r="A521" s="53" t="s">
        <v>132</v>
      </c>
      <c r="B521" s="54" t="s">
        <v>156</v>
      </c>
      <c r="C521" s="55" t="s">
        <v>188</v>
      </c>
      <c r="D521" s="55" t="s">
        <v>158</v>
      </c>
      <c r="E521" s="104" t="s">
        <v>159</v>
      </c>
      <c r="F521" s="55" t="s">
        <v>160</v>
      </c>
      <c r="G521" s="105">
        <v>16</v>
      </c>
      <c r="H521" s="106">
        <v>22.5</v>
      </c>
      <c r="I521" s="106">
        <v>109.2</v>
      </c>
      <c r="J521" s="106">
        <f t="shared" si="36"/>
        <v>49.6</v>
      </c>
      <c r="K521" s="106">
        <f t="shared" si="37"/>
        <v>22.7</v>
      </c>
    </row>
    <row r="522" s="76" customFormat="1" ht="21" customHeight="1" spans="1:11">
      <c r="A522" s="53" t="s">
        <v>132</v>
      </c>
      <c r="B522" s="54" t="s">
        <v>156</v>
      </c>
      <c r="C522" s="55" t="s">
        <v>188</v>
      </c>
      <c r="D522" s="55" t="s">
        <v>158</v>
      </c>
      <c r="E522" s="104" t="s">
        <v>159</v>
      </c>
      <c r="F522" s="55" t="s">
        <v>160</v>
      </c>
      <c r="G522" s="105">
        <v>17</v>
      </c>
      <c r="H522" s="106">
        <v>22.4</v>
      </c>
      <c r="I522" s="106">
        <v>108.7</v>
      </c>
      <c r="J522" s="106">
        <f t="shared" si="36"/>
        <v>49.38</v>
      </c>
      <c r="K522" s="106">
        <f t="shared" si="37"/>
        <v>22.6</v>
      </c>
    </row>
    <row r="523" s="76" customFormat="1" ht="21" customHeight="1" spans="1:11">
      <c r="A523" s="53" t="s">
        <v>132</v>
      </c>
      <c r="B523" s="54" t="s">
        <v>156</v>
      </c>
      <c r="C523" s="55" t="s">
        <v>188</v>
      </c>
      <c r="D523" s="55" t="s">
        <v>158</v>
      </c>
      <c r="E523" s="104" t="s">
        <v>159</v>
      </c>
      <c r="F523" s="55" t="s">
        <v>160</v>
      </c>
      <c r="G523" s="105">
        <v>18</v>
      </c>
      <c r="H523" s="106">
        <v>22.1</v>
      </c>
      <c r="I523" s="106">
        <v>107.2</v>
      </c>
      <c r="J523" s="106">
        <f t="shared" si="36"/>
        <v>48.72</v>
      </c>
      <c r="K523" s="106">
        <f t="shared" si="37"/>
        <v>22.3</v>
      </c>
    </row>
    <row r="524" s="76" customFormat="1" ht="21" customHeight="1" spans="1:11">
      <c r="A524" s="53" t="s">
        <v>132</v>
      </c>
      <c r="B524" s="54" t="s">
        <v>156</v>
      </c>
      <c r="C524" s="55" t="s">
        <v>188</v>
      </c>
      <c r="D524" s="55" t="s">
        <v>158</v>
      </c>
      <c r="E524" s="104" t="s">
        <v>159</v>
      </c>
      <c r="F524" s="55" t="s">
        <v>160</v>
      </c>
      <c r="G524" s="105">
        <v>19</v>
      </c>
      <c r="H524" s="106">
        <v>22.6</v>
      </c>
      <c r="I524" s="106">
        <v>109.6</v>
      </c>
      <c r="J524" s="106">
        <f t="shared" si="36"/>
        <v>49.82</v>
      </c>
      <c r="K524" s="106">
        <f t="shared" si="37"/>
        <v>22.8</v>
      </c>
    </row>
    <row r="525" s="76" customFormat="1" ht="21" customHeight="1" spans="1:11">
      <c r="A525" s="53" t="s">
        <v>132</v>
      </c>
      <c r="B525" s="54" t="s">
        <v>156</v>
      </c>
      <c r="C525" s="55" t="s">
        <v>188</v>
      </c>
      <c r="D525" s="55" t="s">
        <v>158</v>
      </c>
      <c r="E525" s="104" t="s">
        <v>159</v>
      </c>
      <c r="F525" s="55" t="s">
        <v>160</v>
      </c>
      <c r="G525" s="105">
        <v>20</v>
      </c>
      <c r="H525" s="106">
        <v>18.5</v>
      </c>
      <c r="I525" s="106">
        <v>89.7</v>
      </c>
      <c r="J525" s="106">
        <f t="shared" si="36"/>
        <v>40.79</v>
      </c>
      <c r="K525" s="106">
        <f t="shared" si="37"/>
        <v>18.7</v>
      </c>
    </row>
    <row r="526" s="76" customFormat="1" ht="21" customHeight="1" spans="1:11">
      <c r="A526" s="53" t="s">
        <v>132</v>
      </c>
      <c r="B526" s="54" t="s">
        <v>156</v>
      </c>
      <c r="C526" s="55" t="s">
        <v>188</v>
      </c>
      <c r="D526" s="55" t="s">
        <v>158</v>
      </c>
      <c r="E526" s="104" t="s">
        <v>159</v>
      </c>
      <c r="F526" s="55" t="s">
        <v>160</v>
      </c>
      <c r="G526" s="105">
        <v>21</v>
      </c>
      <c r="H526" s="106">
        <v>22.3</v>
      </c>
      <c r="I526" s="106">
        <v>108.2</v>
      </c>
      <c r="J526" s="106">
        <f t="shared" si="36"/>
        <v>49.16</v>
      </c>
      <c r="K526" s="106">
        <f t="shared" si="37"/>
        <v>22.5</v>
      </c>
    </row>
    <row r="527" s="77" customFormat="1" ht="21" customHeight="1" spans="1:11">
      <c r="A527" s="107"/>
      <c r="B527" s="108"/>
      <c r="C527" s="109" t="s">
        <v>138</v>
      </c>
      <c r="D527" s="109"/>
      <c r="E527" s="109"/>
      <c r="F527" s="110"/>
      <c r="G527" s="111">
        <f>COUNT(G506:G526)</f>
        <v>21</v>
      </c>
      <c r="H527" s="112">
        <f>SUM(H506:H526)</f>
        <v>459.6</v>
      </c>
      <c r="I527" s="112">
        <f>SUM(I506:I526)</f>
        <v>2229.7</v>
      </c>
      <c r="J527" s="112">
        <f>SUM(J506:J526)</f>
        <v>1013.21</v>
      </c>
      <c r="K527" s="112">
        <f>SUM(K506:K526)</f>
        <v>463.8</v>
      </c>
    </row>
  </sheetData>
  <autoFilter xmlns:etc="http://www.wps.cn/officeDocument/2017/etCustomData" ref="A13:K527" etc:filterBottomFollowUsedRange="0">
    <extLst/>
  </autoFilter>
  <mergeCells count="31">
    <mergeCell ref="C1:K1"/>
    <mergeCell ref="C2:K2"/>
    <mergeCell ref="C3:K3"/>
    <mergeCell ref="B4:K4"/>
    <mergeCell ref="C12:H12"/>
    <mergeCell ref="C17:F17"/>
    <mergeCell ref="C20:F20"/>
    <mergeCell ref="C45:F45"/>
    <mergeCell ref="C73:F73"/>
    <mergeCell ref="C105:F105"/>
    <mergeCell ref="C138:F138"/>
    <mergeCell ref="C169:F169"/>
    <mergeCell ref="C177:F177"/>
    <mergeCell ref="C187:F187"/>
    <mergeCell ref="C213:F213"/>
    <mergeCell ref="C240:F240"/>
    <mergeCell ref="C248:F248"/>
    <mergeCell ref="C250:F250"/>
    <mergeCell ref="C252:F252"/>
    <mergeCell ref="C272:F272"/>
    <mergeCell ref="C294:F294"/>
    <mergeCell ref="C300:F300"/>
    <mergeCell ref="C331:F331"/>
    <mergeCell ref="C369:F369"/>
    <mergeCell ref="C389:F389"/>
    <mergeCell ref="C429:F429"/>
    <mergeCell ref="C470:F470"/>
    <mergeCell ref="C475:F475"/>
    <mergeCell ref="C505:F505"/>
    <mergeCell ref="C527:F527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39"/>
  <sheetViews>
    <sheetView zoomScale="80" zoomScaleNormal="80" zoomScaleSheetLayoutView="70" topLeftCell="A6" workbookViewId="0">
      <selection activeCell="E41" sqref="E41"/>
    </sheetView>
  </sheetViews>
  <sheetFormatPr defaultColWidth="9" defaultRowHeight="15.6"/>
  <cols>
    <col min="1" max="1" width="9" style="3"/>
    <col min="2" max="2" width="16.7777777777778" style="4" customWidth="1"/>
    <col min="3" max="3" width="20.5277777777778" style="3" customWidth="1"/>
    <col min="4" max="4" width="33.0277777777778" style="3" customWidth="1"/>
    <col min="5" max="5" width="101.601851851852" style="5" customWidth="1"/>
    <col min="6" max="6" width="42.1296296296296" style="3" customWidth="1"/>
    <col min="7" max="7" width="11.8611111111111" style="6" customWidth="1"/>
    <col min="8" max="8" width="13.7037037037037" style="7" customWidth="1"/>
    <col min="9" max="9" width="12" style="7" customWidth="1"/>
    <col min="10" max="10" width="13" style="7" customWidth="1"/>
    <col min="11" max="11" width="14" style="7" customWidth="1"/>
    <col min="12" max="12" width="27.1296296296296" style="8" customWidth="1"/>
    <col min="13" max="14" width="15.1388888888889" style="3"/>
    <col min="15" max="16" width="9" style="3" hidden="1" customWidth="1"/>
    <col min="17" max="16384" width="9" style="3"/>
  </cols>
  <sheetData>
    <row r="1" ht="28.8" spans="1:21">
      <c r="B1" s="9"/>
      <c r="C1" s="10" t="s">
        <v>72</v>
      </c>
      <c r="D1" s="10"/>
      <c r="E1" s="11"/>
      <c r="F1" s="10"/>
      <c r="G1" s="12"/>
      <c r="H1" s="13"/>
      <c r="I1" s="13"/>
      <c r="J1" s="13"/>
      <c r="K1" s="13"/>
    </row>
    <row r="2" spans="1:21">
      <c r="B2" s="14"/>
      <c r="C2" s="15" t="s">
        <v>111</v>
      </c>
      <c r="D2" s="15"/>
      <c r="E2" s="16"/>
      <c r="F2" s="15"/>
      <c r="G2" s="17"/>
      <c r="H2" s="18"/>
      <c r="I2" s="18"/>
      <c r="J2" s="18"/>
      <c r="K2" s="18"/>
    </row>
    <row r="3" spans="1:21">
      <c r="B3" s="14"/>
      <c r="C3" s="15" t="s">
        <v>112</v>
      </c>
      <c r="D3" s="15"/>
      <c r="E3" s="16"/>
      <c r="F3" s="15"/>
      <c r="G3" s="17"/>
      <c r="H3" s="18"/>
      <c r="I3" s="18"/>
      <c r="J3" s="18"/>
      <c r="K3" s="18"/>
    </row>
    <row r="4" s="1" customFormat="1" ht="39" customHeight="1" spans="1:21">
      <c r="B4" s="19" t="s">
        <v>113</v>
      </c>
      <c r="C4" s="20"/>
      <c r="D4" s="20"/>
      <c r="E4" s="21"/>
      <c r="F4" s="20"/>
      <c r="G4" s="22"/>
      <c r="H4" s="23"/>
      <c r="I4" s="23"/>
      <c r="J4" s="23"/>
      <c r="K4" s="23"/>
      <c r="L4" s="24"/>
    </row>
    <row r="5" ht="45" customHeight="1" spans="1:21">
      <c r="B5" s="25" t="s">
        <v>114</v>
      </c>
      <c r="C5" s="26" t="str">
        <f>'GDI-DPL'!C5</f>
        <v>PT Nirwana Alabare Garment Jl. Raya Rancaekek - Majalaya No.289
Desa Solokan Jeruk ,Kecamatan Solokan Jeruk, Kabupaten Bandung Jawa Barat 40382,Indonesia Tel: +62 285962076</v>
      </c>
      <c r="D5" s="26"/>
      <c r="E5" s="26"/>
      <c r="F5" s="26"/>
      <c r="G5" s="27"/>
      <c r="H5" s="28"/>
      <c r="I5" s="28"/>
      <c r="J5" s="29"/>
      <c r="K5" s="28"/>
    </row>
    <row r="6" ht="48" customHeight="1" spans="1:21">
      <c r="B6" s="25"/>
      <c r="C6" s="26"/>
      <c r="D6" s="26"/>
      <c r="E6" s="26"/>
      <c r="F6" s="26"/>
      <c r="G6" s="27"/>
      <c r="H6" s="28"/>
      <c r="I6" s="28"/>
      <c r="J6" s="29"/>
      <c r="K6" s="28"/>
    </row>
    <row r="7" spans="1:21">
      <c r="B7" s="25"/>
      <c r="C7" s="30"/>
      <c r="D7" s="30"/>
      <c r="E7" s="31"/>
      <c r="F7" s="30"/>
      <c r="G7" s="32"/>
      <c r="H7" s="33"/>
      <c r="I7" s="33"/>
      <c r="J7" s="33"/>
      <c r="K7" s="34"/>
    </row>
    <row r="8" spans="1:21">
      <c r="B8" s="35" t="s">
        <v>116</v>
      </c>
      <c r="C8" s="5"/>
      <c r="D8" s="5"/>
      <c r="F8" s="5"/>
      <c r="G8" s="32"/>
      <c r="H8" s="33"/>
      <c r="I8" s="33"/>
      <c r="J8" s="33"/>
      <c r="K8" s="34"/>
    </row>
    <row r="9" spans="1:21">
      <c r="B9" s="35" t="s">
        <v>117</v>
      </c>
      <c r="C9" s="30"/>
      <c r="D9" s="30"/>
      <c r="E9" s="31"/>
      <c r="F9" s="30"/>
      <c r="G9" s="32"/>
      <c r="H9" s="33"/>
      <c r="I9" s="33"/>
      <c r="J9" s="33"/>
      <c r="K9" s="34"/>
    </row>
    <row r="10" spans="1:21">
      <c r="B10" s="35" t="s">
        <v>118</v>
      </c>
      <c r="C10" s="36"/>
      <c r="D10" s="36"/>
      <c r="E10" s="37"/>
      <c r="F10" s="30"/>
      <c r="G10" s="38"/>
      <c r="H10" s="39"/>
      <c r="I10" s="40"/>
      <c r="J10" s="40"/>
    </row>
    <row r="11" spans="1:21">
      <c r="B11" s="35" t="s">
        <v>119</v>
      </c>
      <c r="C11" s="41"/>
      <c r="D11" s="41"/>
      <c r="E11" s="41"/>
      <c r="F11" s="41"/>
      <c r="G11" s="42"/>
      <c r="H11" s="43"/>
      <c r="I11" s="43"/>
      <c r="J11" s="43"/>
      <c r="K11" s="43"/>
    </row>
    <row r="12" spans="1:21">
      <c r="B12" s="35" t="s">
        <v>120</v>
      </c>
      <c r="C12" s="44"/>
      <c r="D12" s="44"/>
      <c r="E12" s="45"/>
      <c r="F12" s="44"/>
      <c r="G12" s="38"/>
      <c r="H12" s="39"/>
      <c r="I12" s="39"/>
      <c r="J12" s="39"/>
      <c r="K12" s="34"/>
    </row>
    <row r="13" ht="21" customHeight="1" spans="1:21">
      <c r="A13" s="46" t="s">
        <v>121</v>
      </c>
      <c r="B13" s="47" t="s">
        <v>117</v>
      </c>
      <c r="C13" s="48" t="s">
        <v>189</v>
      </c>
      <c r="D13" s="48" t="s">
        <v>124</v>
      </c>
      <c r="E13" s="48" t="s">
        <v>125</v>
      </c>
      <c r="F13" s="48" t="s">
        <v>190</v>
      </c>
      <c r="G13" s="49" t="s">
        <v>127</v>
      </c>
      <c r="H13" s="50" t="s">
        <v>128</v>
      </c>
      <c r="I13" s="50" t="s">
        <v>191</v>
      </c>
      <c r="J13" s="50" t="s">
        <v>192</v>
      </c>
      <c r="K13" s="50" t="s">
        <v>193</v>
      </c>
      <c r="L13" s="51"/>
      <c r="M13" s="8" t="s">
        <v>194</v>
      </c>
      <c r="N13" s="8" t="s">
        <v>195</v>
      </c>
      <c r="O13" s="8"/>
      <c r="P13" s="8"/>
      <c r="R13" s="52" t="s">
        <v>196</v>
      </c>
    </row>
    <row r="14" s="2" customFormat="1" ht="27" customHeight="1" spans="1:21">
      <c r="A14" s="53" t="s">
        <v>132</v>
      </c>
      <c r="B14" s="54" t="s">
        <v>133</v>
      </c>
      <c r="C14" s="55" t="s">
        <v>134</v>
      </c>
      <c r="D14" s="55" t="s">
        <v>135</v>
      </c>
      <c r="E14" s="56" t="s">
        <v>136</v>
      </c>
      <c r="F14" s="55" t="s">
        <v>146</v>
      </c>
      <c r="G14" s="57">
        <f>'GDI-DPL'!G17</f>
        <v>3</v>
      </c>
      <c r="H14" s="58">
        <f>'GDI-DPL'!H17</f>
        <v>62.6</v>
      </c>
      <c r="I14" s="58">
        <f>'GDI-DPL'!I17</f>
        <v>234</v>
      </c>
      <c r="J14" s="58">
        <f>'GDI-DPL'!J17</f>
        <v>138.01</v>
      </c>
      <c r="K14" s="58">
        <f>'GDI-DPL'!K17</f>
        <v>63.2</v>
      </c>
      <c r="L14" s="59" t="s">
        <v>197</v>
      </c>
      <c r="M14" s="60"/>
      <c r="N14" s="60"/>
      <c r="O14" s="61"/>
      <c r="P14" s="61"/>
      <c r="Q14" s="61"/>
      <c r="R14" s="61"/>
      <c r="S14" s="61"/>
      <c r="T14" s="61"/>
      <c r="U14" s="61"/>
    </row>
    <row r="15" s="2" customFormat="1" ht="27" customHeight="1" spans="1:21">
      <c r="A15" s="53" t="s">
        <v>132</v>
      </c>
      <c r="B15" s="54" t="s">
        <v>133</v>
      </c>
      <c r="C15" s="55" t="s">
        <v>139</v>
      </c>
      <c r="D15" s="55" t="s">
        <v>135</v>
      </c>
      <c r="E15" s="56" t="s">
        <v>136</v>
      </c>
      <c r="F15" s="55" t="s">
        <v>146</v>
      </c>
      <c r="G15" s="57">
        <f>'GDI-DPL'!G20</f>
        <v>2</v>
      </c>
      <c r="H15" s="58">
        <f>'GDI-DPL'!H20</f>
        <v>44.1</v>
      </c>
      <c r="I15" s="58">
        <f>'GDI-DPL'!I20</f>
        <v>164.8</v>
      </c>
      <c r="J15" s="58">
        <f>'GDI-DPL'!J20</f>
        <v>97.22</v>
      </c>
      <c r="K15" s="58">
        <f>'GDI-DPL'!K20</f>
        <v>44.5</v>
      </c>
      <c r="L15" s="59" t="s">
        <v>198</v>
      </c>
      <c r="M15" s="60"/>
      <c r="N15" s="60"/>
      <c r="O15" s="61"/>
      <c r="P15" s="61"/>
      <c r="Q15" s="61"/>
      <c r="R15" s="61"/>
      <c r="S15" s="61"/>
      <c r="T15" s="61"/>
      <c r="U15" s="61"/>
    </row>
    <row r="16" s="2" customFormat="1" ht="27" customHeight="1" spans="1:21">
      <c r="A16" s="53" t="s">
        <v>132</v>
      </c>
      <c r="B16" s="54" t="s">
        <v>133</v>
      </c>
      <c r="C16" s="55" t="s">
        <v>140</v>
      </c>
      <c r="D16" s="55" t="s">
        <v>135</v>
      </c>
      <c r="E16" s="56" t="s">
        <v>136</v>
      </c>
      <c r="F16" s="55" t="s">
        <v>146</v>
      </c>
      <c r="G16" s="57">
        <f>'GDI-DPL'!G45</f>
        <v>24</v>
      </c>
      <c r="H16" s="58">
        <f>'GDI-DPL'!H45</f>
        <v>532.9</v>
      </c>
      <c r="I16" s="58">
        <f>'GDI-DPL'!I45</f>
        <v>1991.7</v>
      </c>
      <c r="J16" s="58">
        <f>'GDI-DPL'!J45</f>
        <v>1174.79</v>
      </c>
      <c r="K16" s="58">
        <f>'GDI-DPL'!K45</f>
        <v>537.7</v>
      </c>
      <c r="L16" s="59"/>
      <c r="M16" s="60"/>
      <c r="N16" s="60"/>
      <c r="O16" s="61"/>
      <c r="P16" s="61"/>
      <c r="Q16" s="61"/>
      <c r="R16" s="61"/>
      <c r="S16" s="61"/>
      <c r="T16" s="61"/>
      <c r="U16" s="61"/>
    </row>
    <row r="17" s="2" customFormat="1" ht="27" customHeight="1" spans="1:21">
      <c r="A17" s="53" t="s">
        <v>132</v>
      </c>
      <c r="B17" s="54" t="s">
        <v>133</v>
      </c>
      <c r="C17" s="55" t="s">
        <v>141</v>
      </c>
      <c r="D17" s="55" t="s">
        <v>135</v>
      </c>
      <c r="E17" s="56" t="s">
        <v>136</v>
      </c>
      <c r="F17" s="55" t="s">
        <v>146</v>
      </c>
      <c r="G17" s="57">
        <f>'GDI-DPL'!G73</f>
        <v>27</v>
      </c>
      <c r="H17" s="58">
        <f>'GDI-DPL'!H73</f>
        <v>586</v>
      </c>
      <c r="I17" s="58">
        <f>'GDI-DPL'!I73</f>
        <v>2190.1</v>
      </c>
      <c r="J17" s="58">
        <f>'GDI-DPL'!J73</f>
        <v>1291.88</v>
      </c>
      <c r="K17" s="58">
        <f>'GDI-DPL'!K73</f>
        <v>591.4</v>
      </c>
      <c r="L17" s="59"/>
      <c r="M17" s="60"/>
      <c r="N17" s="60"/>
      <c r="O17" s="61"/>
      <c r="P17" s="61"/>
      <c r="Q17" s="61"/>
      <c r="R17" s="61"/>
      <c r="S17" s="61"/>
      <c r="T17" s="61"/>
      <c r="U17" s="61"/>
    </row>
    <row r="18" s="2" customFormat="1" ht="27" customHeight="1" spans="1:21">
      <c r="A18" s="53" t="s">
        <v>132</v>
      </c>
      <c r="B18" s="54" t="s">
        <v>142</v>
      </c>
      <c r="C18" s="55" t="s">
        <v>143</v>
      </c>
      <c r="D18" s="55" t="s">
        <v>144</v>
      </c>
      <c r="E18" s="56" t="s">
        <v>145</v>
      </c>
      <c r="F18" s="55" t="s">
        <v>146</v>
      </c>
      <c r="G18" s="57">
        <f>'GDI-DPL'!G105</f>
        <v>31</v>
      </c>
      <c r="H18" s="58">
        <f>'GDI-DPL'!H105</f>
        <v>694.9</v>
      </c>
      <c r="I18" s="58">
        <f>'GDI-DPL'!I105</f>
        <v>2597.3</v>
      </c>
      <c r="J18" s="58">
        <f>'GDI-DPL'!J105</f>
        <v>1531.97</v>
      </c>
      <c r="K18" s="58">
        <f>'GDI-DPL'!K105</f>
        <v>701.1</v>
      </c>
      <c r="L18" s="59"/>
      <c r="M18" s="60"/>
      <c r="N18" s="60"/>
      <c r="O18" s="61"/>
      <c r="P18" s="61"/>
      <c r="Q18" s="61"/>
      <c r="R18" s="61"/>
      <c r="S18" s="61"/>
      <c r="T18" s="61"/>
      <c r="U18" s="61"/>
    </row>
    <row r="19" s="2" customFormat="1" ht="27" customHeight="1" spans="1:21">
      <c r="A19" s="53" t="s">
        <v>132</v>
      </c>
      <c r="B19" s="54" t="s">
        <v>142</v>
      </c>
      <c r="C19" s="55" t="s">
        <v>147</v>
      </c>
      <c r="D19" s="55" t="s">
        <v>144</v>
      </c>
      <c r="E19" s="56" t="s">
        <v>145</v>
      </c>
      <c r="F19" s="55" t="s">
        <v>146</v>
      </c>
      <c r="G19" s="57">
        <f>'GDI-DPL'!G138</f>
        <v>32</v>
      </c>
      <c r="H19" s="58">
        <f>'GDI-DPL'!H138</f>
        <v>709.7</v>
      </c>
      <c r="I19" s="58">
        <f>'GDI-DPL'!I138</f>
        <v>2652.7</v>
      </c>
      <c r="J19" s="58">
        <f>'GDI-DPL'!J138</f>
        <v>1564.54</v>
      </c>
      <c r="K19" s="58">
        <f>'GDI-DPL'!K138</f>
        <v>716.1</v>
      </c>
      <c r="L19" s="59"/>
      <c r="M19" s="60"/>
      <c r="N19" s="60"/>
      <c r="O19" s="61"/>
      <c r="P19" s="61"/>
      <c r="Q19" s="61"/>
      <c r="R19" s="61"/>
      <c r="S19" s="61"/>
      <c r="T19" s="61"/>
      <c r="U19" s="61"/>
    </row>
    <row r="20" s="2" customFormat="1" ht="27" customHeight="1" spans="1:21">
      <c r="A20" s="53" t="s">
        <v>132</v>
      </c>
      <c r="B20" s="54" t="s">
        <v>142</v>
      </c>
      <c r="C20" s="55" t="s">
        <v>148</v>
      </c>
      <c r="D20" s="55" t="s">
        <v>144</v>
      </c>
      <c r="E20" s="56" t="s">
        <v>145</v>
      </c>
      <c r="F20" s="55" t="s">
        <v>146</v>
      </c>
      <c r="G20" s="57">
        <f>'GDI-DPL'!G169</f>
        <v>30</v>
      </c>
      <c r="H20" s="58">
        <f>'GDI-DPL'!H169</f>
        <v>648.5</v>
      </c>
      <c r="I20" s="58">
        <f>'GDI-DPL'!I169</f>
        <v>2423.7</v>
      </c>
      <c r="J20" s="58">
        <f>'GDI-DPL'!J169</f>
        <v>1429.63</v>
      </c>
      <c r="K20" s="58">
        <f>'GDI-DPL'!K169</f>
        <v>654.5</v>
      </c>
      <c r="L20" s="59" t="s">
        <v>199</v>
      </c>
      <c r="M20" s="60"/>
      <c r="N20" s="60"/>
      <c r="O20" s="61"/>
      <c r="P20" s="61"/>
      <c r="Q20" s="61"/>
      <c r="R20" s="61"/>
      <c r="S20" s="61"/>
      <c r="T20" s="61"/>
      <c r="U20" s="61"/>
    </row>
    <row r="21" s="2" customFormat="1" ht="27" customHeight="1" spans="1:21">
      <c r="A21" s="53" t="s">
        <v>132</v>
      </c>
      <c r="B21" s="54" t="s">
        <v>142</v>
      </c>
      <c r="C21" s="55" t="s">
        <v>172</v>
      </c>
      <c r="D21" s="55" t="s">
        <v>144</v>
      </c>
      <c r="E21" s="62" t="s">
        <v>173</v>
      </c>
      <c r="F21" s="55" t="s">
        <v>200</v>
      </c>
      <c r="G21" s="57">
        <f>'GDI-DPL'!G331</f>
        <v>30</v>
      </c>
      <c r="H21" s="58">
        <f>'GDI-DPL'!H331</f>
        <v>670.1</v>
      </c>
      <c r="I21" s="58">
        <f>'GDI-DPL'!I331</f>
        <v>2802.2</v>
      </c>
      <c r="J21" s="58">
        <f>'GDI-DPL'!J331</f>
        <v>1477.22</v>
      </c>
      <c r="K21" s="58">
        <f>'GDI-DPL'!K331</f>
        <v>676.1</v>
      </c>
      <c r="L21" s="59"/>
      <c r="M21" s="60"/>
      <c r="N21" s="60"/>
      <c r="O21" s="61"/>
      <c r="P21" s="61"/>
      <c r="Q21" s="61"/>
      <c r="R21" s="61"/>
      <c r="S21" s="61"/>
      <c r="T21" s="61"/>
      <c r="U21" s="61"/>
    </row>
    <row r="22" s="2" customFormat="1" ht="27" customHeight="1" spans="1:21">
      <c r="A22" s="53" t="s">
        <v>132</v>
      </c>
      <c r="B22" s="54" t="s">
        <v>142</v>
      </c>
      <c r="C22" s="55" t="s">
        <v>175</v>
      </c>
      <c r="D22" s="55" t="s">
        <v>144</v>
      </c>
      <c r="E22" s="62" t="s">
        <v>173</v>
      </c>
      <c r="F22" s="55" t="s">
        <v>201</v>
      </c>
      <c r="G22" s="57">
        <f>'GDI-DPL'!G369</f>
        <v>37</v>
      </c>
      <c r="H22" s="58">
        <f>'GDI-DPL'!H369</f>
        <v>819.7</v>
      </c>
      <c r="I22" s="58">
        <f>'GDI-DPL'!I369</f>
        <v>3428.5</v>
      </c>
      <c r="J22" s="58">
        <f>'GDI-DPL'!J369</f>
        <v>1807.04</v>
      </c>
      <c r="K22" s="58">
        <f>'GDI-DPL'!K369</f>
        <v>827.1</v>
      </c>
      <c r="L22" s="59"/>
      <c r="M22" s="60"/>
      <c r="N22" s="60"/>
      <c r="O22" s="61"/>
      <c r="P22" s="61"/>
      <c r="Q22" s="61"/>
      <c r="R22" s="61"/>
      <c r="S22" s="61"/>
      <c r="T22" s="61"/>
      <c r="U22" s="61"/>
    </row>
    <row r="23" s="2" customFormat="1" ht="27" customHeight="1" spans="1:21">
      <c r="A23" s="53" t="s">
        <v>132</v>
      </c>
      <c r="B23" s="54" t="s">
        <v>142</v>
      </c>
      <c r="C23" s="55" t="s">
        <v>177</v>
      </c>
      <c r="D23" s="55" t="s">
        <v>144</v>
      </c>
      <c r="E23" s="62" t="s">
        <v>173</v>
      </c>
      <c r="F23" s="55" t="s">
        <v>201</v>
      </c>
      <c r="G23" s="57">
        <f>'GDI-DPL'!G389</f>
        <v>19</v>
      </c>
      <c r="H23" s="58">
        <f>'GDI-DPL'!H389</f>
        <v>414.5</v>
      </c>
      <c r="I23" s="58">
        <f>'GDI-DPL'!I389</f>
        <v>1733.3</v>
      </c>
      <c r="J23" s="58">
        <f>'GDI-DPL'!J389</f>
        <v>913.79</v>
      </c>
      <c r="K23" s="58">
        <f>'GDI-DPL'!K389</f>
        <v>418.3</v>
      </c>
      <c r="L23" s="59" t="s">
        <v>202</v>
      </c>
      <c r="M23" s="60"/>
      <c r="N23" s="60"/>
      <c r="O23" s="61"/>
      <c r="P23" s="61"/>
      <c r="Q23" s="61"/>
      <c r="R23" s="61"/>
      <c r="S23" s="61"/>
      <c r="T23" s="61"/>
      <c r="U23" s="61"/>
    </row>
    <row r="24" s="2" customFormat="1" ht="27" customHeight="1" spans="1:21">
      <c r="A24" s="53" t="s">
        <v>132</v>
      </c>
      <c r="B24" s="54" t="s">
        <v>142</v>
      </c>
      <c r="C24" s="55" t="s">
        <v>178</v>
      </c>
      <c r="D24" s="55" t="s">
        <v>144</v>
      </c>
      <c r="E24" s="62" t="s">
        <v>173</v>
      </c>
      <c r="F24" s="55" t="s">
        <v>203</v>
      </c>
      <c r="G24" s="57">
        <f>'GDI-DPL'!G429</f>
        <v>39</v>
      </c>
      <c r="H24" s="58">
        <f>'GDI-DPL'!H429</f>
        <v>860.3</v>
      </c>
      <c r="I24" s="58">
        <f>'GDI-DPL'!I429</f>
        <v>3597.8</v>
      </c>
      <c r="J24" s="58">
        <f>'GDI-DPL'!J429</f>
        <v>1896.59</v>
      </c>
      <c r="K24" s="58">
        <f>'GDI-DPL'!K429</f>
        <v>868.1</v>
      </c>
      <c r="L24" s="59"/>
      <c r="M24" s="60"/>
      <c r="N24" s="60"/>
      <c r="O24" s="61"/>
      <c r="P24" s="61"/>
      <c r="Q24" s="61"/>
      <c r="R24" s="61"/>
      <c r="S24" s="61"/>
      <c r="T24" s="61"/>
      <c r="U24" s="61"/>
    </row>
    <row r="25" s="2" customFormat="1" ht="27" customHeight="1" spans="1:21">
      <c r="A25" s="53" t="s">
        <v>132</v>
      </c>
      <c r="B25" s="54" t="s">
        <v>142</v>
      </c>
      <c r="C25" s="55" t="s">
        <v>180</v>
      </c>
      <c r="D25" s="55" t="s">
        <v>144</v>
      </c>
      <c r="E25" s="62" t="s">
        <v>173</v>
      </c>
      <c r="F25" s="55" t="s">
        <v>204</v>
      </c>
      <c r="G25" s="57">
        <f>'GDI-DPL'!G470</f>
        <v>40</v>
      </c>
      <c r="H25" s="58">
        <f>'GDI-DPL'!H470</f>
        <v>880.3</v>
      </c>
      <c r="I25" s="58">
        <f>'GDI-DPL'!I470</f>
        <v>3681.8</v>
      </c>
      <c r="J25" s="58">
        <f>'GDI-DPL'!J470</f>
        <v>1940.63</v>
      </c>
      <c r="K25" s="58">
        <f>'GDI-DPL'!K470</f>
        <v>888.3</v>
      </c>
      <c r="L25" s="59" t="s">
        <v>205</v>
      </c>
      <c r="M25" s="60"/>
      <c r="N25" s="60"/>
      <c r="O25" s="61"/>
      <c r="P25" s="61"/>
      <c r="Q25" s="61"/>
      <c r="R25" s="61"/>
      <c r="S25" s="61"/>
      <c r="T25" s="61"/>
      <c r="U25" s="61"/>
    </row>
    <row r="26" s="2" customFormat="1" ht="27" customHeight="1" spans="1:21">
      <c r="A26" s="63" t="s">
        <v>132</v>
      </c>
      <c r="B26" s="64" t="s">
        <v>142</v>
      </c>
      <c r="C26" s="65" t="s">
        <v>186</v>
      </c>
      <c r="D26" s="65" t="s">
        <v>144</v>
      </c>
      <c r="E26" s="66" t="s">
        <v>173</v>
      </c>
      <c r="F26" s="65" t="s">
        <v>206</v>
      </c>
      <c r="G26" s="67">
        <f>'GDI-DPL'!G505</f>
        <v>29</v>
      </c>
      <c r="H26" s="68">
        <f>'GDI-DPL'!H505</f>
        <v>631.9</v>
      </c>
      <c r="I26" s="68">
        <f>'GDI-DPL'!I505</f>
        <v>2642.9</v>
      </c>
      <c r="J26" s="68">
        <f>'GDI-DPL'!J505</f>
        <v>1393.07</v>
      </c>
      <c r="K26" s="68">
        <f>'GDI-DPL'!K505</f>
        <v>637.7</v>
      </c>
      <c r="L26" s="59" t="s">
        <v>207</v>
      </c>
      <c r="M26" s="60"/>
      <c r="N26" s="60"/>
      <c r="O26" s="61"/>
      <c r="P26" s="61"/>
      <c r="Q26" s="61"/>
      <c r="R26" s="61"/>
      <c r="S26" s="61"/>
      <c r="T26" s="61"/>
      <c r="U26" s="61"/>
    </row>
    <row r="27" s="2" customFormat="1" ht="27" customHeight="1" spans="1:21">
      <c r="A27" s="53" t="s">
        <v>132</v>
      </c>
      <c r="B27" s="54" t="s">
        <v>149</v>
      </c>
      <c r="C27" s="55" t="s">
        <v>150</v>
      </c>
      <c r="D27" s="55" t="s">
        <v>151</v>
      </c>
      <c r="E27" s="56" t="s">
        <v>152</v>
      </c>
      <c r="F27" s="55" t="s">
        <v>153</v>
      </c>
      <c r="G27" s="57">
        <f>'GDI-DPL'!G177</f>
        <v>7</v>
      </c>
      <c r="H27" s="58">
        <f>'GDI-DPL'!H177</f>
        <v>154.1</v>
      </c>
      <c r="I27" s="58">
        <f>'GDI-DPL'!I177</f>
        <v>747.5</v>
      </c>
      <c r="J27" s="58">
        <f>'GDI-DPL'!J177</f>
        <v>339.72</v>
      </c>
      <c r="K27" s="58">
        <f>'GDI-DPL'!K177</f>
        <v>155.5</v>
      </c>
      <c r="L27" s="59"/>
      <c r="M27" s="60"/>
      <c r="N27" s="60"/>
      <c r="O27" s="61"/>
      <c r="P27" s="61"/>
      <c r="Q27" s="61"/>
      <c r="R27" s="61"/>
      <c r="S27" s="61"/>
      <c r="T27" s="61"/>
      <c r="U27" s="61"/>
    </row>
    <row r="28" s="2" customFormat="1" ht="27" customHeight="1" spans="1:21">
      <c r="A28" s="53" t="s">
        <v>132</v>
      </c>
      <c r="B28" s="54" t="s">
        <v>149</v>
      </c>
      <c r="C28" s="55" t="s">
        <v>154</v>
      </c>
      <c r="D28" s="55" t="s">
        <v>151</v>
      </c>
      <c r="E28" s="56" t="s">
        <v>152</v>
      </c>
      <c r="F28" s="55" t="s">
        <v>153</v>
      </c>
      <c r="G28" s="57">
        <f>'GDI-DPL'!G187</f>
        <v>9</v>
      </c>
      <c r="H28" s="58">
        <f>'GDI-DPL'!H187</f>
        <v>196.1</v>
      </c>
      <c r="I28" s="58">
        <f>'GDI-DPL'!I187</f>
        <v>951.2</v>
      </c>
      <c r="J28" s="58">
        <f>'GDI-DPL'!J187</f>
        <v>432.32</v>
      </c>
      <c r="K28" s="58">
        <f>'GDI-DPL'!K187</f>
        <v>197.9</v>
      </c>
      <c r="L28" s="59" t="s">
        <v>208</v>
      </c>
      <c r="M28" s="60"/>
      <c r="N28" s="60"/>
      <c r="O28" s="61"/>
      <c r="P28" s="61"/>
      <c r="Q28" s="61"/>
      <c r="R28" s="61"/>
      <c r="S28" s="61"/>
      <c r="T28" s="61"/>
      <c r="U28" s="61"/>
    </row>
    <row r="29" s="2" customFormat="1" ht="27" customHeight="1" spans="1:21">
      <c r="A29" s="53" t="s">
        <v>132</v>
      </c>
      <c r="B29" s="54" t="s">
        <v>149</v>
      </c>
      <c r="C29" s="55" t="s">
        <v>155</v>
      </c>
      <c r="D29" s="55" t="s">
        <v>151</v>
      </c>
      <c r="E29" s="56" t="s">
        <v>152</v>
      </c>
      <c r="F29" s="55" t="s">
        <v>153</v>
      </c>
      <c r="G29" s="57">
        <f>'GDI-DPL'!G213</f>
        <v>25</v>
      </c>
      <c r="H29" s="58">
        <f>'GDI-DPL'!H213</f>
        <v>547.2</v>
      </c>
      <c r="I29" s="58">
        <f>'GDI-DPL'!I213</f>
        <v>2654.3</v>
      </c>
      <c r="J29" s="58">
        <f>'GDI-DPL'!J213</f>
        <v>1206.33</v>
      </c>
      <c r="K29" s="58">
        <f>'GDI-DPL'!K213</f>
        <v>552.2</v>
      </c>
      <c r="L29" s="59" t="s">
        <v>209</v>
      </c>
      <c r="M29" s="60"/>
      <c r="N29" s="60"/>
      <c r="O29" s="61"/>
      <c r="P29" s="61"/>
      <c r="Q29" s="61"/>
      <c r="R29" s="61"/>
      <c r="S29" s="61"/>
      <c r="T29" s="61"/>
      <c r="U29" s="61"/>
    </row>
    <row r="30" s="2" customFormat="1" ht="27" customHeight="1" spans="1:21">
      <c r="A30" s="53" t="s">
        <v>132</v>
      </c>
      <c r="B30" s="54" t="s">
        <v>156</v>
      </c>
      <c r="C30" s="55" t="s">
        <v>188</v>
      </c>
      <c r="D30" s="55" t="s">
        <v>158</v>
      </c>
      <c r="E30" s="56" t="s">
        <v>159</v>
      </c>
      <c r="F30" s="55" t="s">
        <v>210</v>
      </c>
      <c r="G30" s="57">
        <f>'GDI-DPL'!G527</f>
        <v>21</v>
      </c>
      <c r="H30" s="58">
        <f>'GDI-DPL'!H527</f>
        <v>459.6</v>
      </c>
      <c r="I30" s="58">
        <f>'GDI-DPL'!I527</f>
        <v>2229.7</v>
      </c>
      <c r="J30" s="58">
        <f>'GDI-DPL'!J527</f>
        <v>1013.21</v>
      </c>
      <c r="K30" s="58">
        <f>'GDI-DPL'!K527</f>
        <v>463.8</v>
      </c>
      <c r="L30" s="59" t="s">
        <v>211</v>
      </c>
      <c r="M30" s="60"/>
      <c r="N30" s="60"/>
      <c r="O30" s="61"/>
      <c r="P30" s="61"/>
      <c r="Q30" s="61"/>
      <c r="R30" s="61"/>
      <c r="S30" s="61"/>
      <c r="T30" s="61"/>
      <c r="U30" s="61"/>
    </row>
    <row r="31" s="2" customFormat="1" ht="27" customHeight="1" spans="1:21">
      <c r="A31" s="53" t="s">
        <v>132</v>
      </c>
      <c r="B31" s="54" t="s">
        <v>156</v>
      </c>
      <c r="C31" s="55" t="s">
        <v>157</v>
      </c>
      <c r="D31" s="55" t="s">
        <v>158</v>
      </c>
      <c r="E31" s="56" t="s">
        <v>159</v>
      </c>
      <c r="F31" s="55" t="s">
        <v>210</v>
      </c>
      <c r="G31" s="57">
        <f>'GDI-DPL'!G240</f>
        <v>26</v>
      </c>
      <c r="H31" s="58">
        <f>'GDI-DPL'!H240</f>
        <v>562.2</v>
      </c>
      <c r="I31" s="58">
        <f>'GDI-DPL'!I240</f>
        <v>2727.4</v>
      </c>
      <c r="J31" s="58">
        <f>'GDI-DPL'!J240</f>
        <v>1239.43</v>
      </c>
      <c r="K31" s="58">
        <f>'GDI-DPL'!K240</f>
        <v>567.4</v>
      </c>
      <c r="L31" s="59"/>
      <c r="M31" s="60"/>
      <c r="N31" s="60"/>
      <c r="O31" s="61"/>
      <c r="P31" s="61"/>
      <c r="Q31" s="61"/>
      <c r="R31" s="61"/>
      <c r="S31" s="61"/>
      <c r="T31" s="61"/>
      <c r="U31" s="61"/>
    </row>
    <row r="32" s="2" customFormat="1" ht="27" customHeight="1" spans="1:21">
      <c r="A32" s="53" t="s">
        <v>132</v>
      </c>
      <c r="B32" s="54" t="s">
        <v>161</v>
      </c>
      <c r="C32" s="55" t="s">
        <v>162</v>
      </c>
      <c r="D32" s="55" t="s">
        <v>163</v>
      </c>
      <c r="E32" s="56" t="s">
        <v>159</v>
      </c>
      <c r="F32" s="55" t="s">
        <v>160</v>
      </c>
      <c r="G32" s="57">
        <f>'GDI-DPL'!G248</f>
        <v>7</v>
      </c>
      <c r="H32" s="58">
        <f>'GDI-DPL'!H248</f>
        <v>155.7</v>
      </c>
      <c r="I32" s="58">
        <f>'GDI-DPL'!I248</f>
        <v>755.3</v>
      </c>
      <c r="J32" s="58">
        <f>'GDI-DPL'!J248</f>
        <v>343.26</v>
      </c>
      <c r="K32" s="58">
        <f>'GDI-DPL'!K248</f>
        <v>157.1</v>
      </c>
      <c r="L32" s="59"/>
      <c r="M32" s="60"/>
      <c r="N32" s="60"/>
      <c r="O32" s="61"/>
      <c r="P32" s="61"/>
      <c r="Q32" s="61"/>
      <c r="R32" s="61"/>
      <c r="S32" s="61"/>
      <c r="T32" s="61"/>
      <c r="U32" s="61"/>
    </row>
    <row r="33" s="2" customFormat="1" ht="27" customHeight="1" spans="1:21">
      <c r="A33" s="53" t="s">
        <v>132</v>
      </c>
      <c r="B33" s="54" t="s">
        <v>161</v>
      </c>
      <c r="C33" s="55" t="s">
        <v>164</v>
      </c>
      <c r="D33" s="55" t="s">
        <v>163</v>
      </c>
      <c r="E33" s="56" t="s">
        <v>159</v>
      </c>
      <c r="F33" s="55" t="s">
        <v>212</v>
      </c>
      <c r="G33" s="57">
        <f>'GDI-DPL'!G250</f>
        <v>1</v>
      </c>
      <c r="H33" s="58">
        <f>'GDI-DPL'!H250</f>
        <v>19.5</v>
      </c>
      <c r="I33" s="58">
        <f>'GDI-DPL'!I250</f>
        <v>94.6</v>
      </c>
      <c r="J33" s="58">
        <f>'GDI-DPL'!J250</f>
        <v>42.99</v>
      </c>
      <c r="K33" s="58">
        <f>'GDI-DPL'!K250</f>
        <v>19.7</v>
      </c>
      <c r="L33" s="59" t="s">
        <v>213</v>
      </c>
      <c r="M33" s="60"/>
      <c r="N33" s="60"/>
      <c r="O33" s="61"/>
      <c r="P33" s="61"/>
      <c r="Q33" s="61"/>
      <c r="R33" s="61"/>
      <c r="S33" s="61"/>
      <c r="T33" s="61"/>
      <c r="U33" s="61"/>
    </row>
    <row r="34" s="2" customFormat="1" ht="27" customHeight="1" spans="1:21">
      <c r="A34" s="53" t="s">
        <v>132</v>
      </c>
      <c r="B34" s="54" t="s">
        <v>161</v>
      </c>
      <c r="C34" s="55" t="s">
        <v>166</v>
      </c>
      <c r="D34" s="55" t="s">
        <v>163</v>
      </c>
      <c r="E34" s="56" t="s">
        <v>159</v>
      </c>
      <c r="F34" s="55" t="s">
        <v>212</v>
      </c>
      <c r="G34" s="57">
        <f>'GDI-DPL'!G252</f>
        <v>1</v>
      </c>
      <c r="H34" s="58">
        <f>'GDI-DPL'!H252</f>
        <v>21.3</v>
      </c>
      <c r="I34" s="58">
        <f>'GDI-DPL'!I252</f>
        <v>103.3</v>
      </c>
      <c r="J34" s="58">
        <f>'GDI-DPL'!J252</f>
        <v>46.96</v>
      </c>
      <c r="K34" s="58">
        <f>'GDI-DPL'!K252</f>
        <v>21.5</v>
      </c>
      <c r="L34" s="59" t="s">
        <v>214</v>
      </c>
      <c r="M34" s="60"/>
      <c r="N34" s="60"/>
      <c r="O34" s="61"/>
      <c r="P34" s="61"/>
      <c r="Q34" s="61"/>
      <c r="R34" s="61"/>
      <c r="S34" s="61"/>
      <c r="T34" s="61"/>
      <c r="U34" s="61"/>
    </row>
    <row r="35" s="2" customFormat="1" ht="27" customHeight="1" spans="1:21">
      <c r="A35" s="53" t="s">
        <v>132</v>
      </c>
      <c r="B35" s="54" t="s">
        <v>161</v>
      </c>
      <c r="C35" s="55" t="s">
        <v>167</v>
      </c>
      <c r="D35" s="55" t="s">
        <v>163</v>
      </c>
      <c r="E35" s="56" t="s">
        <v>159</v>
      </c>
      <c r="F35" s="55" t="s">
        <v>212</v>
      </c>
      <c r="G35" s="57">
        <f>'GDI-DPL'!G272</f>
        <v>19</v>
      </c>
      <c r="H35" s="58">
        <f>'GDI-DPL'!H272</f>
        <v>411.4</v>
      </c>
      <c r="I35" s="58">
        <f>'GDI-DPL'!I272</f>
        <v>1995.8</v>
      </c>
      <c r="J35" s="58">
        <f>'GDI-DPL'!J272</f>
        <v>906.97</v>
      </c>
      <c r="K35" s="58">
        <f>'GDI-DPL'!K272</f>
        <v>415.2</v>
      </c>
      <c r="L35" s="59"/>
      <c r="M35" s="60"/>
      <c r="N35" s="60"/>
      <c r="O35" s="61"/>
      <c r="P35" s="61"/>
      <c r="Q35" s="61"/>
      <c r="R35" s="61"/>
      <c r="S35" s="61"/>
      <c r="T35" s="61"/>
      <c r="U35" s="61"/>
    </row>
    <row r="36" s="2" customFormat="1" ht="27" customHeight="1" spans="1:21">
      <c r="A36" s="53" t="s">
        <v>132</v>
      </c>
      <c r="B36" s="54" t="s">
        <v>161</v>
      </c>
      <c r="C36" s="55" t="s">
        <v>168</v>
      </c>
      <c r="D36" s="55" t="s">
        <v>163</v>
      </c>
      <c r="E36" s="56" t="s">
        <v>169</v>
      </c>
      <c r="F36" s="55" t="s">
        <v>215</v>
      </c>
      <c r="G36" s="57">
        <f>'GDI-DPL'!G294</f>
        <v>21</v>
      </c>
      <c r="H36" s="58">
        <f>'GDI-DPL'!H294</f>
        <v>466</v>
      </c>
      <c r="I36" s="58">
        <f>'GDI-DPL'!I294</f>
        <v>2162</v>
      </c>
      <c r="J36" s="58">
        <f>'GDI-DPL'!J294</f>
        <v>1027.3</v>
      </c>
      <c r="K36" s="58">
        <f>'GDI-DPL'!K294</f>
        <v>470.2</v>
      </c>
      <c r="L36" s="59"/>
      <c r="M36" s="60"/>
      <c r="N36" s="60"/>
      <c r="O36" s="61"/>
      <c r="P36" s="61"/>
      <c r="Q36" s="61"/>
      <c r="R36" s="61"/>
      <c r="S36" s="61"/>
      <c r="T36" s="61"/>
      <c r="U36" s="61"/>
    </row>
    <row r="37" s="2" customFormat="1" ht="27" customHeight="1" spans="1:21">
      <c r="A37" s="53" t="s">
        <v>132</v>
      </c>
      <c r="B37" s="54" t="s">
        <v>161</v>
      </c>
      <c r="C37" s="55" t="s">
        <v>171</v>
      </c>
      <c r="D37" s="55" t="s">
        <v>163</v>
      </c>
      <c r="E37" s="56" t="s">
        <v>169</v>
      </c>
      <c r="F37" s="55" t="s">
        <v>170</v>
      </c>
      <c r="G37" s="57">
        <f>'GDI-DPL'!G300</f>
        <v>5</v>
      </c>
      <c r="H37" s="58">
        <f>'GDI-DPL'!H300</f>
        <v>97.3</v>
      </c>
      <c r="I37" s="58">
        <f>'GDI-DPL'!I300</f>
        <v>451.3</v>
      </c>
      <c r="J37" s="58">
        <f>'GDI-DPL'!J300</f>
        <v>214.51</v>
      </c>
      <c r="K37" s="58">
        <f>'GDI-DPL'!K300</f>
        <v>98.3</v>
      </c>
      <c r="L37" s="59" t="s">
        <v>216</v>
      </c>
      <c r="M37" s="60"/>
      <c r="N37" s="60"/>
      <c r="O37" s="61"/>
      <c r="P37" s="61"/>
      <c r="Q37" s="61"/>
      <c r="R37" s="61"/>
      <c r="S37" s="61"/>
      <c r="T37" s="61"/>
      <c r="U37" s="61"/>
    </row>
    <row r="38" s="2" customFormat="1" ht="27" customHeight="1" spans="1:21">
      <c r="A38" s="53" t="s">
        <v>132</v>
      </c>
      <c r="B38" s="54" t="s">
        <v>182</v>
      </c>
      <c r="C38" s="55" t="s">
        <v>183</v>
      </c>
      <c r="D38" s="55" t="s">
        <v>184</v>
      </c>
      <c r="E38" s="56" t="s">
        <v>185</v>
      </c>
      <c r="F38" s="55" t="s">
        <v>210</v>
      </c>
      <c r="G38" s="57">
        <f>'GDI-DPL'!G475</f>
        <v>4</v>
      </c>
      <c r="H38" s="58">
        <f>'GDI-DPL'!H475</f>
        <v>68.1</v>
      </c>
      <c r="I38" s="58">
        <f>'GDI-DPL'!I475</f>
        <v>254.5</v>
      </c>
      <c r="J38" s="58">
        <f>'GDI-DPL'!J475</f>
        <v>150.14</v>
      </c>
      <c r="K38" s="58">
        <f>'GDI-DPL'!K475</f>
        <v>68.9</v>
      </c>
      <c r="L38" s="59" t="s">
        <v>205</v>
      </c>
      <c r="M38" s="60"/>
      <c r="N38" s="60"/>
      <c r="O38" s="61"/>
      <c r="P38" s="61"/>
      <c r="Q38" s="61"/>
      <c r="R38" s="61"/>
      <c r="S38" s="61"/>
      <c r="T38" s="61"/>
      <c r="U38" s="61"/>
    </row>
    <row r="39" ht="24" customHeight="1" spans="1:21">
      <c r="A39" s="69"/>
      <c r="B39" s="70"/>
      <c r="C39" s="70"/>
      <c r="D39" s="70"/>
      <c r="E39" s="71"/>
      <c r="F39" s="70" t="s">
        <v>57</v>
      </c>
      <c r="G39" s="72">
        <f>SUM(G14:G38)</f>
        <v>489</v>
      </c>
      <c r="H39" s="73">
        <f>SUM(H14:H38)</f>
        <v>10714</v>
      </c>
      <c r="I39" s="73">
        <f>SUM(I14:I38)</f>
        <v>45267.7</v>
      </c>
      <c r="J39" s="73">
        <f>SUM(J14:J38)</f>
        <v>23619.52</v>
      </c>
      <c r="K39" s="73">
        <f>SUM(K14:K38)</f>
        <v>10811.8</v>
      </c>
      <c r="L39" s="74"/>
      <c r="M39" s="7"/>
    </row>
  </sheetData>
  <autoFilter xmlns:etc="http://www.wps.cn/officeDocument/2017/etCustomData" ref="A13:L39" etc:filterBottomFollowUsedRange="0">
    <extLst/>
  </autoFilter>
  <mergeCells count="16">
    <mergeCell ref="C1:K1"/>
    <mergeCell ref="C2:K2"/>
    <mergeCell ref="C3:K3"/>
    <mergeCell ref="B4:K4"/>
    <mergeCell ref="C8:F8"/>
    <mergeCell ref="C11:K11"/>
    <mergeCell ref="C12:H12"/>
    <mergeCell ref="M16:M17"/>
    <mergeCell ref="M18:M19"/>
    <mergeCell ref="M27:M28"/>
    <mergeCell ref="M29:M31"/>
    <mergeCell ref="N16:N17"/>
    <mergeCell ref="N18:N19"/>
    <mergeCell ref="N27:N28"/>
    <mergeCell ref="N29:N31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</cp:lastModifiedBy>
  <dcterms:created xsi:type="dcterms:W3CDTF">2024-06-22T00:03:00Z</dcterms:created>
  <cp:lastPrinted>2025-03-14T14:55:00Z</cp:lastPrinted>
  <dcterms:modified xsi:type="dcterms:W3CDTF">2026-09-22T06:30:37Z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DB690CC175C1472B8D1963F2A50C2F7B_13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