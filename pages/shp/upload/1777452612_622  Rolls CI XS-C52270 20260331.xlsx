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Desktop\要發出布文件\4 月2026 年\622 Rolls(Apr 2) XINSHENG to Nirwana(20+40 CY)\"/>
    </mc:Choice>
  </mc:AlternateContent>
  <xr:revisionPtr revIDLastSave="0" documentId="13_ncr:1_{F0E099FD-11C3-4BE8-BE6C-66E5B6C3E96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622 Rolls " sheetId="1" r:id="rId1"/>
  </sheets>
  <definedNames>
    <definedName name="_xlnm.Print_Area" localSheetId="0">'622 Rolls '!$A$1:$K$43</definedName>
  </definedNames>
  <calcPr calcId="181029"/>
</workbook>
</file>

<file path=xl/calcChain.xml><?xml version="1.0" encoding="utf-8"?>
<calcChain xmlns="http://schemas.openxmlformats.org/spreadsheetml/2006/main">
  <c r="I36" i="1" l="1"/>
  <c r="K35" i="1"/>
  <c r="K34" i="1"/>
  <c r="K33" i="1"/>
  <c r="K32" i="1"/>
  <c r="K31" i="1"/>
  <c r="K30" i="1"/>
  <c r="K36" i="1" l="1"/>
</calcChain>
</file>

<file path=xl/sharedStrings.xml><?xml version="1.0" encoding="utf-8"?>
<sst xmlns="http://schemas.openxmlformats.org/spreadsheetml/2006/main" count="52" uniqueCount="52">
  <si>
    <t>HANGZHOU XINSHENG PRINTING AND DYEING CO., LTD</t>
  </si>
  <si>
    <t>No.2 Yonghong RD, Dangwan Town, Xiaoshan Dirstrit,Hangzhou City,P.R.China, 311221</t>
  </si>
  <si>
    <t>Tel: +86 571 2280 8088</t>
  </si>
  <si>
    <t xml:space="preserve">Fax: +86 571 2280 8066 </t>
  </si>
  <si>
    <t>COMMERCIAL  INVOICE</t>
  </si>
  <si>
    <t>The Seller :</t>
  </si>
  <si>
    <t xml:space="preserve">Invoice No. </t>
  </si>
  <si>
    <t>Invoice Date</t>
  </si>
  <si>
    <t>HANGZHOU XINSHENG PRINTING &amp; DYEING CO., LTD</t>
  </si>
  <si>
    <t xml:space="preserve">XS20251111A
</t>
  </si>
  <si>
    <t>Buyer's Order No. &amp; Date</t>
  </si>
  <si>
    <t>The buyer:</t>
  </si>
  <si>
    <t xml:space="preserve">Fu Kwok Knitting &amp; Garment Co., Ltd. </t>
  </si>
  <si>
    <t>Other Reference(s)</t>
  </si>
  <si>
    <t>Manufacturer of the goods (if other than exporter)</t>
  </si>
  <si>
    <t>Vessel/Flight No.</t>
  </si>
  <si>
    <t>Port of Loading</t>
  </si>
  <si>
    <t>Country of Origin of goods</t>
  </si>
  <si>
    <t>China</t>
  </si>
  <si>
    <t>Port of Discharge</t>
  </si>
  <si>
    <t>Final Destination</t>
  </si>
  <si>
    <t>Terms of Delivery and Payment</t>
  </si>
  <si>
    <t>FOB SHANGHAI</t>
  </si>
  <si>
    <t>Art#</t>
  </si>
  <si>
    <t xml:space="preserve"> Description of Goods</t>
  </si>
  <si>
    <t>color</t>
  </si>
  <si>
    <t>Quantity</t>
  </si>
  <si>
    <t>Currency</t>
  </si>
  <si>
    <t>Amount</t>
  </si>
  <si>
    <t>YD</t>
  </si>
  <si>
    <t>USD/Y</t>
  </si>
  <si>
    <t>USD</t>
  </si>
  <si>
    <t>XS-C52270</t>
  </si>
  <si>
    <t>Total Qty:</t>
  </si>
  <si>
    <t>Total AMT:</t>
  </si>
  <si>
    <t>Consignee:</t>
    <phoneticPr fontId="12" type="noConversion"/>
  </si>
  <si>
    <t>JAKARTA,INDONESIA</t>
    <phoneticPr fontId="12" type="noConversion"/>
  </si>
  <si>
    <t>BEYOND YOGA FA26- BULK
PO# 5KBDYA13A01/A02
5KBDYE51/52/54A01
STYLE#WG70094D
WG1332/WG70096/WG70069</t>
    <phoneticPr fontId="12" type="noConversion"/>
  </si>
  <si>
    <t xml:space="preserve">KNIT FABRIC
50%VISCOSE 28%POLYESTER 
22% POLYAMIDE ,
Width: 62/63'',375GSM
</t>
    <phoneticPr fontId="12" type="noConversion"/>
  </si>
  <si>
    <t>CIF  Unit Price</t>
    <phoneticPr fontId="12" type="noConversion"/>
  </si>
  <si>
    <t>PT. NIRWANA ALABARE GARMENT</t>
    <phoneticPr fontId="12" type="noConversion"/>
  </si>
  <si>
    <t>JL. RAYA RANCAEKEK - MAJALAYA NO.289, DESA</t>
    <phoneticPr fontId="12" type="noConversion"/>
  </si>
  <si>
    <t>SOLOKAN JERUK, KEC.SOLOKAN JERUK, KABUPATEN BANDUNG,</t>
  </si>
  <si>
    <t>JAWA BARAT 40382 INDONESIA 6222-85962076</t>
  </si>
  <si>
    <t>ATTN: CINHUI/NINA  NPWP CODE: 0745 4069 2644 4000</t>
    <phoneticPr fontId="12" type="noConversion"/>
  </si>
  <si>
    <t>SAY TOTAL US DOLLARS ONE HUNDRED ONE THOUSAND EIGHT HUNDRE EIGHT AND CENTS NINE ONLY.</t>
    <phoneticPr fontId="12" type="noConversion"/>
  </si>
  <si>
    <t>BLACK 
19-3911 TCX</t>
    <phoneticPr fontId="12" type="noConversion"/>
  </si>
  <si>
    <t>CABERNET
155-22-14</t>
    <phoneticPr fontId="12" type="noConversion"/>
  </si>
  <si>
    <t>CHARCOAL HEATHER
BROS B25</t>
    <phoneticPr fontId="12" type="noConversion"/>
  </si>
  <si>
    <t>DARK IVY
098-22-07</t>
    <phoneticPr fontId="12" type="noConversion"/>
  </si>
  <si>
    <t>HEATHER GRAY
BH13</t>
    <phoneticPr fontId="12" type="noConversion"/>
  </si>
  <si>
    <t>OATMEAL HEATHER
B2829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</si>
</sst>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\$#,##0.00_);[Red]\(\$#,##0.00\)"/>
    <numFmt numFmtId="177" formatCode="#,##0.00_);[Red]\(#,##0.00\)"/>
    <numFmt numFmtId="178" formatCode="\$#,##0.00;\-\$#,##0.00"/>
    <numFmt numFmtId="179" formatCode="\¥#,##0.00_);[Red]\(\¥#,##0.00\)"/>
  </numFmts>
  <fonts count="15" x14ac:knownFonts="1">
    <font>
      <sz val="11"/>
      <color theme="1"/>
      <name val="新細明體"/>
      <charset val="134"/>
      <scheme val="minor"/>
    </font>
    <font>
      <sz val="10"/>
      <name val="Arial"/>
      <family val="2"/>
    </font>
    <font>
      <sz val="10"/>
      <color indexed="8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sz val="11"/>
      <color rgb="FF333333"/>
      <name val="Arial"/>
      <family val="2"/>
    </font>
    <font>
      <sz val="12"/>
      <name val="Arial"/>
      <family val="2"/>
    </font>
    <font>
      <sz val="11"/>
      <color theme="1"/>
      <name val="新細明體"/>
      <charset val="134"/>
      <scheme val="minor"/>
    </font>
    <font>
      <sz val="9"/>
      <name val="新細明體"/>
      <family val="3"/>
      <charset val="136"/>
      <scheme val="minor"/>
    </font>
    <font>
      <sz val="8"/>
      <name val="細明體"/>
      <family val="3"/>
      <charset val="136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3">
    <xf numFmtId="0" fontId="0" fillId="0" borderId="0">
      <alignment vertical="center"/>
    </xf>
    <xf numFmtId="0" fontId="11" fillId="0" borderId="0"/>
    <xf numFmtId="0" fontId="1" fillId="0" borderId="0">
      <alignment vertical="top"/>
    </xf>
  </cellStyleXfs>
  <cellXfs count="109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2" borderId="0" xfId="0" applyFont="1" applyFill="1" applyAlignment="1"/>
    <xf numFmtId="0" fontId="1" fillId="2" borderId="0" xfId="0" applyFont="1" applyFill="1" applyAlignment="1"/>
    <xf numFmtId="0" fontId="0" fillId="2" borderId="0" xfId="0" applyFill="1" applyAlignment="1"/>
    <xf numFmtId="0" fontId="5" fillId="2" borderId="4" xfId="0" applyFont="1" applyFill="1" applyBorder="1" applyAlignment="1"/>
    <xf numFmtId="0" fontId="5" fillId="2" borderId="5" xfId="0" applyFont="1" applyFill="1" applyBorder="1" applyAlignment="1"/>
    <xf numFmtId="0" fontId="2" fillId="2" borderId="5" xfId="0" applyFont="1" applyFill="1" applyBorder="1" applyAlignment="1"/>
    <xf numFmtId="0" fontId="2" fillId="2" borderId="6" xfId="0" applyFont="1" applyFill="1" applyBorder="1" applyAlignment="1"/>
    <xf numFmtId="0" fontId="1" fillId="2" borderId="6" xfId="0" applyFont="1" applyFill="1" applyBorder="1" applyAlignment="1"/>
    <xf numFmtId="0" fontId="6" fillId="2" borderId="7" xfId="0" applyFont="1" applyFill="1" applyBorder="1" applyAlignment="1"/>
    <xf numFmtId="0" fontId="6" fillId="2" borderId="0" xfId="0" applyFont="1" applyFill="1" applyAlignment="1"/>
    <xf numFmtId="0" fontId="2" fillId="2" borderId="8" xfId="0" applyFont="1" applyFill="1" applyBorder="1" applyAlignment="1"/>
    <xf numFmtId="0" fontId="1" fillId="2" borderId="5" xfId="0" applyFont="1" applyFill="1" applyBorder="1" applyAlignment="1"/>
    <xf numFmtId="0" fontId="1" fillId="2" borderId="9" xfId="0" applyFont="1" applyFill="1" applyBorder="1" applyAlignment="1"/>
    <xf numFmtId="0" fontId="1" fillId="2" borderId="11" xfId="0" applyFont="1" applyFill="1" applyBorder="1" applyAlignment="1"/>
    <xf numFmtId="0" fontId="1" fillId="2" borderId="10" xfId="0" applyFont="1" applyFill="1" applyBorder="1" applyAlignment="1"/>
    <xf numFmtId="0" fontId="1" fillId="2" borderId="8" xfId="0" applyFont="1" applyFill="1" applyBorder="1" applyAlignment="1"/>
    <xf numFmtId="0" fontId="7" fillId="0" borderId="8" xfId="0" applyFont="1" applyBorder="1" applyAlignment="1">
      <alignment vertical="top"/>
    </xf>
    <xf numFmtId="0" fontId="6" fillId="2" borderId="1" xfId="0" applyFont="1" applyFill="1" applyBorder="1" applyAlignment="1"/>
    <xf numFmtId="0" fontId="1" fillId="2" borderId="2" xfId="0" applyFont="1" applyFill="1" applyBorder="1" applyAlignment="1"/>
    <xf numFmtId="0" fontId="1" fillId="2" borderId="3" xfId="0" applyFont="1" applyFill="1" applyBorder="1" applyAlignment="1"/>
    <xf numFmtId="0" fontId="5" fillId="2" borderId="7" xfId="0" applyFont="1" applyFill="1" applyBorder="1" applyAlignment="1"/>
    <xf numFmtId="0" fontId="6" fillId="2" borderId="8" xfId="0" applyFont="1" applyFill="1" applyBorder="1" applyAlignment="1"/>
    <xf numFmtId="0" fontId="6" fillId="2" borderId="9" xfId="0" applyFont="1" applyFill="1" applyBorder="1" applyAlignment="1"/>
    <xf numFmtId="0" fontId="6" fillId="2" borderId="11" xfId="0" applyFont="1" applyFill="1" applyBorder="1" applyAlignment="1"/>
    <xf numFmtId="177" fontId="8" fillId="2" borderId="15" xfId="0" applyNumberFormat="1" applyFont="1" applyFill="1" applyBorder="1" applyAlignment="1">
      <alignment horizontal="center" vertical="center"/>
    </xf>
    <xf numFmtId="178" fontId="8" fillId="2" borderId="6" xfId="0" applyNumberFormat="1" applyFont="1" applyFill="1" applyBorder="1" applyAlignment="1">
      <alignment horizontal="center" vertical="center"/>
    </xf>
    <xf numFmtId="178" fontId="8" fillId="2" borderId="15" xfId="0" applyNumberFormat="1" applyFont="1" applyFill="1" applyBorder="1" applyAlignment="1">
      <alignment horizontal="center" vertical="center"/>
    </xf>
    <xf numFmtId="0" fontId="1" fillId="2" borderId="15" xfId="0" applyFont="1" applyFill="1" applyBorder="1" applyAlignment="1"/>
    <xf numFmtId="0" fontId="1" fillId="2" borderId="1" xfId="0" applyFont="1" applyFill="1" applyBorder="1" applyAlignment="1"/>
    <xf numFmtId="0" fontId="2" fillId="2" borderId="7" xfId="0" applyFont="1" applyFill="1" applyBorder="1" applyAlignment="1"/>
    <xf numFmtId="0" fontId="0" fillId="2" borderId="0" xfId="0" applyFill="1" applyAlignment="1">
      <alignment horizontal="left"/>
    </xf>
    <xf numFmtId="14" fontId="1" fillId="2" borderId="0" xfId="0" applyNumberFormat="1" applyFont="1" applyFill="1" applyAlignment="1">
      <alignment horizontal="left"/>
    </xf>
    <xf numFmtId="49" fontId="2" fillId="2" borderId="0" xfId="0" applyNumberFormat="1" applyFont="1" applyFill="1" applyAlignment="1"/>
    <xf numFmtId="0" fontId="7" fillId="0" borderId="13" xfId="0" applyFont="1" applyBorder="1">
      <alignment vertical="center"/>
    </xf>
    <xf numFmtId="0" fontId="13" fillId="2" borderId="4" xfId="0" applyFont="1" applyFill="1" applyBorder="1" applyAlignment="1"/>
    <xf numFmtId="0" fontId="9" fillId="0" borderId="7" xfId="0" applyFont="1" applyBorder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8" xfId="0" applyFont="1" applyBorder="1" applyAlignment="1">
      <alignment vertical="center" wrapText="1"/>
    </xf>
    <xf numFmtId="0" fontId="7" fillId="2" borderId="13" xfId="0" applyFont="1" applyFill="1" applyBorder="1">
      <alignment vertical="center"/>
    </xf>
    <xf numFmtId="0" fontId="7" fillId="2" borderId="1" xfId="0" applyFont="1" applyFill="1" applyBorder="1" applyAlignment="1">
      <alignment vertical="center" wrapText="1"/>
    </xf>
    <xf numFmtId="0" fontId="7" fillId="2" borderId="3" xfId="0" applyFont="1" applyFill="1" applyBorder="1" applyAlignment="1">
      <alignment vertical="center" wrapText="1"/>
    </xf>
    <xf numFmtId="177" fontId="10" fillId="2" borderId="15" xfId="0" applyNumberFormat="1" applyFont="1" applyFill="1" applyBorder="1" applyAlignment="1">
      <alignment horizontal="center" vertical="center"/>
    </xf>
    <xf numFmtId="178" fontId="10" fillId="2" borderId="6" xfId="0" applyNumberFormat="1" applyFont="1" applyFill="1" applyBorder="1" applyAlignment="1">
      <alignment horizontal="center" vertical="center"/>
    </xf>
    <xf numFmtId="178" fontId="10" fillId="2" borderId="15" xfId="0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/>
    <xf numFmtId="0" fontId="14" fillId="2" borderId="3" xfId="0" applyFont="1" applyFill="1" applyBorder="1" applyAlignment="1"/>
    <xf numFmtId="177" fontId="10" fillId="2" borderId="9" xfId="0" applyNumberFormat="1" applyFont="1" applyFill="1" applyBorder="1" applyAlignment="1">
      <alignment horizontal="center"/>
    </xf>
    <xf numFmtId="179" fontId="14" fillId="2" borderId="15" xfId="0" applyNumberFormat="1" applyFont="1" applyFill="1" applyBorder="1" applyAlignment="1">
      <alignment horizontal="center"/>
    </xf>
    <xf numFmtId="176" fontId="10" fillId="2" borderId="3" xfId="0" applyNumberFormat="1" applyFont="1" applyFill="1" applyBorder="1" applyAlignment="1">
      <alignment horizontal="center"/>
    </xf>
    <xf numFmtId="0" fontId="10" fillId="2" borderId="12" xfId="0" applyFont="1" applyFill="1" applyBorder="1" applyAlignment="1">
      <alignment horizontal="center"/>
    </xf>
    <xf numFmtId="0" fontId="10" fillId="2" borderId="6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"/>
    </xf>
    <xf numFmtId="0" fontId="10" fillId="2" borderId="8" xfId="0" applyFont="1" applyFill="1" applyBorder="1" applyAlignment="1">
      <alignment horizontal="center"/>
    </xf>
    <xf numFmtId="0" fontId="14" fillId="2" borderId="13" xfId="0" applyFont="1" applyFill="1" applyBorder="1" applyAlignment="1">
      <alignment horizontal="center"/>
    </xf>
    <xf numFmtId="0" fontId="14" fillId="2" borderId="10" xfId="0" applyFont="1" applyFill="1" applyBorder="1" applyAlignment="1">
      <alignment horizontal="center"/>
    </xf>
    <xf numFmtId="0" fontId="14" fillId="2" borderId="14" xfId="0" applyFont="1" applyFill="1" applyBorder="1" applyAlignment="1">
      <alignment horizontal="center"/>
    </xf>
    <xf numFmtId="0" fontId="1" fillId="2" borderId="4" xfId="0" applyFont="1" applyFill="1" applyBorder="1" applyAlignment="1"/>
    <xf numFmtId="0" fontId="8" fillId="2" borderId="4" xfId="0" applyFont="1" applyFill="1" applyBorder="1" applyAlignment="1">
      <alignment horizontal="center"/>
    </xf>
    <xf numFmtId="0" fontId="8" fillId="2" borderId="5" xfId="0" applyFont="1" applyFill="1" applyBorder="1" applyAlignment="1">
      <alignment horizontal="center"/>
    </xf>
    <xf numFmtId="0" fontId="8" fillId="2" borderId="6" xfId="0" applyFont="1" applyFill="1" applyBorder="1" applyAlignment="1">
      <alignment horizontal="center"/>
    </xf>
    <xf numFmtId="0" fontId="3" fillId="2" borderId="0" xfId="0" applyFont="1" applyFill="1" applyAlignment="1"/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6" fillId="2" borderId="9" xfId="0" applyFont="1" applyFill="1" applyBorder="1" applyAlignment="1">
      <alignment vertical="top" wrapText="1"/>
    </xf>
    <xf numFmtId="0" fontId="7" fillId="0" borderId="10" xfId="0" applyFont="1" applyBorder="1" applyAlignment="1">
      <alignment vertical="top"/>
    </xf>
    <xf numFmtId="14" fontId="7" fillId="2" borderId="9" xfId="0" applyNumberFormat="1" applyFont="1" applyFill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6" fillId="2" borderId="7" xfId="0" applyFont="1" applyFill="1" applyBorder="1" applyAlignment="1">
      <alignment horizontal="left" vertical="top"/>
    </xf>
    <xf numFmtId="0" fontId="6" fillId="2" borderId="0" xfId="0" applyFont="1" applyFill="1" applyAlignment="1">
      <alignment horizontal="left" vertical="top"/>
    </xf>
    <xf numFmtId="0" fontId="14" fillId="2" borderId="1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left"/>
    </xf>
    <xf numFmtId="0" fontId="6" fillId="2" borderId="11" xfId="0" applyFont="1" applyFill="1" applyBorder="1" applyAlignment="1">
      <alignment horizontal="left"/>
    </xf>
    <xf numFmtId="0" fontId="6" fillId="2" borderId="10" xfId="0" applyFont="1" applyFill="1" applyBorder="1" applyAlignment="1">
      <alignment horizontal="left"/>
    </xf>
    <xf numFmtId="0" fontId="9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6" fillId="2" borderId="7" xfId="0" applyFont="1" applyFill="1" applyBorder="1" applyAlignment="1">
      <alignment horizontal="left"/>
    </xf>
    <xf numFmtId="0" fontId="6" fillId="2" borderId="0" xfId="0" applyFont="1" applyFill="1" applyAlignment="1">
      <alignment horizontal="left"/>
    </xf>
    <xf numFmtId="0" fontId="6" fillId="2" borderId="8" xfId="0" applyFont="1" applyFill="1" applyBorder="1" applyAlignment="1">
      <alignment horizontal="left"/>
    </xf>
    <xf numFmtId="0" fontId="8" fillId="2" borderId="12" xfId="0" applyFont="1" applyFill="1" applyBorder="1" applyAlignment="1">
      <alignment horizontal="center" vertical="center"/>
    </xf>
    <xf numFmtId="0" fontId="7" fillId="0" borderId="13" xfId="0" applyFont="1" applyBorder="1">
      <alignment vertical="center"/>
    </xf>
    <xf numFmtId="0" fontId="7" fillId="0" borderId="14" xfId="0" applyFont="1" applyBorder="1">
      <alignment vertical="center"/>
    </xf>
    <xf numFmtId="0" fontId="8" fillId="2" borderId="4" xfId="0" applyFont="1" applyFill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0" borderId="8" xfId="0" applyFont="1" applyBorder="1" applyAlignment="1">
      <alignment vertical="center" wrapText="1"/>
    </xf>
    <xf numFmtId="0" fontId="7" fillId="0" borderId="9" xfId="0" applyFont="1" applyBorder="1" applyAlignment="1">
      <alignment vertical="center" wrapText="1"/>
    </xf>
    <xf numFmtId="0" fontId="7" fillId="0" borderId="11" xfId="0" applyFont="1" applyBorder="1" applyAlignment="1">
      <alignment vertical="center" wrapText="1"/>
    </xf>
    <xf numFmtId="0" fontId="7" fillId="0" borderId="10" xfId="0" applyFont="1" applyBorder="1" applyAlignment="1">
      <alignment vertical="center" wrapText="1"/>
    </xf>
    <xf numFmtId="0" fontId="14" fillId="2" borderId="4" xfId="0" applyFont="1" applyFill="1" applyBorder="1" applyAlignment="1">
      <alignment horizontal="center" vertical="center" wrapText="1"/>
    </xf>
    <xf numFmtId="0" fontId="14" fillId="0" borderId="6" xfId="0" applyFont="1" applyBorder="1" applyAlignment="1">
      <alignment vertical="center" wrapText="1"/>
    </xf>
    <xf numFmtId="0" fontId="14" fillId="0" borderId="7" xfId="0" applyFont="1" applyBorder="1" applyAlignment="1">
      <alignment vertical="center" wrapText="1"/>
    </xf>
    <xf numFmtId="0" fontId="14" fillId="0" borderId="8" xfId="0" applyFont="1" applyBorder="1" applyAlignment="1">
      <alignment vertical="center" wrapText="1"/>
    </xf>
    <xf numFmtId="0" fontId="14" fillId="0" borderId="9" xfId="0" applyFont="1" applyBorder="1" applyAlignment="1">
      <alignment vertical="center" wrapText="1"/>
    </xf>
    <xf numFmtId="0" fontId="14" fillId="0" borderId="10" xfId="0" applyFont="1" applyBorder="1" applyAlignment="1">
      <alignment vertical="center" wrapText="1"/>
    </xf>
  </cellXfs>
  <cellStyles count="3">
    <cellStyle name="一般" xfId="0" builtinId="0"/>
    <cellStyle name="常规 2" xfId="1" xr:uid="{00000000-0005-0000-0000-000031000000}"/>
    <cellStyle name="常规 3" xfId="2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619125</xdr:colOff>
      <xdr:row>0</xdr:row>
      <xdr:rowOff>142875</xdr:rowOff>
    </xdr:from>
    <xdr:to>
      <xdr:col>2</xdr:col>
      <xdr:colOff>111528</xdr:colOff>
      <xdr:row>3</xdr:row>
      <xdr:rowOff>151006</xdr:rowOff>
    </xdr:to>
    <xdr:pic>
      <xdr:nvPicPr>
        <xdr:cNvPr id="1172" name="Picture 1">
          <a:extLst>
            <a:ext uri="{FF2B5EF4-FFF2-40B4-BE49-F238E27FC236}">
              <a16:creationId xmlns:a16="http://schemas.microsoft.com/office/drawing/2014/main" id="{00000000-0008-0000-0000-00009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704850" y="142875"/>
          <a:ext cx="488950" cy="59817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8</xdr:col>
      <xdr:colOff>1155065</xdr:colOff>
      <xdr:row>37</xdr:row>
      <xdr:rowOff>20956</xdr:rowOff>
    </xdr:from>
    <xdr:to>
      <xdr:col>10</xdr:col>
      <xdr:colOff>974911</xdr:colOff>
      <xdr:row>42</xdr:row>
      <xdr:rowOff>197909</xdr:rowOff>
    </xdr:to>
    <xdr:pic>
      <xdr:nvPicPr>
        <xdr:cNvPr id="2" name="图片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03683" y="14532574"/>
          <a:ext cx="2531670" cy="1006188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N43"/>
  <sheetViews>
    <sheetView tabSelected="1" topLeftCell="A28" zoomScale="85" zoomScaleNormal="85" workbookViewId="0">
      <selection activeCell="G36" sqref="G36"/>
    </sheetView>
  </sheetViews>
  <sheetFormatPr defaultColWidth="9" defaultRowHeight="12.75" x14ac:dyDescent="0.2"/>
  <cols>
    <col min="1" max="1" width="1.140625" style="3" customWidth="1"/>
    <col min="2" max="2" width="13.28515625" style="3" customWidth="1"/>
    <col min="3" max="3" width="10.5703125" style="3" customWidth="1"/>
    <col min="4" max="4" width="14.140625" style="3" customWidth="1"/>
    <col min="5" max="5" width="10.28515625" style="3" customWidth="1"/>
    <col min="6" max="6" width="5.42578125" style="3" customWidth="1"/>
    <col min="7" max="7" width="6.42578125" style="3" customWidth="1"/>
    <col min="8" max="8" width="27" style="3" customWidth="1"/>
    <col min="9" max="9" width="17.85546875" style="3" customWidth="1"/>
    <col min="10" max="10" width="22.85546875" style="3" customWidth="1"/>
    <col min="11" max="11" width="25.5703125" style="3" customWidth="1"/>
    <col min="12" max="16384" width="9" style="3"/>
  </cols>
  <sheetData>
    <row r="2" spans="2:11" ht="20.25" x14ac:dyDescent="0.3">
      <c r="D2" s="62" t="s">
        <v>0</v>
      </c>
      <c r="E2" s="62"/>
      <c r="F2" s="62"/>
      <c r="G2" s="62"/>
      <c r="H2" s="62"/>
      <c r="I2" s="62"/>
      <c r="J2" s="62"/>
    </row>
    <row r="3" spans="2:11" ht="15.75" x14ac:dyDescent="0.25">
      <c r="D3" s="4" t="s">
        <v>1</v>
      </c>
    </row>
    <row r="4" spans="2:11" ht="15.75" x14ac:dyDescent="0.25">
      <c r="D4" s="4" t="s">
        <v>2</v>
      </c>
      <c r="F4" s="4" t="s">
        <v>3</v>
      </c>
    </row>
    <row r="7" spans="2:11" ht="33" customHeight="1" x14ac:dyDescent="0.25">
      <c r="B7" s="63" t="s">
        <v>4</v>
      </c>
      <c r="C7" s="64"/>
      <c r="D7" s="64"/>
      <c r="E7" s="64"/>
      <c r="F7" s="64"/>
      <c r="G7" s="64"/>
      <c r="H7" s="64"/>
      <c r="I7" s="64"/>
      <c r="J7" s="64"/>
      <c r="K7" s="65"/>
    </row>
    <row r="8" spans="2:11" ht="22.5" customHeight="1" x14ac:dyDescent="0.2">
      <c r="B8" s="5" t="s">
        <v>5</v>
      </c>
      <c r="C8" s="6"/>
      <c r="D8" s="7"/>
      <c r="E8" s="7"/>
      <c r="F8" s="7"/>
      <c r="G8" s="8"/>
      <c r="H8" s="5" t="s">
        <v>6</v>
      </c>
      <c r="I8" s="9"/>
      <c r="J8" s="6" t="s">
        <v>7</v>
      </c>
      <c r="K8" s="9"/>
    </row>
    <row r="9" spans="2:11" ht="22.5" customHeight="1" x14ac:dyDescent="0.2">
      <c r="B9" s="10" t="s">
        <v>8</v>
      </c>
      <c r="C9" s="11"/>
      <c r="E9" s="11"/>
      <c r="F9" s="11"/>
      <c r="G9" s="12"/>
      <c r="H9" s="66" t="s">
        <v>9</v>
      </c>
      <c r="I9" s="67"/>
      <c r="J9" s="68">
        <v>46108</v>
      </c>
      <c r="K9" s="69"/>
    </row>
    <row r="10" spans="2:11" x14ac:dyDescent="0.2">
      <c r="B10" s="10"/>
      <c r="C10" s="11"/>
      <c r="D10" s="11"/>
      <c r="E10" s="11"/>
      <c r="F10" s="11"/>
      <c r="G10" s="12"/>
      <c r="H10" s="5" t="s">
        <v>10</v>
      </c>
      <c r="I10" s="13"/>
      <c r="J10" s="13"/>
      <c r="K10" s="9"/>
    </row>
    <row r="11" spans="2:11" ht="19.5" customHeight="1" x14ac:dyDescent="0.2">
      <c r="B11" s="5" t="s">
        <v>11</v>
      </c>
      <c r="C11" s="6"/>
      <c r="D11" s="13"/>
      <c r="E11" s="13"/>
      <c r="F11" s="13"/>
      <c r="G11" s="9"/>
      <c r="H11" s="14"/>
      <c r="I11" s="15"/>
      <c r="J11" s="15"/>
      <c r="K11" s="16"/>
    </row>
    <row r="12" spans="2:11" ht="21.75" customHeight="1" x14ac:dyDescent="0.2">
      <c r="B12" s="10" t="s">
        <v>12</v>
      </c>
      <c r="C12" s="11"/>
      <c r="D12" s="11"/>
      <c r="E12" s="11"/>
      <c r="F12" s="11"/>
      <c r="G12" s="17"/>
      <c r="H12" s="5" t="s">
        <v>13</v>
      </c>
      <c r="I12" s="13"/>
      <c r="J12" s="13"/>
      <c r="K12" s="9"/>
    </row>
    <row r="13" spans="2:11" ht="18" customHeight="1" x14ac:dyDescent="0.2">
      <c r="B13" s="70"/>
      <c r="C13" s="71"/>
      <c r="D13" s="71"/>
      <c r="E13" s="71"/>
      <c r="F13" s="71"/>
      <c r="G13" s="18"/>
      <c r="H13" s="19"/>
      <c r="I13" s="20"/>
      <c r="J13" s="20"/>
      <c r="K13" s="21"/>
    </row>
    <row r="14" spans="2:11" ht="16.5" customHeight="1" x14ac:dyDescent="0.2">
      <c r="B14" s="70"/>
      <c r="C14" s="71"/>
      <c r="D14" s="71"/>
      <c r="E14" s="71"/>
      <c r="F14" s="71"/>
      <c r="G14" s="18"/>
      <c r="H14" s="22" t="s">
        <v>14</v>
      </c>
      <c r="K14" s="17"/>
    </row>
    <row r="15" spans="2:11" ht="13.5" thickBot="1" x14ac:dyDescent="0.25">
      <c r="B15" s="74"/>
      <c r="C15" s="75"/>
      <c r="D15" s="75"/>
      <c r="E15" s="75"/>
      <c r="F15" s="75"/>
      <c r="G15" s="76"/>
      <c r="H15" s="10"/>
      <c r="I15" s="11"/>
      <c r="J15" s="11"/>
      <c r="K15" s="23"/>
    </row>
    <row r="16" spans="2:11" ht="13.5" thickBot="1" x14ac:dyDescent="0.25">
      <c r="B16" s="36" t="s">
        <v>35</v>
      </c>
      <c r="C16" s="6"/>
      <c r="D16" s="13"/>
      <c r="E16" s="13"/>
      <c r="F16" s="13"/>
      <c r="G16" s="9"/>
      <c r="H16" s="14"/>
      <c r="I16" s="15"/>
      <c r="J16" s="15"/>
      <c r="K16" s="16"/>
    </row>
    <row r="17" spans="2:14" ht="18.75" customHeight="1" thickBot="1" x14ac:dyDescent="0.25">
      <c r="B17" s="10" t="s">
        <v>40</v>
      </c>
      <c r="C17" s="11"/>
      <c r="D17" s="11"/>
      <c r="E17" s="11"/>
      <c r="F17" s="11"/>
      <c r="G17" s="17"/>
      <c r="H17" s="5"/>
      <c r="I17" s="13"/>
      <c r="J17" s="13"/>
      <c r="K17" s="9"/>
    </row>
    <row r="18" spans="2:14" ht="18.75" customHeight="1" thickBot="1" x14ac:dyDescent="0.25">
      <c r="B18" s="70" t="s">
        <v>41</v>
      </c>
      <c r="C18" s="71"/>
      <c r="D18" s="71"/>
      <c r="E18" s="71"/>
      <c r="F18" s="71"/>
      <c r="G18" s="18"/>
      <c r="H18" s="19"/>
      <c r="I18" s="20"/>
      <c r="J18" s="20"/>
      <c r="K18" s="21"/>
    </row>
    <row r="19" spans="2:14" ht="21.75" customHeight="1" x14ac:dyDescent="0.2">
      <c r="B19" s="88" t="s">
        <v>42</v>
      </c>
      <c r="C19" s="89"/>
      <c r="D19" s="89"/>
      <c r="E19" s="89"/>
      <c r="F19" s="89"/>
      <c r="G19" s="90"/>
      <c r="H19" s="10"/>
      <c r="I19" s="11"/>
      <c r="J19" s="11"/>
      <c r="K19" s="23"/>
    </row>
    <row r="20" spans="2:14" ht="17.25" customHeight="1" x14ac:dyDescent="0.2">
      <c r="B20" s="70" t="s">
        <v>43</v>
      </c>
      <c r="C20" s="71"/>
      <c r="D20" s="71"/>
      <c r="E20" s="71"/>
      <c r="F20" s="71"/>
      <c r="G20" s="18"/>
      <c r="H20" s="22"/>
      <c r="K20" s="17"/>
    </row>
    <row r="21" spans="2:14" ht="21.75" customHeight="1" thickBot="1" x14ac:dyDescent="0.25">
      <c r="B21" s="74" t="s">
        <v>44</v>
      </c>
      <c r="C21" s="75"/>
      <c r="D21" s="75"/>
      <c r="E21" s="75"/>
      <c r="F21" s="75"/>
      <c r="G21" s="76"/>
      <c r="H21" s="10"/>
      <c r="I21" s="11"/>
      <c r="J21" s="11"/>
      <c r="K21" s="23"/>
    </row>
    <row r="22" spans="2:14" ht="22.5" customHeight="1" x14ac:dyDescent="0.2">
      <c r="B22" s="58" t="s">
        <v>15</v>
      </c>
      <c r="C22" s="13"/>
      <c r="D22" s="9"/>
      <c r="E22" s="5" t="s">
        <v>16</v>
      </c>
      <c r="F22" s="13"/>
      <c r="G22" s="9"/>
      <c r="H22" s="5" t="s">
        <v>17</v>
      </c>
      <c r="I22" s="13"/>
      <c r="J22" s="6"/>
      <c r="K22" s="9"/>
    </row>
    <row r="23" spans="2:14" ht="22.5" customHeight="1" x14ac:dyDescent="0.2">
      <c r="B23" s="14"/>
      <c r="C23" s="15"/>
      <c r="D23" s="16"/>
      <c r="E23" s="24"/>
      <c r="F23" s="15"/>
      <c r="G23" s="16"/>
      <c r="H23" s="24" t="s">
        <v>18</v>
      </c>
      <c r="I23" s="15"/>
      <c r="J23" s="15"/>
      <c r="K23" s="16"/>
    </row>
    <row r="24" spans="2:14" ht="22.5" customHeight="1" x14ac:dyDescent="0.2">
      <c r="B24" s="58" t="s">
        <v>19</v>
      </c>
      <c r="C24" s="13"/>
      <c r="D24" s="9"/>
      <c r="E24" s="5" t="s">
        <v>20</v>
      </c>
      <c r="F24" s="13"/>
      <c r="G24" s="9"/>
      <c r="H24" s="22" t="s">
        <v>21</v>
      </c>
      <c r="K24" s="17"/>
    </row>
    <row r="25" spans="2:14" ht="22.5" customHeight="1" x14ac:dyDescent="0.2">
      <c r="B25" s="24"/>
      <c r="C25" s="25"/>
      <c r="D25" s="16"/>
      <c r="E25" s="24" t="s">
        <v>36</v>
      </c>
      <c r="F25" s="15"/>
      <c r="G25" s="16"/>
      <c r="H25" s="24" t="s">
        <v>22</v>
      </c>
      <c r="I25" s="15"/>
      <c r="J25" s="15"/>
      <c r="K25" s="17"/>
    </row>
    <row r="26" spans="2:14" ht="15" x14ac:dyDescent="0.2">
      <c r="B26" s="91" t="s">
        <v>23</v>
      </c>
      <c r="C26" s="94" t="s">
        <v>24</v>
      </c>
      <c r="D26" s="95"/>
      <c r="E26" s="95"/>
      <c r="F26" s="96"/>
      <c r="G26" s="103" t="s">
        <v>25</v>
      </c>
      <c r="H26" s="104"/>
      <c r="I26" s="51" t="s">
        <v>26</v>
      </c>
      <c r="J26" s="52" t="s">
        <v>27</v>
      </c>
      <c r="K26" s="51" t="s">
        <v>28</v>
      </c>
    </row>
    <row r="27" spans="2:14" ht="15" x14ac:dyDescent="0.2">
      <c r="B27" s="92"/>
      <c r="C27" s="97"/>
      <c r="D27" s="98"/>
      <c r="E27" s="98"/>
      <c r="F27" s="99"/>
      <c r="G27" s="105"/>
      <c r="H27" s="106"/>
      <c r="I27" s="53"/>
      <c r="J27" s="54" t="s">
        <v>39</v>
      </c>
      <c r="K27" s="53"/>
    </row>
    <row r="28" spans="2:14" ht="33" customHeight="1" thickBot="1" x14ac:dyDescent="0.25">
      <c r="B28" s="93"/>
      <c r="C28" s="100"/>
      <c r="D28" s="101"/>
      <c r="E28" s="101"/>
      <c r="F28" s="102"/>
      <c r="G28" s="107"/>
      <c r="H28" s="108"/>
      <c r="I28" s="55" t="s">
        <v>29</v>
      </c>
      <c r="J28" s="56" t="s">
        <v>30</v>
      </c>
      <c r="K28" s="57" t="s">
        <v>31</v>
      </c>
    </row>
    <row r="29" spans="2:14" s="1" customFormat="1" ht="86.25" customHeight="1" thickBot="1" x14ac:dyDescent="0.3">
      <c r="B29" s="35"/>
      <c r="C29" s="85" t="s">
        <v>37</v>
      </c>
      <c r="D29" s="86"/>
      <c r="E29" s="86"/>
      <c r="F29" s="87"/>
      <c r="G29" s="41"/>
      <c r="H29" s="42"/>
      <c r="I29" s="26"/>
      <c r="J29" s="27"/>
      <c r="K29" s="28"/>
    </row>
    <row r="30" spans="2:14" s="1" customFormat="1" ht="71.25" customHeight="1" thickBot="1" x14ac:dyDescent="0.3">
      <c r="B30" s="83" t="s">
        <v>32</v>
      </c>
      <c r="C30" s="77" t="s">
        <v>38</v>
      </c>
      <c r="D30" s="78"/>
      <c r="E30" s="78"/>
      <c r="F30" s="79"/>
      <c r="G30" s="72" t="s">
        <v>46</v>
      </c>
      <c r="H30" s="73"/>
      <c r="I30" s="43">
        <v>648.9</v>
      </c>
      <c r="J30" s="44">
        <v>4.3</v>
      </c>
      <c r="K30" s="45">
        <f t="shared" ref="K30:K35" si="0">I30*J30</f>
        <v>2790.27</v>
      </c>
    </row>
    <row r="31" spans="2:14" customFormat="1" ht="71.25" customHeight="1" thickBot="1" x14ac:dyDescent="0.25">
      <c r="B31" s="84"/>
      <c r="C31" s="80"/>
      <c r="D31" s="81"/>
      <c r="E31" s="81"/>
      <c r="F31" s="82"/>
      <c r="G31" s="72" t="s">
        <v>47</v>
      </c>
      <c r="H31" s="73"/>
      <c r="I31" s="43">
        <v>8211.7000000000007</v>
      </c>
      <c r="J31" s="44">
        <v>4.3</v>
      </c>
      <c r="K31" s="45">
        <f t="shared" si="0"/>
        <v>35310.310000000005</v>
      </c>
      <c r="N31" s="3"/>
    </row>
    <row r="32" spans="2:14" customFormat="1" ht="71.25" customHeight="1" thickBot="1" x14ac:dyDescent="0.25">
      <c r="B32" s="84"/>
      <c r="C32" s="80"/>
      <c r="D32" s="81"/>
      <c r="E32" s="81"/>
      <c r="F32" s="82"/>
      <c r="G32" s="72" t="s">
        <v>48</v>
      </c>
      <c r="H32" s="73"/>
      <c r="I32" s="43">
        <v>682.7</v>
      </c>
      <c r="J32" s="44">
        <v>4.3</v>
      </c>
      <c r="K32" s="45">
        <f t="shared" si="0"/>
        <v>2935.61</v>
      </c>
      <c r="N32" s="3"/>
    </row>
    <row r="33" spans="2:14" customFormat="1" ht="71.25" customHeight="1" thickBot="1" x14ac:dyDescent="0.25">
      <c r="B33" s="84"/>
      <c r="C33" s="80"/>
      <c r="D33" s="81"/>
      <c r="E33" s="81"/>
      <c r="F33" s="82"/>
      <c r="G33" s="72" t="s">
        <v>49</v>
      </c>
      <c r="H33" s="73"/>
      <c r="I33" s="43">
        <v>6101.2</v>
      </c>
      <c r="J33" s="44">
        <v>4.3</v>
      </c>
      <c r="K33" s="45">
        <f t="shared" si="0"/>
        <v>26235.16</v>
      </c>
      <c r="N33" s="3"/>
    </row>
    <row r="34" spans="2:14" customFormat="1" ht="71.25" customHeight="1" thickBot="1" x14ac:dyDescent="0.25">
      <c r="B34" s="84"/>
      <c r="C34" s="80"/>
      <c r="D34" s="81"/>
      <c r="E34" s="81"/>
      <c r="F34" s="82"/>
      <c r="G34" s="72" t="s">
        <v>50</v>
      </c>
      <c r="H34" s="73"/>
      <c r="I34" s="43">
        <v>7407.7</v>
      </c>
      <c r="J34" s="44">
        <v>4.3</v>
      </c>
      <c r="K34" s="45">
        <f t="shared" si="0"/>
        <v>31853.109999999997</v>
      </c>
      <c r="N34" s="3"/>
    </row>
    <row r="35" spans="2:14" customFormat="1" ht="71.25" customHeight="1" thickBot="1" x14ac:dyDescent="0.25">
      <c r="B35" s="40"/>
      <c r="C35" s="37"/>
      <c r="D35" s="38"/>
      <c r="E35" s="38"/>
      <c r="F35" s="39"/>
      <c r="G35" s="72" t="s">
        <v>51</v>
      </c>
      <c r="H35" s="73"/>
      <c r="I35" s="43">
        <v>624.1</v>
      </c>
      <c r="J35" s="44">
        <v>4.3</v>
      </c>
      <c r="K35" s="45">
        <f t="shared" si="0"/>
        <v>2683.63</v>
      </c>
      <c r="N35" s="3"/>
    </row>
    <row r="36" spans="2:14" ht="60" customHeight="1" thickBot="1" x14ac:dyDescent="0.25">
      <c r="B36" s="29"/>
      <c r="C36" s="30"/>
      <c r="D36" s="20"/>
      <c r="E36" s="20"/>
      <c r="F36" s="21"/>
      <c r="G36" s="46"/>
      <c r="H36" s="47" t="s">
        <v>33</v>
      </c>
      <c r="I36" s="48">
        <f>SUM(I30:I35)</f>
        <v>23676.3</v>
      </c>
      <c r="J36" s="49" t="s">
        <v>34</v>
      </c>
      <c r="K36" s="50">
        <f>SUM(K30:K35)</f>
        <v>101808.09000000001</v>
      </c>
    </row>
    <row r="37" spans="2:14" ht="29.25" customHeight="1" x14ac:dyDescent="0.2">
      <c r="B37" s="59" t="s">
        <v>45</v>
      </c>
      <c r="C37" s="60"/>
      <c r="D37" s="60"/>
      <c r="E37" s="60"/>
      <c r="F37" s="60"/>
      <c r="G37" s="60"/>
      <c r="H37" s="60"/>
      <c r="I37" s="60"/>
      <c r="J37" s="60"/>
      <c r="K37" s="61"/>
    </row>
    <row r="38" spans="2:14" ht="15.75" x14ac:dyDescent="0.25">
      <c r="B38" s="31"/>
      <c r="C38" s="32"/>
      <c r="D38" s="33"/>
      <c r="K38" s="17"/>
    </row>
    <row r="39" spans="2:14" s="2" customFormat="1" x14ac:dyDescent="0.2">
      <c r="B39" s="31"/>
      <c r="K39" s="12"/>
    </row>
    <row r="40" spans="2:14" s="2" customFormat="1" x14ac:dyDescent="0.2">
      <c r="B40" s="31"/>
      <c r="K40" s="12"/>
    </row>
    <row r="41" spans="2:14" s="2" customFormat="1" x14ac:dyDescent="0.2">
      <c r="B41" s="31"/>
      <c r="K41" s="12"/>
    </row>
    <row r="42" spans="2:14" s="2" customFormat="1" x14ac:dyDescent="0.2">
      <c r="B42" s="31"/>
      <c r="K42" s="12"/>
    </row>
    <row r="43" spans="2:14" s="2" customFormat="1" ht="22.5" customHeight="1" x14ac:dyDescent="0.2">
      <c r="B43" s="31"/>
      <c r="D43" s="34"/>
      <c r="K43" s="12"/>
    </row>
  </sheetData>
  <mergeCells count="24">
    <mergeCell ref="B30:B34"/>
    <mergeCell ref="C29:F29"/>
    <mergeCell ref="B19:G19"/>
    <mergeCell ref="B26:B28"/>
    <mergeCell ref="C26:F28"/>
    <mergeCell ref="G26:H28"/>
    <mergeCell ref="G33:H33"/>
    <mergeCell ref="G34:H34"/>
    <mergeCell ref="B37:K37"/>
    <mergeCell ref="D2:J2"/>
    <mergeCell ref="B7:K7"/>
    <mergeCell ref="H9:I9"/>
    <mergeCell ref="J9:K9"/>
    <mergeCell ref="B13:F13"/>
    <mergeCell ref="G35:H35"/>
    <mergeCell ref="B14:F14"/>
    <mergeCell ref="B15:G15"/>
    <mergeCell ref="G30:H30"/>
    <mergeCell ref="G31:H31"/>
    <mergeCell ref="G32:H32"/>
    <mergeCell ref="B18:F18"/>
    <mergeCell ref="B20:F20"/>
    <mergeCell ref="B21:G21"/>
    <mergeCell ref="C30:F34"/>
  </mergeCells>
  <phoneticPr fontId="12" type="noConversion"/>
  <pageMargins left="0.70866141732283505" right="0.32" top="0.74803149606299202" bottom="0.74803149606299202" header="0.31496062992126" footer="0.31496062992126"/>
  <pageSetup paperSize="9" scale="6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622 Rolls </vt:lpstr>
      <vt:lpstr>'622 Rolls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FK-Daisy Tsai</cp:lastModifiedBy>
  <cp:lastPrinted>2026-04-01T03:50:47Z</cp:lastPrinted>
  <dcterms:created xsi:type="dcterms:W3CDTF">2019-01-09T05:13:00Z</dcterms:created>
  <dcterms:modified xsi:type="dcterms:W3CDTF">2026-04-14T09:23:23Z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8F767449C76645C9BFE80BF460B1309B_13</vt:lpwstr>
  </property>
  <property fmtid="{D5CDD505-2E9C-101B-9397-08002B2CF9AE}" pid="3" name="KSOProductBuildVer">
    <vt:lpwstr>2052-12.1.0.25225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