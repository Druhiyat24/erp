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6.05.2026\MOBIL 1\"/>
    </mc:Choice>
  </mc:AlternateContent>
  <xr:revisionPtr revIDLastSave="0" documentId="13_ncr:1_{FA263202-A716-4D14-81C2-60ABEC9DEFEA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Sheet1" sheetId="128" r:id="rId1"/>
    <sheet name="reff" sheetId="162" r:id="rId2"/>
    <sheet name="390" sheetId="129" r:id="rId3"/>
    <sheet name="392" sheetId="134" r:id="rId4"/>
    <sheet name="393" sheetId="135" r:id="rId5"/>
    <sheet name="399" sheetId="163" r:id="rId6"/>
    <sheet name="401" sheetId="165" r:id="rId7"/>
  </sheets>
  <externalReferences>
    <externalReference r:id="rId8"/>
    <externalReference r:id="rId9"/>
    <externalReference r:id="rId10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>[2]xdata!#REF!</definedName>
    <definedName name="INVOICE">[2]xdata!$B$2</definedName>
    <definedName name="_xlnm.Print_Area" localSheetId="2">'390'!$B$1:$I$58</definedName>
    <definedName name="_xlnm.Print_Area" localSheetId="3">'392'!$B$1:$I$57</definedName>
    <definedName name="_xlnm.Print_Area" localSheetId="4">'393'!$B$1:$I$57</definedName>
    <definedName name="_xlnm.Print_Area" localSheetId="5">'399'!$B$1:$I$57</definedName>
    <definedName name="_xlnm.Print_Area" localSheetId="6">'401'!$B$1:$I$58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165" l="1"/>
  <c r="I33" i="165"/>
  <c r="I35" i="165" s="1"/>
  <c r="I32" i="165"/>
  <c r="H53" i="165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H3" i="165"/>
  <c r="F32" i="163"/>
  <c r="F32" i="134"/>
  <c r="I33" i="129"/>
  <c r="I37" i="165" l="1"/>
  <c r="I39" i="165" s="1"/>
  <c r="H52" i="163"/>
  <c r="F34" i="163"/>
  <c r="I32" i="163"/>
  <c r="I34" i="163" s="1"/>
  <c r="I36" i="163" s="1"/>
  <c r="I38" i="163" s="1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H3" i="163"/>
  <c r="H52" i="135"/>
  <c r="F34" i="135"/>
  <c r="I32" i="135"/>
  <c r="I34" i="135" s="1"/>
  <c r="I36" i="135" s="1"/>
  <c r="I38" i="135" s="1"/>
  <c r="F32" i="135"/>
  <c r="B27" i="135"/>
  <c r="I23" i="135"/>
  <c r="H23" i="135"/>
  <c r="G23" i="135"/>
  <c r="F23" i="135"/>
  <c r="E23" i="135"/>
  <c r="H21" i="135"/>
  <c r="E21" i="135"/>
  <c r="D21" i="135"/>
  <c r="C21" i="135"/>
  <c r="B21" i="135"/>
  <c r="B18" i="135"/>
  <c r="G17" i="135"/>
  <c r="B17" i="135"/>
  <c r="G16" i="135"/>
  <c r="B16" i="135"/>
  <c r="G15" i="135"/>
  <c r="B15" i="135"/>
  <c r="G14" i="135"/>
  <c r="H3" i="135"/>
  <c r="H52" i="134"/>
  <c r="F34" i="134"/>
  <c r="I32" i="134"/>
  <c r="I34" i="134" s="1"/>
  <c r="I36" i="134" s="1"/>
  <c r="I38" i="134" s="1"/>
  <c r="B27" i="134"/>
  <c r="I23" i="134"/>
  <c r="H23" i="134"/>
  <c r="G23" i="134"/>
  <c r="F23" i="134"/>
  <c r="E23" i="134"/>
  <c r="E21" i="134"/>
  <c r="D21" i="134"/>
  <c r="C21" i="134"/>
  <c r="B21" i="134"/>
  <c r="B15" i="134"/>
  <c r="B16" i="134" s="1"/>
  <c r="B17" i="134" s="1"/>
  <c r="B18" i="134" s="1"/>
  <c r="G14" i="134"/>
  <c r="G15" i="134" s="1"/>
  <c r="G16" i="134" s="1"/>
  <c r="G17" i="134" s="1"/>
  <c r="H21" i="134" s="1"/>
  <c r="H3" i="134"/>
  <c r="C3" i="135"/>
  <c r="H53" i="129"/>
  <c r="F35" i="129"/>
  <c r="I32" i="129"/>
  <c r="I35" i="129" s="1"/>
  <c r="I37" i="129" s="1"/>
  <c r="I39" i="129" s="1"/>
  <c r="B27" i="129"/>
  <c r="I23" i="129"/>
  <c r="H23" i="129"/>
  <c r="G23" i="129"/>
  <c r="F23" i="129"/>
  <c r="E23" i="129"/>
  <c r="E21" i="129"/>
  <c r="D21" i="129"/>
  <c r="C21" i="129"/>
  <c r="B21" i="129"/>
  <c r="G15" i="129"/>
  <c r="G16" i="129" s="1"/>
  <c r="G17" i="129" s="1"/>
  <c r="H21" i="129" s="1"/>
  <c r="B15" i="129"/>
  <c r="B16" i="129" s="1"/>
  <c r="B17" i="129" s="1"/>
  <c r="B18" i="129" s="1"/>
  <c r="G14" i="129"/>
  <c r="L25" i="128"/>
  <c r="L24" i="128"/>
  <c r="L23" i="128"/>
  <c r="L22" i="128"/>
  <c r="L21" i="128"/>
  <c r="L20" i="128"/>
  <c r="L19" i="128"/>
  <c r="L18" i="128"/>
  <c r="B18" i="128"/>
  <c r="L17" i="128"/>
  <c r="B17" i="128"/>
  <c r="L16" i="128"/>
  <c r="L15" i="128"/>
  <c r="L14" i="128"/>
  <c r="L13" i="128"/>
  <c r="L12" i="128"/>
  <c r="K12" i="128"/>
  <c r="L11" i="128"/>
  <c r="K11" i="128"/>
  <c r="L10" i="128"/>
  <c r="K10" i="128"/>
  <c r="L9" i="128"/>
  <c r="K9" i="128"/>
  <c r="L8" i="128"/>
  <c r="K8" i="128"/>
  <c r="L7" i="128"/>
  <c r="K7" i="128"/>
  <c r="L6" i="128"/>
  <c r="K6" i="128"/>
  <c r="L5" i="128"/>
  <c r="K5" i="128"/>
</calcChain>
</file>

<file path=xl/sharedStrings.xml><?xml version="1.0" encoding="utf-8"?>
<sst xmlns="http://schemas.openxmlformats.org/spreadsheetml/2006/main" count="563" uniqueCount="195">
  <si>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</si>
  <si>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</si>
  <si>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</si>
  <si>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</si>
  <si>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</si>
  <si>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</si>
  <si>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</si>
  <si>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</si>
  <si>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</si>
  <si>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</si>
  <si>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</si>
  <si>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</si>
  <si>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</si>
  <si>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</si>
  <si>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</si>
  <si>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</si>
  <si>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</si>
  <si>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</si>
  <si>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</si>
  <si>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</si>
  <si>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</si>
  <si>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</si>
  <si>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</si>
  <si>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</si>
  <si>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</si>
  <si>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</si>
  <si>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</si>
  <si>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</si>
  <si>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</si>
  <si>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</si>
  <si>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</si>
  <si>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</si>
  <si>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</si>
  <si>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</si>
  <si>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</si>
  <si>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</si>
  <si>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</si>
  <si>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</si>
  <si>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</si>
  <si>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</si>
  <si>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</si>
  <si>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</si>
  <si>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</si>
  <si>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</si>
  <si>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</si>
  <si>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</si>
  <si>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</si>
  <si>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</si>
  <si>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</si>
  <si>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</si>
  <si>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</si>
  <si>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</si>
  <si>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</si>
  <si>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</si>
  <si>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</si>
  <si>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</si>
  <si>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</si>
  <si>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</si>
  <si>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</si>
  <si>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</si>
  <si>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</si>
  <si>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</si>
  <si>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</si>
  <si>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</si>
  <si>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</si>
  <si>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</si>
  <si>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</si>
  <si>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</si>
  <si>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</si>
  <si>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</si>
  <si>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</si>
  <si>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</si>
  <si>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</si>
  <si>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</si>
  <si>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</si>
  <si>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</si>
  <si>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</si>
  <si>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</si>
  <si>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</si>
  <si>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</si>
  <si>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</si>
  <si>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</si>
  <si>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</si>
  <si>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</si>
  <si>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</si>
  <si>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</si>
  <si>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</si>
  <si>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</si>
  <si>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</si>
  <si>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</si>
  <si>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</si>
  <si>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</si>
  <si>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</si>
  <si>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</si>
  <si>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</si>
  <si>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</si>
  <si>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</si>
  <si>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</si>
  <si>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</si>
  <si>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</si>
  <si>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</si>
  <si>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</si>
  <si>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</si>
  <si>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</si>
  <si>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</si>
  <si>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</si>
  <si>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</si>
  <si>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</si>
  <si>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</si>
  <si>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</si>
  <si>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</si>
  <si>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</si>
  <si>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</si>
  <si>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</si>
  <si>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</si>
  <si>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</si>
  <si>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</si>
  <si>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</si>
  <si>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</si>
  <si>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</si>
  <si>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</si>
  <si>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</si>
  <si>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</si>
  <si>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</si>
  <si>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</si>
  <si>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</si>
  <si>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</si>
  <si>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</si>
  <si>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</si>
  <si>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</si>
  <si>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</si>
  <si>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</si>
  <si>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</si>
  <si>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</si>
  <si>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</si>
  <si>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</si>
  <si>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</si>
  <si>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</si>
  <si>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</si>
  <si>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</si>
  <si>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</si>
  <si>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</si>
  <si>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</si>
  <si>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</si>
  <si>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</si>
  <si>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</si>
  <si>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</si>
  <si>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</si>
  <si>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</si>
  <si>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</si>
  <si>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</si>
  <si>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</si>
  <si>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</si>
  <si>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</si>
  <si>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</si>
  <si>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</si>
  <si>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</si>
  <si>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</si>
  <si>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</si>
  <si>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</si>
  <si>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</si>
  <si>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</si>
  <si>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</si>
  <si>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</si>
  <si>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</si>
  <si>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</si>
  <si>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</si>
  <si>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</si>
  <si>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</si>
  <si>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</si>
  <si>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</si>
  <si>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</si>
  <si>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</si>
  <si>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</si>
  <si>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</si>
  <si>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</si>
  <si>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</si>
  <si>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</si>
  <si>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</si>
  <si>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265K0051</t>
  </si>
  <si>
    <t>265K0052</t>
  </si>
  <si>
    <t>BRIGHT WHITE</t>
  </si>
  <si>
    <t>04</t>
  </si>
  <si>
    <t>BLACK JACK, CALLA LILY 451, DARK GREEN, INK BLUE, MONET BLUE, RED TAPE, RON BURGUNDY</t>
  </si>
  <si>
    <t>04, 00, 06, 02, 03, 01, 05</t>
  </si>
  <si>
    <t>BOYS COTTON FIBERS, KNIT SHIRT, WITH NECK CLOSURE, STITCH COUNT EQUAL OR IS GREATER THAN 10/1CM, HEM BOTTOM [60% COTTON 40% POLYESTER]</t>
  </si>
  <si>
    <t>INK BLUE</t>
  </si>
  <si>
    <t>02</t>
  </si>
  <si>
    <t>BLACK JACK, FAUX HEATHER GREY</t>
  </si>
  <si>
    <t>03, 00</t>
  </si>
  <si>
    <t>BLACK JACK, CALLA LILY 451, INK BLUE, RED TAPE</t>
  </si>
  <si>
    <t>04, 00, 02, 01</t>
  </si>
  <si>
    <t>COMERCIAL INVOICE CMT</t>
  </si>
  <si>
    <t>05</t>
  </si>
  <si>
    <t>MONET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</si>
</sst>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2CBF4B77-2A32-4936-AE44-C061A7248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16139B-71AE-4810-890F-354D34AD3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37285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J10" sqref="J10"/>
    </sheetView>
  </sheetViews>
  <sheetFormatPr defaultRowHeight="12.75" x14ac:dyDescent="0.2"/>
  <sheetData>
    <row r="2" spans="2:9" ht="15" x14ac:dyDescent="0.25">
      <c r="B2" s="57">
        <v>1</v>
      </c>
      <c r="C2" t="s">
        <v>179</v>
      </c>
      <c r="E2" s="57">
        <v>1</v>
      </c>
      <c r="F2">
        <v>416363</v>
      </c>
      <c r="H2" s="57">
        <v>1</v>
      </c>
      <c r="I2" s="58" t="s">
        <v>178</v>
      </c>
    </row>
    <row r="3" spans="2:9" ht="15" x14ac:dyDescent="0.25">
      <c r="B3" s="57">
        <v>2</v>
      </c>
      <c r="C3" t="s">
        <v>179</v>
      </c>
      <c r="E3" s="57">
        <v>2</v>
      </c>
      <c r="F3">
        <v>416363</v>
      </c>
      <c r="H3" s="57">
        <v>2</v>
      </c>
      <c r="I3" s="58" t="s">
        <v>178</v>
      </c>
    </row>
    <row r="4" spans="2:9" ht="15" x14ac:dyDescent="0.25">
      <c r="B4" s="57">
        <v>3</v>
      </c>
      <c r="C4" t="s">
        <v>180</v>
      </c>
      <c r="E4" s="57">
        <v>3</v>
      </c>
      <c r="F4">
        <v>767468</v>
      </c>
      <c r="H4" s="57">
        <v>3</v>
      </c>
      <c r="I4" s="58" t="s">
        <v>178</v>
      </c>
    </row>
    <row r="5" spans="2:9" ht="15" x14ac:dyDescent="0.25">
      <c r="B5" s="57">
        <v>4</v>
      </c>
      <c r="C5" t="s">
        <v>180</v>
      </c>
      <c r="E5" s="57">
        <v>4</v>
      </c>
      <c r="F5">
        <v>767468</v>
      </c>
      <c r="H5" s="57">
        <v>4</v>
      </c>
      <c r="I5" s="58" t="s">
        <v>177</v>
      </c>
    </row>
    <row r="6" spans="2:9" ht="15" x14ac:dyDescent="0.25">
      <c r="B6" s="57">
        <v>5</v>
      </c>
      <c r="C6" t="s">
        <v>179</v>
      </c>
      <c r="E6" s="57">
        <v>5</v>
      </c>
      <c r="F6">
        <v>416363</v>
      </c>
      <c r="H6" s="57">
        <v>5</v>
      </c>
      <c r="I6" s="58" t="s">
        <v>177</v>
      </c>
    </row>
    <row r="7" spans="2:9" ht="15" x14ac:dyDescent="0.25">
      <c r="B7" s="57">
        <v>6</v>
      </c>
      <c r="E7" s="57">
        <v>6</v>
      </c>
      <c r="H7" s="57">
        <v>6</v>
      </c>
      <c r="I7" s="58"/>
    </row>
    <row r="8" spans="2:9" ht="15" x14ac:dyDescent="0.25">
      <c r="B8" s="57">
        <v>7</v>
      </c>
      <c r="E8" s="57">
        <v>7</v>
      </c>
      <c r="H8" s="57">
        <v>7</v>
      </c>
      <c r="I8" s="58"/>
    </row>
    <row r="9" spans="2:9" ht="15" x14ac:dyDescent="0.25">
      <c r="B9" s="57">
        <v>8</v>
      </c>
      <c r="E9" s="57">
        <v>8</v>
      </c>
      <c r="H9" s="57">
        <v>8</v>
      </c>
      <c r="I9" s="58"/>
    </row>
    <row r="10" spans="2:9" ht="15" x14ac:dyDescent="0.25">
      <c r="B10" s="57">
        <v>9</v>
      </c>
      <c r="E10" s="57">
        <v>9</v>
      </c>
      <c r="H10" s="57">
        <v>9</v>
      </c>
      <c r="I10" s="58"/>
    </row>
    <row r="11" spans="2:9" x14ac:dyDescent="0.2">
      <c r="B11" s="57">
        <v>10</v>
      </c>
      <c r="E11" s="57">
        <v>10</v>
      </c>
      <c r="H11" s="57">
        <v>10</v>
      </c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192</v>
      </c>
      <c r="C2" s="81"/>
      <c r="D2" s="81"/>
      <c r="E2" s="81"/>
      <c r="F2" s="81"/>
      <c r="G2" s="81"/>
      <c r="H2" s="81"/>
      <c r="I2" s="82"/>
      <c r="J2" s="63">
        <v>61463792</v>
      </c>
      <c r="K2" s="64">
        <v>6768</v>
      </c>
      <c r="L2" s="65">
        <v>72</v>
      </c>
      <c r="M2" s="65">
        <v>781.12900000000002</v>
      </c>
      <c r="N2" s="65">
        <v>794.66499999999996</v>
      </c>
      <c r="O2" s="65">
        <v>861.51499999999999</v>
      </c>
      <c r="P2" s="65" t="s">
        <v>54</v>
      </c>
      <c r="Q2" s="65">
        <v>4.1769999999999996</v>
      </c>
      <c r="R2" s="65" t="s">
        <v>62</v>
      </c>
    </row>
    <row r="3" spans="2:22" x14ac:dyDescent="0.2">
      <c r="B3" s="6" t="s">
        <v>53</v>
      </c>
      <c r="C3" s="62">
        <v>390</v>
      </c>
      <c r="D3" s="5"/>
      <c r="E3" s="5"/>
      <c r="F3" s="5"/>
      <c r="G3" s="5" t="s">
        <v>52</v>
      </c>
      <c r="H3" s="31">
        <v>46168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61463792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861.51499999999999</v>
      </c>
      <c r="G23" s="23">
        <f>+N2</f>
        <v>794.66499999999996</v>
      </c>
      <c r="H23" s="23">
        <f>+M2</f>
        <v>781.12900000000002</v>
      </c>
      <c r="I23" s="48">
        <f>+L2</f>
        <v>72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BOYS COTTON FIBERS, KNIT SHIRT, WITH NECK CLOSURE, STITCH COUNT EQUAL OR IS GREATER THAN 10/1CM, HEM BOTTOM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6" t="s">
        <v>19</v>
      </c>
      <c r="E31" s="86"/>
      <c r="F31" s="86" t="s">
        <v>18</v>
      </c>
      <c r="G31" s="86"/>
      <c r="H31" s="48" t="s">
        <v>17</v>
      </c>
      <c r="I31" s="19" t="s">
        <v>16</v>
      </c>
      <c r="M31"/>
    </row>
    <row r="32" spans="2:13" ht="30.75" customHeight="1" x14ac:dyDescent="0.2">
      <c r="B32" s="41" t="s">
        <v>182</v>
      </c>
      <c r="C32" s="19" t="s">
        <v>181</v>
      </c>
      <c r="D32" s="73"/>
      <c r="E32" s="74"/>
      <c r="F32" s="73">
        <v>3548</v>
      </c>
      <c r="G32" s="74"/>
      <c r="H32" s="17">
        <v>0.9</v>
      </c>
      <c r="I32" s="18">
        <f>+H32*F32</f>
        <v>3193.2000000000003</v>
      </c>
      <c r="K32" s="46"/>
      <c r="M32" s="39"/>
    </row>
    <row r="33" spans="2:13" ht="30.75" customHeight="1" x14ac:dyDescent="0.2">
      <c r="B33" s="41" t="s">
        <v>187</v>
      </c>
      <c r="C33" s="19" t="s">
        <v>186</v>
      </c>
      <c r="D33" s="73"/>
      <c r="E33" s="74"/>
      <c r="F33" s="73">
        <v>3220</v>
      </c>
      <c r="G33" s="74"/>
      <c r="H33" s="17">
        <v>0.9</v>
      </c>
      <c r="I33" s="18">
        <f>+H33*F33</f>
        <v>2898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48"/>
    </row>
    <row r="35" spans="2:13" ht="21.75" customHeight="1" x14ac:dyDescent="0.2">
      <c r="B35" s="15" t="s">
        <v>14</v>
      </c>
      <c r="C35" s="15"/>
      <c r="D35" s="71"/>
      <c r="E35" s="72"/>
      <c r="F35" s="73">
        <f>SUM(F31:G34)</f>
        <v>6768</v>
      </c>
      <c r="G35" s="74"/>
      <c r="H35" s="15"/>
      <c r="I35" s="14">
        <f>SUM(I32:I34)</f>
        <v>6091.2000000000007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6091.2000000000007</v>
      </c>
    </row>
    <row r="38" spans="2:13" ht="20.25" customHeight="1" x14ac:dyDescent="0.2">
      <c r="B38" s="15" t="s">
        <v>80</v>
      </c>
      <c r="C38" s="69" t="s">
        <v>11</v>
      </c>
      <c r="D38" s="76"/>
      <c r="E38" s="76"/>
      <c r="F38" s="76"/>
      <c r="G38" s="76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6091.2000000000007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7" t="s">
        <v>7</v>
      </c>
      <c r="C47" s="77"/>
      <c r="D47" s="77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8" t="s">
        <v>1</v>
      </c>
      <c r="D56" s="78"/>
      <c r="E56" s="5"/>
      <c r="F56" s="5"/>
      <c r="G56" s="5"/>
      <c r="H56" s="5"/>
      <c r="I56" s="4"/>
    </row>
    <row r="57" spans="2:11" x14ac:dyDescent="0.2">
      <c r="B57" s="6"/>
      <c r="C57" s="79" t="s">
        <v>0</v>
      </c>
      <c r="D57" s="79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5"/>
      <c r="D58" s="75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B2:I2"/>
    <mergeCell ref="B26:I26"/>
    <mergeCell ref="B27:I27"/>
    <mergeCell ref="D31:E31"/>
    <mergeCell ref="F31:G31"/>
    <mergeCell ref="F32:G32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35" zoomScaleNormal="100" zoomScaleSheetLayoutView="100" workbookViewId="0">
      <selection activeCell="L50" sqref="L5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192</v>
      </c>
      <c r="C2" s="81"/>
      <c r="D2" s="81"/>
      <c r="E2" s="81"/>
      <c r="F2" s="81"/>
      <c r="G2" s="81"/>
      <c r="H2" s="81"/>
      <c r="I2" s="82"/>
      <c r="J2" s="63">
        <v>61479329</v>
      </c>
      <c r="K2" s="64">
        <v>1775</v>
      </c>
      <c r="L2" s="65">
        <v>23</v>
      </c>
      <c r="M2" s="65">
        <v>208.185</v>
      </c>
      <c r="N2" s="65">
        <v>211.73500000000001</v>
      </c>
      <c r="O2" s="65">
        <v>231.48500000000001</v>
      </c>
      <c r="P2" s="65" t="s">
        <v>54</v>
      </c>
      <c r="Q2" s="65">
        <v>1.1240000000000001</v>
      </c>
      <c r="R2" s="65" t="s">
        <v>62</v>
      </c>
    </row>
    <row r="3" spans="2:22" x14ac:dyDescent="0.2">
      <c r="B3" s="6" t="s">
        <v>53</v>
      </c>
      <c r="C3" s="62">
        <v>392</v>
      </c>
      <c r="D3" s="5"/>
      <c r="E3" s="5"/>
      <c r="F3" s="5"/>
      <c r="G3" s="5" t="s">
        <v>52</v>
      </c>
      <c r="H3" s="31">
        <f>+'390'!H3+0</f>
        <v>46168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61479329</v>
      </c>
      <c r="C21" s="53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CA</v>
      </c>
      <c r="I21" s="54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231.48500000000001</v>
      </c>
      <c r="G23" s="23">
        <f>+N2</f>
        <v>211.73500000000001</v>
      </c>
      <c r="H23" s="23">
        <f>+M2</f>
        <v>208.185</v>
      </c>
      <c r="I23" s="54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BOYS COTTON FIBERS, KNIT SHIRT, WITH NECK CLOSURE, STITCH COUNT EQUAL OR IS GREATER THAN 10/1CM, HEM BOTTOM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6" t="s">
        <v>19</v>
      </c>
      <c r="E31" s="86"/>
      <c r="F31" s="86" t="s">
        <v>18</v>
      </c>
      <c r="G31" s="86"/>
      <c r="H31" s="54" t="s">
        <v>17</v>
      </c>
      <c r="I31" s="19" t="s">
        <v>16</v>
      </c>
      <c r="M31"/>
    </row>
    <row r="32" spans="2:13" ht="27.75" customHeight="1" x14ac:dyDescent="0.2">
      <c r="B32" s="41" t="s">
        <v>189</v>
      </c>
      <c r="C32" s="19" t="s">
        <v>188</v>
      </c>
      <c r="D32" s="73"/>
      <c r="E32" s="74"/>
      <c r="F32" s="73">
        <f>+K2</f>
        <v>1775</v>
      </c>
      <c r="G32" s="74"/>
      <c r="H32" s="17">
        <v>0.9</v>
      </c>
      <c r="I32" s="18">
        <f>+H32*F32</f>
        <v>1597.5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54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1775</v>
      </c>
      <c r="G34" s="74"/>
      <c r="H34" s="15"/>
      <c r="I34" s="14">
        <f>SUM(I32:I33)</f>
        <v>1597.5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1597.5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1597.5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36" zoomScaleNormal="100" zoomScaleSheetLayoutView="100" workbookViewId="0">
      <selection activeCell="K56" sqref="K56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192</v>
      </c>
      <c r="C2" s="81"/>
      <c r="D2" s="81"/>
      <c r="E2" s="81"/>
      <c r="F2" s="81"/>
      <c r="G2" s="81"/>
      <c r="H2" s="81"/>
      <c r="I2" s="82"/>
      <c r="J2" s="63">
        <v>61479202</v>
      </c>
      <c r="K2" s="64">
        <v>4848</v>
      </c>
      <c r="L2" s="65">
        <v>90</v>
      </c>
      <c r="M2" s="65">
        <v>640.13</v>
      </c>
      <c r="N2" s="65">
        <v>737.09</v>
      </c>
      <c r="O2" s="65">
        <v>808.49</v>
      </c>
      <c r="P2" s="65" t="s">
        <v>54</v>
      </c>
      <c r="Q2" s="65">
        <v>4.093</v>
      </c>
      <c r="R2" s="65" t="s">
        <v>62</v>
      </c>
    </row>
    <row r="3" spans="2:22" x14ac:dyDescent="0.2">
      <c r="B3" s="6" t="s">
        <v>53</v>
      </c>
      <c r="C3" s="62">
        <f>+'392'!C3+1</f>
        <v>393</v>
      </c>
      <c r="D3" s="5"/>
      <c r="E3" s="5"/>
      <c r="F3" s="5"/>
      <c r="G3" s="5" t="s">
        <v>52</v>
      </c>
      <c r="H3" s="31">
        <f>+'390'!H3+0</f>
        <v>46168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61479202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808.49</v>
      </c>
      <c r="G23" s="23">
        <f>+N2</f>
        <v>737.09</v>
      </c>
      <c r="H23" s="23">
        <f>+M2</f>
        <v>640.13</v>
      </c>
      <c r="I23" s="55">
        <f>+L2</f>
        <v>90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BOYS COTTON FIBERS, KNIT SHIRT, WITH NECK CLOSURE, STITCH COUNT EQUAL OR IS GREATER THAN 10/1CM, HEM BOTTOM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6" t="s">
        <v>19</v>
      </c>
      <c r="E31" s="86"/>
      <c r="F31" s="86" t="s">
        <v>18</v>
      </c>
      <c r="G31" s="86"/>
      <c r="H31" s="55" t="s">
        <v>17</v>
      </c>
      <c r="I31" s="19" t="s">
        <v>16</v>
      </c>
      <c r="M31"/>
    </row>
    <row r="32" spans="2:13" ht="38.25" x14ac:dyDescent="0.2">
      <c r="B32" s="41" t="s">
        <v>191</v>
      </c>
      <c r="C32" s="19" t="s">
        <v>190</v>
      </c>
      <c r="D32" s="73"/>
      <c r="E32" s="74"/>
      <c r="F32" s="73">
        <f>+K2</f>
        <v>4848</v>
      </c>
      <c r="G32" s="74"/>
      <c r="H32" s="17">
        <v>1.05</v>
      </c>
      <c r="I32" s="18">
        <f>+H32*F32</f>
        <v>5090.4000000000005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1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4848</v>
      </c>
      <c r="G34" s="74"/>
      <c r="H34" s="15"/>
      <c r="I34" s="14">
        <f>SUM(I32:I32)</f>
        <v>5090.4000000000005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5090.4000000000005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5090.4000000000005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V58"/>
  <sheetViews>
    <sheetView view="pageBreakPreview" topLeftCell="A22" zoomScaleNormal="100" zoomScaleSheetLayoutView="100" workbookViewId="0">
      <selection activeCell="K56" sqref="K56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192</v>
      </c>
      <c r="C2" s="81"/>
      <c r="D2" s="81"/>
      <c r="E2" s="81"/>
      <c r="F2" s="81"/>
      <c r="G2" s="81"/>
      <c r="H2" s="81"/>
      <c r="I2" s="82"/>
      <c r="J2" s="63">
        <v>61472475</v>
      </c>
      <c r="K2" s="64">
        <v>6006</v>
      </c>
      <c r="L2" s="65">
        <v>125</v>
      </c>
      <c r="M2" s="65">
        <v>830.16</v>
      </c>
      <c r="N2" s="65">
        <v>950.28</v>
      </c>
      <c r="O2" s="66">
        <v>1055.78</v>
      </c>
      <c r="P2" s="65" t="s">
        <v>54</v>
      </c>
      <c r="Q2" s="65">
        <v>5.3570000000000002</v>
      </c>
      <c r="R2" s="65" t="s">
        <v>62</v>
      </c>
    </row>
    <row r="3" spans="2:22" x14ac:dyDescent="0.2">
      <c r="B3" s="6" t="s">
        <v>53</v>
      </c>
      <c r="C3" s="62">
        <v>399</v>
      </c>
      <c r="D3" s="5"/>
      <c r="E3" s="5"/>
      <c r="F3" s="5"/>
      <c r="G3" s="5" t="s">
        <v>52</v>
      </c>
      <c r="H3" s="31">
        <f>+'390'!H3+0</f>
        <v>46168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61472475</v>
      </c>
      <c r="C21" s="5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0" t="s">
        <v>35</v>
      </c>
      <c r="G21" s="60"/>
      <c r="H21" s="47" t="str">
        <f>IF(LEFT(G17,2)="CA","CA",IF(LEFT(G17,2)="UN","US",IF(LEFT(G17,2)="PA","PA",IF(LEFT(G17,2)="JA","JP"))))</f>
        <v>US</v>
      </c>
      <c r="I21" s="60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1055.78</v>
      </c>
      <c r="G23" s="23">
        <f>+N2</f>
        <v>950.28</v>
      </c>
      <c r="H23" s="23">
        <f>+M2</f>
        <v>830.16</v>
      </c>
      <c r="I23" s="60">
        <f>+L2</f>
        <v>125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BOYS COTTON FIBERS, KNIT SHIRT, WITH NECK CLOSURE, STITCH COUNT EQUAL OR IS GREATER THAN 10/1CM, HEM BOTTOM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86" t="s">
        <v>19</v>
      </c>
      <c r="E31" s="86"/>
      <c r="F31" s="86" t="s">
        <v>18</v>
      </c>
      <c r="G31" s="86"/>
      <c r="H31" s="60" t="s">
        <v>17</v>
      </c>
      <c r="I31" s="19" t="s">
        <v>16</v>
      </c>
      <c r="M31"/>
    </row>
    <row r="32" spans="2:13" ht="76.5" x14ac:dyDescent="0.2">
      <c r="B32" s="41" t="s">
        <v>184</v>
      </c>
      <c r="C32" s="19" t="s">
        <v>183</v>
      </c>
      <c r="D32" s="73"/>
      <c r="E32" s="74"/>
      <c r="F32" s="73">
        <f>+K2</f>
        <v>6006</v>
      </c>
      <c r="G32" s="74"/>
      <c r="H32" s="17">
        <v>1.05</v>
      </c>
      <c r="I32" s="18">
        <f>+H32*F32</f>
        <v>6306.3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0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6006</v>
      </c>
      <c r="G34" s="74"/>
      <c r="H34" s="15"/>
      <c r="I34" s="14">
        <f>SUM(I32:I33)</f>
        <v>6306.3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60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6306.3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6306.3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B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B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CD05-3B86-4072-A9F6-B19623E8A2A5}">
  <sheetPr>
    <pageSetUpPr fitToPage="1"/>
  </sheetPr>
  <dimension ref="B1:V59"/>
  <sheetViews>
    <sheetView tabSelected="1" view="pageBreakPreview" zoomScaleNormal="100" zoomScaleSheetLayoutView="100" workbookViewId="0">
      <selection activeCell="F33" sqref="F33:G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192</v>
      </c>
      <c r="C2" s="81"/>
      <c r="D2" s="81"/>
      <c r="E2" s="81"/>
      <c r="F2" s="81"/>
      <c r="G2" s="81"/>
      <c r="H2" s="81"/>
      <c r="I2" s="82"/>
      <c r="J2" s="63">
        <v>61464364</v>
      </c>
      <c r="K2" s="64">
        <v>6303</v>
      </c>
      <c r="L2" s="65">
        <v>74</v>
      </c>
      <c r="M2" s="65">
        <v>817.47299999999996</v>
      </c>
      <c r="N2" s="65">
        <v>841.59299999999996</v>
      </c>
      <c r="O2" s="65">
        <v>912.59299999999996</v>
      </c>
      <c r="P2" s="65" t="s">
        <v>54</v>
      </c>
      <c r="Q2" s="65">
        <v>4.4729999999999999</v>
      </c>
      <c r="R2" s="65" t="s">
        <v>62</v>
      </c>
    </row>
    <row r="3" spans="2:22" x14ac:dyDescent="0.2">
      <c r="B3" s="6" t="s">
        <v>53</v>
      </c>
      <c r="C3" s="62">
        <v>399</v>
      </c>
      <c r="D3" s="5"/>
      <c r="E3" s="5"/>
      <c r="F3" s="5"/>
      <c r="G3" s="5" t="s">
        <v>52</v>
      </c>
      <c r="H3" s="31">
        <f>+'390'!H3+0</f>
        <v>46168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61464364</v>
      </c>
      <c r="C21" s="68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912.59299999999996</v>
      </c>
      <c r="G23" s="23">
        <f>+N2</f>
        <v>841.59299999999996</v>
      </c>
      <c r="H23" s="23">
        <f>+M2</f>
        <v>817.47299999999996</v>
      </c>
      <c r="I23" s="67">
        <f>+L2</f>
        <v>74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BOYS COTTON FIBERS, KNIT SHIRT, WITH NECK CLOSURE, STITCH COUNT EQUAL OR IS GREATER THAN 10/1CM, HEM BOTTOM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6" t="s">
        <v>19</v>
      </c>
      <c r="E31" s="86"/>
      <c r="F31" s="86" t="s">
        <v>18</v>
      </c>
      <c r="G31" s="86"/>
      <c r="H31" s="67" t="s">
        <v>17</v>
      </c>
      <c r="I31" s="19" t="s">
        <v>16</v>
      </c>
      <c r="M31"/>
    </row>
    <row r="32" spans="2:13" ht="30.75" customHeight="1" x14ac:dyDescent="0.2">
      <c r="B32" s="41" t="s">
        <v>182</v>
      </c>
      <c r="C32" s="19" t="s">
        <v>181</v>
      </c>
      <c r="D32" s="73"/>
      <c r="E32" s="74"/>
      <c r="F32" s="73">
        <v>3959</v>
      </c>
      <c r="G32" s="74"/>
      <c r="H32" s="17">
        <v>0.9</v>
      </c>
      <c r="I32" s="18">
        <f>+H32*F32</f>
        <v>3563.1</v>
      </c>
      <c r="K32" s="46"/>
      <c r="M32" s="39"/>
    </row>
    <row r="33" spans="2:13" ht="36.75" customHeight="1" x14ac:dyDescent="0.2">
      <c r="B33" s="41" t="s">
        <v>193</v>
      </c>
      <c r="C33" s="19" t="s">
        <v>194</v>
      </c>
      <c r="D33" s="73"/>
      <c r="E33" s="74"/>
      <c r="F33" s="73">
        <v>2344</v>
      </c>
      <c r="G33" s="74"/>
      <c r="H33" s="17">
        <v>0.9</v>
      </c>
      <c r="I33" s="18">
        <f>+H33*F33</f>
        <v>2109.6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67"/>
    </row>
    <row r="35" spans="2:13" ht="21.75" customHeight="1" x14ac:dyDescent="0.2">
      <c r="B35" s="15" t="s">
        <v>14</v>
      </c>
      <c r="C35" s="15"/>
      <c r="D35" s="71"/>
      <c r="E35" s="72"/>
      <c r="F35" s="73">
        <f>SUM(F32:G34)</f>
        <v>6303</v>
      </c>
      <c r="G35" s="74"/>
      <c r="H35" s="15"/>
      <c r="I35" s="14">
        <f>SUM(I32:I34)</f>
        <v>5672.7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67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5672.7</v>
      </c>
    </row>
    <row r="38" spans="2:13" ht="20.25" customHeight="1" x14ac:dyDescent="0.2">
      <c r="B38" s="15" t="s">
        <v>80</v>
      </c>
      <c r="C38" s="69" t="s">
        <v>11</v>
      </c>
      <c r="D38" s="76"/>
      <c r="E38" s="76"/>
      <c r="F38" s="76"/>
      <c r="G38" s="76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5672.7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7" t="s">
        <v>7</v>
      </c>
      <c r="C47" s="77"/>
      <c r="D47" s="77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5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8" t="s">
        <v>1</v>
      </c>
      <c r="D56" s="78"/>
      <c r="E56" s="5"/>
      <c r="F56" s="5"/>
      <c r="G56" s="5"/>
      <c r="H56" s="5"/>
      <c r="I56" s="4"/>
    </row>
    <row r="57" spans="2:11" x14ac:dyDescent="0.2">
      <c r="B57" s="6"/>
      <c r="C57" s="79" t="s">
        <v>0</v>
      </c>
      <c r="D57" s="79"/>
      <c r="E57" s="5"/>
      <c r="F57" s="5"/>
      <c r="G57" s="5"/>
      <c r="H57" s="5"/>
      <c r="I57" s="4"/>
      <c r="K57">
        <v>5</v>
      </c>
    </row>
    <row r="58" spans="2:11" x14ac:dyDescent="0.2">
      <c r="B58" s="2"/>
      <c r="C58" s="75"/>
      <c r="D58" s="75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2:E32"/>
    <mergeCell ref="F32:G32"/>
    <mergeCell ref="D33:E33"/>
    <mergeCell ref="F33:G33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E9CB881-3A5F-4EA6-A928-7AC9FAE7D16D}">
          <x14:formula1>
            <xm:f>Sheet1!$L$5:$L$25</xm:f>
          </x14:formula1>
          <xm:sqref>G13</xm:sqref>
        </x14:dataValidation>
        <x14:dataValidation type="list" allowBlank="1" showInputMessage="1" showErrorMessage="1" xr:uid="{98A3C931-ADA8-4E83-A2FF-AF27C83A2720}">
          <x14:formula1>
            <xm:f>Sheet1!$B$17:$B$18</xm:f>
          </x14:formula1>
          <xm:sqref>G5</xm:sqref>
        </x14:dataValidation>
        <x14:dataValidation type="list" allowBlank="1" showInputMessage="1" showErrorMessage="1" xr:uid="{303DEFB3-7C5C-4EFF-9FED-06A121303166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Sheet1</vt:lpstr>
      <vt:lpstr>reff</vt:lpstr>
      <vt:lpstr>390</vt:lpstr>
      <vt:lpstr>392</vt:lpstr>
      <vt:lpstr>393</vt:lpstr>
      <vt:lpstr>399</vt:lpstr>
      <vt:lpstr>401</vt:lpstr>
      <vt:lpstr>'390'!Print_Area</vt:lpstr>
      <vt:lpstr>'392'!Print_Area</vt:lpstr>
      <vt:lpstr>'393'!Print_Area</vt:lpstr>
      <vt:lpstr>'399'!Print_Area</vt:lpstr>
      <vt:lpstr>'401'!Print_Area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2026-05-25T02:10:45Z</cp:lastPrinted>
  <dcterms:created xsi:type="dcterms:W3CDTF">2024-04-17T09:56:05Z</dcterms:created>
  <dcterms:modified xsi:type="dcterms:W3CDTF">2026-05-26T03:24:55Z</dcterms:modified>
</cp:coreProperties>
</file>