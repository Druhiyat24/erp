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12.05.2026\MOBIL 3\"/>
    </mc:Choice>
  </mc:AlternateContent>
  <xr:revisionPtr revIDLastSave="0" documentId="13_ncr:1_{699D8E59-31A7-4044-ACCE-B81D68108CE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183. FOB" sheetId="164" r:id="rId3"/>
    <sheet name="183. CMT" sheetId="165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3">[2]xdata!#REF!</definedName>
    <definedName name="a" localSheetId="2">[2]xdata!#REF!</definedName>
    <definedName name="a">[2]xdata!#REF!</definedName>
    <definedName name="b" localSheetId="3">[2]xdata!#REF!</definedName>
    <definedName name="b" localSheetId="2">[2]xdata!#REF!</definedName>
    <definedName name="b">[2]xdata!#REF!</definedName>
    <definedName name="C_O" localSheetId="3">[2]xdata!#REF!</definedName>
    <definedName name="C_O" localSheetId="2">[2]xdata!#REF!</definedName>
    <definedName name="C_O">[2]xdata!#REF!</definedName>
    <definedName name="CBM">[3]参数!$E$3</definedName>
    <definedName name="Dept_no" localSheetId="3">[2]xdata!#REF!</definedName>
    <definedName name="Dept_no" localSheetId="2">[2]xdata!#REF!</definedName>
    <definedName name="Dept_no">[2]xdata!#REF!</definedName>
    <definedName name="Description">[3]参数!$E$1</definedName>
    <definedName name="E_L" localSheetId="3">[2]xdata!#REF!</definedName>
    <definedName name="E_L" localSheetId="2">[2]xdata!#REF!</definedName>
    <definedName name="E_L">[2]xdata!#REF!</definedName>
    <definedName name="INVOICE">[2]xdata!$B$2</definedName>
    <definedName name="_xlnm.Print_Area" localSheetId="3">'183. CMT'!$B$1:$I$57</definedName>
    <definedName name="_xlnm.Print_Area" localSheetId="2">'183. FOB'!$B$1:$I$57</definedName>
    <definedName name="v" localSheetId="3">[2]xdata!#REF!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" i="165" l="1"/>
  <c r="F32" i="165"/>
  <c r="I32" i="165" s="1"/>
  <c r="I34" i="165" s="1"/>
  <c r="I36" i="165" s="1"/>
  <c r="I38" i="165" s="1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F32" i="164"/>
  <c r="F34" i="165" l="1"/>
  <c r="H52" i="164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I32" i="164" l="1"/>
  <c r="I34" i="164" s="1"/>
  <c r="I36" i="164" s="1"/>
  <c r="I38" i="164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<sst xmlns="http://schemas.openxmlformats.org/spreadsheetml/2006/main" count="317" uniqueCount="184">
  <si>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</si>
  <si>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</si>
  <si>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</si>
  <si>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</si>
  <si>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</si>
  <si>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</si>
  <si>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</si>
  <si>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</si>
  <si>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</si>
  <si>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</si>
  <si>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</si>
  <si>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</si>
  <si>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</si>
  <si>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</si>
  <si>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</si>
  <si>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</si>
  <si>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</si>
  <si>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</si>
  <si>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</si>
  <si>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</si>
  <si>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</si>
  <si>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</si>
  <si>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</si>
  <si>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</si>
  <si>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</si>
  <si>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</si>
  <si>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</si>
  <si>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</si>
  <si>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</si>
  <si>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</si>
  <si>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</si>
  <si>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</si>
  <si>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</si>
  <si>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</si>
  <si>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</si>
  <si>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</si>
  <si>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</si>
  <si>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</si>
  <si>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</si>
  <si>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</si>
  <si>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</si>
  <si>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</si>
  <si>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</si>
  <si>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</si>
  <si>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</si>
  <si>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</si>
  <si>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</si>
  <si>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</si>
  <si>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</si>
  <si>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</si>
  <si>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</si>
  <si>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</si>
  <si>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</si>
  <si>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</si>
  <si>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</si>
  <si>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</si>
  <si>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</si>
  <si>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</si>
  <si>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</si>
  <si>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</si>
  <si>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</si>
  <si>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</si>
  <si>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</si>
  <si>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</si>
  <si>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</si>
  <si>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</si>
  <si>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</si>
  <si>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</si>
  <si>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</si>
  <si>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</si>
  <si>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</si>
  <si>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</si>
  <si>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</si>
  <si>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</si>
  <si>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</si>
  <si>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</si>
  <si>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</si>
  <si>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</si>
  <si>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</si>
  <si>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</si>
  <si>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</si>
  <si>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</si>
  <si>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</si>
  <si>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</si>
  <si>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</si>
  <si>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</si>
  <si>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</si>
  <si>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</si>
  <si>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</si>
  <si>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</si>
  <si>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</si>
  <si>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</si>
  <si>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</si>
  <si>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</si>
  <si>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</si>
  <si>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</si>
  <si>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</si>
  <si>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</si>
  <si>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</si>
  <si>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</si>
  <si>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</si>
  <si>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</si>
  <si>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</si>
  <si>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</si>
  <si>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</si>
  <si>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</si>
  <si>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</si>
  <si>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</si>
  <si>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</si>
  <si>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</si>
  <si>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</si>
  <si>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</si>
  <si>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</si>
  <si>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</si>
  <si>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</si>
  <si>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</si>
  <si>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</si>
  <si>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</si>
  <si>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</si>
  <si>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</si>
  <si>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</si>
  <si>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</si>
  <si>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</si>
  <si>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</si>
  <si>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</si>
  <si>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</si>
  <si>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</si>
  <si>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</si>
  <si>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</si>
  <si>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</si>
  <si>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</si>
  <si>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</si>
  <si>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</si>
  <si>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</si>
  <si>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</si>
  <si>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</si>
  <si>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</si>
  <si>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</si>
  <si>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</si>
  <si>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</si>
  <si>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</si>
  <si>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</si>
  <si>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</si>
  <si>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</si>
  <si>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</si>
  <si>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</si>
  <si>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</si>
  <si>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</si>
  <si>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</si>
  <si>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</si>
  <si>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</si>
  <si>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</si>
  <si>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</si>
  <si>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</si>
  <si>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</si>
  <si>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</si>
  <si>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</si>
  <si>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</si>
  <si>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</si>
  <si>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</si>
  <si>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</si>
  <si>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</si>
  <si>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</si>
  <si>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</si>
  <si>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</si>
  <si>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</si>
  <si>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</si>
  <si>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</si>
  <si>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</si>
  <si>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</si>
  <si>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</si>
  <si>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</si>
  <si>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</si>
  <si>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</si>
  <si>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</si>
  <si>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</si>
  <si>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</si>
  <si>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(FS INVOICE)</t>
  </si>
  <si>
    <t>265K0051</t>
  </si>
  <si>
    <t>FRANCHISE</t>
  </si>
  <si>
    <t>BOYS COTTON FIBERS, KNIT SHIRT, WITH NECK CLOSURE, STITCH COUNT EQUAL OR IS GREATER THAN 10/1CM, HEM BOTTOM [60% COTTON 40% POLYESTER]</t>
  </si>
  <si>
    <t>DARK FOREST GREEN, RON BURGUNDY</t>
  </si>
  <si>
    <t>09, 10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</si>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</sst>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9289C88-F1B2-4284-BCBD-207473D49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05C84-1C22-4280-8FD7-C70FAD9E2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156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D6929BB-BA0A-42B3-9878-40646E5C2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6159DC-B713-4859-9BB4-844D45CF0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0135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94</v>
      </c>
      <c r="D3" t="s">
        <v>93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86</v>
      </c>
      <c r="G5" s="10" t="s">
        <v>97</v>
      </c>
      <c r="H5" s="10" t="s">
        <v>87</v>
      </c>
      <c r="I5" s="10" t="s">
        <v>98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99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100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96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101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95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136</v>
      </c>
      <c r="D11" s="10" t="s">
        <v>116</v>
      </c>
      <c r="F11" s="10" t="s">
        <v>102</v>
      </c>
      <c r="G11" s="10" t="s">
        <v>104</v>
      </c>
      <c r="H11" s="10" t="s">
        <v>108</v>
      </c>
      <c r="I11" s="10" t="s">
        <v>112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137</v>
      </c>
      <c r="D12" s="51" t="s">
        <v>117</v>
      </c>
      <c r="F12" s="51" t="s">
        <v>103</v>
      </c>
      <c r="G12" s="51" t="s">
        <v>105</v>
      </c>
      <c r="H12" s="51" t="s">
        <v>109</v>
      </c>
      <c r="I12" s="51" t="s">
        <v>113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138</v>
      </c>
      <c r="D13" s="51" t="s">
        <v>118</v>
      </c>
      <c r="F13" s="51" t="s">
        <v>100</v>
      </c>
      <c r="G13" s="51" t="s">
        <v>106</v>
      </c>
      <c r="H13" s="51" t="s">
        <v>110</v>
      </c>
      <c r="I13" s="51" t="s">
        <v>114</v>
      </c>
      <c r="L13" t="str">
        <f>F17</f>
        <v>BDC-0015</v>
      </c>
    </row>
    <row r="14" spans="2:12" x14ac:dyDescent="0.2">
      <c r="B14" s="51" t="s">
        <v>140</v>
      </c>
      <c r="D14" s="52" t="s">
        <v>119</v>
      </c>
      <c r="F14" s="52" t="s">
        <v>101</v>
      </c>
      <c r="G14" s="52" t="s">
        <v>107</v>
      </c>
      <c r="H14" s="52" t="s">
        <v>111</v>
      </c>
      <c r="I14" s="52" t="s">
        <v>115</v>
      </c>
      <c r="L14" t="str">
        <f>G17</f>
        <v>CANADA OMNI CAO-0040</v>
      </c>
    </row>
    <row r="15" spans="2:12" x14ac:dyDescent="0.2">
      <c r="B15" s="9" t="s">
        <v>139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125</v>
      </c>
      <c r="G17" s="10" t="s">
        <v>88</v>
      </c>
      <c r="H17" s="10" t="s">
        <v>89</v>
      </c>
      <c r="I17" s="10" t="s">
        <v>120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90</v>
      </c>
      <c r="I18" s="51" t="s">
        <v>121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91</v>
      </c>
      <c r="I19" s="51" t="s">
        <v>122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92</v>
      </c>
      <c r="I20" s="51" t="s">
        <v>123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124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126</v>
      </c>
      <c r="F23" s="10" t="s">
        <v>131</v>
      </c>
      <c r="G23" s="10" t="s">
        <v>144</v>
      </c>
      <c r="H23" s="10" t="s">
        <v>149</v>
      </c>
      <c r="I23" s="10" t="s">
        <v>155</v>
      </c>
      <c r="L23" t="str">
        <f>H29</f>
        <v>NDC-0028</v>
      </c>
    </row>
    <row r="24" spans="2:12" x14ac:dyDescent="0.2">
      <c r="D24" s="51" t="s">
        <v>127</v>
      </c>
      <c r="F24" s="51" t="s">
        <v>134</v>
      </c>
      <c r="G24" s="51" t="s">
        <v>145</v>
      </c>
      <c r="H24" s="51" t="s">
        <v>150</v>
      </c>
      <c r="I24" s="51" t="s">
        <v>156</v>
      </c>
      <c r="L24" t="str">
        <f>I29</f>
        <v>PDC-0014</v>
      </c>
    </row>
    <row r="25" spans="2:12" x14ac:dyDescent="0.2">
      <c r="D25" s="51" t="s">
        <v>128</v>
      </c>
      <c r="F25" s="51" t="s">
        <v>135</v>
      </c>
      <c r="G25" s="51" t="s">
        <v>146</v>
      </c>
      <c r="H25" s="51" t="s">
        <v>151</v>
      </c>
      <c r="I25" s="51" t="s">
        <v>157</v>
      </c>
      <c r="L25" t="str">
        <f>F35</f>
        <v>JPD-0030</v>
      </c>
    </row>
    <row r="26" spans="2:12" x14ac:dyDescent="0.2">
      <c r="D26" s="51" t="s">
        <v>129</v>
      </c>
      <c r="F26" s="51" t="s">
        <v>132</v>
      </c>
      <c r="G26" s="51" t="s">
        <v>147</v>
      </c>
      <c r="H26" s="51" t="s">
        <v>152</v>
      </c>
      <c r="I26" s="52" t="s">
        <v>158</v>
      </c>
    </row>
    <row r="27" spans="2:12" x14ac:dyDescent="0.2">
      <c r="D27" s="9" t="s">
        <v>130</v>
      </c>
      <c r="F27" s="9" t="s">
        <v>133</v>
      </c>
      <c r="G27" s="9" t="s">
        <v>148</v>
      </c>
      <c r="H27" s="9" t="s">
        <v>153</v>
      </c>
      <c r="I27" s="9" t="s">
        <v>67</v>
      </c>
    </row>
    <row r="28" spans="2:12" x14ac:dyDescent="0.2">
      <c r="D28" s="10"/>
    </row>
    <row r="29" spans="2:12" x14ac:dyDescent="0.2">
      <c r="D29" s="10" t="s">
        <v>141</v>
      </c>
      <c r="F29" s="10" t="s">
        <v>159</v>
      </c>
      <c r="G29" s="10" t="s">
        <v>161</v>
      </c>
      <c r="H29" s="10" t="s">
        <v>163</v>
      </c>
      <c r="I29" s="10" t="s">
        <v>164</v>
      </c>
    </row>
    <row r="30" spans="2:12" x14ac:dyDescent="0.2">
      <c r="D30" s="51" t="s">
        <v>142</v>
      </c>
      <c r="F30" s="51" t="s">
        <v>160</v>
      </c>
      <c r="G30" s="51" t="s">
        <v>162</v>
      </c>
      <c r="H30" s="51" t="s">
        <v>162</v>
      </c>
      <c r="I30" s="51" t="s">
        <v>165</v>
      </c>
    </row>
    <row r="31" spans="2:12" x14ac:dyDescent="0.2">
      <c r="D31" s="51" t="s">
        <v>143</v>
      </c>
      <c r="F31" s="51" t="s">
        <v>110</v>
      </c>
      <c r="G31" s="51" t="s">
        <v>69</v>
      </c>
      <c r="H31" s="51" t="s">
        <v>69</v>
      </c>
      <c r="I31" s="51" t="s">
        <v>100</v>
      </c>
    </row>
    <row r="32" spans="2:12" x14ac:dyDescent="0.2">
      <c r="D32" s="51" t="s">
        <v>129</v>
      </c>
      <c r="F32" s="52" t="s">
        <v>111</v>
      </c>
      <c r="G32" s="52" t="s">
        <v>76</v>
      </c>
      <c r="H32" s="52" t="s">
        <v>76</v>
      </c>
      <c r="I32" s="52" t="s">
        <v>101</v>
      </c>
    </row>
    <row r="33" spans="4:9" x14ac:dyDescent="0.2">
      <c r="D33" s="9" t="s">
        <v>130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116</v>
      </c>
      <c r="F35" s="10" t="s">
        <v>171</v>
      </c>
    </row>
    <row r="36" spans="4:9" x14ac:dyDescent="0.2">
      <c r="D36" s="51" t="s">
        <v>117</v>
      </c>
      <c r="F36" s="51" t="s">
        <v>172</v>
      </c>
    </row>
    <row r="37" spans="4:9" x14ac:dyDescent="0.2">
      <c r="D37" s="51" t="s">
        <v>118</v>
      </c>
      <c r="F37" s="51" t="s">
        <v>173</v>
      </c>
    </row>
    <row r="38" spans="4:9" x14ac:dyDescent="0.2">
      <c r="D38" s="52" t="s">
        <v>119</v>
      </c>
      <c r="F38" s="51" t="s">
        <v>174</v>
      </c>
    </row>
    <row r="39" spans="4:9" x14ac:dyDescent="0.2">
      <c r="D39" s="9" t="s">
        <v>67</v>
      </c>
      <c r="F39" s="9" t="s">
        <v>175</v>
      </c>
    </row>
    <row r="41" spans="4:9" x14ac:dyDescent="0.2">
      <c r="D41" s="10" t="s">
        <v>154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166</v>
      </c>
    </row>
    <row r="48" spans="4:9" x14ac:dyDescent="0.2">
      <c r="D48" s="51" t="s">
        <v>167</v>
      </c>
    </row>
    <row r="49" spans="4:4" x14ac:dyDescent="0.2">
      <c r="D49" s="51" t="s">
        <v>168</v>
      </c>
    </row>
    <row r="50" spans="4:4" x14ac:dyDescent="0.2">
      <c r="D50" s="52" t="s">
        <v>169</v>
      </c>
    </row>
    <row r="51" spans="4:4" x14ac:dyDescent="0.2">
      <c r="D51" s="9" t="s">
        <v>170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F2" sqref="F2"/>
    </sheetView>
  </sheetViews>
  <sheetFormatPr defaultRowHeight="12.75" x14ac:dyDescent="0.2"/>
  <sheetData>
    <row r="2" spans="2:9" ht="15" x14ac:dyDescent="0.25">
      <c r="B2" s="53">
        <v>1</v>
      </c>
      <c r="C2" t="s">
        <v>178</v>
      </c>
      <c r="E2" s="53">
        <v>1</v>
      </c>
      <c r="F2">
        <v>416363</v>
      </c>
      <c r="H2" s="53">
        <v>1</v>
      </c>
      <c r="I2" s="54" t="s">
        <v>179</v>
      </c>
    </row>
    <row r="3" spans="2:9" ht="15" x14ac:dyDescent="0.25">
      <c r="B3" s="53">
        <v>2</v>
      </c>
      <c r="E3" s="53">
        <v>2</v>
      </c>
      <c r="H3" s="53">
        <v>2</v>
      </c>
      <c r="I3" s="54"/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x14ac:dyDescent="0.2">
      <c r="B7" s="53">
        <v>6</v>
      </c>
      <c r="E7" s="53">
        <v>6</v>
      </c>
      <c r="H7" s="53">
        <v>6</v>
      </c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0CE2-64FA-4467-9BBD-76603A83C31F}">
  <sheetPr>
    <pageSetUpPr fitToPage="1"/>
  </sheetPr>
  <dimension ref="B1:V58"/>
  <sheetViews>
    <sheetView tabSelected="1" view="pageBreakPreview" zoomScaleNormal="100" zoomScaleSheetLayoutView="100" workbookViewId="0">
      <selection activeCell="F8" sqref="F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176</v>
      </c>
      <c r="C2" s="63"/>
      <c r="D2" s="63"/>
      <c r="E2" s="63"/>
      <c r="F2" s="63"/>
      <c r="G2" s="63"/>
      <c r="H2" s="63"/>
      <c r="I2" s="64"/>
      <c r="J2" s="43">
        <v>61642626</v>
      </c>
      <c r="K2" s="44">
        <v>642</v>
      </c>
      <c r="L2" s="44">
        <v>12</v>
      </c>
      <c r="M2" s="44">
        <v>72.180999999999997</v>
      </c>
      <c r="N2" s="44">
        <v>73.465000000000003</v>
      </c>
      <c r="O2" s="44">
        <v>82.064999999999998</v>
      </c>
      <c r="P2" s="44" t="s">
        <v>54</v>
      </c>
      <c r="Q2" s="44">
        <v>0.40300000000000002</v>
      </c>
      <c r="R2" s="44" t="s">
        <v>62</v>
      </c>
    </row>
    <row r="3" spans="2:22" x14ac:dyDescent="0.2">
      <c r="B3" s="6" t="s">
        <v>53</v>
      </c>
      <c r="C3" s="57">
        <v>183</v>
      </c>
      <c r="D3" s="5"/>
      <c r="E3" s="5"/>
      <c r="F3" s="5"/>
      <c r="G3" s="5" t="s">
        <v>52</v>
      </c>
      <c r="H3" s="31">
        <v>46154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120</v>
      </c>
      <c r="H13" s="5"/>
      <c r="I13" s="4"/>
    </row>
    <row r="14" spans="2:22" x14ac:dyDescent="0.2">
      <c r="B14" s="6" t="s">
        <v>116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61642626</v>
      </c>
      <c r="C21" s="56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5" t="s">
        <v>35</v>
      </c>
      <c r="G21" s="55"/>
      <c r="H21" s="49" t="str">
        <f>IF(LEFT(G17,2)="CA","CA",IF(LEFT(G17,2)="UN","US",IF(LEFT(G17,2)="PA","PA",IF(LEFT(G17,2)="JA","JP"))))</f>
        <v>PA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82.064999999999998</v>
      </c>
      <c r="G23" s="23">
        <f>+N2</f>
        <v>73.465000000000003</v>
      </c>
      <c r="H23" s="23">
        <f>+M2</f>
        <v>72.180999999999997</v>
      </c>
      <c r="I23" s="55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BOYS COTTON FIBERS, KNIT SHIRT, WITH NECK CLOSURE, STITCH COUNT EQUAL OR IS GREATER THAN 10/1CM, HEM BOTTOM [60% COTTON 40% POLYESTER]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1" t="s">
        <v>19</v>
      </c>
      <c r="E31" s="71"/>
      <c r="F31" s="71" t="s">
        <v>18</v>
      </c>
      <c r="G31" s="71"/>
      <c r="H31" s="55" t="s">
        <v>17</v>
      </c>
      <c r="I31" s="19" t="s">
        <v>16</v>
      </c>
      <c r="M31"/>
    </row>
    <row r="32" spans="2:13" ht="31.5" customHeight="1" x14ac:dyDescent="0.2">
      <c r="B32" s="41" t="s">
        <v>182</v>
      </c>
      <c r="C32" s="19" t="s">
        <v>181</v>
      </c>
      <c r="D32" s="60"/>
      <c r="E32" s="61"/>
      <c r="F32" s="60">
        <f>+K2</f>
        <v>642</v>
      </c>
      <c r="G32" s="61"/>
      <c r="H32" s="17">
        <v>2.27</v>
      </c>
      <c r="I32" s="18">
        <f>+H32*F32</f>
        <v>1457.34</v>
      </c>
      <c r="K32" s="48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55"/>
    </row>
    <row r="34" spans="2:11" ht="21.75" customHeight="1" x14ac:dyDescent="0.2">
      <c r="B34" s="15" t="s">
        <v>14</v>
      </c>
      <c r="C34" s="15"/>
      <c r="D34" s="72"/>
      <c r="E34" s="73"/>
      <c r="F34" s="60">
        <f>SUM(F31:G33)</f>
        <v>642</v>
      </c>
      <c r="G34" s="61"/>
      <c r="H34" s="15"/>
      <c r="I34" s="14">
        <f>SUM(I32:I33)</f>
        <v>1457.34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1457.34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1457.34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6A29A8-267D-4164-A78F-CB7D4CD3FD6D}">
          <x14:formula1>
            <xm:f>Sheet1!$L$5:$L$25</xm:f>
          </x14:formula1>
          <xm:sqref>G13</xm:sqref>
        </x14:dataValidation>
        <x14:dataValidation type="list" allowBlank="1" showInputMessage="1" showErrorMessage="1" xr:uid="{7D9065C1-2872-45A6-9EB9-8924293BA6C4}">
          <x14:formula1>
            <xm:f>Sheet1!$B$17:$B$18</xm:f>
          </x14:formula1>
          <xm:sqref>G5</xm:sqref>
        </x14:dataValidation>
        <x14:dataValidation type="list" allowBlank="1" showInputMessage="1" showErrorMessage="1" xr:uid="{75EE3281-D26F-4B04-8566-72D7B106F9CC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8DA9-0BD9-4EAB-9036-313D4E7FF73C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183</v>
      </c>
      <c r="C2" s="63"/>
      <c r="D2" s="63"/>
      <c r="E2" s="63"/>
      <c r="F2" s="63"/>
      <c r="G2" s="63"/>
      <c r="H2" s="63"/>
      <c r="I2" s="64"/>
      <c r="J2" s="43">
        <v>61642626</v>
      </c>
      <c r="K2" s="44">
        <v>642</v>
      </c>
      <c r="L2" s="44">
        <v>12</v>
      </c>
      <c r="M2" s="44">
        <v>72.180999999999997</v>
      </c>
      <c r="N2" s="44">
        <v>73.465000000000003</v>
      </c>
      <c r="O2" s="44">
        <v>82.064999999999998</v>
      </c>
      <c r="P2" s="44" t="s">
        <v>54</v>
      </c>
      <c r="Q2" s="44">
        <v>0.40300000000000002</v>
      </c>
      <c r="R2" s="44" t="s">
        <v>62</v>
      </c>
    </row>
    <row r="3" spans="2:22" x14ac:dyDescent="0.2">
      <c r="B3" s="6" t="s">
        <v>53</v>
      </c>
      <c r="C3" s="57">
        <v>183</v>
      </c>
      <c r="D3" s="5"/>
      <c r="E3" s="5"/>
      <c r="F3" s="5"/>
      <c r="G3" s="5" t="s">
        <v>52</v>
      </c>
      <c r="H3" s="31">
        <v>46154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120</v>
      </c>
      <c r="H13" s="5"/>
      <c r="I13" s="4"/>
    </row>
    <row r="14" spans="2:22" x14ac:dyDescent="0.2">
      <c r="B14" s="6" t="s">
        <v>116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9">
        <f>J2</f>
        <v>61642626</v>
      </c>
      <c r="C21" s="58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9" t="s">
        <v>35</v>
      </c>
      <c r="G21" s="59"/>
      <c r="H21" s="49" t="str">
        <f>IF(LEFT(G17,2)="CA","CA",IF(LEFT(G17,2)="UN","US",IF(LEFT(G17,2)="PA","PA",IF(LEFT(G17,2)="JA","JP"))))</f>
        <v>PA</v>
      </c>
      <c r="I21" s="59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9" t="s">
        <v>25</v>
      </c>
      <c r="C23" s="59"/>
      <c r="D23" s="59" t="s">
        <v>24</v>
      </c>
      <c r="E23" s="59" t="str">
        <f>+D23</f>
        <v>JAKARTA,ID</v>
      </c>
      <c r="F23" s="23">
        <f>+O2</f>
        <v>82.064999999999998</v>
      </c>
      <c r="G23" s="23">
        <f>+N2</f>
        <v>73.465000000000003</v>
      </c>
      <c r="H23" s="23">
        <f>+M2</f>
        <v>72.180999999999997</v>
      </c>
      <c r="I23" s="59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BOYS COTTON FIBERS, KNIT SHIRT, WITH NECK CLOSURE, STITCH COUNT EQUAL OR IS GREATER THAN 10/1CM, HEM BOTTOM [60% COTTON 40% POLYESTER]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9" t="s">
        <v>21</v>
      </c>
      <c r="C31" s="59" t="s">
        <v>20</v>
      </c>
      <c r="D31" s="71" t="s">
        <v>19</v>
      </c>
      <c r="E31" s="71"/>
      <c r="F31" s="71" t="s">
        <v>18</v>
      </c>
      <c r="G31" s="71"/>
      <c r="H31" s="59" t="s">
        <v>17</v>
      </c>
      <c r="I31" s="19" t="s">
        <v>16</v>
      </c>
      <c r="M31"/>
    </row>
    <row r="32" spans="2:13" ht="31.5" customHeight="1" x14ac:dyDescent="0.2">
      <c r="B32" s="41" t="s">
        <v>182</v>
      </c>
      <c r="C32" s="19" t="s">
        <v>181</v>
      </c>
      <c r="D32" s="60"/>
      <c r="E32" s="61"/>
      <c r="F32" s="60">
        <f>+K2</f>
        <v>642</v>
      </c>
      <c r="G32" s="61"/>
      <c r="H32" s="17">
        <v>0.9</v>
      </c>
      <c r="I32" s="18">
        <f>+H32*F32</f>
        <v>577.80000000000007</v>
      </c>
      <c r="K32" s="48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59"/>
    </row>
    <row r="34" spans="2:11" ht="21.75" customHeight="1" x14ac:dyDescent="0.2">
      <c r="B34" s="15" t="s">
        <v>14</v>
      </c>
      <c r="C34" s="15"/>
      <c r="D34" s="72"/>
      <c r="E34" s="73"/>
      <c r="F34" s="60">
        <f>SUM(F31:G33)</f>
        <v>642</v>
      </c>
      <c r="G34" s="61"/>
      <c r="H34" s="15"/>
      <c r="I34" s="14">
        <f>SUM(I32:I33)</f>
        <v>577.80000000000007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59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577.80000000000007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577.80000000000007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FD49DFE-2730-4D7F-8527-0436109B7945}">
          <x14:formula1>
            <xm:f>Sheet1!$K$5:$K$12</xm:f>
          </x14:formula1>
          <xm:sqref>B14</xm:sqref>
        </x14:dataValidation>
        <x14:dataValidation type="list" allowBlank="1" showInputMessage="1" showErrorMessage="1" xr:uid="{5CD1318C-D324-4BA5-BBBD-7FAEEC9EC538}">
          <x14:formula1>
            <xm:f>Sheet1!$B$17:$B$18</xm:f>
          </x14:formula1>
          <xm:sqref>G5</xm:sqref>
        </x14:dataValidation>
        <x14:dataValidation type="list" allowBlank="1" showInputMessage="1" showErrorMessage="1" xr:uid="{0CA8D327-4D9F-4D4D-976C-77029EC4FC27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183. FOB</vt:lpstr>
      <vt:lpstr>183. CMT</vt:lpstr>
      <vt:lpstr>'183. CMT'!Print_Area</vt:lpstr>
      <vt:lpstr>'183. FOB'!Print_Area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2026-05-04T02:03:50Z</cp:lastPrinted>
  <dcterms:created xsi:type="dcterms:W3CDTF">2024-04-17T09:56:05Z</dcterms:created>
  <dcterms:modified xsi:type="dcterms:W3CDTF">2026-05-12T08:49:05Z</dcterms:modified>
</cp:coreProperties>
</file>