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12.06.2026\"/>
    </mc:Choice>
  </mc:AlternateContent>
  <xr:revisionPtr revIDLastSave="0" documentId="13_ncr:1_{C99CBB26-59A8-48B7-9859-5A47F0F1E89F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193" sheetId="129" r:id="rId3"/>
    <sheet name="194" sheetId="133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'193'!$B$1:$I$57</definedName>
    <definedName name="_xlnm.Print_Area" localSheetId="3">'194'!$B$1:$I$57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3" l="1"/>
  <c r="F32" i="129"/>
  <c r="F34" i="133" l="1"/>
  <c r="F34" i="129" l="1"/>
  <c r="C3" i="133"/>
  <c r="H3" i="133"/>
  <c r="I32" i="129" l="1"/>
  <c r="I34" i="129" s="1"/>
  <c r="I32" i="133"/>
  <c r="E21" i="129" l="1"/>
  <c r="E21" i="133" l="1"/>
  <c r="C21" i="129"/>
  <c r="C21" i="133"/>
  <c r="H52" i="129"/>
  <c r="H52" i="133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<sst xmlns="http://schemas.openxmlformats.org/spreadsheetml/2006/main" count="319" uniqueCount="185">
  <si>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</si>
  <si>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</si>
  <si>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</si>
  <si>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</si>
  <si>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</si>
  <si>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</si>
  <si>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</si>
  <si>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</si>
  <si>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</si>
  <si>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</si>
  <si>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</si>
  <si>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</si>
  <si>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</si>
  <si>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</si>
  <si>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</si>
  <si>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</si>
  <si>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</si>
  <si>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</si>
  <si>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</si>
  <si>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</si>
  <si>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</si>
  <si>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</si>
  <si>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</si>
  <si>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</si>
  <si>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</si>
  <si>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</si>
  <si>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</si>
  <si>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</si>
  <si>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</si>
  <si>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</si>
  <si>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</si>
  <si>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</si>
  <si>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</si>
  <si>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</si>
  <si>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</si>
  <si>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</si>
  <si>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</si>
  <si>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</si>
  <si>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</si>
  <si>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</si>
  <si>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</si>
  <si>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</si>
  <si>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</si>
  <si>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</si>
  <si>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</si>
  <si>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</si>
  <si>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</si>
  <si>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</si>
  <si>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</si>
  <si>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</si>
  <si>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</si>
  <si>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</si>
  <si>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</si>
  <si>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</si>
  <si>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</si>
  <si>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</si>
  <si>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</si>
  <si>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</si>
  <si>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</si>
  <si>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</si>
  <si>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</si>
  <si>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</si>
  <si>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</si>
  <si>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</si>
  <si>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</si>
  <si>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</si>
  <si>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</si>
  <si>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</si>
  <si>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</si>
  <si>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</si>
  <si>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</si>
  <si>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</si>
  <si>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</si>
  <si>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</si>
  <si>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</si>
  <si>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</si>
  <si>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</si>
  <si>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</si>
  <si>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</si>
  <si>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</si>
  <si>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</si>
  <si>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</si>
  <si>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</si>
  <si>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</si>
  <si>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</si>
  <si>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</si>
  <si>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</si>
  <si>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</si>
  <si>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</si>
  <si>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</si>
  <si>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</si>
  <si>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</si>
  <si>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</si>
  <si>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</si>
  <si>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</si>
  <si>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</si>
  <si>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</si>
  <si>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</si>
  <si>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</si>
  <si>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</si>
  <si>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</si>
  <si>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</si>
  <si>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</si>
  <si>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</si>
  <si>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</si>
  <si>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</si>
  <si>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</si>
  <si>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</si>
  <si>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</si>
  <si>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</si>
  <si>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</si>
  <si>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</si>
  <si>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</si>
  <si>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</si>
  <si>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</si>
  <si>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</si>
  <si>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</si>
  <si>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</si>
  <si>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</si>
  <si>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</si>
  <si>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</si>
  <si>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</si>
  <si>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</si>
  <si>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</si>
  <si>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</si>
  <si>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</si>
  <si>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</si>
  <si>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</si>
  <si>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</si>
  <si>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</si>
  <si>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</si>
  <si>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</si>
  <si>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</si>
  <si>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</si>
  <si>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</si>
  <si>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</si>
  <si>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</si>
  <si>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</si>
  <si>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</si>
  <si>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</si>
  <si>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</si>
  <si>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</si>
  <si>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</si>
  <si>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</si>
  <si>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</si>
  <si>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</si>
  <si>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</si>
  <si>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</si>
  <si>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</si>
  <si>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</si>
  <si>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</si>
  <si>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</si>
  <si>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</si>
  <si>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</si>
  <si>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</si>
  <si>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</si>
  <si>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</si>
  <si>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</si>
  <si>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</si>
  <si>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</si>
  <si>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</si>
  <si>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</si>
  <si>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</si>
  <si>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</si>
  <si>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</si>
  <si>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</si>
  <si>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</si>
  <si>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</si>
  <si>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</si>
  <si>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</si>
  <si>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</si>
  <si>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</si>
  <si>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</si>
  <si>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</si>
  <si>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</si>
  <si>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</si>
  <si>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</si>
  <si>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RETAIL</t>
  </si>
  <si>
    <t xml:space="preserve"> 265K0075 </t>
  </si>
  <si>
    <t>IN THE NAVY</t>
  </si>
  <si>
    <t>16</t>
  </si>
  <si>
    <t>WOMENS COTTON FIBERS, KNIT PULLOVER, WITH NO NECK CLOSURE, STITCH COUNT IS GREATER THAN 9/2CM, REACHES WAIST, SLEEVELESS [95% COTTON 5% SPANDEX]</t>
  </si>
  <si>
    <t>BLUSH ON YOU</t>
  </si>
  <si>
    <t>22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</si>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</sst>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F2" sqref="F2:F3"/>
    </sheetView>
  </sheetViews>
  <sheetFormatPr defaultRowHeight="12.75" x14ac:dyDescent="0.2"/>
  <sheetData>
    <row r="2" spans="2:9" ht="15" x14ac:dyDescent="0.25">
      <c r="B2" s="53">
        <v>1</v>
      </c>
      <c r="C2" t="s">
        <v>178</v>
      </c>
      <c r="E2" s="53">
        <v>1</v>
      </c>
      <c r="F2">
        <v>692926</v>
      </c>
      <c r="H2" s="53">
        <v>1</v>
      </c>
      <c r="I2" s="54" t="s">
        <v>177</v>
      </c>
    </row>
    <row r="3" spans="2:9" ht="15" x14ac:dyDescent="0.25">
      <c r="B3" s="53">
        <v>2</v>
      </c>
      <c r="C3" t="s">
        <v>178</v>
      </c>
      <c r="E3" s="53">
        <v>2</v>
      </c>
      <c r="F3">
        <v>692926</v>
      </c>
      <c r="H3" s="53">
        <v>2</v>
      </c>
      <c r="I3" s="54" t="s">
        <v>177</v>
      </c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184</v>
      </c>
      <c r="C2" s="71"/>
      <c r="D2" s="71"/>
      <c r="E2" s="71"/>
      <c r="F2" s="71"/>
      <c r="G2" s="71"/>
      <c r="H2" s="71"/>
      <c r="I2" s="72"/>
      <c r="J2" s="55">
        <v>61746132</v>
      </c>
      <c r="K2" s="56">
        <v>3691</v>
      </c>
      <c r="L2" s="57">
        <v>76</v>
      </c>
      <c r="M2" s="57">
        <v>385.93</v>
      </c>
      <c r="N2" s="57">
        <v>515.11500000000001</v>
      </c>
      <c r="O2" s="57">
        <v>588.31500000000005</v>
      </c>
      <c r="P2" s="57" t="s">
        <v>54</v>
      </c>
      <c r="Q2" s="57">
        <v>4.63</v>
      </c>
      <c r="R2" s="57" t="s">
        <v>62</v>
      </c>
    </row>
    <row r="3" spans="2:22" x14ac:dyDescent="0.2">
      <c r="B3" s="6" t="s">
        <v>53</v>
      </c>
      <c r="C3" s="58">
        <v>193</v>
      </c>
      <c r="D3" s="5"/>
      <c r="E3" s="5"/>
      <c r="F3" s="5"/>
      <c r="G3" s="5" t="s">
        <v>52</v>
      </c>
      <c r="H3" s="31">
        <v>46189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61746132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588.31500000000005</v>
      </c>
      <c r="G23" s="23">
        <f>+N2</f>
        <v>515.11500000000001</v>
      </c>
      <c r="H23" s="23">
        <f>+M2</f>
        <v>385.93</v>
      </c>
      <c r="I23" s="48">
        <f>+L2</f>
        <v>76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59" t="s">
        <v>23</v>
      </c>
      <c r="C26" s="66"/>
      <c r="D26" s="66"/>
      <c r="E26" s="66"/>
      <c r="F26" s="66"/>
      <c r="G26" s="66"/>
      <c r="H26" s="66"/>
      <c r="I26" s="60"/>
    </row>
    <row r="27" spans="2:13" ht="24.75" customHeight="1" x14ac:dyDescent="0.2">
      <c r="B27" s="73" t="str">
        <f>+K4</f>
        <v>WOMENS COTTON FIBERS, KNIT PULLOVER, WITH NO NECK CLOSURE, STITCH COUNT IS GREATER THAN 9/2CM, REACHES WAIST, SLEEVELESS [95% COTTON 5% SPANDEX]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6" t="s">
        <v>19</v>
      </c>
      <c r="E31" s="76"/>
      <c r="F31" s="76" t="s">
        <v>18</v>
      </c>
      <c r="G31" s="76"/>
      <c r="H31" s="48" t="s">
        <v>17</v>
      </c>
      <c r="I31" s="19" t="s">
        <v>16</v>
      </c>
      <c r="M31"/>
    </row>
    <row r="32" spans="2:13" ht="30.75" customHeight="1" x14ac:dyDescent="0.2">
      <c r="B32" s="41" t="s">
        <v>180</v>
      </c>
      <c r="C32" s="19" t="s">
        <v>179</v>
      </c>
      <c r="D32" s="63"/>
      <c r="E32" s="64"/>
      <c r="F32" s="63">
        <f>+K2</f>
        <v>3691</v>
      </c>
      <c r="G32" s="64"/>
      <c r="H32" s="17">
        <v>0.76</v>
      </c>
      <c r="I32" s="18">
        <f>+H32*F32</f>
        <v>2805.16</v>
      </c>
      <c r="K32" s="46"/>
      <c r="M32" s="39"/>
    </row>
    <row r="33" spans="2:11" ht="21" customHeight="1" x14ac:dyDescent="0.2">
      <c r="B33" s="15" t="s">
        <v>15</v>
      </c>
      <c r="C33" s="15"/>
      <c r="D33" s="59"/>
      <c r="E33" s="60"/>
      <c r="F33" s="59"/>
      <c r="G33" s="60"/>
      <c r="H33" s="17"/>
      <c r="I33" s="48"/>
    </row>
    <row r="34" spans="2:11" ht="21.75" customHeight="1" x14ac:dyDescent="0.2">
      <c r="B34" s="15" t="s">
        <v>14</v>
      </c>
      <c r="C34" s="15"/>
      <c r="D34" s="61"/>
      <c r="E34" s="62"/>
      <c r="F34" s="63">
        <f>SUM(F31:G33)</f>
        <v>3691</v>
      </c>
      <c r="G34" s="64"/>
      <c r="H34" s="15"/>
      <c r="I34" s="14">
        <f>SUM(I32:I33)</f>
        <v>2805.16</v>
      </c>
      <c r="J34" s="40"/>
      <c r="K34" s="40"/>
    </row>
    <row r="35" spans="2:11" ht="21.75" customHeight="1" x14ac:dyDescent="0.2">
      <c r="B35" s="16" t="s">
        <v>13</v>
      </c>
      <c r="C35" s="15"/>
      <c r="D35" s="59"/>
      <c r="E35" s="60"/>
      <c r="F35" s="59"/>
      <c r="G35" s="60"/>
      <c r="H35" s="15"/>
      <c r="I35" s="48"/>
      <c r="J35" s="40"/>
    </row>
    <row r="36" spans="2:11" ht="21.75" customHeight="1" x14ac:dyDescent="0.2">
      <c r="B36" s="16" t="s">
        <v>12</v>
      </c>
      <c r="C36" s="15"/>
      <c r="D36" s="59"/>
      <c r="E36" s="60"/>
      <c r="F36" s="59"/>
      <c r="G36" s="60"/>
      <c r="H36" s="15"/>
      <c r="I36" s="14">
        <f>+I34</f>
        <v>2805.16</v>
      </c>
    </row>
    <row r="37" spans="2:11" ht="20.25" customHeight="1" x14ac:dyDescent="0.2">
      <c r="B37" s="15" t="s">
        <v>80</v>
      </c>
      <c r="C37" s="59" t="s">
        <v>11</v>
      </c>
      <c r="D37" s="66"/>
      <c r="E37" s="66"/>
      <c r="F37" s="66"/>
      <c r="G37" s="66"/>
      <c r="H37" s="6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2805.16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7" t="s">
        <v>7</v>
      </c>
      <c r="C46" s="67"/>
      <c r="D46" s="6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8" t="s">
        <v>1</v>
      </c>
      <c r="D55" s="68"/>
      <c r="E55" s="5"/>
      <c r="F55" s="5"/>
      <c r="G55" s="5"/>
      <c r="H55" s="5"/>
      <c r="I55" s="4"/>
    </row>
    <row r="56" spans="2:11" x14ac:dyDescent="0.2">
      <c r="B56" s="6"/>
      <c r="C56" s="69" t="s">
        <v>0</v>
      </c>
      <c r="D56" s="69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5"/>
      <c r="D57" s="6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tabSelected="1" view="pageBreakPreview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184</v>
      </c>
      <c r="C2" s="71"/>
      <c r="D2" s="71"/>
      <c r="E2" s="71"/>
      <c r="F2" s="71"/>
      <c r="G2" s="71"/>
      <c r="H2" s="71"/>
      <c r="I2" s="72"/>
      <c r="J2" s="55">
        <v>61746131</v>
      </c>
      <c r="K2" s="56">
        <v>3637</v>
      </c>
      <c r="L2" s="57">
        <v>74</v>
      </c>
      <c r="M2" s="57">
        <v>379.33</v>
      </c>
      <c r="N2" s="57">
        <v>506.625</v>
      </c>
      <c r="O2" s="57">
        <v>578.02499999999998</v>
      </c>
      <c r="P2" s="57" t="s">
        <v>54</v>
      </c>
      <c r="Q2" s="57">
        <v>4.5289999999999999</v>
      </c>
      <c r="R2" s="57" t="s">
        <v>62</v>
      </c>
    </row>
    <row r="3" spans="2:22" x14ac:dyDescent="0.2">
      <c r="B3" s="6" t="s">
        <v>53</v>
      </c>
      <c r="C3" s="58">
        <f>+'193'!C3+1</f>
        <v>194</v>
      </c>
      <c r="D3" s="5"/>
      <c r="E3" s="5"/>
      <c r="F3" s="5"/>
      <c r="G3" s="5" t="s">
        <v>52</v>
      </c>
      <c r="H3" s="31">
        <f>+'193'!H3+0</f>
        <v>46189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61746131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578.02499999999998</v>
      </c>
      <c r="G23" s="23">
        <f>+N2</f>
        <v>506.625</v>
      </c>
      <c r="H23" s="23">
        <f>+M2</f>
        <v>379.33</v>
      </c>
      <c r="I23" s="48">
        <f>+L2</f>
        <v>74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59" t="s">
        <v>23</v>
      </c>
      <c r="C26" s="66"/>
      <c r="D26" s="66"/>
      <c r="E26" s="66"/>
      <c r="F26" s="66"/>
      <c r="G26" s="66"/>
      <c r="H26" s="66"/>
      <c r="I26" s="60"/>
    </row>
    <row r="27" spans="2:13" ht="24.75" customHeight="1" x14ac:dyDescent="0.2">
      <c r="B27" s="73" t="str">
        <f>+K4</f>
        <v>WOMENS COTTON FIBERS, KNIT PULLOVER, WITH NO NECK CLOSURE, STITCH COUNT IS GREATER THAN 9/2CM, REACHES WAIST, SLEEVELESS [95% COTTON 5% SPANDEX]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6" t="s">
        <v>19</v>
      </c>
      <c r="E31" s="76"/>
      <c r="F31" s="76" t="s">
        <v>18</v>
      </c>
      <c r="G31" s="76"/>
      <c r="H31" s="48" t="s">
        <v>17</v>
      </c>
      <c r="I31" s="19" t="s">
        <v>16</v>
      </c>
      <c r="M31"/>
    </row>
    <row r="32" spans="2:13" ht="27.75" customHeight="1" x14ac:dyDescent="0.2">
      <c r="B32" s="41" t="s">
        <v>183</v>
      </c>
      <c r="C32" s="19" t="s">
        <v>182</v>
      </c>
      <c r="D32" s="63"/>
      <c r="E32" s="64"/>
      <c r="F32" s="63">
        <f>+K2</f>
        <v>3637</v>
      </c>
      <c r="G32" s="64"/>
      <c r="H32" s="17">
        <v>0.76</v>
      </c>
      <c r="I32" s="18">
        <f>+H32*F32</f>
        <v>2764.12</v>
      </c>
      <c r="K32" s="46"/>
      <c r="M32" s="39"/>
    </row>
    <row r="33" spans="2:11" ht="21" customHeight="1" x14ac:dyDescent="0.2">
      <c r="B33" s="15" t="s">
        <v>15</v>
      </c>
      <c r="C33" s="15"/>
      <c r="D33" s="59"/>
      <c r="E33" s="60"/>
      <c r="F33" s="59"/>
      <c r="G33" s="60"/>
      <c r="H33" s="17"/>
      <c r="I33" s="48"/>
    </row>
    <row r="34" spans="2:11" ht="21.75" customHeight="1" x14ac:dyDescent="0.2">
      <c r="B34" s="15" t="s">
        <v>14</v>
      </c>
      <c r="C34" s="15"/>
      <c r="D34" s="61"/>
      <c r="E34" s="62"/>
      <c r="F34" s="63">
        <f>SUM(F31:G33)</f>
        <v>3637</v>
      </c>
      <c r="G34" s="64"/>
      <c r="H34" s="15"/>
      <c r="I34" s="14">
        <f>SUM(I32:I33)</f>
        <v>2764.12</v>
      </c>
      <c r="J34" s="40"/>
      <c r="K34" s="40"/>
    </row>
    <row r="35" spans="2:11" ht="21.75" customHeight="1" x14ac:dyDescent="0.2">
      <c r="B35" s="16" t="s">
        <v>13</v>
      </c>
      <c r="C35" s="15"/>
      <c r="D35" s="59"/>
      <c r="E35" s="60"/>
      <c r="F35" s="59"/>
      <c r="G35" s="60"/>
      <c r="H35" s="15"/>
      <c r="I35" s="48"/>
      <c r="J35" s="40"/>
    </row>
    <row r="36" spans="2:11" ht="21.75" customHeight="1" x14ac:dyDescent="0.2">
      <c r="B36" s="16" t="s">
        <v>12</v>
      </c>
      <c r="C36" s="15"/>
      <c r="D36" s="59"/>
      <c r="E36" s="60"/>
      <c r="F36" s="59"/>
      <c r="G36" s="60"/>
      <c r="H36" s="15"/>
      <c r="I36" s="14">
        <f>+I34</f>
        <v>2764.12</v>
      </c>
    </row>
    <row r="37" spans="2:11" ht="20.25" customHeight="1" x14ac:dyDescent="0.2">
      <c r="B37" s="15" t="s">
        <v>80</v>
      </c>
      <c r="C37" s="59" t="s">
        <v>11</v>
      </c>
      <c r="D37" s="66"/>
      <c r="E37" s="66"/>
      <c r="F37" s="66"/>
      <c r="G37" s="66"/>
      <c r="H37" s="6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2764.12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7" t="s">
        <v>7</v>
      </c>
      <c r="C46" s="67"/>
      <c r="D46" s="6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8" t="s">
        <v>1</v>
      </c>
      <c r="D55" s="68"/>
      <c r="E55" s="5"/>
      <c r="F55" s="5"/>
      <c r="G55" s="5"/>
      <c r="H55" s="5"/>
      <c r="I55" s="4"/>
    </row>
    <row r="56" spans="2:11" x14ac:dyDescent="0.2">
      <c r="B56" s="6"/>
      <c r="C56" s="69" t="s">
        <v>0</v>
      </c>
      <c r="D56" s="69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65"/>
      <c r="D57" s="6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193</vt:lpstr>
      <vt:lpstr>194</vt:lpstr>
      <vt:lpstr>'193'!Print_Area</vt:lpstr>
      <vt:lpstr>'194'!Print_Area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2026-06-11T05:15:22Z</cp:lastPrinted>
  <dcterms:created xsi:type="dcterms:W3CDTF">2024-04-17T09:56:05Z</dcterms:created>
  <dcterms:modified xsi:type="dcterms:W3CDTF">2026-06-15T01:53:56Z</dcterms:modified>
</cp:coreProperties>
</file>