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20730" windowHeight="11760"/>
  </bookViews>
  <sheets>
    <sheet name="PKL" sheetId="1" r:id="rId1"/>
    <sheet name="INV" sheetId="8" r:id="rId2"/>
    <sheet name="TEM" sheetId="5" state="hidden" r:id="rId3"/>
    <sheet name="DELIVERY INSTRUCTION" sheetId="6" state="hidden" r:id="rId4"/>
    <sheet name="SC" sheetId="7" state="hidden" r:id="rId5"/>
    <sheet name="IN PHIẾU XUẤT " sheetId="3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\z">'[1]COAT&amp;WRAP-QIOT-#3'!#REF!</definedName>
    <definedName name="________________________________________________________cao1" localSheetId="4">#REF!</definedName>
    <definedName name="________________________________________________________cao1">#REF!</definedName>
    <definedName name="________________________________________________________cao2" localSheetId="4">#REF!</definedName>
    <definedName name="________________________________________________________cao2">#REF!</definedName>
    <definedName name="________________________________________________________cao3" localSheetId="4">#REF!</definedName>
    <definedName name="________________________________________________________cao3">#REF!</definedName>
    <definedName name="________________________________________________________cao4" localSheetId="4">#REF!</definedName>
    <definedName name="________________________________________________________cao4">#REF!</definedName>
    <definedName name="________________________________________________________cao5" localSheetId="4">#REF!</definedName>
    <definedName name="________________________________________________________cao5">#REF!</definedName>
    <definedName name="________________________________________________________cao6" localSheetId="4">#REF!</definedName>
    <definedName name="________________________________________________________cao6">#REF!</definedName>
    <definedName name="________________________________________________________dai1" localSheetId="4">#REF!</definedName>
    <definedName name="________________________________________________________dai1">#REF!</definedName>
    <definedName name="________________________________________________________dai2" localSheetId="4">#REF!</definedName>
    <definedName name="________________________________________________________dai2">#REF!</definedName>
    <definedName name="________________________________________________________dai3" localSheetId="4">#REF!</definedName>
    <definedName name="________________________________________________________dai3">#REF!</definedName>
    <definedName name="________________________________________________________dai4" localSheetId="4">#REF!</definedName>
    <definedName name="________________________________________________________dai4">#REF!</definedName>
    <definedName name="________________________________________________________dai5" localSheetId="4">#REF!</definedName>
    <definedName name="________________________________________________________dai5">#REF!</definedName>
    <definedName name="________________________________________________________dai6" localSheetId="4">#REF!</definedName>
    <definedName name="________________________________________________________dai6">#REF!</definedName>
    <definedName name="________________________________________________________dan1" localSheetId="4">#REF!</definedName>
    <definedName name="________________________________________________________dan1">#REF!</definedName>
    <definedName name="________________________________________________________dan2" localSheetId="4">#REF!</definedName>
    <definedName name="________________________________________________________dan2">#REF!</definedName>
    <definedName name="________________________________________________________phi10" localSheetId="4">#REF!</definedName>
    <definedName name="________________________________________________________phi10">#REF!</definedName>
    <definedName name="________________________________________________________phi12" localSheetId="4">#REF!</definedName>
    <definedName name="________________________________________________________phi12">#REF!</definedName>
    <definedName name="________________________________________________________phi14" localSheetId="4">#REF!</definedName>
    <definedName name="________________________________________________________phi14">#REF!</definedName>
    <definedName name="________________________________________________________phi16" localSheetId="4">#REF!</definedName>
    <definedName name="________________________________________________________phi16">#REF!</definedName>
    <definedName name="________________________________________________________phi18" localSheetId="4">#REF!</definedName>
    <definedName name="________________________________________________________phi18">#REF!</definedName>
    <definedName name="________________________________________________________phi20" localSheetId="4">#REF!</definedName>
    <definedName name="________________________________________________________phi20">#REF!</definedName>
    <definedName name="________________________________________________________phi22" localSheetId="4">#REF!</definedName>
    <definedName name="________________________________________________________phi22">#REF!</definedName>
    <definedName name="________________________________________________________phi25" localSheetId="4">#REF!</definedName>
    <definedName name="________________________________________________________phi25">#REF!</definedName>
    <definedName name="________________________________________________________phi28" localSheetId="4">#REF!</definedName>
    <definedName name="________________________________________________________phi28">#REF!</definedName>
    <definedName name="________________________________________________________phi6" localSheetId="4">#REF!</definedName>
    <definedName name="________________________________________________________phi6">#REF!</definedName>
    <definedName name="________________________________________________________phi8" localSheetId="4">#REF!</definedName>
    <definedName name="________________________________________________________phi8">#REF!</definedName>
    <definedName name="________________________________________________________slg1" localSheetId="4">#REF!</definedName>
    <definedName name="________________________________________________________slg1">#REF!</definedName>
    <definedName name="________________________________________________________slg2" localSheetId="4">#REF!</definedName>
    <definedName name="________________________________________________________slg2">#REF!</definedName>
    <definedName name="________________________________________________________slg3" localSheetId="4">#REF!</definedName>
    <definedName name="________________________________________________________slg3">#REF!</definedName>
    <definedName name="________________________________________________________slg4" localSheetId="4">#REF!</definedName>
    <definedName name="________________________________________________________slg4">#REF!</definedName>
    <definedName name="________________________________________________________slg5" localSheetId="4">#REF!</definedName>
    <definedName name="________________________________________________________slg5">#REF!</definedName>
    <definedName name="________________________________________________________slg6" localSheetId="4">#REF!</definedName>
    <definedName name="________________________________________________________slg6">#REF!</definedName>
    <definedName name="_______________________________________________________cao1" localSheetId="4">#REF!</definedName>
    <definedName name="_______________________________________________________cao1">#REF!</definedName>
    <definedName name="_______________________________________________________cao2" localSheetId="4">#REF!</definedName>
    <definedName name="_______________________________________________________cao2">#REF!</definedName>
    <definedName name="_______________________________________________________cao3" localSheetId="4">#REF!</definedName>
    <definedName name="_______________________________________________________cao3">#REF!</definedName>
    <definedName name="_______________________________________________________cao4" localSheetId="4">#REF!</definedName>
    <definedName name="_______________________________________________________cao4">#REF!</definedName>
    <definedName name="_______________________________________________________cao5" localSheetId="4">#REF!</definedName>
    <definedName name="_______________________________________________________cao5">#REF!</definedName>
    <definedName name="_______________________________________________________cao6" localSheetId="4">#REF!</definedName>
    <definedName name="_______________________________________________________cao6">#REF!</definedName>
    <definedName name="_______________________________________________________dai1" localSheetId="4">#REF!</definedName>
    <definedName name="_______________________________________________________dai1">#REF!</definedName>
    <definedName name="_______________________________________________________dai2" localSheetId="4">#REF!</definedName>
    <definedName name="_______________________________________________________dai2">#REF!</definedName>
    <definedName name="_______________________________________________________dai3" localSheetId="4">#REF!</definedName>
    <definedName name="_______________________________________________________dai3">#REF!</definedName>
    <definedName name="_______________________________________________________dai4" localSheetId="4">#REF!</definedName>
    <definedName name="_______________________________________________________dai4">#REF!</definedName>
    <definedName name="_______________________________________________________dai5" localSheetId="4">#REF!</definedName>
    <definedName name="_______________________________________________________dai5">#REF!</definedName>
    <definedName name="_______________________________________________________dai6" localSheetId="4">#REF!</definedName>
    <definedName name="_______________________________________________________dai6">#REF!</definedName>
    <definedName name="_______________________________________________________dan1" localSheetId="4">#REF!</definedName>
    <definedName name="_______________________________________________________dan1">#REF!</definedName>
    <definedName name="_______________________________________________________dan2" localSheetId="4">#REF!</definedName>
    <definedName name="_______________________________________________________dan2">#REF!</definedName>
    <definedName name="_______________________________________________________phi10" localSheetId="4">#REF!</definedName>
    <definedName name="_______________________________________________________phi10">#REF!</definedName>
    <definedName name="_______________________________________________________phi12" localSheetId="4">#REF!</definedName>
    <definedName name="_______________________________________________________phi12">#REF!</definedName>
    <definedName name="_______________________________________________________phi14" localSheetId="4">#REF!</definedName>
    <definedName name="_______________________________________________________phi14">#REF!</definedName>
    <definedName name="_______________________________________________________phi16" localSheetId="4">#REF!</definedName>
    <definedName name="_______________________________________________________phi16">#REF!</definedName>
    <definedName name="_______________________________________________________phi18" localSheetId="4">#REF!</definedName>
    <definedName name="_______________________________________________________phi18">#REF!</definedName>
    <definedName name="_______________________________________________________phi20" localSheetId="4">#REF!</definedName>
    <definedName name="_______________________________________________________phi20">#REF!</definedName>
    <definedName name="_______________________________________________________phi22" localSheetId="4">#REF!</definedName>
    <definedName name="_______________________________________________________phi22">#REF!</definedName>
    <definedName name="_______________________________________________________phi25" localSheetId="4">#REF!</definedName>
    <definedName name="_______________________________________________________phi25">#REF!</definedName>
    <definedName name="_______________________________________________________phi28" localSheetId="4">#REF!</definedName>
    <definedName name="_______________________________________________________phi28">#REF!</definedName>
    <definedName name="_______________________________________________________phi6" localSheetId="4">#REF!</definedName>
    <definedName name="_______________________________________________________phi6">#REF!</definedName>
    <definedName name="_______________________________________________________phi8" localSheetId="4">#REF!</definedName>
    <definedName name="_______________________________________________________phi8">#REF!</definedName>
    <definedName name="_______________________________________________________slg1" localSheetId="4">#REF!</definedName>
    <definedName name="_______________________________________________________slg1">#REF!</definedName>
    <definedName name="_______________________________________________________slg2" localSheetId="4">#REF!</definedName>
    <definedName name="_______________________________________________________slg2">#REF!</definedName>
    <definedName name="_______________________________________________________slg3" localSheetId="4">#REF!</definedName>
    <definedName name="_______________________________________________________slg3">#REF!</definedName>
    <definedName name="_______________________________________________________slg4" localSheetId="4">#REF!</definedName>
    <definedName name="_______________________________________________________slg4">#REF!</definedName>
    <definedName name="_______________________________________________________slg5" localSheetId="4">#REF!</definedName>
    <definedName name="_______________________________________________________slg5">#REF!</definedName>
    <definedName name="_______________________________________________________slg6" localSheetId="4">#REF!</definedName>
    <definedName name="_______________________________________________________slg6">#REF!</definedName>
    <definedName name="______________________________________________________cao1" localSheetId="4">#REF!</definedName>
    <definedName name="______________________________________________________cao1">#REF!</definedName>
    <definedName name="______________________________________________________cao2" localSheetId="4">#REF!</definedName>
    <definedName name="______________________________________________________cao2">#REF!</definedName>
    <definedName name="______________________________________________________cao3" localSheetId="4">#REF!</definedName>
    <definedName name="______________________________________________________cao3">#REF!</definedName>
    <definedName name="______________________________________________________cao4" localSheetId="4">#REF!</definedName>
    <definedName name="______________________________________________________cao4">#REF!</definedName>
    <definedName name="______________________________________________________cao5" localSheetId="4">#REF!</definedName>
    <definedName name="______________________________________________________cao5">#REF!</definedName>
    <definedName name="______________________________________________________cao6" localSheetId="4">#REF!</definedName>
    <definedName name="______________________________________________________cao6">#REF!</definedName>
    <definedName name="______________________________________________________dai1" localSheetId="4">#REF!</definedName>
    <definedName name="______________________________________________________dai1">#REF!</definedName>
    <definedName name="______________________________________________________dai2" localSheetId="4">#REF!</definedName>
    <definedName name="______________________________________________________dai2">#REF!</definedName>
    <definedName name="______________________________________________________dai3" localSheetId="4">#REF!</definedName>
    <definedName name="______________________________________________________dai3">#REF!</definedName>
    <definedName name="______________________________________________________dai4" localSheetId="4">#REF!</definedName>
    <definedName name="______________________________________________________dai4">#REF!</definedName>
    <definedName name="______________________________________________________dai5" localSheetId="4">#REF!</definedName>
    <definedName name="______________________________________________________dai5">#REF!</definedName>
    <definedName name="______________________________________________________dai6" localSheetId="4">#REF!</definedName>
    <definedName name="______________________________________________________dai6">#REF!</definedName>
    <definedName name="______________________________________________________dan1" localSheetId="4">#REF!</definedName>
    <definedName name="______________________________________________________dan1">#REF!</definedName>
    <definedName name="______________________________________________________dan2" localSheetId="4">#REF!</definedName>
    <definedName name="______________________________________________________dan2">#REF!</definedName>
    <definedName name="______________________________________________________phi10" localSheetId="4">#REF!</definedName>
    <definedName name="______________________________________________________phi10">#REF!</definedName>
    <definedName name="______________________________________________________phi12" localSheetId="4">#REF!</definedName>
    <definedName name="______________________________________________________phi12">#REF!</definedName>
    <definedName name="______________________________________________________phi14" localSheetId="4">#REF!</definedName>
    <definedName name="______________________________________________________phi14">#REF!</definedName>
    <definedName name="______________________________________________________phi16" localSheetId="4">#REF!</definedName>
    <definedName name="______________________________________________________phi16">#REF!</definedName>
    <definedName name="______________________________________________________phi18" localSheetId="4">#REF!</definedName>
    <definedName name="______________________________________________________phi18">#REF!</definedName>
    <definedName name="______________________________________________________phi20" localSheetId="4">#REF!</definedName>
    <definedName name="______________________________________________________phi20">#REF!</definedName>
    <definedName name="______________________________________________________phi22" localSheetId="4">#REF!</definedName>
    <definedName name="______________________________________________________phi22">#REF!</definedName>
    <definedName name="______________________________________________________phi25" localSheetId="4">#REF!</definedName>
    <definedName name="______________________________________________________phi25">#REF!</definedName>
    <definedName name="______________________________________________________phi28" localSheetId="4">#REF!</definedName>
    <definedName name="______________________________________________________phi28">#REF!</definedName>
    <definedName name="______________________________________________________phi6" localSheetId="4">#REF!</definedName>
    <definedName name="______________________________________________________phi6">#REF!</definedName>
    <definedName name="______________________________________________________phi8" localSheetId="4">#REF!</definedName>
    <definedName name="______________________________________________________phi8">#REF!</definedName>
    <definedName name="______________________________________________________slg1" localSheetId="4">#REF!</definedName>
    <definedName name="______________________________________________________slg1">#REF!</definedName>
    <definedName name="______________________________________________________slg2" localSheetId="4">#REF!</definedName>
    <definedName name="______________________________________________________slg2">#REF!</definedName>
    <definedName name="______________________________________________________slg3" localSheetId="4">#REF!</definedName>
    <definedName name="______________________________________________________slg3">#REF!</definedName>
    <definedName name="______________________________________________________slg4" localSheetId="4">#REF!</definedName>
    <definedName name="______________________________________________________slg4">#REF!</definedName>
    <definedName name="______________________________________________________slg5" localSheetId="4">#REF!</definedName>
    <definedName name="______________________________________________________slg5">#REF!</definedName>
    <definedName name="______________________________________________________slg6" localSheetId="4">#REF!</definedName>
    <definedName name="______________________________________________________slg6">#REF!</definedName>
    <definedName name="_____________________________________________________cao1" localSheetId="4">#REF!</definedName>
    <definedName name="_____________________________________________________cao1">#REF!</definedName>
    <definedName name="_____________________________________________________cao2" localSheetId="4">#REF!</definedName>
    <definedName name="_____________________________________________________cao2">#REF!</definedName>
    <definedName name="_____________________________________________________cao3" localSheetId="4">#REF!</definedName>
    <definedName name="_____________________________________________________cao3">#REF!</definedName>
    <definedName name="_____________________________________________________cao4" localSheetId="4">#REF!</definedName>
    <definedName name="_____________________________________________________cao4">#REF!</definedName>
    <definedName name="_____________________________________________________cao5" localSheetId="4">#REF!</definedName>
    <definedName name="_____________________________________________________cao5">#REF!</definedName>
    <definedName name="_____________________________________________________cao6" localSheetId="4">#REF!</definedName>
    <definedName name="_____________________________________________________cao6">#REF!</definedName>
    <definedName name="_____________________________________________________dai1" localSheetId="4">#REF!</definedName>
    <definedName name="_____________________________________________________dai1">#REF!</definedName>
    <definedName name="_____________________________________________________dai2" localSheetId="4">#REF!</definedName>
    <definedName name="_____________________________________________________dai2">#REF!</definedName>
    <definedName name="_____________________________________________________dai3" localSheetId="4">#REF!</definedName>
    <definedName name="_____________________________________________________dai3">#REF!</definedName>
    <definedName name="_____________________________________________________dai4" localSheetId="4">#REF!</definedName>
    <definedName name="_____________________________________________________dai4">#REF!</definedName>
    <definedName name="_____________________________________________________dai5" localSheetId="4">#REF!</definedName>
    <definedName name="_____________________________________________________dai5">#REF!</definedName>
    <definedName name="_____________________________________________________dai6" localSheetId="4">#REF!</definedName>
    <definedName name="_____________________________________________________dai6">#REF!</definedName>
    <definedName name="_____________________________________________________dan1" localSheetId="4">#REF!</definedName>
    <definedName name="_____________________________________________________dan1">#REF!</definedName>
    <definedName name="_____________________________________________________dan2" localSheetId="4">#REF!</definedName>
    <definedName name="_____________________________________________________dan2">#REF!</definedName>
    <definedName name="_____________________________________________________phi10" localSheetId="4">#REF!</definedName>
    <definedName name="_____________________________________________________phi10">#REF!</definedName>
    <definedName name="_____________________________________________________phi12" localSheetId="4">#REF!</definedName>
    <definedName name="_____________________________________________________phi12">#REF!</definedName>
    <definedName name="_____________________________________________________phi14" localSheetId="4">#REF!</definedName>
    <definedName name="_____________________________________________________phi14">#REF!</definedName>
    <definedName name="_____________________________________________________phi16" localSheetId="4">#REF!</definedName>
    <definedName name="_____________________________________________________phi16">#REF!</definedName>
    <definedName name="_____________________________________________________phi18" localSheetId="4">#REF!</definedName>
    <definedName name="_____________________________________________________phi18">#REF!</definedName>
    <definedName name="_____________________________________________________phi20" localSheetId="4">#REF!</definedName>
    <definedName name="_____________________________________________________phi20">#REF!</definedName>
    <definedName name="_____________________________________________________phi22" localSheetId="4">#REF!</definedName>
    <definedName name="_____________________________________________________phi22">#REF!</definedName>
    <definedName name="_____________________________________________________phi25" localSheetId="4">#REF!</definedName>
    <definedName name="_____________________________________________________phi25">#REF!</definedName>
    <definedName name="_____________________________________________________phi28" localSheetId="4">#REF!</definedName>
    <definedName name="_____________________________________________________phi28">#REF!</definedName>
    <definedName name="_____________________________________________________phi6" localSheetId="4">#REF!</definedName>
    <definedName name="_____________________________________________________phi6">#REF!</definedName>
    <definedName name="_____________________________________________________phi8" localSheetId="4">#REF!</definedName>
    <definedName name="_____________________________________________________phi8">#REF!</definedName>
    <definedName name="_____________________________________________________slg1" localSheetId="4">#REF!</definedName>
    <definedName name="_____________________________________________________slg1">#REF!</definedName>
    <definedName name="_____________________________________________________slg2" localSheetId="4">#REF!</definedName>
    <definedName name="_____________________________________________________slg2">#REF!</definedName>
    <definedName name="_____________________________________________________slg3" localSheetId="4">#REF!</definedName>
    <definedName name="_____________________________________________________slg3">#REF!</definedName>
    <definedName name="_____________________________________________________slg4" localSheetId="4">#REF!</definedName>
    <definedName name="_____________________________________________________slg4">#REF!</definedName>
    <definedName name="_____________________________________________________slg5" localSheetId="4">#REF!</definedName>
    <definedName name="_____________________________________________________slg5">#REF!</definedName>
    <definedName name="_____________________________________________________slg6" localSheetId="4">#REF!</definedName>
    <definedName name="_____________________________________________________slg6">#REF!</definedName>
    <definedName name="____________________________________________________cao1" localSheetId="4">#REF!</definedName>
    <definedName name="____________________________________________________cao1">#REF!</definedName>
    <definedName name="____________________________________________________cao2" localSheetId="4">#REF!</definedName>
    <definedName name="____________________________________________________cao2">#REF!</definedName>
    <definedName name="____________________________________________________cao3" localSheetId="4">#REF!</definedName>
    <definedName name="____________________________________________________cao3">#REF!</definedName>
    <definedName name="____________________________________________________cao4" localSheetId="4">#REF!</definedName>
    <definedName name="____________________________________________________cao4">#REF!</definedName>
    <definedName name="____________________________________________________cao5" localSheetId="4">#REF!</definedName>
    <definedName name="____________________________________________________cao5">#REF!</definedName>
    <definedName name="____________________________________________________cao6" localSheetId="4">#REF!</definedName>
    <definedName name="____________________________________________________cao6">#REF!</definedName>
    <definedName name="____________________________________________________dai1" localSheetId="4">#REF!</definedName>
    <definedName name="____________________________________________________dai1">#REF!</definedName>
    <definedName name="____________________________________________________dai2" localSheetId="4">#REF!</definedName>
    <definedName name="____________________________________________________dai2">#REF!</definedName>
    <definedName name="____________________________________________________dai3" localSheetId="4">#REF!</definedName>
    <definedName name="____________________________________________________dai3">#REF!</definedName>
    <definedName name="____________________________________________________dai4" localSheetId="4">#REF!</definedName>
    <definedName name="____________________________________________________dai4">#REF!</definedName>
    <definedName name="____________________________________________________dai5" localSheetId="4">#REF!</definedName>
    <definedName name="____________________________________________________dai5">#REF!</definedName>
    <definedName name="____________________________________________________dai6" localSheetId="4">#REF!</definedName>
    <definedName name="____________________________________________________dai6">#REF!</definedName>
    <definedName name="____________________________________________________dan1" localSheetId="4">#REF!</definedName>
    <definedName name="____________________________________________________dan1">#REF!</definedName>
    <definedName name="____________________________________________________dan2" localSheetId="4">#REF!</definedName>
    <definedName name="____________________________________________________dan2">#REF!</definedName>
    <definedName name="____________________________________________________phi10" localSheetId="4">#REF!</definedName>
    <definedName name="____________________________________________________phi10">#REF!</definedName>
    <definedName name="____________________________________________________phi12" localSheetId="4">#REF!</definedName>
    <definedName name="____________________________________________________phi12">#REF!</definedName>
    <definedName name="____________________________________________________phi14" localSheetId="4">#REF!</definedName>
    <definedName name="____________________________________________________phi14">#REF!</definedName>
    <definedName name="____________________________________________________phi16" localSheetId="4">#REF!</definedName>
    <definedName name="____________________________________________________phi16">#REF!</definedName>
    <definedName name="____________________________________________________phi18" localSheetId="4">#REF!</definedName>
    <definedName name="____________________________________________________phi18">#REF!</definedName>
    <definedName name="____________________________________________________phi20" localSheetId="4">#REF!</definedName>
    <definedName name="____________________________________________________phi20">#REF!</definedName>
    <definedName name="____________________________________________________phi22" localSheetId="4">#REF!</definedName>
    <definedName name="____________________________________________________phi22">#REF!</definedName>
    <definedName name="____________________________________________________phi25" localSheetId="4">#REF!</definedName>
    <definedName name="____________________________________________________phi25">#REF!</definedName>
    <definedName name="____________________________________________________phi28" localSheetId="4">#REF!</definedName>
    <definedName name="____________________________________________________phi28">#REF!</definedName>
    <definedName name="____________________________________________________phi6" localSheetId="4">#REF!</definedName>
    <definedName name="____________________________________________________phi6">#REF!</definedName>
    <definedName name="____________________________________________________phi8" localSheetId="4">#REF!</definedName>
    <definedName name="____________________________________________________phi8">#REF!</definedName>
    <definedName name="____________________________________________________slg1" localSheetId="4">#REF!</definedName>
    <definedName name="____________________________________________________slg1">#REF!</definedName>
    <definedName name="____________________________________________________slg2" localSheetId="4">#REF!</definedName>
    <definedName name="____________________________________________________slg2">#REF!</definedName>
    <definedName name="____________________________________________________slg3" localSheetId="4">#REF!</definedName>
    <definedName name="____________________________________________________slg3">#REF!</definedName>
    <definedName name="____________________________________________________slg4" localSheetId="4">#REF!</definedName>
    <definedName name="____________________________________________________slg4">#REF!</definedName>
    <definedName name="____________________________________________________slg5" localSheetId="4">#REF!</definedName>
    <definedName name="____________________________________________________slg5">#REF!</definedName>
    <definedName name="____________________________________________________slg6" localSheetId="4">#REF!</definedName>
    <definedName name="____________________________________________________slg6">#REF!</definedName>
    <definedName name="___________________________________________________cao1" localSheetId="4">#REF!</definedName>
    <definedName name="___________________________________________________cao1">#REF!</definedName>
    <definedName name="___________________________________________________cao2" localSheetId="4">#REF!</definedName>
    <definedName name="___________________________________________________cao2">#REF!</definedName>
    <definedName name="___________________________________________________cao3" localSheetId="4">#REF!</definedName>
    <definedName name="___________________________________________________cao3">#REF!</definedName>
    <definedName name="___________________________________________________cao4" localSheetId="4">#REF!</definedName>
    <definedName name="___________________________________________________cao4">#REF!</definedName>
    <definedName name="___________________________________________________cao5" localSheetId="4">#REF!</definedName>
    <definedName name="___________________________________________________cao5">#REF!</definedName>
    <definedName name="___________________________________________________cao6" localSheetId="4">#REF!</definedName>
    <definedName name="___________________________________________________cao6">#REF!</definedName>
    <definedName name="___________________________________________________dai1" localSheetId="4">#REF!</definedName>
    <definedName name="___________________________________________________dai1">#REF!</definedName>
    <definedName name="___________________________________________________dai2" localSheetId="4">#REF!</definedName>
    <definedName name="___________________________________________________dai2">#REF!</definedName>
    <definedName name="___________________________________________________dai3" localSheetId="4">#REF!</definedName>
    <definedName name="___________________________________________________dai3">#REF!</definedName>
    <definedName name="___________________________________________________dai4" localSheetId="4">#REF!</definedName>
    <definedName name="___________________________________________________dai4">#REF!</definedName>
    <definedName name="___________________________________________________dai5" localSheetId="4">#REF!</definedName>
    <definedName name="___________________________________________________dai5">#REF!</definedName>
    <definedName name="___________________________________________________dai6" localSheetId="4">#REF!</definedName>
    <definedName name="___________________________________________________dai6">#REF!</definedName>
    <definedName name="___________________________________________________dan1" localSheetId="4">#REF!</definedName>
    <definedName name="___________________________________________________dan1">#REF!</definedName>
    <definedName name="___________________________________________________dan2" localSheetId="4">#REF!</definedName>
    <definedName name="___________________________________________________dan2">#REF!</definedName>
    <definedName name="___________________________________________________phi10" localSheetId="4">#REF!</definedName>
    <definedName name="___________________________________________________phi10">#REF!</definedName>
    <definedName name="___________________________________________________phi12" localSheetId="4">#REF!</definedName>
    <definedName name="___________________________________________________phi12">#REF!</definedName>
    <definedName name="___________________________________________________phi14" localSheetId="4">#REF!</definedName>
    <definedName name="___________________________________________________phi14">#REF!</definedName>
    <definedName name="___________________________________________________phi16" localSheetId="4">#REF!</definedName>
    <definedName name="___________________________________________________phi16">#REF!</definedName>
    <definedName name="___________________________________________________phi18" localSheetId="4">#REF!</definedName>
    <definedName name="___________________________________________________phi18">#REF!</definedName>
    <definedName name="___________________________________________________phi20" localSheetId="4">#REF!</definedName>
    <definedName name="___________________________________________________phi20">#REF!</definedName>
    <definedName name="___________________________________________________phi22" localSheetId="4">#REF!</definedName>
    <definedName name="___________________________________________________phi22">#REF!</definedName>
    <definedName name="___________________________________________________phi25" localSheetId="4">#REF!</definedName>
    <definedName name="___________________________________________________phi25">#REF!</definedName>
    <definedName name="___________________________________________________phi28" localSheetId="4">#REF!</definedName>
    <definedName name="___________________________________________________phi28">#REF!</definedName>
    <definedName name="___________________________________________________phi6" localSheetId="4">#REF!</definedName>
    <definedName name="___________________________________________________phi6">#REF!</definedName>
    <definedName name="___________________________________________________phi8" localSheetId="4">#REF!</definedName>
    <definedName name="___________________________________________________phi8">#REF!</definedName>
    <definedName name="___________________________________________________slg1" localSheetId="4">#REF!</definedName>
    <definedName name="___________________________________________________slg1">#REF!</definedName>
    <definedName name="___________________________________________________slg2" localSheetId="4">#REF!</definedName>
    <definedName name="___________________________________________________slg2">#REF!</definedName>
    <definedName name="___________________________________________________slg3" localSheetId="4">#REF!</definedName>
    <definedName name="___________________________________________________slg3">#REF!</definedName>
    <definedName name="___________________________________________________slg4" localSheetId="4">#REF!</definedName>
    <definedName name="___________________________________________________slg4">#REF!</definedName>
    <definedName name="___________________________________________________slg5" localSheetId="4">#REF!</definedName>
    <definedName name="___________________________________________________slg5">#REF!</definedName>
    <definedName name="___________________________________________________slg6" localSheetId="4">#REF!</definedName>
    <definedName name="___________________________________________________slg6">#REF!</definedName>
    <definedName name="__________________________________________________cao1" localSheetId="4">#REF!</definedName>
    <definedName name="__________________________________________________cao1">#REF!</definedName>
    <definedName name="__________________________________________________cao2" localSheetId="4">#REF!</definedName>
    <definedName name="__________________________________________________cao2">#REF!</definedName>
    <definedName name="__________________________________________________cao3" localSheetId="4">#REF!</definedName>
    <definedName name="__________________________________________________cao3">#REF!</definedName>
    <definedName name="__________________________________________________cao4" localSheetId="4">#REF!</definedName>
    <definedName name="__________________________________________________cao4">#REF!</definedName>
    <definedName name="__________________________________________________cao5" localSheetId="4">#REF!</definedName>
    <definedName name="__________________________________________________cao5">#REF!</definedName>
    <definedName name="__________________________________________________cao6" localSheetId="4">#REF!</definedName>
    <definedName name="__________________________________________________cao6">#REF!</definedName>
    <definedName name="__________________________________________________dai1" localSheetId="4">#REF!</definedName>
    <definedName name="__________________________________________________dai1">#REF!</definedName>
    <definedName name="__________________________________________________dai2" localSheetId="4">#REF!</definedName>
    <definedName name="__________________________________________________dai2">#REF!</definedName>
    <definedName name="__________________________________________________dai3" localSheetId="4">#REF!</definedName>
    <definedName name="__________________________________________________dai3">#REF!</definedName>
    <definedName name="__________________________________________________dai4" localSheetId="4">#REF!</definedName>
    <definedName name="__________________________________________________dai4">#REF!</definedName>
    <definedName name="__________________________________________________dai5" localSheetId="4">#REF!</definedName>
    <definedName name="__________________________________________________dai5">#REF!</definedName>
    <definedName name="__________________________________________________dai6" localSheetId="4">#REF!</definedName>
    <definedName name="__________________________________________________dai6">#REF!</definedName>
    <definedName name="__________________________________________________dan1" localSheetId="4">#REF!</definedName>
    <definedName name="__________________________________________________dan1">#REF!</definedName>
    <definedName name="__________________________________________________dan2" localSheetId="4">#REF!</definedName>
    <definedName name="__________________________________________________dan2">#REF!</definedName>
    <definedName name="__________________________________________________phi10" localSheetId="4">#REF!</definedName>
    <definedName name="__________________________________________________phi10">#REF!</definedName>
    <definedName name="__________________________________________________phi12" localSheetId="4">#REF!</definedName>
    <definedName name="__________________________________________________phi12">#REF!</definedName>
    <definedName name="__________________________________________________phi14" localSheetId="4">#REF!</definedName>
    <definedName name="__________________________________________________phi14">#REF!</definedName>
    <definedName name="__________________________________________________phi16" localSheetId="4">#REF!</definedName>
    <definedName name="__________________________________________________phi16">#REF!</definedName>
    <definedName name="__________________________________________________phi18" localSheetId="4">#REF!</definedName>
    <definedName name="__________________________________________________phi18">#REF!</definedName>
    <definedName name="__________________________________________________phi20" localSheetId="4">#REF!</definedName>
    <definedName name="__________________________________________________phi20">#REF!</definedName>
    <definedName name="__________________________________________________phi22" localSheetId="4">#REF!</definedName>
    <definedName name="__________________________________________________phi22">#REF!</definedName>
    <definedName name="__________________________________________________phi25" localSheetId="4">#REF!</definedName>
    <definedName name="__________________________________________________phi25">#REF!</definedName>
    <definedName name="__________________________________________________phi28" localSheetId="4">#REF!</definedName>
    <definedName name="__________________________________________________phi28">#REF!</definedName>
    <definedName name="__________________________________________________phi6" localSheetId="4">#REF!</definedName>
    <definedName name="__________________________________________________phi6">#REF!</definedName>
    <definedName name="__________________________________________________phi8" localSheetId="4">#REF!</definedName>
    <definedName name="__________________________________________________phi8">#REF!</definedName>
    <definedName name="__________________________________________________slg1" localSheetId="4">#REF!</definedName>
    <definedName name="__________________________________________________slg1">#REF!</definedName>
    <definedName name="__________________________________________________slg2" localSheetId="4">#REF!</definedName>
    <definedName name="__________________________________________________slg2">#REF!</definedName>
    <definedName name="__________________________________________________slg3" localSheetId="4">#REF!</definedName>
    <definedName name="__________________________________________________slg3">#REF!</definedName>
    <definedName name="__________________________________________________slg4" localSheetId="4">#REF!</definedName>
    <definedName name="__________________________________________________slg4">#REF!</definedName>
    <definedName name="__________________________________________________slg5" localSheetId="4">#REF!</definedName>
    <definedName name="__________________________________________________slg5">#REF!</definedName>
    <definedName name="__________________________________________________slg6" localSheetId="4">#REF!</definedName>
    <definedName name="__________________________________________________slg6">#REF!</definedName>
    <definedName name="_________________________________________________cao1" localSheetId="4">#REF!</definedName>
    <definedName name="_________________________________________________cao1">#REF!</definedName>
    <definedName name="_________________________________________________cao2" localSheetId="4">#REF!</definedName>
    <definedName name="_________________________________________________cao2">#REF!</definedName>
    <definedName name="_________________________________________________cao3" localSheetId="4">#REF!</definedName>
    <definedName name="_________________________________________________cao3">#REF!</definedName>
    <definedName name="_________________________________________________cao4" localSheetId="4">#REF!</definedName>
    <definedName name="_________________________________________________cao4">#REF!</definedName>
    <definedName name="_________________________________________________cao5" localSheetId="4">#REF!</definedName>
    <definedName name="_________________________________________________cao5">#REF!</definedName>
    <definedName name="_________________________________________________cao6" localSheetId="4">#REF!</definedName>
    <definedName name="_________________________________________________cao6">#REF!</definedName>
    <definedName name="_________________________________________________dai1" localSheetId="4">#REF!</definedName>
    <definedName name="_________________________________________________dai1">#REF!</definedName>
    <definedName name="_________________________________________________dai2" localSheetId="4">#REF!</definedName>
    <definedName name="_________________________________________________dai2">#REF!</definedName>
    <definedName name="_________________________________________________dai3" localSheetId="4">#REF!</definedName>
    <definedName name="_________________________________________________dai3">#REF!</definedName>
    <definedName name="_________________________________________________dai4" localSheetId="4">#REF!</definedName>
    <definedName name="_________________________________________________dai4">#REF!</definedName>
    <definedName name="_________________________________________________dai5" localSheetId="4">#REF!</definedName>
    <definedName name="_________________________________________________dai5">#REF!</definedName>
    <definedName name="_________________________________________________dai6" localSheetId="4">#REF!</definedName>
    <definedName name="_________________________________________________dai6">#REF!</definedName>
    <definedName name="_________________________________________________dan1" localSheetId="4">#REF!</definedName>
    <definedName name="_________________________________________________dan1">#REF!</definedName>
    <definedName name="_________________________________________________dan2" localSheetId="4">#REF!</definedName>
    <definedName name="_________________________________________________dan2">#REF!</definedName>
    <definedName name="_________________________________________________phi10" localSheetId="4">#REF!</definedName>
    <definedName name="_________________________________________________phi10">#REF!</definedName>
    <definedName name="_________________________________________________phi12" localSheetId="4">#REF!</definedName>
    <definedName name="_________________________________________________phi12">#REF!</definedName>
    <definedName name="_________________________________________________phi14" localSheetId="4">#REF!</definedName>
    <definedName name="_________________________________________________phi14">#REF!</definedName>
    <definedName name="_________________________________________________phi16" localSheetId="4">#REF!</definedName>
    <definedName name="_________________________________________________phi16">#REF!</definedName>
    <definedName name="_________________________________________________phi18" localSheetId="4">#REF!</definedName>
    <definedName name="_________________________________________________phi18">#REF!</definedName>
    <definedName name="_________________________________________________phi20" localSheetId="4">#REF!</definedName>
    <definedName name="_________________________________________________phi20">#REF!</definedName>
    <definedName name="_________________________________________________phi22" localSheetId="4">#REF!</definedName>
    <definedName name="_________________________________________________phi22">#REF!</definedName>
    <definedName name="_________________________________________________phi25" localSheetId="4">#REF!</definedName>
    <definedName name="_________________________________________________phi25">#REF!</definedName>
    <definedName name="_________________________________________________phi28" localSheetId="4">#REF!</definedName>
    <definedName name="_________________________________________________phi28">#REF!</definedName>
    <definedName name="_________________________________________________phi6" localSheetId="4">#REF!</definedName>
    <definedName name="_________________________________________________phi6">#REF!</definedName>
    <definedName name="_________________________________________________phi8" localSheetId="4">#REF!</definedName>
    <definedName name="_________________________________________________phi8">#REF!</definedName>
    <definedName name="_________________________________________________slg1" localSheetId="4">#REF!</definedName>
    <definedName name="_________________________________________________slg1">#REF!</definedName>
    <definedName name="_________________________________________________slg2" localSheetId="4">#REF!</definedName>
    <definedName name="_________________________________________________slg2">#REF!</definedName>
    <definedName name="_________________________________________________slg3" localSheetId="4">#REF!</definedName>
    <definedName name="_________________________________________________slg3">#REF!</definedName>
    <definedName name="_________________________________________________slg4" localSheetId="4">#REF!</definedName>
    <definedName name="_________________________________________________slg4">#REF!</definedName>
    <definedName name="_________________________________________________slg5" localSheetId="4">#REF!</definedName>
    <definedName name="_________________________________________________slg5">#REF!</definedName>
    <definedName name="_________________________________________________slg6" localSheetId="4">#REF!</definedName>
    <definedName name="_________________________________________________slg6">#REF!</definedName>
    <definedName name="________________________________________________cao1" localSheetId="4">#REF!</definedName>
    <definedName name="________________________________________________cao1">#REF!</definedName>
    <definedName name="________________________________________________cao2" localSheetId="4">#REF!</definedName>
    <definedName name="________________________________________________cao2">#REF!</definedName>
    <definedName name="________________________________________________cao3" localSheetId="4">#REF!</definedName>
    <definedName name="________________________________________________cao3">#REF!</definedName>
    <definedName name="________________________________________________cao4" localSheetId="4">#REF!</definedName>
    <definedName name="________________________________________________cao4">#REF!</definedName>
    <definedName name="________________________________________________cao5" localSheetId="4">#REF!</definedName>
    <definedName name="________________________________________________cao5">#REF!</definedName>
    <definedName name="________________________________________________cao6" localSheetId="4">#REF!</definedName>
    <definedName name="________________________________________________cao6">#REF!</definedName>
    <definedName name="________________________________________________dai1" localSheetId="4">#REF!</definedName>
    <definedName name="________________________________________________dai1">#REF!</definedName>
    <definedName name="________________________________________________dai2" localSheetId="4">#REF!</definedName>
    <definedName name="________________________________________________dai2">#REF!</definedName>
    <definedName name="________________________________________________dai3" localSheetId="4">#REF!</definedName>
    <definedName name="________________________________________________dai3">#REF!</definedName>
    <definedName name="________________________________________________dai4" localSheetId="4">#REF!</definedName>
    <definedName name="________________________________________________dai4">#REF!</definedName>
    <definedName name="________________________________________________dai5" localSheetId="4">#REF!</definedName>
    <definedName name="________________________________________________dai5">#REF!</definedName>
    <definedName name="________________________________________________dai6" localSheetId="4">#REF!</definedName>
    <definedName name="________________________________________________dai6">#REF!</definedName>
    <definedName name="________________________________________________dan1" localSheetId="4">#REF!</definedName>
    <definedName name="________________________________________________dan1">#REF!</definedName>
    <definedName name="________________________________________________dan2" localSheetId="4">#REF!</definedName>
    <definedName name="________________________________________________dan2">#REF!</definedName>
    <definedName name="________________________________________________phi10" localSheetId="4">#REF!</definedName>
    <definedName name="________________________________________________phi10">#REF!</definedName>
    <definedName name="________________________________________________phi12" localSheetId="4">#REF!</definedName>
    <definedName name="________________________________________________phi12">#REF!</definedName>
    <definedName name="________________________________________________phi14" localSheetId="4">#REF!</definedName>
    <definedName name="________________________________________________phi14">#REF!</definedName>
    <definedName name="________________________________________________phi16" localSheetId="4">#REF!</definedName>
    <definedName name="________________________________________________phi16">#REF!</definedName>
    <definedName name="________________________________________________phi18" localSheetId="4">#REF!</definedName>
    <definedName name="________________________________________________phi18">#REF!</definedName>
    <definedName name="________________________________________________phi20" localSheetId="4">#REF!</definedName>
    <definedName name="________________________________________________phi20">#REF!</definedName>
    <definedName name="________________________________________________phi22" localSheetId="4">#REF!</definedName>
    <definedName name="________________________________________________phi22">#REF!</definedName>
    <definedName name="________________________________________________phi25" localSheetId="4">#REF!</definedName>
    <definedName name="________________________________________________phi25">#REF!</definedName>
    <definedName name="________________________________________________phi28" localSheetId="4">#REF!</definedName>
    <definedName name="________________________________________________phi28">#REF!</definedName>
    <definedName name="________________________________________________phi6" localSheetId="4">#REF!</definedName>
    <definedName name="________________________________________________phi6">#REF!</definedName>
    <definedName name="________________________________________________phi8" localSheetId="4">#REF!</definedName>
    <definedName name="________________________________________________phi8">#REF!</definedName>
    <definedName name="________________________________________________slg1" localSheetId="4">#REF!</definedName>
    <definedName name="________________________________________________slg1">#REF!</definedName>
    <definedName name="________________________________________________slg2" localSheetId="4">#REF!</definedName>
    <definedName name="________________________________________________slg2">#REF!</definedName>
    <definedName name="________________________________________________slg3" localSheetId="4">#REF!</definedName>
    <definedName name="________________________________________________slg3">#REF!</definedName>
    <definedName name="________________________________________________slg4" localSheetId="4">#REF!</definedName>
    <definedName name="________________________________________________slg4">#REF!</definedName>
    <definedName name="________________________________________________slg5" localSheetId="4">#REF!</definedName>
    <definedName name="________________________________________________slg5">#REF!</definedName>
    <definedName name="________________________________________________slg6" localSheetId="4">#REF!</definedName>
    <definedName name="________________________________________________slg6">#REF!</definedName>
    <definedName name="_______________________________________________cao1" localSheetId="4">#REF!</definedName>
    <definedName name="_______________________________________________cao1">#REF!</definedName>
    <definedName name="_______________________________________________cao2" localSheetId="4">#REF!</definedName>
    <definedName name="_______________________________________________cao2">#REF!</definedName>
    <definedName name="_______________________________________________cao3" localSheetId="4">#REF!</definedName>
    <definedName name="_______________________________________________cao3">#REF!</definedName>
    <definedName name="_______________________________________________cao4" localSheetId="4">#REF!</definedName>
    <definedName name="_______________________________________________cao4">#REF!</definedName>
    <definedName name="_______________________________________________cao5" localSheetId="4">#REF!</definedName>
    <definedName name="_______________________________________________cao5">#REF!</definedName>
    <definedName name="_______________________________________________cao6" localSheetId="4">#REF!</definedName>
    <definedName name="_______________________________________________cao6">#REF!</definedName>
    <definedName name="_______________________________________________dai1" localSheetId="4">#REF!</definedName>
    <definedName name="_______________________________________________dai1">#REF!</definedName>
    <definedName name="_______________________________________________dai2" localSheetId="4">#REF!</definedName>
    <definedName name="_______________________________________________dai2">#REF!</definedName>
    <definedName name="_______________________________________________dai3" localSheetId="4">#REF!</definedName>
    <definedName name="_______________________________________________dai3">#REF!</definedName>
    <definedName name="_______________________________________________dai4" localSheetId="4">#REF!</definedName>
    <definedName name="_______________________________________________dai4">#REF!</definedName>
    <definedName name="_______________________________________________dai5" localSheetId="4">#REF!</definedName>
    <definedName name="_______________________________________________dai5">#REF!</definedName>
    <definedName name="_______________________________________________dai6" localSheetId="4">#REF!</definedName>
    <definedName name="_______________________________________________dai6">#REF!</definedName>
    <definedName name="_______________________________________________dan1" localSheetId="4">#REF!</definedName>
    <definedName name="_______________________________________________dan1">#REF!</definedName>
    <definedName name="_______________________________________________dan2" localSheetId="4">#REF!</definedName>
    <definedName name="_______________________________________________dan2">#REF!</definedName>
    <definedName name="_______________________________________________phi10" localSheetId="4">#REF!</definedName>
    <definedName name="_______________________________________________phi10">#REF!</definedName>
    <definedName name="_______________________________________________phi12" localSheetId="4">#REF!</definedName>
    <definedName name="_______________________________________________phi12">#REF!</definedName>
    <definedName name="_______________________________________________phi14" localSheetId="4">#REF!</definedName>
    <definedName name="_______________________________________________phi14">#REF!</definedName>
    <definedName name="_______________________________________________phi16" localSheetId="4">#REF!</definedName>
    <definedName name="_______________________________________________phi16">#REF!</definedName>
    <definedName name="_______________________________________________phi18" localSheetId="4">#REF!</definedName>
    <definedName name="_______________________________________________phi18">#REF!</definedName>
    <definedName name="_______________________________________________phi20" localSheetId="4">#REF!</definedName>
    <definedName name="_______________________________________________phi20">#REF!</definedName>
    <definedName name="_______________________________________________phi22" localSheetId="4">#REF!</definedName>
    <definedName name="_______________________________________________phi22">#REF!</definedName>
    <definedName name="_______________________________________________phi25" localSheetId="4">#REF!</definedName>
    <definedName name="_______________________________________________phi25">#REF!</definedName>
    <definedName name="_______________________________________________phi28" localSheetId="4">#REF!</definedName>
    <definedName name="_______________________________________________phi28">#REF!</definedName>
    <definedName name="_______________________________________________phi6" localSheetId="4">#REF!</definedName>
    <definedName name="_______________________________________________phi6">#REF!</definedName>
    <definedName name="_______________________________________________phi8" localSheetId="4">#REF!</definedName>
    <definedName name="_______________________________________________phi8">#REF!</definedName>
    <definedName name="_______________________________________________slg1" localSheetId="4">#REF!</definedName>
    <definedName name="_______________________________________________slg1">#REF!</definedName>
    <definedName name="_______________________________________________slg2" localSheetId="4">#REF!</definedName>
    <definedName name="_______________________________________________slg2">#REF!</definedName>
    <definedName name="_______________________________________________slg3" localSheetId="4">#REF!</definedName>
    <definedName name="_______________________________________________slg3">#REF!</definedName>
    <definedName name="_______________________________________________slg4" localSheetId="4">#REF!</definedName>
    <definedName name="_______________________________________________slg4">#REF!</definedName>
    <definedName name="_______________________________________________slg5" localSheetId="4">#REF!</definedName>
    <definedName name="_______________________________________________slg5">#REF!</definedName>
    <definedName name="_______________________________________________slg6" localSheetId="4">#REF!</definedName>
    <definedName name="_______________________________________________slg6">#REF!</definedName>
    <definedName name="______________________________________________cao1" localSheetId="4">#REF!</definedName>
    <definedName name="______________________________________________cao1">#REF!</definedName>
    <definedName name="______________________________________________cao2" localSheetId="4">#REF!</definedName>
    <definedName name="______________________________________________cao2">#REF!</definedName>
    <definedName name="______________________________________________cao3" localSheetId="4">#REF!</definedName>
    <definedName name="______________________________________________cao3">#REF!</definedName>
    <definedName name="______________________________________________cao4" localSheetId="4">#REF!</definedName>
    <definedName name="______________________________________________cao4">#REF!</definedName>
    <definedName name="______________________________________________cao5" localSheetId="4">#REF!</definedName>
    <definedName name="______________________________________________cao5">#REF!</definedName>
    <definedName name="______________________________________________cao6" localSheetId="4">#REF!</definedName>
    <definedName name="______________________________________________cao6">#REF!</definedName>
    <definedName name="______________________________________________dai1" localSheetId="4">#REF!</definedName>
    <definedName name="______________________________________________dai1">#REF!</definedName>
    <definedName name="______________________________________________dai2" localSheetId="4">#REF!</definedName>
    <definedName name="______________________________________________dai2">#REF!</definedName>
    <definedName name="______________________________________________dai3" localSheetId="4">#REF!</definedName>
    <definedName name="______________________________________________dai3">#REF!</definedName>
    <definedName name="______________________________________________dai4" localSheetId="4">#REF!</definedName>
    <definedName name="______________________________________________dai4">#REF!</definedName>
    <definedName name="______________________________________________dai5" localSheetId="4">#REF!</definedName>
    <definedName name="______________________________________________dai5">#REF!</definedName>
    <definedName name="______________________________________________dai6" localSheetId="4">#REF!</definedName>
    <definedName name="______________________________________________dai6">#REF!</definedName>
    <definedName name="______________________________________________dan1" localSheetId="4">#REF!</definedName>
    <definedName name="______________________________________________dan1">#REF!</definedName>
    <definedName name="______________________________________________dan2" localSheetId="4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4">#REF!</definedName>
    <definedName name="______________________________________________phi10">#REF!</definedName>
    <definedName name="______________________________________________phi12" localSheetId="4">#REF!</definedName>
    <definedName name="______________________________________________phi12">#REF!</definedName>
    <definedName name="______________________________________________phi14" localSheetId="4">#REF!</definedName>
    <definedName name="______________________________________________phi14">#REF!</definedName>
    <definedName name="______________________________________________phi16" localSheetId="4">#REF!</definedName>
    <definedName name="______________________________________________phi16">#REF!</definedName>
    <definedName name="______________________________________________phi18" localSheetId="4">#REF!</definedName>
    <definedName name="______________________________________________phi18">#REF!</definedName>
    <definedName name="______________________________________________phi20" localSheetId="4">#REF!</definedName>
    <definedName name="______________________________________________phi20">#REF!</definedName>
    <definedName name="______________________________________________phi22" localSheetId="4">#REF!</definedName>
    <definedName name="______________________________________________phi22">#REF!</definedName>
    <definedName name="______________________________________________phi25" localSheetId="4">#REF!</definedName>
    <definedName name="______________________________________________phi25">#REF!</definedName>
    <definedName name="______________________________________________phi28" localSheetId="4">#REF!</definedName>
    <definedName name="______________________________________________phi28">#REF!</definedName>
    <definedName name="______________________________________________phi6" localSheetId="4">#REF!</definedName>
    <definedName name="______________________________________________phi6">#REF!</definedName>
    <definedName name="______________________________________________phi8" localSheetId="4">#REF!</definedName>
    <definedName name="______________________________________________phi8">#REF!</definedName>
    <definedName name="______________________________________________slg1" localSheetId="4">#REF!</definedName>
    <definedName name="______________________________________________slg1">#REF!</definedName>
    <definedName name="______________________________________________slg2" localSheetId="4">#REF!</definedName>
    <definedName name="______________________________________________slg2">#REF!</definedName>
    <definedName name="______________________________________________slg3" localSheetId="4">#REF!</definedName>
    <definedName name="______________________________________________slg3">#REF!</definedName>
    <definedName name="______________________________________________slg4" localSheetId="4">#REF!</definedName>
    <definedName name="______________________________________________slg4">#REF!</definedName>
    <definedName name="______________________________________________slg5" localSheetId="4">#REF!</definedName>
    <definedName name="______________________________________________slg5">#REF!</definedName>
    <definedName name="______________________________________________slg6" localSheetId="4">#REF!</definedName>
    <definedName name="______________________________________________slg6">#REF!</definedName>
    <definedName name="_____________________________________________cao1" localSheetId="4">#REF!</definedName>
    <definedName name="_____________________________________________cao1">#REF!</definedName>
    <definedName name="_____________________________________________cao2" localSheetId="4">#REF!</definedName>
    <definedName name="_____________________________________________cao2">#REF!</definedName>
    <definedName name="_____________________________________________cao3" localSheetId="4">#REF!</definedName>
    <definedName name="_____________________________________________cao3">#REF!</definedName>
    <definedName name="_____________________________________________cao4" localSheetId="4">#REF!</definedName>
    <definedName name="_____________________________________________cao4">#REF!</definedName>
    <definedName name="_____________________________________________cao5" localSheetId="4">#REF!</definedName>
    <definedName name="_____________________________________________cao5">#REF!</definedName>
    <definedName name="_____________________________________________cao6" localSheetId="4">#REF!</definedName>
    <definedName name="_____________________________________________cao6">#REF!</definedName>
    <definedName name="_____________________________________________dai1" localSheetId="4">#REF!</definedName>
    <definedName name="_____________________________________________dai1">#REF!</definedName>
    <definedName name="_____________________________________________dai2" localSheetId="4">#REF!</definedName>
    <definedName name="_____________________________________________dai2">#REF!</definedName>
    <definedName name="_____________________________________________dai3" localSheetId="4">#REF!</definedName>
    <definedName name="_____________________________________________dai3">#REF!</definedName>
    <definedName name="_____________________________________________dai4" localSheetId="4">#REF!</definedName>
    <definedName name="_____________________________________________dai4">#REF!</definedName>
    <definedName name="_____________________________________________dai5" localSheetId="4">#REF!</definedName>
    <definedName name="_____________________________________________dai5">#REF!</definedName>
    <definedName name="_____________________________________________dai6" localSheetId="4">#REF!</definedName>
    <definedName name="_____________________________________________dai6">#REF!</definedName>
    <definedName name="_____________________________________________dan1" localSheetId="4">#REF!</definedName>
    <definedName name="_____________________________________________dan1">#REF!</definedName>
    <definedName name="_____________________________________________dan2" localSheetId="4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4">#REF!</definedName>
    <definedName name="_____________________________________________phi10">#REF!</definedName>
    <definedName name="_____________________________________________phi12" localSheetId="4">#REF!</definedName>
    <definedName name="_____________________________________________phi12">#REF!</definedName>
    <definedName name="_____________________________________________phi14" localSheetId="4">#REF!</definedName>
    <definedName name="_____________________________________________phi14">#REF!</definedName>
    <definedName name="_____________________________________________phi16" localSheetId="4">#REF!</definedName>
    <definedName name="_____________________________________________phi16">#REF!</definedName>
    <definedName name="_____________________________________________phi18" localSheetId="4">#REF!</definedName>
    <definedName name="_____________________________________________phi18">#REF!</definedName>
    <definedName name="_____________________________________________phi20" localSheetId="4">#REF!</definedName>
    <definedName name="_____________________________________________phi20">#REF!</definedName>
    <definedName name="_____________________________________________phi22" localSheetId="4">#REF!</definedName>
    <definedName name="_____________________________________________phi22">#REF!</definedName>
    <definedName name="_____________________________________________phi25" localSheetId="4">#REF!</definedName>
    <definedName name="_____________________________________________phi25">#REF!</definedName>
    <definedName name="_____________________________________________phi28" localSheetId="4">#REF!</definedName>
    <definedName name="_____________________________________________phi28">#REF!</definedName>
    <definedName name="_____________________________________________phi6" localSheetId="4">#REF!</definedName>
    <definedName name="_____________________________________________phi6">#REF!</definedName>
    <definedName name="_____________________________________________phi8" localSheetId="4">#REF!</definedName>
    <definedName name="_____________________________________________phi8">#REF!</definedName>
    <definedName name="_____________________________________________slg1" localSheetId="4">#REF!</definedName>
    <definedName name="_____________________________________________slg1">#REF!</definedName>
    <definedName name="_____________________________________________slg2" localSheetId="4">#REF!</definedName>
    <definedName name="_____________________________________________slg2">#REF!</definedName>
    <definedName name="_____________________________________________slg3" localSheetId="4">#REF!</definedName>
    <definedName name="_____________________________________________slg3">#REF!</definedName>
    <definedName name="_____________________________________________slg4" localSheetId="4">#REF!</definedName>
    <definedName name="_____________________________________________slg4">#REF!</definedName>
    <definedName name="_____________________________________________slg5" localSheetId="4">#REF!</definedName>
    <definedName name="_____________________________________________slg5">#REF!</definedName>
    <definedName name="_____________________________________________slg6" localSheetId="4">#REF!</definedName>
    <definedName name="_____________________________________________slg6">#REF!</definedName>
    <definedName name="____________________________________________cao1" localSheetId="4">#REF!</definedName>
    <definedName name="____________________________________________cao1">#REF!</definedName>
    <definedName name="____________________________________________cao2" localSheetId="4">#REF!</definedName>
    <definedName name="____________________________________________cao2">#REF!</definedName>
    <definedName name="____________________________________________cao3" localSheetId="4">#REF!</definedName>
    <definedName name="____________________________________________cao3">#REF!</definedName>
    <definedName name="____________________________________________cao4" localSheetId="4">#REF!</definedName>
    <definedName name="____________________________________________cao4">#REF!</definedName>
    <definedName name="____________________________________________cao5" localSheetId="4">#REF!</definedName>
    <definedName name="____________________________________________cao5">#REF!</definedName>
    <definedName name="____________________________________________cao6" localSheetId="4">#REF!</definedName>
    <definedName name="____________________________________________cao6">#REF!</definedName>
    <definedName name="____________________________________________dai1" localSheetId="4">#REF!</definedName>
    <definedName name="____________________________________________dai1">#REF!</definedName>
    <definedName name="____________________________________________dai2" localSheetId="4">#REF!</definedName>
    <definedName name="____________________________________________dai2">#REF!</definedName>
    <definedName name="____________________________________________dai3" localSheetId="4">#REF!</definedName>
    <definedName name="____________________________________________dai3">#REF!</definedName>
    <definedName name="____________________________________________dai4" localSheetId="4">#REF!</definedName>
    <definedName name="____________________________________________dai4">#REF!</definedName>
    <definedName name="____________________________________________dai5" localSheetId="4">#REF!</definedName>
    <definedName name="____________________________________________dai5">#REF!</definedName>
    <definedName name="____________________________________________dai6" localSheetId="4">#REF!</definedName>
    <definedName name="____________________________________________dai6">#REF!</definedName>
    <definedName name="____________________________________________dan1" localSheetId="4">#REF!</definedName>
    <definedName name="____________________________________________dan1">#REF!</definedName>
    <definedName name="____________________________________________dan2" localSheetId="4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4">#REF!</definedName>
    <definedName name="____________________________________________phi10">#REF!</definedName>
    <definedName name="____________________________________________phi12" localSheetId="4">#REF!</definedName>
    <definedName name="____________________________________________phi12">#REF!</definedName>
    <definedName name="____________________________________________phi14" localSheetId="4">#REF!</definedName>
    <definedName name="____________________________________________phi14">#REF!</definedName>
    <definedName name="____________________________________________phi16" localSheetId="4">#REF!</definedName>
    <definedName name="____________________________________________phi16">#REF!</definedName>
    <definedName name="____________________________________________phi18" localSheetId="4">#REF!</definedName>
    <definedName name="____________________________________________phi18">#REF!</definedName>
    <definedName name="____________________________________________phi20" localSheetId="4">#REF!</definedName>
    <definedName name="____________________________________________phi20">#REF!</definedName>
    <definedName name="____________________________________________phi22" localSheetId="4">#REF!</definedName>
    <definedName name="____________________________________________phi22">#REF!</definedName>
    <definedName name="____________________________________________phi25" localSheetId="4">#REF!</definedName>
    <definedName name="____________________________________________phi25">#REF!</definedName>
    <definedName name="____________________________________________phi28" localSheetId="4">#REF!</definedName>
    <definedName name="____________________________________________phi28">#REF!</definedName>
    <definedName name="____________________________________________phi6" localSheetId="4">#REF!</definedName>
    <definedName name="____________________________________________phi6">#REF!</definedName>
    <definedName name="____________________________________________phi8" localSheetId="4">#REF!</definedName>
    <definedName name="____________________________________________phi8">#REF!</definedName>
    <definedName name="____________________________________________slg1" localSheetId="4">#REF!</definedName>
    <definedName name="____________________________________________slg1">#REF!</definedName>
    <definedName name="____________________________________________slg2" localSheetId="4">#REF!</definedName>
    <definedName name="____________________________________________slg2">#REF!</definedName>
    <definedName name="____________________________________________slg3" localSheetId="4">#REF!</definedName>
    <definedName name="____________________________________________slg3">#REF!</definedName>
    <definedName name="____________________________________________slg4" localSheetId="4">#REF!</definedName>
    <definedName name="____________________________________________slg4">#REF!</definedName>
    <definedName name="____________________________________________slg5" localSheetId="4">#REF!</definedName>
    <definedName name="____________________________________________slg5">#REF!</definedName>
    <definedName name="____________________________________________slg6" localSheetId="4">#REF!</definedName>
    <definedName name="____________________________________________slg6">#REF!</definedName>
    <definedName name="___________________________________________cao1" localSheetId="4">#REF!</definedName>
    <definedName name="___________________________________________cao1">#REF!</definedName>
    <definedName name="___________________________________________cao2" localSheetId="4">#REF!</definedName>
    <definedName name="___________________________________________cao2">#REF!</definedName>
    <definedName name="___________________________________________cao3" localSheetId="4">#REF!</definedName>
    <definedName name="___________________________________________cao3">#REF!</definedName>
    <definedName name="___________________________________________cao4" localSheetId="4">#REF!</definedName>
    <definedName name="___________________________________________cao4">#REF!</definedName>
    <definedName name="___________________________________________cao5" localSheetId="4">#REF!</definedName>
    <definedName name="___________________________________________cao5">#REF!</definedName>
    <definedName name="___________________________________________cao6" localSheetId="4">#REF!</definedName>
    <definedName name="___________________________________________cao6">#REF!</definedName>
    <definedName name="___________________________________________dai1" localSheetId="4">#REF!</definedName>
    <definedName name="___________________________________________dai1">#REF!</definedName>
    <definedName name="___________________________________________dai2" localSheetId="4">#REF!</definedName>
    <definedName name="___________________________________________dai2">#REF!</definedName>
    <definedName name="___________________________________________dai3" localSheetId="4">#REF!</definedName>
    <definedName name="___________________________________________dai3">#REF!</definedName>
    <definedName name="___________________________________________dai4" localSheetId="4">#REF!</definedName>
    <definedName name="___________________________________________dai4">#REF!</definedName>
    <definedName name="___________________________________________dai5" localSheetId="4">#REF!</definedName>
    <definedName name="___________________________________________dai5">#REF!</definedName>
    <definedName name="___________________________________________dai6" localSheetId="4">#REF!</definedName>
    <definedName name="___________________________________________dai6">#REF!</definedName>
    <definedName name="___________________________________________dan1" localSheetId="4">#REF!</definedName>
    <definedName name="___________________________________________dan1">#REF!</definedName>
    <definedName name="___________________________________________dan2" localSheetId="4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4">#REF!</definedName>
    <definedName name="___________________________________________phi10">#REF!</definedName>
    <definedName name="___________________________________________phi12" localSheetId="4">#REF!</definedName>
    <definedName name="___________________________________________phi12">#REF!</definedName>
    <definedName name="___________________________________________phi14" localSheetId="4">#REF!</definedName>
    <definedName name="___________________________________________phi14">#REF!</definedName>
    <definedName name="___________________________________________phi16" localSheetId="4">#REF!</definedName>
    <definedName name="___________________________________________phi16">#REF!</definedName>
    <definedName name="___________________________________________phi18" localSheetId="4">#REF!</definedName>
    <definedName name="___________________________________________phi18">#REF!</definedName>
    <definedName name="___________________________________________phi20" localSheetId="4">#REF!</definedName>
    <definedName name="___________________________________________phi20">#REF!</definedName>
    <definedName name="___________________________________________phi22" localSheetId="4">#REF!</definedName>
    <definedName name="___________________________________________phi22">#REF!</definedName>
    <definedName name="___________________________________________phi25" localSheetId="4">#REF!</definedName>
    <definedName name="___________________________________________phi25">#REF!</definedName>
    <definedName name="___________________________________________phi28" localSheetId="4">#REF!</definedName>
    <definedName name="___________________________________________phi28">#REF!</definedName>
    <definedName name="___________________________________________phi6" localSheetId="4">#REF!</definedName>
    <definedName name="___________________________________________phi6">#REF!</definedName>
    <definedName name="___________________________________________phi8" localSheetId="4">#REF!</definedName>
    <definedName name="___________________________________________phi8">#REF!</definedName>
    <definedName name="___________________________________________slg1" localSheetId="4">#REF!</definedName>
    <definedName name="___________________________________________slg1">#REF!</definedName>
    <definedName name="___________________________________________slg2" localSheetId="4">#REF!</definedName>
    <definedName name="___________________________________________slg2">#REF!</definedName>
    <definedName name="___________________________________________slg3" localSheetId="4">#REF!</definedName>
    <definedName name="___________________________________________slg3">#REF!</definedName>
    <definedName name="___________________________________________slg4" localSheetId="4">#REF!</definedName>
    <definedName name="___________________________________________slg4">#REF!</definedName>
    <definedName name="___________________________________________slg5" localSheetId="4">#REF!</definedName>
    <definedName name="___________________________________________slg5">#REF!</definedName>
    <definedName name="___________________________________________slg6" localSheetId="4">#REF!</definedName>
    <definedName name="___________________________________________slg6">#REF!</definedName>
    <definedName name="__________________________________________cao1" localSheetId="4">#REF!</definedName>
    <definedName name="__________________________________________cao1">#REF!</definedName>
    <definedName name="__________________________________________cao2" localSheetId="4">#REF!</definedName>
    <definedName name="__________________________________________cao2">#REF!</definedName>
    <definedName name="__________________________________________cao3" localSheetId="4">#REF!</definedName>
    <definedName name="__________________________________________cao3">#REF!</definedName>
    <definedName name="__________________________________________cao4" localSheetId="4">#REF!</definedName>
    <definedName name="__________________________________________cao4">#REF!</definedName>
    <definedName name="__________________________________________cao5" localSheetId="4">#REF!</definedName>
    <definedName name="__________________________________________cao5">#REF!</definedName>
    <definedName name="__________________________________________cao6" localSheetId="4">#REF!</definedName>
    <definedName name="__________________________________________cao6">#REF!</definedName>
    <definedName name="__________________________________________dai1" localSheetId="4">#REF!</definedName>
    <definedName name="__________________________________________dai1">#REF!</definedName>
    <definedName name="__________________________________________dai2" localSheetId="4">#REF!</definedName>
    <definedName name="__________________________________________dai2">#REF!</definedName>
    <definedName name="__________________________________________dai3" localSheetId="4">#REF!</definedName>
    <definedName name="__________________________________________dai3">#REF!</definedName>
    <definedName name="__________________________________________dai4" localSheetId="4">#REF!</definedName>
    <definedName name="__________________________________________dai4">#REF!</definedName>
    <definedName name="__________________________________________dai5" localSheetId="4">#REF!</definedName>
    <definedName name="__________________________________________dai5">#REF!</definedName>
    <definedName name="__________________________________________dai6" localSheetId="4">#REF!</definedName>
    <definedName name="__________________________________________dai6">#REF!</definedName>
    <definedName name="__________________________________________dan1" localSheetId="4">#REF!</definedName>
    <definedName name="__________________________________________dan1">#REF!</definedName>
    <definedName name="__________________________________________dan2" localSheetId="4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4">#REF!</definedName>
    <definedName name="__________________________________________phi10">#REF!</definedName>
    <definedName name="__________________________________________phi12" localSheetId="4">#REF!</definedName>
    <definedName name="__________________________________________phi12">#REF!</definedName>
    <definedName name="__________________________________________phi14" localSheetId="4">#REF!</definedName>
    <definedName name="__________________________________________phi14">#REF!</definedName>
    <definedName name="__________________________________________phi16" localSheetId="4">#REF!</definedName>
    <definedName name="__________________________________________phi16">#REF!</definedName>
    <definedName name="__________________________________________phi18" localSheetId="4">#REF!</definedName>
    <definedName name="__________________________________________phi18">#REF!</definedName>
    <definedName name="__________________________________________phi20" localSheetId="4">#REF!</definedName>
    <definedName name="__________________________________________phi20">#REF!</definedName>
    <definedName name="__________________________________________phi22" localSheetId="4">#REF!</definedName>
    <definedName name="__________________________________________phi22">#REF!</definedName>
    <definedName name="__________________________________________phi25" localSheetId="4">#REF!</definedName>
    <definedName name="__________________________________________phi25">#REF!</definedName>
    <definedName name="__________________________________________phi28" localSheetId="4">#REF!</definedName>
    <definedName name="__________________________________________phi28">#REF!</definedName>
    <definedName name="__________________________________________phi6" localSheetId="4">#REF!</definedName>
    <definedName name="__________________________________________phi6">#REF!</definedName>
    <definedName name="__________________________________________phi8" localSheetId="4">#REF!</definedName>
    <definedName name="__________________________________________phi8">#REF!</definedName>
    <definedName name="__________________________________________slg1" localSheetId="4">#REF!</definedName>
    <definedName name="__________________________________________slg1">#REF!</definedName>
    <definedName name="__________________________________________slg2" localSheetId="4">#REF!</definedName>
    <definedName name="__________________________________________slg2">#REF!</definedName>
    <definedName name="__________________________________________slg3" localSheetId="4">#REF!</definedName>
    <definedName name="__________________________________________slg3">#REF!</definedName>
    <definedName name="__________________________________________slg4" localSheetId="4">#REF!</definedName>
    <definedName name="__________________________________________slg4">#REF!</definedName>
    <definedName name="__________________________________________slg5" localSheetId="4">#REF!</definedName>
    <definedName name="__________________________________________slg5">#REF!</definedName>
    <definedName name="__________________________________________slg6" localSheetId="4">#REF!</definedName>
    <definedName name="__________________________________________slg6">#REF!</definedName>
    <definedName name="_________________________________________cao1" localSheetId="4">#REF!</definedName>
    <definedName name="_________________________________________cao1">#REF!</definedName>
    <definedName name="_________________________________________cao2" localSheetId="4">#REF!</definedName>
    <definedName name="_________________________________________cao2">#REF!</definedName>
    <definedName name="_________________________________________cao3" localSheetId="4">#REF!</definedName>
    <definedName name="_________________________________________cao3">#REF!</definedName>
    <definedName name="_________________________________________cao4" localSheetId="4">#REF!</definedName>
    <definedName name="_________________________________________cao4">#REF!</definedName>
    <definedName name="_________________________________________cao5" localSheetId="4">#REF!</definedName>
    <definedName name="_________________________________________cao5">#REF!</definedName>
    <definedName name="_________________________________________cao6" localSheetId="4">#REF!</definedName>
    <definedName name="_________________________________________cao6">#REF!</definedName>
    <definedName name="_________________________________________dai1" localSheetId="4">#REF!</definedName>
    <definedName name="_________________________________________dai1">#REF!</definedName>
    <definedName name="_________________________________________dai2" localSheetId="4">#REF!</definedName>
    <definedName name="_________________________________________dai2">#REF!</definedName>
    <definedName name="_________________________________________dai3" localSheetId="4">#REF!</definedName>
    <definedName name="_________________________________________dai3">#REF!</definedName>
    <definedName name="_________________________________________dai4" localSheetId="4">#REF!</definedName>
    <definedName name="_________________________________________dai4">#REF!</definedName>
    <definedName name="_________________________________________dai5" localSheetId="4">#REF!</definedName>
    <definedName name="_________________________________________dai5">#REF!</definedName>
    <definedName name="_________________________________________dai6" localSheetId="4">#REF!</definedName>
    <definedName name="_________________________________________dai6">#REF!</definedName>
    <definedName name="_________________________________________dan1" localSheetId="4">#REF!</definedName>
    <definedName name="_________________________________________dan1">#REF!</definedName>
    <definedName name="_________________________________________dan2" localSheetId="4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4">#REF!</definedName>
    <definedName name="_________________________________________phi10">#REF!</definedName>
    <definedName name="_________________________________________phi12" localSheetId="4">#REF!</definedName>
    <definedName name="_________________________________________phi12">#REF!</definedName>
    <definedName name="_________________________________________phi14" localSheetId="4">#REF!</definedName>
    <definedName name="_________________________________________phi14">#REF!</definedName>
    <definedName name="_________________________________________phi16" localSheetId="4">#REF!</definedName>
    <definedName name="_________________________________________phi16">#REF!</definedName>
    <definedName name="_________________________________________phi18" localSheetId="4">#REF!</definedName>
    <definedName name="_________________________________________phi18">#REF!</definedName>
    <definedName name="_________________________________________phi20" localSheetId="4">#REF!</definedName>
    <definedName name="_________________________________________phi20">#REF!</definedName>
    <definedName name="_________________________________________phi22" localSheetId="4">#REF!</definedName>
    <definedName name="_________________________________________phi22">#REF!</definedName>
    <definedName name="_________________________________________phi25" localSheetId="4">#REF!</definedName>
    <definedName name="_________________________________________phi25">#REF!</definedName>
    <definedName name="_________________________________________phi28" localSheetId="4">#REF!</definedName>
    <definedName name="_________________________________________phi28">#REF!</definedName>
    <definedName name="_________________________________________phi6" localSheetId="4">#REF!</definedName>
    <definedName name="_________________________________________phi6">#REF!</definedName>
    <definedName name="_________________________________________phi8" localSheetId="4">#REF!</definedName>
    <definedName name="_________________________________________phi8">#REF!</definedName>
    <definedName name="_________________________________________slg1" localSheetId="4">#REF!</definedName>
    <definedName name="_________________________________________slg1">#REF!</definedName>
    <definedName name="_________________________________________slg2" localSheetId="4">#REF!</definedName>
    <definedName name="_________________________________________slg2">#REF!</definedName>
    <definedName name="_________________________________________slg3" localSheetId="4">#REF!</definedName>
    <definedName name="_________________________________________slg3">#REF!</definedName>
    <definedName name="_________________________________________slg4" localSheetId="4">#REF!</definedName>
    <definedName name="_________________________________________slg4">#REF!</definedName>
    <definedName name="_________________________________________slg5" localSheetId="4">#REF!</definedName>
    <definedName name="_________________________________________slg5">#REF!</definedName>
    <definedName name="_________________________________________slg6" localSheetId="4">#REF!</definedName>
    <definedName name="_________________________________________slg6">#REF!</definedName>
    <definedName name="________________________________________cao1" localSheetId="4">#REF!</definedName>
    <definedName name="________________________________________cao1">#REF!</definedName>
    <definedName name="________________________________________cao2" localSheetId="4">#REF!</definedName>
    <definedName name="________________________________________cao2">#REF!</definedName>
    <definedName name="________________________________________cao3" localSheetId="4">#REF!</definedName>
    <definedName name="________________________________________cao3">#REF!</definedName>
    <definedName name="________________________________________cao4" localSheetId="4">#REF!</definedName>
    <definedName name="________________________________________cao4">#REF!</definedName>
    <definedName name="________________________________________cao5" localSheetId="4">#REF!</definedName>
    <definedName name="________________________________________cao5">#REF!</definedName>
    <definedName name="________________________________________cao6" localSheetId="4">#REF!</definedName>
    <definedName name="________________________________________cao6">#REF!</definedName>
    <definedName name="________________________________________dai1" localSheetId="4">#REF!</definedName>
    <definedName name="________________________________________dai1">#REF!</definedName>
    <definedName name="________________________________________dai2" localSheetId="4">#REF!</definedName>
    <definedName name="________________________________________dai2">#REF!</definedName>
    <definedName name="________________________________________dai3" localSheetId="4">#REF!</definedName>
    <definedName name="________________________________________dai3">#REF!</definedName>
    <definedName name="________________________________________dai4" localSheetId="4">#REF!</definedName>
    <definedName name="________________________________________dai4">#REF!</definedName>
    <definedName name="________________________________________dai5" localSheetId="4">#REF!</definedName>
    <definedName name="________________________________________dai5">#REF!</definedName>
    <definedName name="________________________________________dai6" localSheetId="4">#REF!</definedName>
    <definedName name="________________________________________dai6">#REF!</definedName>
    <definedName name="________________________________________dan1" localSheetId="4">#REF!</definedName>
    <definedName name="________________________________________dan1">#REF!</definedName>
    <definedName name="________________________________________dan2" localSheetId="4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4">#REF!</definedName>
    <definedName name="________________________________________phi10">#REF!</definedName>
    <definedName name="________________________________________phi12" localSheetId="4">#REF!</definedName>
    <definedName name="________________________________________phi12">#REF!</definedName>
    <definedName name="________________________________________phi14" localSheetId="4">#REF!</definedName>
    <definedName name="________________________________________phi14">#REF!</definedName>
    <definedName name="________________________________________phi16" localSheetId="4">#REF!</definedName>
    <definedName name="________________________________________phi16">#REF!</definedName>
    <definedName name="________________________________________phi18" localSheetId="4">#REF!</definedName>
    <definedName name="________________________________________phi18">#REF!</definedName>
    <definedName name="________________________________________phi20" localSheetId="4">#REF!</definedName>
    <definedName name="________________________________________phi20">#REF!</definedName>
    <definedName name="________________________________________phi22" localSheetId="4">#REF!</definedName>
    <definedName name="________________________________________phi22">#REF!</definedName>
    <definedName name="________________________________________phi25" localSheetId="4">#REF!</definedName>
    <definedName name="________________________________________phi25">#REF!</definedName>
    <definedName name="________________________________________phi28" localSheetId="4">#REF!</definedName>
    <definedName name="________________________________________phi28">#REF!</definedName>
    <definedName name="________________________________________phi6" localSheetId="4">#REF!</definedName>
    <definedName name="________________________________________phi6">#REF!</definedName>
    <definedName name="________________________________________phi8" localSheetId="4">#REF!</definedName>
    <definedName name="________________________________________phi8">#REF!</definedName>
    <definedName name="________________________________________slg1" localSheetId="4">#REF!</definedName>
    <definedName name="________________________________________slg1">#REF!</definedName>
    <definedName name="________________________________________slg2" localSheetId="4">#REF!</definedName>
    <definedName name="________________________________________slg2">#REF!</definedName>
    <definedName name="________________________________________slg3" localSheetId="4">#REF!</definedName>
    <definedName name="________________________________________slg3">#REF!</definedName>
    <definedName name="________________________________________slg4" localSheetId="4">#REF!</definedName>
    <definedName name="________________________________________slg4">#REF!</definedName>
    <definedName name="________________________________________slg5" localSheetId="4">#REF!</definedName>
    <definedName name="________________________________________slg5">#REF!</definedName>
    <definedName name="________________________________________slg6" localSheetId="4">#REF!</definedName>
    <definedName name="________________________________________slg6">#REF!</definedName>
    <definedName name="_______________________________________cao1" localSheetId="4">#REF!</definedName>
    <definedName name="_______________________________________cao1">#REF!</definedName>
    <definedName name="_______________________________________cao2" localSheetId="4">#REF!</definedName>
    <definedName name="_______________________________________cao2">#REF!</definedName>
    <definedName name="_______________________________________cao3" localSheetId="4">#REF!</definedName>
    <definedName name="_______________________________________cao3">#REF!</definedName>
    <definedName name="_______________________________________cao4" localSheetId="4">#REF!</definedName>
    <definedName name="_______________________________________cao4">#REF!</definedName>
    <definedName name="_______________________________________cao5" localSheetId="4">#REF!</definedName>
    <definedName name="_______________________________________cao5">#REF!</definedName>
    <definedName name="_______________________________________cao6" localSheetId="4">#REF!</definedName>
    <definedName name="_______________________________________cao6">#REF!</definedName>
    <definedName name="_______________________________________dai1" localSheetId="4">#REF!</definedName>
    <definedName name="_______________________________________dai1">#REF!</definedName>
    <definedName name="_______________________________________dai2" localSheetId="4">#REF!</definedName>
    <definedName name="_______________________________________dai2">#REF!</definedName>
    <definedName name="_______________________________________dai3" localSheetId="4">#REF!</definedName>
    <definedName name="_______________________________________dai3">#REF!</definedName>
    <definedName name="_______________________________________dai4" localSheetId="4">#REF!</definedName>
    <definedName name="_______________________________________dai4">#REF!</definedName>
    <definedName name="_______________________________________dai5" localSheetId="4">#REF!</definedName>
    <definedName name="_______________________________________dai5">#REF!</definedName>
    <definedName name="_______________________________________dai6" localSheetId="4">#REF!</definedName>
    <definedName name="_______________________________________dai6">#REF!</definedName>
    <definedName name="_______________________________________dan1" localSheetId="4">#REF!</definedName>
    <definedName name="_______________________________________dan1">#REF!</definedName>
    <definedName name="_______________________________________dan2" localSheetId="4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4">#REF!</definedName>
    <definedName name="_______________________________________phi10">#REF!</definedName>
    <definedName name="_______________________________________phi12" localSheetId="4">#REF!</definedName>
    <definedName name="_______________________________________phi12">#REF!</definedName>
    <definedName name="_______________________________________phi14" localSheetId="4">#REF!</definedName>
    <definedName name="_______________________________________phi14">#REF!</definedName>
    <definedName name="_______________________________________phi16" localSheetId="4">#REF!</definedName>
    <definedName name="_______________________________________phi16">#REF!</definedName>
    <definedName name="_______________________________________phi18" localSheetId="4">#REF!</definedName>
    <definedName name="_______________________________________phi18">#REF!</definedName>
    <definedName name="_______________________________________phi20" localSheetId="4">#REF!</definedName>
    <definedName name="_______________________________________phi20">#REF!</definedName>
    <definedName name="_______________________________________phi22" localSheetId="4">#REF!</definedName>
    <definedName name="_______________________________________phi22">#REF!</definedName>
    <definedName name="_______________________________________phi25" localSheetId="4">#REF!</definedName>
    <definedName name="_______________________________________phi25">#REF!</definedName>
    <definedName name="_______________________________________phi28" localSheetId="4">#REF!</definedName>
    <definedName name="_______________________________________phi28">#REF!</definedName>
    <definedName name="_______________________________________phi6" localSheetId="4">#REF!</definedName>
    <definedName name="_______________________________________phi6">#REF!</definedName>
    <definedName name="_______________________________________phi8" localSheetId="4">#REF!</definedName>
    <definedName name="_______________________________________phi8">#REF!</definedName>
    <definedName name="_______________________________________slg1" localSheetId="4">#REF!</definedName>
    <definedName name="_______________________________________slg1">#REF!</definedName>
    <definedName name="_______________________________________slg2" localSheetId="4">#REF!</definedName>
    <definedName name="_______________________________________slg2">#REF!</definedName>
    <definedName name="_______________________________________slg3" localSheetId="4">#REF!</definedName>
    <definedName name="_______________________________________slg3">#REF!</definedName>
    <definedName name="_______________________________________slg4" localSheetId="4">#REF!</definedName>
    <definedName name="_______________________________________slg4">#REF!</definedName>
    <definedName name="_______________________________________slg5" localSheetId="4">#REF!</definedName>
    <definedName name="_______________________________________slg5">#REF!</definedName>
    <definedName name="_______________________________________slg6" localSheetId="4">#REF!</definedName>
    <definedName name="_______________________________________slg6">#REF!</definedName>
    <definedName name="______________________________________cao1" localSheetId="4">#REF!</definedName>
    <definedName name="______________________________________cao1">#REF!</definedName>
    <definedName name="______________________________________cao2" localSheetId="4">#REF!</definedName>
    <definedName name="______________________________________cao2">#REF!</definedName>
    <definedName name="______________________________________cao3" localSheetId="4">#REF!</definedName>
    <definedName name="______________________________________cao3">#REF!</definedName>
    <definedName name="______________________________________cao4" localSheetId="4">#REF!</definedName>
    <definedName name="______________________________________cao4">#REF!</definedName>
    <definedName name="______________________________________cao5" localSheetId="4">#REF!</definedName>
    <definedName name="______________________________________cao5">#REF!</definedName>
    <definedName name="______________________________________cao6" localSheetId="4">#REF!</definedName>
    <definedName name="______________________________________cao6">#REF!</definedName>
    <definedName name="______________________________________dai1" localSheetId="4">#REF!</definedName>
    <definedName name="______________________________________dai1">#REF!</definedName>
    <definedName name="______________________________________dai2" localSheetId="4">#REF!</definedName>
    <definedName name="______________________________________dai2">#REF!</definedName>
    <definedName name="______________________________________dai3" localSheetId="4">#REF!</definedName>
    <definedName name="______________________________________dai3">#REF!</definedName>
    <definedName name="______________________________________dai4" localSheetId="4">#REF!</definedName>
    <definedName name="______________________________________dai4">#REF!</definedName>
    <definedName name="______________________________________dai5" localSheetId="4">#REF!</definedName>
    <definedName name="______________________________________dai5">#REF!</definedName>
    <definedName name="______________________________________dai6" localSheetId="4">#REF!</definedName>
    <definedName name="______________________________________dai6">#REF!</definedName>
    <definedName name="______________________________________dan1" localSheetId="4">#REF!</definedName>
    <definedName name="______________________________________dan1">#REF!</definedName>
    <definedName name="______________________________________dan2" localSheetId="4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4">#REF!</definedName>
    <definedName name="______________________________________phi10">#REF!</definedName>
    <definedName name="______________________________________phi12" localSheetId="4">#REF!</definedName>
    <definedName name="______________________________________phi12">#REF!</definedName>
    <definedName name="______________________________________phi14" localSheetId="4">#REF!</definedName>
    <definedName name="______________________________________phi14">#REF!</definedName>
    <definedName name="______________________________________phi16" localSheetId="4">#REF!</definedName>
    <definedName name="______________________________________phi16">#REF!</definedName>
    <definedName name="______________________________________phi18" localSheetId="4">#REF!</definedName>
    <definedName name="______________________________________phi18">#REF!</definedName>
    <definedName name="______________________________________phi20" localSheetId="4">#REF!</definedName>
    <definedName name="______________________________________phi20">#REF!</definedName>
    <definedName name="______________________________________phi22" localSheetId="4">#REF!</definedName>
    <definedName name="______________________________________phi22">#REF!</definedName>
    <definedName name="______________________________________phi25" localSheetId="4">#REF!</definedName>
    <definedName name="______________________________________phi25">#REF!</definedName>
    <definedName name="______________________________________phi28" localSheetId="4">#REF!</definedName>
    <definedName name="______________________________________phi28">#REF!</definedName>
    <definedName name="______________________________________phi6" localSheetId="4">#REF!</definedName>
    <definedName name="______________________________________phi6">#REF!</definedName>
    <definedName name="______________________________________phi8" localSheetId="4">#REF!</definedName>
    <definedName name="______________________________________phi8">#REF!</definedName>
    <definedName name="______________________________________slg1" localSheetId="4">#REF!</definedName>
    <definedName name="______________________________________slg1">#REF!</definedName>
    <definedName name="______________________________________slg2" localSheetId="4">#REF!</definedName>
    <definedName name="______________________________________slg2">#REF!</definedName>
    <definedName name="______________________________________slg3" localSheetId="4">#REF!</definedName>
    <definedName name="______________________________________slg3">#REF!</definedName>
    <definedName name="______________________________________slg4" localSheetId="4">#REF!</definedName>
    <definedName name="______________________________________slg4">#REF!</definedName>
    <definedName name="______________________________________slg5" localSheetId="4">#REF!</definedName>
    <definedName name="______________________________________slg5">#REF!</definedName>
    <definedName name="______________________________________slg6" localSheetId="4">#REF!</definedName>
    <definedName name="______________________________________slg6">#REF!</definedName>
    <definedName name="_____________________________________cao1" localSheetId="4">#REF!</definedName>
    <definedName name="_____________________________________cao1">#REF!</definedName>
    <definedName name="_____________________________________cao2" localSheetId="4">#REF!</definedName>
    <definedName name="_____________________________________cao2">#REF!</definedName>
    <definedName name="_____________________________________cao3" localSheetId="4">#REF!</definedName>
    <definedName name="_____________________________________cao3">#REF!</definedName>
    <definedName name="_____________________________________cao4" localSheetId="4">#REF!</definedName>
    <definedName name="_____________________________________cao4">#REF!</definedName>
    <definedName name="_____________________________________cao5" localSheetId="4">#REF!</definedName>
    <definedName name="_____________________________________cao5">#REF!</definedName>
    <definedName name="_____________________________________cao6" localSheetId="4">#REF!</definedName>
    <definedName name="_____________________________________cao6">#REF!</definedName>
    <definedName name="_____________________________________dai1" localSheetId="4">#REF!</definedName>
    <definedName name="_____________________________________dai1">#REF!</definedName>
    <definedName name="_____________________________________dai2" localSheetId="4">#REF!</definedName>
    <definedName name="_____________________________________dai2">#REF!</definedName>
    <definedName name="_____________________________________dai3" localSheetId="4">#REF!</definedName>
    <definedName name="_____________________________________dai3">#REF!</definedName>
    <definedName name="_____________________________________dai4" localSheetId="4">#REF!</definedName>
    <definedName name="_____________________________________dai4">#REF!</definedName>
    <definedName name="_____________________________________dai5" localSheetId="4">#REF!</definedName>
    <definedName name="_____________________________________dai5">#REF!</definedName>
    <definedName name="_____________________________________dai6" localSheetId="4">#REF!</definedName>
    <definedName name="_____________________________________dai6">#REF!</definedName>
    <definedName name="_____________________________________dan1" localSheetId="4">#REF!</definedName>
    <definedName name="_____________________________________dan1">#REF!</definedName>
    <definedName name="_____________________________________dan2" localSheetId="4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4">#REF!</definedName>
    <definedName name="_____________________________________phi10">#REF!</definedName>
    <definedName name="_____________________________________phi12" localSheetId="4">#REF!</definedName>
    <definedName name="_____________________________________phi12">#REF!</definedName>
    <definedName name="_____________________________________phi14" localSheetId="4">#REF!</definedName>
    <definedName name="_____________________________________phi14">#REF!</definedName>
    <definedName name="_____________________________________phi16" localSheetId="4">#REF!</definedName>
    <definedName name="_____________________________________phi16">#REF!</definedName>
    <definedName name="_____________________________________phi18" localSheetId="4">#REF!</definedName>
    <definedName name="_____________________________________phi18">#REF!</definedName>
    <definedName name="_____________________________________phi20" localSheetId="4">#REF!</definedName>
    <definedName name="_____________________________________phi20">#REF!</definedName>
    <definedName name="_____________________________________phi22" localSheetId="4">#REF!</definedName>
    <definedName name="_____________________________________phi22">#REF!</definedName>
    <definedName name="_____________________________________phi25" localSheetId="4">#REF!</definedName>
    <definedName name="_____________________________________phi25">#REF!</definedName>
    <definedName name="_____________________________________phi28" localSheetId="4">#REF!</definedName>
    <definedName name="_____________________________________phi28">#REF!</definedName>
    <definedName name="_____________________________________phi6" localSheetId="4">#REF!</definedName>
    <definedName name="_____________________________________phi6">#REF!</definedName>
    <definedName name="_____________________________________phi8" localSheetId="4">#REF!</definedName>
    <definedName name="_____________________________________phi8">#REF!</definedName>
    <definedName name="_____________________________________slg1" localSheetId="4">#REF!</definedName>
    <definedName name="_____________________________________slg1">#REF!</definedName>
    <definedName name="_____________________________________slg2" localSheetId="4">#REF!</definedName>
    <definedName name="_____________________________________slg2">#REF!</definedName>
    <definedName name="_____________________________________slg3" localSheetId="4">#REF!</definedName>
    <definedName name="_____________________________________slg3">#REF!</definedName>
    <definedName name="_____________________________________slg4" localSheetId="4">#REF!</definedName>
    <definedName name="_____________________________________slg4">#REF!</definedName>
    <definedName name="_____________________________________slg5" localSheetId="4">#REF!</definedName>
    <definedName name="_____________________________________slg5">#REF!</definedName>
    <definedName name="_____________________________________slg6" localSheetId="4">#REF!</definedName>
    <definedName name="_____________________________________slg6">#REF!</definedName>
    <definedName name="____________________________________cao1" localSheetId="4">#REF!</definedName>
    <definedName name="____________________________________cao1">#REF!</definedName>
    <definedName name="____________________________________cao2" localSheetId="4">#REF!</definedName>
    <definedName name="____________________________________cao2">#REF!</definedName>
    <definedName name="____________________________________cao3" localSheetId="4">#REF!</definedName>
    <definedName name="____________________________________cao3">#REF!</definedName>
    <definedName name="____________________________________cao4" localSheetId="4">#REF!</definedName>
    <definedName name="____________________________________cao4">#REF!</definedName>
    <definedName name="____________________________________cao5" localSheetId="4">#REF!</definedName>
    <definedName name="____________________________________cao5">#REF!</definedName>
    <definedName name="____________________________________cao6" localSheetId="4">#REF!</definedName>
    <definedName name="____________________________________cao6">#REF!</definedName>
    <definedName name="____________________________________dai1" localSheetId="4">#REF!</definedName>
    <definedName name="____________________________________dai1">#REF!</definedName>
    <definedName name="____________________________________dai2" localSheetId="4">#REF!</definedName>
    <definedName name="____________________________________dai2">#REF!</definedName>
    <definedName name="____________________________________dai3" localSheetId="4">#REF!</definedName>
    <definedName name="____________________________________dai3">#REF!</definedName>
    <definedName name="____________________________________dai4" localSheetId="4">#REF!</definedName>
    <definedName name="____________________________________dai4">#REF!</definedName>
    <definedName name="____________________________________dai5" localSheetId="4">#REF!</definedName>
    <definedName name="____________________________________dai5">#REF!</definedName>
    <definedName name="____________________________________dai6" localSheetId="4">#REF!</definedName>
    <definedName name="____________________________________dai6">#REF!</definedName>
    <definedName name="____________________________________dan1" localSheetId="4">#REF!</definedName>
    <definedName name="____________________________________dan1">#REF!</definedName>
    <definedName name="____________________________________dan2" localSheetId="4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4">#REF!</definedName>
    <definedName name="____________________________________phi10">#REF!</definedName>
    <definedName name="____________________________________phi12" localSheetId="4">#REF!</definedName>
    <definedName name="____________________________________phi12">#REF!</definedName>
    <definedName name="____________________________________phi14" localSheetId="4">#REF!</definedName>
    <definedName name="____________________________________phi14">#REF!</definedName>
    <definedName name="____________________________________phi16" localSheetId="4">#REF!</definedName>
    <definedName name="____________________________________phi16">#REF!</definedName>
    <definedName name="____________________________________phi18" localSheetId="4">#REF!</definedName>
    <definedName name="____________________________________phi18">#REF!</definedName>
    <definedName name="____________________________________phi20" localSheetId="4">#REF!</definedName>
    <definedName name="____________________________________phi20">#REF!</definedName>
    <definedName name="____________________________________phi22" localSheetId="4">#REF!</definedName>
    <definedName name="____________________________________phi22">#REF!</definedName>
    <definedName name="____________________________________phi25" localSheetId="4">#REF!</definedName>
    <definedName name="____________________________________phi25">#REF!</definedName>
    <definedName name="____________________________________phi28" localSheetId="4">#REF!</definedName>
    <definedName name="____________________________________phi28">#REF!</definedName>
    <definedName name="____________________________________phi6" localSheetId="4">#REF!</definedName>
    <definedName name="____________________________________phi6">#REF!</definedName>
    <definedName name="____________________________________phi8" localSheetId="4">#REF!</definedName>
    <definedName name="____________________________________phi8">#REF!</definedName>
    <definedName name="____________________________________slg1" localSheetId="4">#REF!</definedName>
    <definedName name="____________________________________slg1">#REF!</definedName>
    <definedName name="____________________________________slg2" localSheetId="4">#REF!</definedName>
    <definedName name="____________________________________slg2">#REF!</definedName>
    <definedName name="____________________________________slg3" localSheetId="4">#REF!</definedName>
    <definedName name="____________________________________slg3">#REF!</definedName>
    <definedName name="____________________________________slg4" localSheetId="4">#REF!</definedName>
    <definedName name="____________________________________slg4">#REF!</definedName>
    <definedName name="____________________________________slg5" localSheetId="4">#REF!</definedName>
    <definedName name="____________________________________slg5">#REF!</definedName>
    <definedName name="____________________________________slg6" localSheetId="4">#REF!</definedName>
    <definedName name="____________________________________slg6">#REF!</definedName>
    <definedName name="___________________________________cao1" localSheetId="4">#REF!</definedName>
    <definedName name="___________________________________cao1">#REF!</definedName>
    <definedName name="___________________________________cao2" localSheetId="4">#REF!</definedName>
    <definedName name="___________________________________cao2">#REF!</definedName>
    <definedName name="___________________________________cao3" localSheetId="4">#REF!</definedName>
    <definedName name="___________________________________cao3">#REF!</definedName>
    <definedName name="___________________________________cao4" localSheetId="4">#REF!</definedName>
    <definedName name="___________________________________cao4">#REF!</definedName>
    <definedName name="___________________________________cao5" localSheetId="4">#REF!</definedName>
    <definedName name="___________________________________cao5">#REF!</definedName>
    <definedName name="___________________________________cao6" localSheetId="4">#REF!</definedName>
    <definedName name="___________________________________cao6">#REF!</definedName>
    <definedName name="___________________________________dai1" localSheetId="4">#REF!</definedName>
    <definedName name="___________________________________dai1">#REF!</definedName>
    <definedName name="___________________________________dai2" localSheetId="4">#REF!</definedName>
    <definedName name="___________________________________dai2">#REF!</definedName>
    <definedName name="___________________________________dai3" localSheetId="4">#REF!</definedName>
    <definedName name="___________________________________dai3">#REF!</definedName>
    <definedName name="___________________________________dai4" localSheetId="4">#REF!</definedName>
    <definedName name="___________________________________dai4">#REF!</definedName>
    <definedName name="___________________________________dai5" localSheetId="4">#REF!</definedName>
    <definedName name="___________________________________dai5">#REF!</definedName>
    <definedName name="___________________________________dai6" localSheetId="4">#REF!</definedName>
    <definedName name="___________________________________dai6">#REF!</definedName>
    <definedName name="___________________________________dan1" localSheetId="4">#REF!</definedName>
    <definedName name="___________________________________dan1">#REF!</definedName>
    <definedName name="___________________________________dan2" localSheetId="4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4">#REF!</definedName>
    <definedName name="___________________________________phi10">#REF!</definedName>
    <definedName name="___________________________________phi12" localSheetId="4">#REF!</definedName>
    <definedName name="___________________________________phi12">#REF!</definedName>
    <definedName name="___________________________________phi14" localSheetId="4">#REF!</definedName>
    <definedName name="___________________________________phi14">#REF!</definedName>
    <definedName name="___________________________________phi16" localSheetId="4">#REF!</definedName>
    <definedName name="___________________________________phi16">#REF!</definedName>
    <definedName name="___________________________________phi18" localSheetId="4">#REF!</definedName>
    <definedName name="___________________________________phi18">#REF!</definedName>
    <definedName name="___________________________________phi20" localSheetId="4">#REF!</definedName>
    <definedName name="___________________________________phi20">#REF!</definedName>
    <definedName name="___________________________________phi22" localSheetId="4">#REF!</definedName>
    <definedName name="___________________________________phi22">#REF!</definedName>
    <definedName name="___________________________________phi25" localSheetId="4">#REF!</definedName>
    <definedName name="___________________________________phi25">#REF!</definedName>
    <definedName name="___________________________________phi28" localSheetId="4">#REF!</definedName>
    <definedName name="___________________________________phi28">#REF!</definedName>
    <definedName name="___________________________________phi6" localSheetId="4">#REF!</definedName>
    <definedName name="___________________________________phi6">#REF!</definedName>
    <definedName name="___________________________________phi8" localSheetId="4">#REF!</definedName>
    <definedName name="___________________________________phi8">#REF!</definedName>
    <definedName name="___________________________________slg1" localSheetId="4">#REF!</definedName>
    <definedName name="___________________________________slg1">#REF!</definedName>
    <definedName name="___________________________________slg2" localSheetId="4">#REF!</definedName>
    <definedName name="___________________________________slg2">#REF!</definedName>
    <definedName name="___________________________________slg3" localSheetId="4">#REF!</definedName>
    <definedName name="___________________________________slg3">#REF!</definedName>
    <definedName name="___________________________________slg4" localSheetId="4">#REF!</definedName>
    <definedName name="___________________________________slg4">#REF!</definedName>
    <definedName name="___________________________________slg5" localSheetId="4">#REF!</definedName>
    <definedName name="___________________________________slg5">#REF!</definedName>
    <definedName name="___________________________________slg6" localSheetId="4">#REF!</definedName>
    <definedName name="___________________________________slg6">#REF!</definedName>
    <definedName name="__________________________________cao1" localSheetId="4">#REF!</definedName>
    <definedName name="__________________________________cao1">#REF!</definedName>
    <definedName name="__________________________________cao2" localSheetId="4">#REF!</definedName>
    <definedName name="__________________________________cao2">#REF!</definedName>
    <definedName name="__________________________________cao3" localSheetId="4">#REF!</definedName>
    <definedName name="__________________________________cao3">#REF!</definedName>
    <definedName name="__________________________________cao4" localSheetId="4">#REF!</definedName>
    <definedName name="__________________________________cao4">#REF!</definedName>
    <definedName name="__________________________________cao5" localSheetId="4">#REF!</definedName>
    <definedName name="__________________________________cao5">#REF!</definedName>
    <definedName name="__________________________________cao6" localSheetId="4">#REF!</definedName>
    <definedName name="__________________________________cao6">#REF!</definedName>
    <definedName name="__________________________________dai1" localSheetId="4">#REF!</definedName>
    <definedName name="__________________________________dai1">#REF!</definedName>
    <definedName name="__________________________________dai2" localSheetId="4">#REF!</definedName>
    <definedName name="__________________________________dai2">#REF!</definedName>
    <definedName name="__________________________________dai3" localSheetId="4">#REF!</definedName>
    <definedName name="__________________________________dai3">#REF!</definedName>
    <definedName name="__________________________________dai4" localSheetId="4">#REF!</definedName>
    <definedName name="__________________________________dai4">#REF!</definedName>
    <definedName name="__________________________________dai5" localSheetId="4">#REF!</definedName>
    <definedName name="__________________________________dai5">#REF!</definedName>
    <definedName name="__________________________________dai6" localSheetId="4">#REF!</definedName>
    <definedName name="__________________________________dai6">#REF!</definedName>
    <definedName name="__________________________________dan1" localSheetId="4">#REF!</definedName>
    <definedName name="__________________________________dan1">#REF!</definedName>
    <definedName name="__________________________________dan2" localSheetId="4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4">#REF!</definedName>
    <definedName name="__________________________________phi10">#REF!</definedName>
    <definedName name="__________________________________phi12" localSheetId="4">#REF!</definedName>
    <definedName name="__________________________________phi12">#REF!</definedName>
    <definedName name="__________________________________phi14" localSheetId="4">#REF!</definedName>
    <definedName name="__________________________________phi14">#REF!</definedName>
    <definedName name="__________________________________phi16" localSheetId="4">#REF!</definedName>
    <definedName name="__________________________________phi16">#REF!</definedName>
    <definedName name="__________________________________phi18" localSheetId="4">#REF!</definedName>
    <definedName name="__________________________________phi18">#REF!</definedName>
    <definedName name="__________________________________phi20" localSheetId="4">#REF!</definedName>
    <definedName name="__________________________________phi20">#REF!</definedName>
    <definedName name="__________________________________phi22" localSheetId="4">#REF!</definedName>
    <definedName name="__________________________________phi22">#REF!</definedName>
    <definedName name="__________________________________phi25" localSheetId="4">#REF!</definedName>
    <definedName name="__________________________________phi25">#REF!</definedName>
    <definedName name="__________________________________phi28" localSheetId="4">#REF!</definedName>
    <definedName name="__________________________________phi28">#REF!</definedName>
    <definedName name="__________________________________phi6" localSheetId="4">#REF!</definedName>
    <definedName name="__________________________________phi6">#REF!</definedName>
    <definedName name="__________________________________phi8" localSheetId="4">#REF!</definedName>
    <definedName name="__________________________________phi8">#REF!</definedName>
    <definedName name="__________________________________slg1" localSheetId="4">#REF!</definedName>
    <definedName name="__________________________________slg1">#REF!</definedName>
    <definedName name="__________________________________slg2" localSheetId="4">#REF!</definedName>
    <definedName name="__________________________________slg2">#REF!</definedName>
    <definedName name="__________________________________slg3" localSheetId="4">#REF!</definedName>
    <definedName name="__________________________________slg3">#REF!</definedName>
    <definedName name="__________________________________slg4" localSheetId="4">#REF!</definedName>
    <definedName name="__________________________________slg4">#REF!</definedName>
    <definedName name="__________________________________slg5" localSheetId="4">#REF!</definedName>
    <definedName name="__________________________________slg5">#REF!</definedName>
    <definedName name="__________________________________slg6" localSheetId="4">#REF!</definedName>
    <definedName name="__________________________________slg6">#REF!</definedName>
    <definedName name="_________________________________cao1" localSheetId="4">#REF!</definedName>
    <definedName name="_________________________________cao1">#REF!</definedName>
    <definedName name="_________________________________cao2" localSheetId="4">#REF!</definedName>
    <definedName name="_________________________________cao2">#REF!</definedName>
    <definedName name="_________________________________cao3" localSheetId="4">#REF!</definedName>
    <definedName name="_________________________________cao3">#REF!</definedName>
    <definedName name="_________________________________cao4" localSheetId="4">#REF!</definedName>
    <definedName name="_________________________________cao4">#REF!</definedName>
    <definedName name="_________________________________cao5" localSheetId="4">#REF!</definedName>
    <definedName name="_________________________________cao5">#REF!</definedName>
    <definedName name="_________________________________cao6" localSheetId="4">#REF!</definedName>
    <definedName name="_________________________________cao6">#REF!</definedName>
    <definedName name="_________________________________dai1" localSheetId="4">#REF!</definedName>
    <definedName name="_________________________________dai1">#REF!</definedName>
    <definedName name="_________________________________dai2" localSheetId="4">#REF!</definedName>
    <definedName name="_________________________________dai2">#REF!</definedName>
    <definedName name="_________________________________dai3" localSheetId="4">#REF!</definedName>
    <definedName name="_________________________________dai3">#REF!</definedName>
    <definedName name="_________________________________dai4" localSheetId="4">#REF!</definedName>
    <definedName name="_________________________________dai4">#REF!</definedName>
    <definedName name="_________________________________dai5" localSheetId="4">#REF!</definedName>
    <definedName name="_________________________________dai5">#REF!</definedName>
    <definedName name="_________________________________dai6" localSheetId="4">#REF!</definedName>
    <definedName name="_________________________________dai6">#REF!</definedName>
    <definedName name="_________________________________dan1" localSheetId="4">#REF!</definedName>
    <definedName name="_________________________________dan1">#REF!</definedName>
    <definedName name="_________________________________dan2" localSheetId="4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4">#REF!</definedName>
    <definedName name="_________________________________phi10">#REF!</definedName>
    <definedName name="_________________________________phi12" localSheetId="4">#REF!</definedName>
    <definedName name="_________________________________phi12">#REF!</definedName>
    <definedName name="_________________________________phi14" localSheetId="4">#REF!</definedName>
    <definedName name="_________________________________phi14">#REF!</definedName>
    <definedName name="_________________________________phi16" localSheetId="4">#REF!</definedName>
    <definedName name="_________________________________phi16">#REF!</definedName>
    <definedName name="_________________________________phi18" localSheetId="4">#REF!</definedName>
    <definedName name="_________________________________phi18">#REF!</definedName>
    <definedName name="_________________________________phi20" localSheetId="4">#REF!</definedName>
    <definedName name="_________________________________phi20">#REF!</definedName>
    <definedName name="_________________________________phi22" localSheetId="4">#REF!</definedName>
    <definedName name="_________________________________phi22">#REF!</definedName>
    <definedName name="_________________________________phi25" localSheetId="4">#REF!</definedName>
    <definedName name="_________________________________phi25">#REF!</definedName>
    <definedName name="_________________________________phi28" localSheetId="4">#REF!</definedName>
    <definedName name="_________________________________phi28">#REF!</definedName>
    <definedName name="_________________________________phi6" localSheetId="4">#REF!</definedName>
    <definedName name="_________________________________phi6">#REF!</definedName>
    <definedName name="_________________________________phi8" localSheetId="4">#REF!</definedName>
    <definedName name="_________________________________phi8">#REF!</definedName>
    <definedName name="_________________________________slg1" localSheetId="4">#REF!</definedName>
    <definedName name="_________________________________slg1">#REF!</definedName>
    <definedName name="_________________________________slg2" localSheetId="4">#REF!</definedName>
    <definedName name="_________________________________slg2">#REF!</definedName>
    <definedName name="_________________________________slg3" localSheetId="4">#REF!</definedName>
    <definedName name="_________________________________slg3">#REF!</definedName>
    <definedName name="_________________________________slg4" localSheetId="4">#REF!</definedName>
    <definedName name="_________________________________slg4">#REF!</definedName>
    <definedName name="_________________________________slg5" localSheetId="4">#REF!</definedName>
    <definedName name="_________________________________slg5">#REF!</definedName>
    <definedName name="_________________________________slg6" localSheetId="4">#REF!</definedName>
    <definedName name="_________________________________slg6">#REF!</definedName>
    <definedName name="________________________________cao1" localSheetId="4">#REF!</definedName>
    <definedName name="________________________________cao1">#REF!</definedName>
    <definedName name="________________________________cao2" localSheetId="4">#REF!</definedName>
    <definedName name="________________________________cao2">#REF!</definedName>
    <definedName name="________________________________cao3" localSheetId="4">#REF!</definedName>
    <definedName name="________________________________cao3">#REF!</definedName>
    <definedName name="________________________________cao4" localSheetId="4">#REF!</definedName>
    <definedName name="________________________________cao4">#REF!</definedName>
    <definedName name="________________________________cao5" localSheetId="4">#REF!</definedName>
    <definedName name="________________________________cao5">#REF!</definedName>
    <definedName name="________________________________cao6" localSheetId="4">#REF!</definedName>
    <definedName name="________________________________cao6">#REF!</definedName>
    <definedName name="________________________________dai1" localSheetId="4">#REF!</definedName>
    <definedName name="________________________________dai1">#REF!</definedName>
    <definedName name="________________________________dai2" localSheetId="4">#REF!</definedName>
    <definedName name="________________________________dai2">#REF!</definedName>
    <definedName name="________________________________dai3" localSheetId="4">#REF!</definedName>
    <definedName name="________________________________dai3">#REF!</definedName>
    <definedName name="________________________________dai4" localSheetId="4">#REF!</definedName>
    <definedName name="________________________________dai4">#REF!</definedName>
    <definedName name="________________________________dai5" localSheetId="4">#REF!</definedName>
    <definedName name="________________________________dai5">#REF!</definedName>
    <definedName name="________________________________dai6" localSheetId="4">#REF!</definedName>
    <definedName name="________________________________dai6">#REF!</definedName>
    <definedName name="________________________________dan1" localSheetId="4">#REF!</definedName>
    <definedName name="________________________________dan1">#REF!</definedName>
    <definedName name="________________________________dan2" localSheetId="4">#REF!</definedName>
    <definedName name="________________________________dan2">#REF!</definedName>
    <definedName name="________________________________IN20">[2]XL4Poppy!$B$1:$B$16</definedName>
    <definedName name="________________________________phi10" localSheetId="4">#REF!</definedName>
    <definedName name="________________________________phi10">#REF!</definedName>
    <definedName name="________________________________phi12" localSheetId="4">#REF!</definedName>
    <definedName name="________________________________phi12">#REF!</definedName>
    <definedName name="________________________________phi14" localSheetId="4">#REF!</definedName>
    <definedName name="________________________________phi14">#REF!</definedName>
    <definedName name="________________________________phi16" localSheetId="4">#REF!</definedName>
    <definedName name="________________________________phi16">#REF!</definedName>
    <definedName name="________________________________phi18" localSheetId="4">#REF!</definedName>
    <definedName name="________________________________phi18">#REF!</definedName>
    <definedName name="________________________________phi20" localSheetId="4">#REF!</definedName>
    <definedName name="________________________________phi20">#REF!</definedName>
    <definedName name="________________________________phi22" localSheetId="4">#REF!</definedName>
    <definedName name="________________________________phi22">#REF!</definedName>
    <definedName name="________________________________phi25" localSheetId="4">#REF!</definedName>
    <definedName name="________________________________phi25">#REF!</definedName>
    <definedName name="________________________________phi28" localSheetId="4">#REF!</definedName>
    <definedName name="________________________________phi28">#REF!</definedName>
    <definedName name="________________________________phi6" localSheetId="4">#REF!</definedName>
    <definedName name="________________________________phi6">#REF!</definedName>
    <definedName name="________________________________phi8" localSheetId="4">#REF!</definedName>
    <definedName name="________________________________phi8">#REF!</definedName>
    <definedName name="________________________________slg1" localSheetId="4">#REF!</definedName>
    <definedName name="________________________________slg1">#REF!</definedName>
    <definedName name="________________________________slg2" localSheetId="4">#REF!</definedName>
    <definedName name="________________________________slg2">#REF!</definedName>
    <definedName name="________________________________slg3" localSheetId="4">#REF!</definedName>
    <definedName name="________________________________slg3">#REF!</definedName>
    <definedName name="________________________________slg4" localSheetId="4">#REF!</definedName>
    <definedName name="________________________________slg4">#REF!</definedName>
    <definedName name="________________________________slg5" localSheetId="4">#REF!</definedName>
    <definedName name="________________________________slg5">#REF!</definedName>
    <definedName name="________________________________slg6" localSheetId="4">#REF!</definedName>
    <definedName name="________________________________slg6">#REF!</definedName>
    <definedName name="_______________________________cao1" localSheetId="4">#REF!</definedName>
    <definedName name="_______________________________cao1">#REF!</definedName>
    <definedName name="_______________________________cao2" localSheetId="4">#REF!</definedName>
    <definedName name="_______________________________cao2">#REF!</definedName>
    <definedName name="_______________________________cao3" localSheetId="4">#REF!</definedName>
    <definedName name="_______________________________cao3">#REF!</definedName>
    <definedName name="_______________________________cao4" localSheetId="4">#REF!</definedName>
    <definedName name="_______________________________cao4">#REF!</definedName>
    <definedName name="_______________________________cao5" localSheetId="4">#REF!</definedName>
    <definedName name="_______________________________cao5">#REF!</definedName>
    <definedName name="_______________________________cao6" localSheetId="4">#REF!</definedName>
    <definedName name="_______________________________cao6">#REF!</definedName>
    <definedName name="_______________________________dai1" localSheetId="4">#REF!</definedName>
    <definedName name="_______________________________dai1">#REF!</definedName>
    <definedName name="_______________________________dai2" localSheetId="4">#REF!</definedName>
    <definedName name="_______________________________dai2">#REF!</definedName>
    <definedName name="_______________________________dai3" localSheetId="4">#REF!</definedName>
    <definedName name="_______________________________dai3">#REF!</definedName>
    <definedName name="_______________________________dai4" localSheetId="4">#REF!</definedName>
    <definedName name="_______________________________dai4">#REF!</definedName>
    <definedName name="_______________________________dai5" localSheetId="4">#REF!</definedName>
    <definedName name="_______________________________dai5">#REF!</definedName>
    <definedName name="_______________________________dai6" localSheetId="4">#REF!</definedName>
    <definedName name="_______________________________dai6">#REF!</definedName>
    <definedName name="_______________________________dan1" localSheetId="4">#REF!</definedName>
    <definedName name="_______________________________dan1">#REF!</definedName>
    <definedName name="_______________________________dan2" localSheetId="4">#REF!</definedName>
    <definedName name="_______________________________dan2">#REF!</definedName>
    <definedName name="_______________________________IN20">[2]XL4Poppy!$B$1:$B$16</definedName>
    <definedName name="_______________________________phi10" localSheetId="4">#REF!</definedName>
    <definedName name="_______________________________phi10">#REF!</definedName>
    <definedName name="_______________________________phi12" localSheetId="4">#REF!</definedName>
    <definedName name="_______________________________phi12">#REF!</definedName>
    <definedName name="_______________________________phi14" localSheetId="4">#REF!</definedName>
    <definedName name="_______________________________phi14">#REF!</definedName>
    <definedName name="_______________________________phi16" localSheetId="4">#REF!</definedName>
    <definedName name="_______________________________phi16">#REF!</definedName>
    <definedName name="_______________________________phi18" localSheetId="4">#REF!</definedName>
    <definedName name="_______________________________phi18">#REF!</definedName>
    <definedName name="_______________________________phi20" localSheetId="4">#REF!</definedName>
    <definedName name="_______________________________phi20">#REF!</definedName>
    <definedName name="_______________________________phi22" localSheetId="4">#REF!</definedName>
    <definedName name="_______________________________phi22">#REF!</definedName>
    <definedName name="_______________________________phi25" localSheetId="4">#REF!</definedName>
    <definedName name="_______________________________phi25">#REF!</definedName>
    <definedName name="_______________________________phi28" localSheetId="4">#REF!</definedName>
    <definedName name="_______________________________phi28">#REF!</definedName>
    <definedName name="_______________________________phi6" localSheetId="4">#REF!</definedName>
    <definedName name="_______________________________phi6">#REF!</definedName>
    <definedName name="_______________________________phi8" localSheetId="4">#REF!</definedName>
    <definedName name="_______________________________phi8">#REF!</definedName>
    <definedName name="_______________________________slg1" localSheetId="4">#REF!</definedName>
    <definedName name="_______________________________slg1">#REF!</definedName>
    <definedName name="_______________________________slg2" localSheetId="4">#REF!</definedName>
    <definedName name="_______________________________slg2">#REF!</definedName>
    <definedName name="_______________________________slg3" localSheetId="4">#REF!</definedName>
    <definedName name="_______________________________slg3">#REF!</definedName>
    <definedName name="_______________________________slg4" localSheetId="4">#REF!</definedName>
    <definedName name="_______________________________slg4">#REF!</definedName>
    <definedName name="_______________________________slg5" localSheetId="4">#REF!</definedName>
    <definedName name="_______________________________slg5">#REF!</definedName>
    <definedName name="_______________________________slg6" localSheetId="4">#REF!</definedName>
    <definedName name="_______________________________slg6">#REF!</definedName>
    <definedName name="______________________________cao1" localSheetId="4">#REF!</definedName>
    <definedName name="______________________________cao1">#REF!</definedName>
    <definedName name="______________________________cao2" localSheetId="4">#REF!</definedName>
    <definedName name="______________________________cao2">#REF!</definedName>
    <definedName name="______________________________cao3" localSheetId="4">#REF!</definedName>
    <definedName name="______________________________cao3">#REF!</definedName>
    <definedName name="______________________________cao4" localSheetId="4">#REF!</definedName>
    <definedName name="______________________________cao4">#REF!</definedName>
    <definedName name="______________________________cao5" localSheetId="4">#REF!</definedName>
    <definedName name="______________________________cao5">#REF!</definedName>
    <definedName name="______________________________cao6" localSheetId="4">#REF!</definedName>
    <definedName name="______________________________cao6">#REF!</definedName>
    <definedName name="______________________________dai1" localSheetId="4">#REF!</definedName>
    <definedName name="______________________________dai1">#REF!</definedName>
    <definedName name="______________________________dai2" localSheetId="4">#REF!</definedName>
    <definedName name="______________________________dai2">#REF!</definedName>
    <definedName name="______________________________dai3" localSheetId="4">#REF!</definedName>
    <definedName name="______________________________dai3">#REF!</definedName>
    <definedName name="______________________________dai4" localSheetId="4">#REF!</definedName>
    <definedName name="______________________________dai4">#REF!</definedName>
    <definedName name="______________________________dai5" localSheetId="4">#REF!</definedName>
    <definedName name="______________________________dai5">#REF!</definedName>
    <definedName name="______________________________dai6" localSheetId="4">#REF!</definedName>
    <definedName name="______________________________dai6">#REF!</definedName>
    <definedName name="______________________________dan1" localSheetId="4">#REF!</definedName>
    <definedName name="______________________________dan1">#REF!</definedName>
    <definedName name="______________________________dan2" localSheetId="4">#REF!</definedName>
    <definedName name="______________________________dan2">#REF!</definedName>
    <definedName name="______________________________IN20">[2]XL4Poppy!$B$1:$B$16</definedName>
    <definedName name="______________________________phi10" localSheetId="4">#REF!</definedName>
    <definedName name="______________________________phi10">#REF!</definedName>
    <definedName name="______________________________phi12" localSheetId="4">#REF!</definedName>
    <definedName name="______________________________phi12">#REF!</definedName>
    <definedName name="______________________________phi14" localSheetId="4">#REF!</definedName>
    <definedName name="______________________________phi14">#REF!</definedName>
    <definedName name="______________________________phi16" localSheetId="4">#REF!</definedName>
    <definedName name="______________________________phi16">#REF!</definedName>
    <definedName name="______________________________phi18" localSheetId="4">#REF!</definedName>
    <definedName name="______________________________phi18">#REF!</definedName>
    <definedName name="______________________________phi20" localSheetId="4">#REF!</definedName>
    <definedName name="______________________________phi20">#REF!</definedName>
    <definedName name="______________________________phi22" localSheetId="4">#REF!</definedName>
    <definedName name="______________________________phi22">#REF!</definedName>
    <definedName name="______________________________phi25" localSheetId="4">#REF!</definedName>
    <definedName name="______________________________phi25">#REF!</definedName>
    <definedName name="______________________________phi28" localSheetId="4">#REF!</definedName>
    <definedName name="______________________________phi28">#REF!</definedName>
    <definedName name="______________________________phi6" localSheetId="4">#REF!</definedName>
    <definedName name="______________________________phi6">#REF!</definedName>
    <definedName name="______________________________phi8" localSheetId="4">#REF!</definedName>
    <definedName name="______________________________phi8">#REF!</definedName>
    <definedName name="______________________________slg1" localSheetId="4">#REF!</definedName>
    <definedName name="______________________________slg1">#REF!</definedName>
    <definedName name="______________________________slg2" localSheetId="4">#REF!</definedName>
    <definedName name="______________________________slg2">#REF!</definedName>
    <definedName name="______________________________slg3" localSheetId="4">#REF!</definedName>
    <definedName name="______________________________slg3">#REF!</definedName>
    <definedName name="______________________________slg4" localSheetId="4">#REF!</definedName>
    <definedName name="______________________________slg4">#REF!</definedName>
    <definedName name="______________________________slg5" localSheetId="4">#REF!</definedName>
    <definedName name="______________________________slg5">#REF!</definedName>
    <definedName name="______________________________slg6" localSheetId="4">#REF!</definedName>
    <definedName name="______________________________slg6">#REF!</definedName>
    <definedName name="_____________________________cao1" localSheetId="4">#REF!</definedName>
    <definedName name="_____________________________cao1">#REF!</definedName>
    <definedName name="_____________________________cao2" localSheetId="4">#REF!</definedName>
    <definedName name="_____________________________cao2">#REF!</definedName>
    <definedName name="_____________________________cao3" localSheetId="4">#REF!</definedName>
    <definedName name="_____________________________cao3">#REF!</definedName>
    <definedName name="_____________________________cao4" localSheetId="4">#REF!</definedName>
    <definedName name="_____________________________cao4">#REF!</definedName>
    <definedName name="_____________________________cao5" localSheetId="4">#REF!</definedName>
    <definedName name="_____________________________cao5">#REF!</definedName>
    <definedName name="_____________________________cao6" localSheetId="4">#REF!</definedName>
    <definedName name="_____________________________cao6">#REF!</definedName>
    <definedName name="_____________________________dai1" localSheetId="4">#REF!</definedName>
    <definedName name="_____________________________dai1">#REF!</definedName>
    <definedName name="_____________________________dai2" localSheetId="4">#REF!</definedName>
    <definedName name="_____________________________dai2">#REF!</definedName>
    <definedName name="_____________________________dai3" localSheetId="4">#REF!</definedName>
    <definedName name="_____________________________dai3">#REF!</definedName>
    <definedName name="_____________________________dai4" localSheetId="4">#REF!</definedName>
    <definedName name="_____________________________dai4">#REF!</definedName>
    <definedName name="_____________________________dai5" localSheetId="4">#REF!</definedName>
    <definedName name="_____________________________dai5">#REF!</definedName>
    <definedName name="_____________________________dai6" localSheetId="4">#REF!</definedName>
    <definedName name="_____________________________dai6">#REF!</definedName>
    <definedName name="_____________________________dan1" localSheetId="4">#REF!</definedName>
    <definedName name="_____________________________dan1">#REF!</definedName>
    <definedName name="_____________________________dan2" localSheetId="4">#REF!</definedName>
    <definedName name="_____________________________dan2">#REF!</definedName>
    <definedName name="_____________________________IN20">[2]XL4Poppy!$B$1:$B$16</definedName>
    <definedName name="_____________________________phi10" localSheetId="4">#REF!</definedName>
    <definedName name="_____________________________phi10">#REF!</definedName>
    <definedName name="_____________________________phi12" localSheetId="4">#REF!</definedName>
    <definedName name="_____________________________phi12">#REF!</definedName>
    <definedName name="_____________________________phi14" localSheetId="4">#REF!</definedName>
    <definedName name="_____________________________phi14">#REF!</definedName>
    <definedName name="_____________________________phi16" localSheetId="4">#REF!</definedName>
    <definedName name="_____________________________phi16">#REF!</definedName>
    <definedName name="_____________________________phi18" localSheetId="4">#REF!</definedName>
    <definedName name="_____________________________phi18">#REF!</definedName>
    <definedName name="_____________________________phi20" localSheetId="4">#REF!</definedName>
    <definedName name="_____________________________phi20">#REF!</definedName>
    <definedName name="_____________________________phi22" localSheetId="4">#REF!</definedName>
    <definedName name="_____________________________phi22">#REF!</definedName>
    <definedName name="_____________________________phi25" localSheetId="4">#REF!</definedName>
    <definedName name="_____________________________phi25">#REF!</definedName>
    <definedName name="_____________________________phi28" localSheetId="4">#REF!</definedName>
    <definedName name="_____________________________phi28">#REF!</definedName>
    <definedName name="_____________________________phi6" localSheetId="4">#REF!</definedName>
    <definedName name="_____________________________phi6">#REF!</definedName>
    <definedName name="_____________________________phi8" localSheetId="4">#REF!</definedName>
    <definedName name="_____________________________phi8">#REF!</definedName>
    <definedName name="_____________________________slg1" localSheetId="4">#REF!</definedName>
    <definedName name="_____________________________slg1">#REF!</definedName>
    <definedName name="_____________________________slg2" localSheetId="4">#REF!</definedName>
    <definedName name="_____________________________slg2">#REF!</definedName>
    <definedName name="_____________________________slg3" localSheetId="4">#REF!</definedName>
    <definedName name="_____________________________slg3">#REF!</definedName>
    <definedName name="_____________________________slg4" localSheetId="4">#REF!</definedName>
    <definedName name="_____________________________slg4">#REF!</definedName>
    <definedName name="_____________________________slg5" localSheetId="4">#REF!</definedName>
    <definedName name="_____________________________slg5">#REF!</definedName>
    <definedName name="_____________________________slg6" localSheetId="4">#REF!</definedName>
    <definedName name="_____________________________slg6">#REF!</definedName>
    <definedName name="____________________________cao1" localSheetId="4">#REF!</definedName>
    <definedName name="____________________________cao1">#REF!</definedName>
    <definedName name="____________________________cao2" localSheetId="4">#REF!</definedName>
    <definedName name="____________________________cao2">#REF!</definedName>
    <definedName name="____________________________cao3" localSheetId="4">#REF!</definedName>
    <definedName name="____________________________cao3">#REF!</definedName>
    <definedName name="____________________________cao4" localSheetId="4">#REF!</definedName>
    <definedName name="____________________________cao4">#REF!</definedName>
    <definedName name="____________________________cao5" localSheetId="4">#REF!</definedName>
    <definedName name="____________________________cao5">#REF!</definedName>
    <definedName name="____________________________cao6" localSheetId="4">#REF!</definedName>
    <definedName name="____________________________cao6">#REF!</definedName>
    <definedName name="____________________________dai1" localSheetId="4">#REF!</definedName>
    <definedName name="____________________________dai1">#REF!</definedName>
    <definedName name="____________________________dai2" localSheetId="4">#REF!</definedName>
    <definedName name="____________________________dai2">#REF!</definedName>
    <definedName name="____________________________dai3" localSheetId="4">#REF!</definedName>
    <definedName name="____________________________dai3">#REF!</definedName>
    <definedName name="____________________________dai4" localSheetId="4">#REF!</definedName>
    <definedName name="____________________________dai4">#REF!</definedName>
    <definedName name="____________________________dai5" localSheetId="4">#REF!</definedName>
    <definedName name="____________________________dai5">#REF!</definedName>
    <definedName name="____________________________dai6" localSheetId="4">#REF!</definedName>
    <definedName name="____________________________dai6">#REF!</definedName>
    <definedName name="____________________________dan1" localSheetId="4">#REF!</definedName>
    <definedName name="____________________________dan1">#REF!</definedName>
    <definedName name="____________________________dan2" localSheetId="4">#REF!</definedName>
    <definedName name="____________________________dan2">#REF!</definedName>
    <definedName name="____________________________IN20">[2]XL4Poppy!$B$1:$B$16</definedName>
    <definedName name="____________________________phi10" localSheetId="4">#REF!</definedName>
    <definedName name="____________________________phi10">#REF!</definedName>
    <definedName name="____________________________phi12" localSheetId="4">#REF!</definedName>
    <definedName name="____________________________phi12">#REF!</definedName>
    <definedName name="____________________________phi14" localSheetId="4">#REF!</definedName>
    <definedName name="____________________________phi14">#REF!</definedName>
    <definedName name="____________________________phi16" localSheetId="4">#REF!</definedName>
    <definedName name="____________________________phi16">#REF!</definedName>
    <definedName name="____________________________phi18" localSheetId="4">#REF!</definedName>
    <definedName name="____________________________phi18">#REF!</definedName>
    <definedName name="____________________________phi20" localSheetId="4">#REF!</definedName>
    <definedName name="____________________________phi20">#REF!</definedName>
    <definedName name="____________________________phi22" localSheetId="4">#REF!</definedName>
    <definedName name="____________________________phi22">#REF!</definedName>
    <definedName name="____________________________phi25" localSheetId="4">#REF!</definedName>
    <definedName name="____________________________phi25">#REF!</definedName>
    <definedName name="____________________________phi28" localSheetId="4">#REF!</definedName>
    <definedName name="____________________________phi28">#REF!</definedName>
    <definedName name="____________________________phi6" localSheetId="4">#REF!</definedName>
    <definedName name="____________________________phi6">#REF!</definedName>
    <definedName name="____________________________phi8" localSheetId="4">#REF!</definedName>
    <definedName name="____________________________phi8">#REF!</definedName>
    <definedName name="____________________________slg1" localSheetId="4">#REF!</definedName>
    <definedName name="____________________________slg1">#REF!</definedName>
    <definedName name="____________________________slg2" localSheetId="4">#REF!</definedName>
    <definedName name="____________________________slg2">#REF!</definedName>
    <definedName name="____________________________slg3" localSheetId="4">#REF!</definedName>
    <definedName name="____________________________slg3">#REF!</definedName>
    <definedName name="____________________________slg4" localSheetId="4">#REF!</definedName>
    <definedName name="____________________________slg4">#REF!</definedName>
    <definedName name="____________________________slg5" localSheetId="4">#REF!</definedName>
    <definedName name="____________________________slg5">#REF!</definedName>
    <definedName name="____________________________slg6" localSheetId="4">#REF!</definedName>
    <definedName name="____________________________slg6">#REF!</definedName>
    <definedName name="___________________________cao1" localSheetId="4">#REF!</definedName>
    <definedName name="___________________________cao1">#REF!</definedName>
    <definedName name="___________________________cao2" localSheetId="4">#REF!</definedName>
    <definedName name="___________________________cao2">#REF!</definedName>
    <definedName name="___________________________cao3" localSheetId="4">#REF!</definedName>
    <definedName name="___________________________cao3">#REF!</definedName>
    <definedName name="___________________________cao4" localSheetId="4">#REF!</definedName>
    <definedName name="___________________________cao4">#REF!</definedName>
    <definedName name="___________________________cao5" localSheetId="4">#REF!</definedName>
    <definedName name="___________________________cao5">#REF!</definedName>
    <definedName name="___________________________cao6" localSheetId="4">#REF!</definedName>
    <definedName name="___________________________cao6">#REF!</definedName>
    <definedName name="___________________________dai1" localSheetId="4">#REF!</definedName>
    <definedName name="___________________________dai1">#REF!</definedName>
    <definedName name="___________________________dai2" localSheetId="4">#REF!</definedName>
    <definedName name="___________________________dai2">#REF!</definedName>
    <definedName name="___________________________dai3" localSheetId="4">#REF!</definedName>
    <definedName name="___________________________dai3">#REF!</definedName>
    <definedName name="___________________________dai4" localSheetId="4">#REF!</definedName>
    <definedName name="___________________________dai4">#REF!</definedName>
    <definedName name="___________________________dai5" localSheetId="4">#REF!</definedName>
    <definedName name="___________________________dai5">#REF!</definedName>
    <definedName name="___________________________dai6" localSheetId="4">#REF!</definedName>
    <definedName name="___________________________dai6">#REF!</definedName>
    <definedName name="___________________________dan1" localSheetId="4">#REF!</definedName>
    <definedName name="___________________________dan1">#REF!</definedName>
    <definedName name="___________________________dan2" localSheetId="4">#REF!</definedName>
    <definedName name="___________________________dan2">#REF!</definedName>
    <definedName name="___________________________IN20">[2]XL4Poppy!$B$1:$B$16</definedName>
    <definedName name="___________________________phi10" localSheetId="4">#REF!</definedName>
    <definedName name="___________________________phi10">#REF!</definedName>
    <definedName name="___________________________phi12" localSheetId="4">#REF!</definedName>
    <definedName name="___________________________phi12">#REF!</definedName>
    <definedName name="___________________________phi14" localSheetId="4">#REF!</definedName>
    <definedName name="___________________________phi14">#REF!</definedName>
    <definedName name="___________________________phi16" localSheetId="4">#REF!</definedName>
    <definedName name="___________________________phi16">#REF!</definedName>
    <definedName name="___________________________phi18" localSheetId="4">#REF!</definedName>
    <definedName name="___________________________phi18">#REF!</definedName>
    <definedName name="___________________________phi20" localSheetId="4">#REF!</definedName>
    <definedName name="___________________________phi20">#REF!</definedName>
    <definedName name="___________________________phi22" localSheetId="4">#REF!</definedName>
    <definedName name="___________________________phi22">#REF!</definedName>
    <definedName name="___________________________phi25" localSheetId="4">#REF!</definedName>
    <definedName name="___________________________phi25">#REF!</definedName>
    <definedName name="___________________________phi28" localSheetId="4">#REF!</definedName>
    <definedName name="___________________________phi28">#REF!</definedName>
    <definedName name="___________________________phi6" localSheetId="4">#REF!</definedName>
    <definedName name="___________________________phi6">#REF!</definedName>
    <definedName name="___________________________phi8" localSheetId="4">#REF!</definedName>
    <definedName name="___________________________phi8">#REF!</definedName>
    <definedName name="___________________________slg1" localSheetId="4">#REF!</definedName>
    <definedName name="___________________________slg1">#REF!</definedName>
    <definedName name="___________________________slg2" localSheetId="4">#REF!</definedName>
    <definedName name="___________________________slg2">#REF!</definedName>
    <definedName name="___________________________slg3" localSheetId="4">#REF!</definedName>
    <definedName name="___________________________slg3">#REF!</definedName>
    <definedName name="___________________________slg4" localSheetId="4">#REF!</definedName>
    <definedName name="___________________________slg4">#REF!</definedName>
    <definedName name="___________________________slg5" localSheetId="4">#REF!</definedName>
    <definedName name="___________________________slg5">#REF!</definedName>
    <definedName name="___________________________slg6" localSheetId="4">#REF!</definedName>
    <definedName name="___________________________slg6">#REF!</definedName>
    <definedName name="__________________________cao1" localSheetId="4">#REF!</definedName>
    <definedName name="__________________________cao1">#REF!</definedName>
    <definedName name="__________________________cao2" localSheetId="4">#REF!</definedName>
    <definedName name="__________________________cao2">#REF!</definedName>
    <definedName name="__________________________cao3" localSheetId="4">#REF!</definedName>
    <definedName name="__________________________cao3">#REF!</definedName>
    <definedName name="__________________________cao4" localSheetId="4">#REF!</definedName>
    <definedName name="__________________________cao4">#REF!</definedName>
    <definedName name="__________________________cao5" localSheetId="4">#REF!</definedName>
    <definedName name="__________________________cao5">#REF!</definedName>
    <definedName name="__________________________cao6" localSheetId="4">#REF!</definedName>
    <definedName name="__________________________cao6">#REF!</definedName>
    <definedName name="__________________________dai1" localSheetId="4">#REF!</definedName>
    <definedName name="__________________________dai1">#REF!</definedName>
    <definedName name="__________________________dai2" localSheetId="4">#REF!</definedName>
    <definedName name="__________________________dai2">#REF!</definedName>
    <definedName name="__________________________dai3" localSheetId="4">#REF!</definedName>
    <definedName name="__________________________dai3">#REF!</definedName>
    <definedName name="__________________________dai4" localSheetId="4">#REF!</definedName>
    <definedName name="__________________________dai4">#REF!</definedName>
    <definedName name="__________________________dai5" localSheetId="4">#REF!</definedName>
    <definedName name="__________________________dai5">#REF!</definedName>
    <definedName name="__________________________dai6" localSheetId="4">#REF!</definedName>
    <definedName name="__________________________dai6">#REF!</definedName>
    <definedName name="__________________________dan1" localSheetId="4">#REF!</definedName>
    <definedName name="__________________________dan1">#REF!</definedName>
    <definedName name="__________________________dan2" localSheetId="4">#REF!</definedName>
    <definedName name="__________________________dan2">#REF!</definedName>
    <definedName name="__________________________IN20">[2]XL4Poppy!$B$1:$B$16</definedName>
    <definedName name="__________________________phi10" localSheetId="4">#REF!</definedName>
    <definedName name="__________________________phi10">#REF!</definedName>
    <definedName name="__________________________phi12" localSheetId="4">#REF!</definedName>
    <definedName name="__________________________phi12">#REF!</definedName>
    <definedName name="__________________________phi14" localSheetId="4">#REF!</definedName>
    <definedName name="__________________________phi14">#REF!</definedName>
    <definedName name="__________________________phi16" localSheetId="4">#REF!</definedName>
    <definedName name="__________________________phi16">#REF!</definedName>
    <definedName name="__________________________phi18" localSheetId="4">#REF!</definedName>
    <definedName name="__________________________phi18">#REF!</definedName>
    <definedName name="__________________________phi20" localSheetId="4">#REF!</definedName>
    <definedName name="__________________________phi20">#REF!</definedName>
    <definedName name="__________________________phi22" localSheetId="4">#REF!</definedName>
    <definedName name="__________________________phi22">#REF!</definedName>
    <definedName name="__________________________phi25" localSheetId="4">#REF!</definedName>
    <definedName name="__________________________phi25">#REF!</definedName>
    <definedName name="__________________________phi28" localSheetId="4">#REF!</definedName>
    <definedName name="__________________________phi28">#REF!</definedName>
    <definedName name="__________________________phi6" localSheetId="4">#REF!</definedName>
    <definedName name="__________________________phi6">#REF!</definedName>
    <definedName name="__________________________phi8" localSheetId="4">#REF!</definedName>
    <definedName name="__________________________phi8">#REF!</definedName>
    <definedName name="__________________________slg1" localSheetId="4">#REF!</definedName>
    <definedName name="__________________________slg1">#REF!</definedName>
    <definedName name="__________________________slg2" localSheetId="4">#REF!</definedName>
    <definedName name="__________________________slg2">#REF!</definedName>
    <definedName name="__________________________slg3" localSheetId="4">#REF!</definedName>
    <definedName name="__________________________slg3">#REF!</definedName>
    <definedName name="__________________________slg4" localSheetId="4">#REF!</definedName>
    <definedName name="__________________________slg4">#REF!</definedName>
    <definedName name="__________________________slg5" localSheetId="4">#REF!</definedName>
    <definedName name="__________________________slg5">#REF!</definedName>
    <definedName name="__________________________slg6" localSheetId="4">#REF!</definedName>
    <definedName name="__________________________slg6">#REF!</definedName>
    <definedName name="_________________________cao1" localSheetId="4">#REF!</definedName>
    <definedName name="_________________________cao1">#REF!</definedName>
    <definedName name="_________________________cao2" localSheetId="4">#REF!</definedName>
    <definedName name="_________________________cao2">#REF!</definedName>
    <definedName name="_________________________cao3" localSheetId="4">#REF!</definedName>
    <definedName name="_________________________cao3">#REF!</definedName>
    <definedName name="_________________________cao4" localSheetId="4">#REF!</definedName>
    <definedName name="_________________________cao4">#REF!</definedName>
    <definedName name="_________________________cao5" localSheetId="4">#REF!</definedName>
    <definedName name="_________________________cao5">#REF!</definedName>
    <definedName name="_________________________cao6" localSheetId="4">#REF!</definedName>
    <definedName name="_________________________cao6">#REF!</definedName>
    <definedName name="_________________________dai1" localSheetId="4">#REF!</definedName>
    <definedName name="_________________________dai1">#REF!</definedName>
    <definedName name="_________________________dai2" localSheetId="4">#REF!</definedName>
    <definedName name="_________________________dai2">#REF!</definedName>
    <definedName name="_________________________dai3" localSheetId="4">#REF!</definedName>
    <definedName name="_________________________dai3">#REF!</definedName>
    <definedName name="_________________________dai4" localSheetId="4">#REF!</definedName>
    <definedName name="_________________________dai4">#REF!</definedName>
    <definedName name="_________________________dai5" localSheetId="4">#REF!</definedName>
    <definedName name="_________________________dai5">#REF!</definedName>
    <definedName name="_________________________dai6" localSheetId="4">#REF!</definedName>
    <definedName name="_________________________dai6">#REF!</definedName>
    <definedName name="_________________________dan1" localSheetId="4">#REF!</definedName>
    <definedName name="_________________________dan1">#REF!</definedName>
    <definedName name="_________________________dan2" localSheetId="4">#REF!</definedName>
    <definedName name="_________________________dan2">#REF!</definedName>
    <definedName name="_________________________IN20">[2]XL4Poppy!$B$1:$B$16</definedName>
    <definedName name="_________________________phi10" localSheetId="4">#REF!</definedName>
    <definedName name="_________________________phi10">#REF!</definedName>
    <definedName name="_________________________phi12" localSheetId="4">#REF!</definedName>
    <definedName name="_________________________phi12">#REF!</definedName>
    <definedName name="_________________________phi14" localSheetId="4">#REF!</definedName>
    <definedName name="_________________________phi14">#REF!</definedName>
    <definedName name="_________________________phi16" localSheetId="4">#REF!</definedName>
    <definedName name="_________________________phi16">#REF!</definedName>
    <definedName name="_________________________phi18" localSheetId="4">#REF!</definedName>
    <definedName name="_________________________phi18">#REF!</definedName>
    <definedName name="_________________________phi20" localSheetId="4">#REF!</definedName>
    <definedName name="_________________________phi20">#REF!</definedName>
    <definedName name="_________________________phi22" localSheetId="4">#REF!</definedName>
    <definedName name="_________________________phi22">#REF!</definedName>
    <definedName name="_________________________phi25" localSheetId="4">#REF!</definedName>
    <definedName name="_________________________phi25">#REF!</definedName>
    <definedName name="_________________________phi28" localSheetId="4">#REF!</definedName>
    <definedName name="_________________________phi28">#REF!</definedName>
    <definedName name="_________________________phi6" localSheetId="4">#REF!</definedName>
    <definedName name="_________________________phi6">#REF!</definedName>
    <definedName name="_________________________phi8" localSheetId="4">#REF!</definedName>
    <definedName name="_________________________phi8">#REF!</definedName>
    <definedName name="_________________________slg1" localSheetId="4">#REF!</definedName>
    <definedName name="_________________________slg1">#REF!</definedName>
    <definedName name="_________________________slg2" localSheetId="4">#REF!</definedName>
    <definedName name="_________________________slg2">#REF!</definedName>
    <definedName name="_________________________slg3" localSheetId="4">#REF!</definedName>
    <definedName name="_________________________slg3">#REF!</definedName>
    <definedName name="_________________________slg4" localSheetId="4">#REF!</definedName>
    <definedName name="_________________________slg4">#REF!</definedName>
    <definedName name="_________________________slg5" localSheetId="4">#REF!</definedName>
    <definedName name="_________________________slg5">#REF!</definedName>
    <definedName name="_________________________slg6" localSheetId="4">#REF!</definedName>
    <definedName name="_________________________slg6">#REF!</definedName>
    <definedName name="________________________cao1" localSheetId="4">#REF!</definedName>
    <definedName name="________________________cao1">#REF!</definedName>
    <definedName name="________________________cao2" localSheetId="4">#REF!</definedName>
    <definedName name="________________________cao2">#REF!</definedName>
    <definedName name="________________________cao3" localSheetId="4">#REF!</definedName>
    <definedName name="________________________cao3">#REF!</definedName>
    <definedName name="________________________cao4" localSheetId="4">#REF!</definedName>
    <definedName name="________________________cao4">#REF!</definedName>
    <definedName name="________________________cao5" localSheetId="4">#REF!</definedName>
    <definedName name="________________________cao5">#REF!</definedName>
    <definedName name="________________________cao6" localSheetId="4">#REF!</definedName>
    <definedName name="________________________cao6">#REF!</definedName>
    <definedName name="________________________dai1" localSheetId="4">#REF!</definedName>
    <definedName name="________________________dai1">#REF!</definedName>
    <definedName name="________________________dai2" localSheetId="4">#REF!</definedName>
    <definedName name="________________________dai2">#REF!</definedName>
    <definedName name="________________________dai3" localSheetId="4">#REF!</definedName>
    <definedName name="________________________dai3">#REF!</definedName>
    <definedName name="________________________dai4" localSheetId="4">#REF!</definedName>
    <definedName name="________________________dai4">#REF!</definedName>
    <definedName name="________________________dai5" localSheetId="4">#REF!</definedName>
    <definedName name="________________________dai5">#REF!</definedName>
    <definedName name="________________________dai6" localSheetId="4">#REF!</definedName>
    <definedName name="________________________dai6">#REF!</definedName>
    <definedName name="________________________dan1" localSheetId="4">#REF!</definedName>
    <definedName name="________________________dan1">#REF!</definedName>
    <definedName name="________________________dan2" localSheetId="4">#REF!</definedName>
    <definedName name="________________________dan2">#REF!</definedName>
    <definedName name="________________________IN20">[2]XL4Poppy!$B$1:$B$16</definedName>
    <definedName name="________________________phi10" localSheetId="4">#REF!</definedName>
    <definedName name="________________________phi10">#REF!</definedName>
    <definedName name="________________________phi12" localSheetId="4">#REF!</definedName>
    <definedName name="________________________phi12">#REF!</definedName>
    <definedName name="________________________phi14" localSheetId="4">#REF!</definedName>
    <definedName name="________________________phi14">#REF!</definedName>
    <definedName name="________________________phi16" localSheetId="4">#REF!</definedName>
    <definedName name="________________________phi16">#REF!</definedName>
    <definedName name="________________________phi18" localSheetId="4">#REF!</definedName>
    <definedName name="________________________phi18">#REF!</definedName>
    <definedName name="________________________phi20" localSheetId="4">#REF!</definedName>
    <definedName name="________________________phi20">#REF!</definedName>
    <definedName name="________________________phi22" localSheetId="4">#REF!</definedName>
    <definedName name="________________________phi22">#REF!</definedName>
    <definedName name="________________________phi25" localSheetId="4">#REF!</definedName>
    <definedName name="________________________phi25">#REF!</definedName>
    <definedName name="________________________phi28" localSheetId="4">#REF!</definedName>
    <definedName name="________________________phi28">#REF!</definedName>
    <definedName name="________________________phi6" localSheetId="4">#REF!</definedName>
    <definedName name="________________________phi6">#REF!</definedName>
    <definedName name="________________________phi8" localSheetId="4">#REF!</definedName>
    <definedName name="________________________phi8">#REF!</definedName>
    <definedName name="________________________slg1" localSheetId="4">#REF!</definedName>
    <definedName name="________________________slg1">#REF!</definedName>
    <definedName name="________________________slg2" localSheetId="4">#REF!</definedName>
    <definedName name="________________________slg2">#REF!</definedName>
    <definedName name="________________________slg3" localSheetId="4">#REF!</definedName>
    <definedName name="________________________slg3">#REF!</definedName>
    <definedName name="________________________slg4" localSheetId="4">#REF!</definedName>
    <definedName name="________________________slg4">#REF!</definedName>
    <definedName name="________________________slg5" localSheetId="4">#REF!</definedName>
    <definedName name="________________________slg5">#REF!</definedName>
    <definedName name="________________________slg6" localSheetId="4">#REF!</definedName>
    <definedName name="________________________slg6">#REF!</definedName>
    <definedName name="_______________________cao1" localSheetId="4">#REF!</definedName>
    <definedName name="_______________________cao1">#REF!</definedName>
    <definedName name="_______________________cao2" localSheetId="4">#REF!</definedName>
    <definedName name="_______________________cao2">#REF!</definedName>
    <definedName name="_______________________cao3" localSheetId="4">#REF!</definedName>
    <definedName name="_______________________cao3">#REF!</definedName>
    <definedName name="_______________________cao4" localSheetId="4">#REF!</definedName>
    <definedName name="_______________________cao4">#REF!</definedName>
    <definedName name="_______________________cao5" localSheetId="4">#REF!</definedName>
    <definedName name="_______________________cao5">#REF!</definedName>
    <definedName name="_______________________cao6" localSheetId="4">#REF!</definedName>
    <definedName name="_______________________cao6">#REF!</definedName>
    <definedName name="_______________________dai1" localSheetId="4">#REF!</definedName>
    <definedName name="_______________________dai1">#REF!</definedName>
    <definedName name="_______________________dai2" localSheetId="4">#REF!</definedName>
    <definedName name="_______________________dai2">#REF!</definedName>
    <definedName name="_______________________dai3" localSheetId="4">#REF!</definedName>
    <definedName name="_______________________dai3">#REF!</definedName>
    <definedName name="_______________________dai4" localSheetId="4">#REF!</definedName>
    <definedName name="_______________________dai4">#REF!</definedName>
    <definedName name="_______________________dai5" localSheetId="4">#REF!</definedName>
    <definedName name="_______________________dai5">#REF!</definedName>
    <definedName name="_______________________dai6" localSheetId="4">#REF!</definedName>
    <definedName name="_______________________dai6">#REF!</definedName>
    <definedName name="_______________________dan1" localSheetId="4">#REF!</definedName>
    <definedName name="_______________________dan1">#REF!</definedName>
    <definedName name="_______________________dan2" localSheetId="4">#REF!</definedName>
    <definedName name="_______________________dan2">#REF!</definedName>
    <definedName name="_______________________IN20">[2]XL4Poppy!$B$1:$B$16</definedName>
    <definedName name="_______________________phi10" localSheetId="4">#REF!</definedName>
    <definedName name="_______________________phi10">#REF!</definedName>
    <definedName name="_______________________phi12" localSheetId="4">#REF!</definedName>
    <definedName name="_______________________phi12">#REF!</definedName>
    <definedName name="_______________________phi14" localSheetId="4">#REF!</definedName>
    <definedName name="_______________________phi14">#REF!</definedName>
    <definedName name="_______________________phi16" localSheetId="4">#REF!</definedName>
    <definedName name="_______________________phi16">#REF!</definedName>
    <definedName name="_______________________phi18" localSheetId="4">#REF!</definedName>
    <definedName name="_______________________phi18">#REF!</definedName>
    <definedName name="_______________________phi20" localSheetId="4">#REF!</definedName>
    <definedName name="_______________________phi20">#REF!</definedName>
    <definedName name="_______________________phi22" localSheetId="4">#REF!</definedName>
    <definedName name="_______________________phi22">#REF!</definedName>
    <definedName name="_______________________phi25" localSheetId="4">#REF!</definedName>
    <definedName name="_______________________phi25">#REF!</definedName>
    <definedName name="_______________________phi28" localSheetId="4">#REF!</definedName>
    <definedName name="_______________________phi28">#REF!</definedName>
    <definedName name="_______________________phi6" localSheetId="4">#REF!</definedName>
    <definedName name="_______________________phi6">#REF!</definedName>
    <definedName name="_______________________phi8" localSheetId="4">#REF!</definedName>
    <definedName name="_______________________phi8">#REF!</definedName>
    <definedName name="_______________________slg1" localSheetId="4">#REF!</definedName>
    <definedName name="_______________________slg1">#REF!</definedName>
    <definedName name="_______________________slg2" localSheetId="4">#REF!</definedName>
    <definedName name="_______________________slg2">#REF!</definedName>
    <definedName name="_______________________slg3" localSheetId="4">#REF!</definedName>
    <definedName name="_______________________slg3">#REF!</definedName>
    <definedName name="_______________________slg4" localSheetId="4">#REF!</definedName>
    <definedName name="_______________________slg4">#REF!</definedName>
    <definedName name="_______________________slg5" localSheetId="4">#REF!</definedName>
    <definedName name="_______________________slg5">#REF!</definedName>
    <definedName name="_______________________slg6" localSheetId="4">#REF!</definedName>
    <definedName name="_______________________slg6">#REF!</definedName>
    <definedName name="______________________cao1" localSheetId="4">#REF!</definedName>
    <definedName name="______________________cao1">#REF!</definedName>
    <definedName name="______________________cao2" localSheetId="4">#REF!</definedName>
    <definedName name="______________________cao2">#REF!</definedName>
    <definedName name="______________________cao3" localSheetId="4">#REF!</definedName>
    <definedName name="______________________cao3">#REF!</definedName>
    <definedName name="______________________cao4" localSheetId="4">#REF!</definedName>
    <definedName name="______________________cao4">#REF!</definedName>
    <definedName name="______________________cao5" localSheetId="4">#REF!</definedName>
    <definedName name="______________________cao5">#REF!</definedName>
    <definedName name="______________________cao6" localSheetId="4">#REF!</definedName>
    <definedName name="______________________cao6">#REF!</definedName>
    <definedName name="______________________dai1" localSheetId="4">#REF!</definedName>
    <definedName name="______________________dai1">#REF!</definedName>
    <definedName name="______________________dai2" localSheetId="4">#REF!</definedName>
    <definedName name="______________________dai2">#REF!</definedName>
    <definedName name="______________________dai3" localSheetId="4">#REF!</definedName>
    <definedName name="______________________dai3">#REF!</definedName>
    <definedName name="______________________dai4" localSheetId="4">#REF!</definedName>
    <definedName name="______________________dai4">#REF!</definedName>
    <definedName name="______________________dai5" localSheetId="4">#REF!</definedName>
    <definedName name="______________________dai5">#REF!</definedName>
    <definedName name="______________________dai6" localSheetId="4">#REF!</definedName>
    <definedName name="______________________dai6">#REF!</definedName>
    <definedName name="______________________dan1" localSheetId="4">#REF!</definedName>
    <definedName name="______________________dan1">#REF!</definedName>
    <definedName name="______________________dan2" localSheetId="4">#REF!</definedName>
    <definedName name="______________________dan2">#REF!</definedName>
    <definedName name="______________________IN20">[2]XL4Poppy!$B$1:$B$16</definedName>
    <definedName name="______________________phi10" localSheetId="4">#REF!</definedName>
    <definedName name="______________________phi10">#REF!</definedName>
    <definedName name="______________________phi12" localSheetId="4">#REF!</definedName>
    <definedName name="______________________phi12">#REF!</definedName>
    <definedName name="______________________phi14" localSheetId="4">#REF!</definedName>
    <definedName name="______________________phi14">#REF!</definedName>
    <definedName name="______________________phi16" localSheetId="4">#REF!</definedName>
    <definedName name="______________________phi16">#REF!</definedName>
    <definedName name="______________________phi18" localSheetId="4">#REF!</definedName>
    <definedName name="______________________phi18">#REF!</definedName>
    <definedName name="______________________phi20" localSheetId="4">#REF!</definedName>
    <definedName name="______________________phi20">#REF!</definedName>
    <definedName name="______________________phi22" localSheetId="4">#REF!</definedName>
    <definedName name="______________________phi22">#REF!</definedName>
    <definedName name="______________________phi25" localSheetId="4">#REF!</definedName>
    <definedName name="______________________phi25">#REF!</definedName>
    <definedName name="______________________phi28" localSheetId="4">#REF!</definedName>
    <definedName name="______________________phi28">#REF!</definedName>
    <definedName name="______________________phi6" localSheetId="4">#REF!</definedName>
    <definedName name="______________________phi6">#REF!</definedName>
    <definedName name="______________________phi8" localSheetId="4">#REF!</definedName>
    <definedName name="______________________phi8">#REF!</definedName>
    <definedName name="______________________slg1" localSheetId="4">#REF!</definedName>
    <definedName name="______________________slg1">#REF!</definedName>
    <definedName name="______________________slg2" localSheetId="4">#REF!</definedName>
    <definedName name="______________________slg2">#REF!</definedName>
    <definedName name="______________________slg3" localSheetId="4">#REF!</definedName>
    <definedName name="______________________slg3">#REF!</definedName>
    <definedName name="______________________slg4" localSheetId="4">#REF!</definedName>
    <definedName name="______________________slg4">#REF!</definedName>
    <definedName name="______________________slg5" localSheetId="4">#REF!</definedName>
    <definedName name="______________________slg5">#REF!</definedName>
    <definedName name="______________________slg6" localSheetId="4">#REF!</definedName>
    <definedName name="______________________slg6">#REF!</definedName>
    <definedName name="_____________________cao1" localSheetId="4">#REF!</definedName>
    <definedName name="_____________________cao1">#REF!</definedName>
    <definedName name="_____________________cao2" localSheetId="4">#REF!</definedName>
    <definedName name="_____________________cao2">#REF!</definedName>
    <definedName name="_____________________cao3" localSheetId="4">#REF!</definedName>
    <definedName name="_____________________cao3">#REF!</definedName>
    <definedName name="_____________________cao4" localSheetId="4">#REF!</definedName>
    <definedName name="_____________________cao4">#REF!</definedName>
    <definedName name="_____________________cao5" localSheetId="4">#REF!</definedName>
    <definedName name="_____________________cao5">#REF!</definedName>
    <definedName name="_____________________cao6" localSheetId="4">#REF!</definedName>
    <definedName name="_____________________cao6">#REF!</definedName>
    <definedName name="_____________________dai1" localSheetId="4">#REF!</definedName>
    <definedName name="_____________________dai1">#REF!</definedName>
    <definedName name="_____________________dai2" localSheetId="4">#REF!</definedName>
    <definedName name="_____________________dai2">#REF!</definedName>
    <definedName name="_____________________dai3" localSheetId="4">#REF!</definedName>
    <definedName name="_____________________dai3">#REF!</definedName>
    <definedName name="_____________________dai4" localSheetId="4">#REF!</definedName>
    <definedName name="_____________________dai4">#REF!</definedName>
    <definedName name="_____________________dai5" localSheetId="4">#REF!</definedName>
    <definedName name="_____________________dai5">#REF!</definedName>
    <definedName name="_____________________dai6" localSheetId="4">#REF!</definedName>
    <definedName name="_____________________dai6">#REF!</definedName>
    <definedName name="_____________________dan1" localSheetId="4">#REF!</definedName>
    <definedName name="_____________________dan1">#REF!</definedName>
    <definedName name="_____________________dan2" localSheetId="4">#REF!</definedName>
    <definedName name="_____________________dan2">#REF!</definedName>
    <definedName name="_____________________IN20">[2]XL4Poppy!$B$1:$B$16</definedName>
    <definedName name="_____________________phi10" localSheetId="4">#REF!</definedName>
    <definedName name="_____________________phi10">#REF!</definedName>
    <definedName name="_____________________phi12" localSheetId="4">#REF!</definedName>
    <definedName name="_____________________phi12">#REF!</definedName>
    <definedName name="_____________________phi14" localSheetId="4">#REF!</definedName>
    <definedName name="_____________________phi14">#REF!</definedName>
    <definedName name="_____________________phi16" localSheetId="4">#REF!</definedName>
    <definedName name="_____________________phi16">#REF!</definedName>
    <definedName name="_____________________phi18" localSheetId="4">#REF!</definedName>
    <definedName name="_____________________phi18">#REF!</definedName>
    <definedName name="_____________________phi20" localSheetId="4">#REF!</definedName>
    <definedName name="_____________________phi20">#REF!</definedName>
    <definedName name="_____________________phi22" localSheetId="4">#REF!</definedName>
    <definedName name="_____________________phi22">#REF!</definedName>
    <definedName name="_____________________phi25" localSheetId="4">#REF!</definedName>
    <definedName name="_____________________phi25">#REF!</definedName>
    <definedName name="_____________________phi28" localSheetId="4">#REF!</definedName>
    <definedName name="_____________________phi28">#REF!</definedName>
    <definedName name="_____________________phi6" localSheetId="4">#REF!</definedName>
    <definedName name="_____________________phi6">#REF!</definedName>
    <definedName name="_____________________phi8" localSheetId="4">#REF!</definedName>
    <definedName name="_____________________phi8">#REF!</definedName>
    <definedName name="_____________________slg1" localSheetId="4">#REF!</definedName>
    <definedName name="_____________________slg1">#REF!</definedName>
    <definedName name="_____________________slg2" localSheetId="4">#REF!</definedName>
    <definedName name="_____________________slg2">#REF!</definedName>
    <definedName name="_____________________slg3" localSheetId="4">#REF!</definedName>
    <definedName name="_____________________slg3">#REF!</definedName>
    <definedName name="_____________________slg4" localSheetId="4">#REF!</definedName>
    <definedName name="_____________________slg4">#REF!</definedName>
    <definedName name="_____________________slg5" localSheetId="4">#REF!</definedName>
    <definedName name="_____________________slg5">#REF!</definedName>
    <definedName name="_____________________slg6" localSheetId="4">#REF!</definedName>
    <definedName name="_____________________slg6">#REF!</definedName>
    <definedName name="____________________cao1" localSheetId="4">#REF!</definedName>
    <definedName name="____________________cao1">#REF!</definedName>
    <definedName name="____________________cao2" localSheetId="4">#REF!</definedName>
    <definedName name="____________________cao2">#REF!</definedName>
    <definedName name="____________________cao3" localSheetId="4">#REF!</definedName>
    <definedName name="____________________cao3">#REF!</definedName>
    <definedName name="____________________cao4" localSheetId="4">#REF!</definedName>
    <definedName name="____________________cao4">#REF!</definedName>
    <definedName name="____________________cao5" localSheetId="4">#REF!</definedName>
    <definedName name="____________________cao5">#REF!</definedName>
    <definedName name="____________________cao6" localSheetId="4">#REF!</definedName>
    <definedName name="____________________cao6">#REF!</definedName>
    <definedName name="____________________dai1" localSheetId="4">#REF!</definedName>
    <definedName name="____________________dai1">#REF!</definedName>
    <definedName name="____________________dai2" localSheetId="4">#REF!</definedName>
    <definedName name="____________________dai2">#REF!</definedName>
    <definedName name="____________________dai3" localSheetId="4">#REF!</definedName>
    <definedName name="____________________dai3">#REF!</definedName>
    <definedName name="____________________dai4" localSheetId="4">#REF!</definedName>
    <definedName name="____________________dai4">#REF!</definedName>
    <definedName name="____________________dai5" localSheetId="4">#REF!</definedName>
    <definedName name="____________________dai5">#REF!</definedName>
    <definedName name="____________________dai6" localSheetId="4">#REF!</definedName>
    <definedName name="____________________dai6">#REF!</definedName>
    <definedName name="____________________dan1" localSheetId="4">#REF!</definedName>
    <definedName name="____________________dan1">#REF!</definedName>
    <definedName name="____________________dan2" localSheetId="4">#REF!</definedName>
    <definedName name="____________________dan2">#REF!</definedName>
    <definedName name="____________________IN20">[2]XL4Poppy!$B$1:$B$16</definedName>
    <definedName name="____________________phi10" localSheetId="4">#REF!</definedName>
    <definedName name="____________________phi10">#REF!</definedName>
    <definedName name="____________________phi12" localSheetId="4">#REF!</definedName>
    <definedName name="____________________phi12">#REF!</definedName>
    <definedName name="____________________phi14" localSheetId="4">#REF!</definedName>
    <definedName name="____________________phi14">#REF!</definedName>
    <definedName name="____________________phi16" localSheetId="4">#REF!</definedName>
    <definedName name="____________________phi16">#REF!</definedName>
    <definedName name="____________________phi18" localSheetId="4">#REF!</definedName>
    <definedName name="____________________phi18">#REF!</definedName>
    <definedName name="____________________phi20" localSheetId="4">#REF!</definedName>
    <definedName name="____________________phi20">#REF!</definedName>
    <definedName name="____________________phi22" localSheetId="4">#REF!</definedName>
    <definedName name="____________________phi22">#REF!</definedName>
    <definedName name="____________________phi25" localSheetId="4">#REF!</definedName>
    <definedName name="____________________phi25">#REF!</definedName>
    <definedName name="____________________phi28" localSheetId="4">#REF!</definedName>
    <definedName name="____________________phi28">#REF!</definedName>
    <definedName name="____________________phi6" localSheetId="4">#REF!</definedName>
    <definedName name="____________________phi6">#REF!</definedName>
    <definedName name="____________________phi8" localSheetId="4">#REF!</definedName>
    <definedName name="____________________phi8">#REF!</definedName>
    <definedName name="____________________slg1" localSheetId="4">#REF!</definedName>
    <definedName name="____________________slg1">#REF!</definedName>
    <definedName name="____________________slg2" localSheetId="4">#REF!</definedName>
    <definedName name="____________________slg2">#REF!</definedName>
    <definedName name="____________________slg3" localSheetId="4">#REF!</definedName>
    <definedName name="____________________slg3">#REF!</definedName>
    <definedName name="____________________slg4" localSheetId="4">#REF!</definedName>
    <definedName name="____________________slg4">#REF!</definedName>
    <definedName name="____________________slg5" localSheetId="4">#REF!</definedName>
    <definedName name="____________________slg5">#REF!</definedName>
    <definedName name="____________________slg6" localSheetId="4">#REF!</definedName>
    <definedName name="____________________slg6">#REF!</definedName>
    <definedName name="___________________cao1" localSheetId="4">#REF!</definedName>
    <definedName name="___________________cao1">#REF!</definedName>
    <definedName name="___________________cao2" localSheetId="4">#REF!</definedName>
    <definedName name="___________________cao2">#REF!</definedName>
    <definedName name="___________________cao3" localSheetId="4">#REF!</definedName>
    <definedName name="___________________cao3">#REF!</definedName>
    <definedName name="___________________cao4" localSheetId="4">#REF!</definedName>
    <definedName name="___________________cao4">#REF!</definedName>
    <definedName name="___________________cao5" localSheetId="4">#REF!</definedName>
    <definedName name="___________________cao5">#REF!</definedName>
    <definedName name="___________________cao6" localSheetId="4">#REF!</definedName>
    <definedName name="___________________cao6">#REF!</definedName>
    <definedName name="___________________dai1" localSheetId="4">#REF!</definedName>
    <definedName name="___________________dai1">#REF!</definedName>
    <definedName name="___________________dai2" localSheetId="4">#REF!</definedName>
    <definedName name="___________________dai2">#REF!</definedName>
    <definedName name="___________________dai3" localSheetId="4">#REF!</definedName>
    <definedName name="___________________dai3">#REF!</definedName>
    <definedName name="___________________dai4" localSheetId="4">#REF!</definedName>
    <definedName name="___________________dai4">#REF!</definedName>
    <definedName name="___________________dai5" localSheetId="4">#REF!</definedName>
    <definedName name="___________________dai5">#REF!</definedName>
    <definedName name="___________________dai6" localSheetId="4">#REF!</definedName>
    <definedName name="___________________dai6">#REF!</definedName>
    <definedName name="___________________dan1" localSheetId="4">#REF!</definedName>
    <definedName name="___________________dan1">#REF!</definedName>
    <definedName name="___________________dan2" localSheetId="4">#REF!</definedName>
    <definedName name="___________________dan2">#REF!</definedName>
    <definedName name="___________________IN20">[2]XL4Poppy!$B$1:$B$16</definedName>
    <definedName name="___________________phi10" localSheetId="4">#REF!</definedName>
    <definedName name="___________________phi10">#REF!</definedName>
    <definedName name="___________________phi12" localSheetId="4">#REF!</definedName>
    <definedName name="___________________phi12">#REF!</definedName>
    <definedName name="___________________phi14" localSheetId="4">#REF!</definedName>
    <definedName name="___________________phi14">#REF!</definedName>
    <definedName name="___________________phi16" localSheetId="4">#REF!</definedName>
    <definedName name="___________________phi16">#REF!</definedName>
    <definedName name="___________________phi18" localSheetId="4">#REF!</definedName>
    <definedName name="___________________phi18">#REF!</definedName>
    <definedName name="___________________phi20" localSheetId="4">#REF!</definedName>
    <definedName name="___________________phi20">#REF!</definedName>
    <definedName name="___________________phi22" localSheetId="4">#REF!</definedName>
    <definedName name="___________________phi22">#REF!</definedName>
    <definedName name="___________________phi25" localSheetId="4">#REF!</definedName>
    <definedName name="___________________phi25">#REF!</definedName>
    <definedName name="___________________phi28" localSheetId="4">#REF!</definedName>
    <definedName name="___________________phi28">#REF!</definedName>
    <definedName name="___________________phi6" localSheetId="4">#REF!</definedName>
    <definedName name="___________________phi6">#REF!</definedName>
    <definedName name="___________________phi8" localSheetId="4">#REF!</definedName>
    <definedName name="___________________phi8">#REF!</definedName>
    <definedName name="___________________slg1" localSheetId="4">#REF!</definedName>
    <definedName name="___________________slg1">#REF!</definedName>
    <definedName name="___________________slg2" localSheetId="4">#REF!</definedName>
    <definedName name="___________________slg2">#REF!</definedName>
    <definedName name="___________________slg3" localSheetId="4">#REF!</definedName>
    <definedName name="___________________slg3">#REF!</definedName>
    <definedName name="___________________slg4" localSheetId="4">#REF!</definedName>
    <definedName name="___________________slg4">#REF!</definedName>
    <definedName name="___________________slg5" localSheetId="4">#REF!</definedName>
    <definedName name="___________________slg5">#REF!</definedName>
    <definedName name="___________________slg6" localSheetId="4">#REF!</definedName>
    <definedName name="___________________slg6">#REF!</definedName>
    <definedName name="__________________cao1" localSheetId="4">#REF!</definedName>
    <definedName name="__________________cao1">#REF!</definedName>
    <definedName name="__________________cao2" localSheetId="4">#REF!</definedName>
    <definedName name="__________________cao2">#REF!</definedName>
    <definedName name="__________________cao3" localSheetId="4">#REF!</definedName>
    <definedName name="__________________cao3">#REF!</definedName>
    <definedName name="__________________cao4" localSheetId="4">#REF!</definedName>
    <definedName name="__________________cao4">#REF!</definedName>
    <definedName name="__________________cao5" localSheetId="4">#REF!</definedName>
    <definedName name="__________________cao5">#REF!</definedName>
    <definedName name="__________________cao6" localSheetId="4">#REF!</definedName>
    <definedName name="__________________cao6">#REF!</definedName>
    <definedName name="__________________dai1" localSheetId="4">#REF!</definedName>
    <definedName name="__________________dai1">#REF!</definedName>
    <definedName name="__________________dai2" localSheetId="4">#REF!</definedName>
    <definedName name="__________________dai2">#REF!</definedName>
    <definedName name="__________________dai3" localSheetId="4">#REF!</definedName>
    <definedName name="__________________dai3">#REF!</definedName>
    <definedName name="__________________dai4" localSheetId="4">#REF!</definedName>
    <definedName name="__________________dai4">#REF!</definedName>
    <definedName name="__________________dai5" localSheetId="4">#REF!</definedName>
    <definedName name="__________________dai5">#REF!</definedName>
    <definedName name="__________________dai6" localSheetId="4">#REF!</definedName>
    <definedName name="__________________dai6">#REF!</definedName>
    <definedName name="__________________dan1" localSheetId="4">#REF!</definedName>
    <definedName name="__________________dan1">#REF!</definedName>
    <definedName name="__________________dan2" localSheetId="4">#REF!</definedName>
    <definedName name="__________________dan2">#REF!</definedName>
    <definedName name="__________________IN20">[2]XL4Poppy!$B$1:$B$16</definedName>
    <definedName name="__________________phi10" localSheetId="4">#REF!</definedName>
    <definedName name="__________________phi10">#REF!</definedName>
    <definedName name="__________________phi12" localSheetId="4">#REF!</definedName>
    <definedName name="__________________phi12">#REF!</definedName>
    <definedName name="__________________phi14" localSheetId="4">#REF!</definedName>
    <definedName name="__________________phi14">#REF!</definedName>
    <definedName name="__________________phi16" localSheetId="4">#REF!</definedName>
    <definedName name="__________________phi16">#REF!</definedName>
    <definedName name="__________________phi18" localSheetId="4">#REF!</definedName>
    <definedName name="__________________phi18">#REF!</definedName>
    <definedName name="__________________phi20" localSheetId="4">#REF!</definedName>
    <definedName name="__________________phi20">#REF!</definedName>
    <definedName name="__________________phi22" localSheetId="4">#REF!</definedName>
    <definedName name="__________________phi22">#REF!</definedName>
    <definedName name="__________________phi25" localSheetId="4">#REF!</definedName>
    <definedName name="__________________phi25">#REF!</definedName>
    <definedName name="__________________phi28" localSheetId="4">#REF!</definedName>
    <definedName name="__________________phi28">#REF!</definedName>
    <definedName name="__________________phi6" localSheetId="4">#REF!</definedName>
    <definedName name="__________________phi6">#REF!</definedName>
    <definedName name="__________________phi8" localSheetId="4">#REF!</definedName>
    <definedName name="__________________phi8">#REF!</definedName>
    <definedName name="__________________slg1" localSheetId="4">#REF!</definedName>
    <definedName name="__________________slg1">#REF!</definedName>
    <definedName name="__________________slg2" localSheetId="4">#REF!</definedName>
    <definedName name="__________________slg2">#REF!</definedName>
    <definedName name="__________________slg3" localSheetId="4">#REF!</definedName>
    <definedName name="__________________slg3">#REF!</definedName>
    <definedName name="__________________slg4" localSheetId="4">#REF!</definedName>
    <definedName name="__________________slg4">#REF!</definedName>
    <definedName name="__________________slg5" localSheetId="4">#REF!</definedName>
    <definedName name="__________________slg5">#REF!</definedName>
    <definedName name="__________________slg6" localSheetId="4">#REF!</definedName>
    <definedName name="__________________slg6">#REF!</definedName>
    <definedName name="_________________cao1" localSheetId="4">#REF!</definedName>
    <definedName name="_________________cao1">#REF!</definedName>
    <definedName name="_________________cao2" localSheetId="4">#REF!</definedName>
    <definedName name="_________________cao2">#REF!</definedName>
    <definedName name="_________________cao3" localSheetId="4">#REF!</definedName>
    <definedName name="_________________cao3">#REF!</definedName>
    <definedName name="_________________cao4" localSheetId="4">#REF!</definedName>
    <definedName name="_________________cao4">#REF!</definedName>
    <definedName name="_________________cao5" localSheetId="4">#REF!</definedName>
    <definedName name="_________________cao5">#REF!</definedName>
    <definedName name="_________________cao6" localSheetId="4">#REF!</definedName>
    <definedName name="_________________cao6">#REF!</definedName>
    <definedName name="_________________dai1" localSheetId="4">#REF!</definedName>
    <definedName name="_________________dai1">#REF!</definedName>
    <definedName name="_________________dai2" localSheetId="4">#REF!</definedName>
    <definedName name="_________________dai2">#REF!</definedName>
    <definedName name="_________________dai3" localSheetId="4">#REF!</definedName>
    <definedName name="_________________dai3">#REF!</definedName>
    <definedName name="_________________dai4" localSheetId="4">#REF!</definedName>
    <definedName name="_________________dai4">#REF!</definedName>
    <definedName name="_________________dai5" localSheetId="4">#REF!</definedName>
    <definedName name="_________________dai5">#REF!</definedName>
    <definedName name="_________________dai6" localSheetId="4">#REF!</definedName>
    <definedName name="_________________dai6">#REF!</definedName>
    <definedName name="_________________dan1" localSheetId="4">#REF!</definedName>
    <definedName name="_________________dan1">#REF!</definedName>
    <definedName name="_________________dan2" localSheetId="4">#REF!</definedName>
    <definedName name="_________________dan2">#REF!</definedName>
    <definedName name="_________________IN20">[2]XL4Poppy!$B$1:$B$16</definedName>
    <definedName name="_________________ma1368" localSheetId="4">#REF!</definedName>
    <definedName name="_________________ma1368">#REF!</definedName>
    <definedName name="_________________phi10" localSheetId="4">#REF!</definedName>
    <definedName name="_________________phi10">#REF!</definedName>
    <definedName name="_________________phi12" localSheetId="4">#REF!</definedName>
    <definedName name="_________________phi12">#REF!</definedName>
    <definedName name="_________________phi14" localSheetId="4">#REF!</definedName>
    <definedName name="_________________phi14">#REF!</definedName>
    <definedName name="_________________phi16" localSheetId="4">#REF!</definedName>
    <definedName name="_________________phi16">#REF!</definedName>
    <definedName name="_________________phi18" localSheetId="4">#REF!</definedName>
    <definedName name="_________________phi18">#REF!</definedName>
    <definedName name="_________________phi20" localSheetId="4">#REF!</definedName>
    <definedName name="_________________phi20">#REF!</definedName>
    <definedName name="_________________phi22" localSheetId="4">#REF!</definedName>
    <definedName name="_________________phi22">#REF!</definedName>
    <definedName name="_________________phi25" localSheetId="4">#REF!</definedName>
    <definedName name="_________________phi25">#REF!</definedName>
    <definedName name="_________________phi28" localSheetId="4">#REF!</definedName>
    <definedName name="_________________phi28">#REF!</definedName>
    <definedName name="_________________phi6" localSheetId="4">#REF!</definedName>
    <definedName name="_________________phi6">#REF!</definedName>
    <definedName name="_________________phi8" localSheetId="4">#REF!</definedName>
    <definedName name="_________________phi8">#REF!</definedName>
    <definedName name="_________________slg1" localSheetId="4">#REF!</definedName>
    <definedName name="_________________slg1">#REF!</definedName>
    <definedName name="_________________slg2" localSheetId="4">#REF!</definedName>
    <definedName name="_________________slg2">#REF!</definedName>
    <definedName name="_________________slg3" localSheetId="4">#REF!</definedName>
    <definedName name="_________________slg3">#REF!</definedName>
    <definedName name="_________________slg4" localSheetId="4">#REF!</definedName>
    <definedName name="_________________slg4">#REF!</definedName>
    <definedName name="_________________slg5" localSheetId="4">#REF!</definedName>
    <definedName name="_________________slg5">#REF!</definedName>
    <definedName name="_________________slg6" localSheetId="4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4">#REF!</definedName>
    <definedName name="________________cao1">#REF!</definedName>
    <definedName name="________________cao2" localSheetId="4">#REF!</definedName>
    <definedName name="________________cao2">#REF!</definedName>
    <definedName name="________________cao3" localSheetId="4">#REF!</definedName>
    <definedName name="________________cao3">#REF!</definedName>
    <definedName name="________________cao4" localSheetId="4">#REF!</definedName>
    <definedName name="________________cao4">#REF!</definedName>
    <definedName name="________________cao5" localSheetId="4">#REF!</definedName>
    <definedName name="________________cao5">#REF!</definedName>
    <definedName name="________________cao6" localSheetId="4">#REF!</definedName>
    <definedName name="________________cao6">#REF!</definedName>
    <definedName name="________________dai1" localSheetId="4">#REF!</definedName>
    <definedName name="________________dai1">#REF!</definedName>
    <definedName name="________________dai2" localSheetId="4">#REF!</definedName>
    <definedName name="________________dai2">#REF!</definedName>
    <definedName name="________________dai3" localSheetId="4">#REF!</definedName>
    <definedName name="________________dai3">#REF!</definedName>
    <definedName name="________________dai4" localSheetId="4">#REF!</definedName>
    <definedName name="________________dai4">#REF!</definedName>
    <definedName name="________________dai5" localSheetId="4">#REF!</definedName>
    <definedName name="________________dai5">#REF!</definedName>
    <definedName name="________________dai6" localSheetId="4">#REF!</definedName>
    <definedName name="________________dai6">#REF!</definedName>
    <definedName name="________________dan1" localSheetId="4">#REF!</definedName>
    <definedName name="________________dan1">#REF!</definedName>
    <definedName name="________________dan2" localSheetId="4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4">#REF!</definedName>
    <definedName name="________________phi10">#REF!</definedName>
    <definedName name="________________phi12" localSheetId="4">#REF!</definedName>
    <definedName name="________________phi12">#REF!</definedName>
    <definedName name="________________phi14" localSheetId="4">#REF!</definedName>
    <definedName name="________________phi14">#REF!</definedName>
    <definedName name="________________phi16" localSheetId="4">#REF!</definedName>
    <definedName name="________________phi16">#REF!</definedName>
    <definedName name="________________phi18" localSheetId="4">#REF!</definedName>
    <definedName name="________________phi18">#REF!</definedName>
    <definedName name="________________phi20" localSheetId="4">#REF!</definedName>
    <definedName name="________________phi20">#REF!</definedName>
    <definedName name="________________phi2000" localSheetId="4">#REF!</definedName>
    <definedName name="________________phi2000">#REF!</definedName>
    <definedName name="________________phi22" localSheetId="4">#REF!</definedName>
    <definedName name="________________phi22">#REF!</definedName>
    <definedName name="________________phi25" localSheetId="4">#REF!</definedName>
    <definedName name="________________phi25">#REF!</definedName>
    <definedName name="________________phi28" localSheetId="4">#REF!</definedName>
    <definedName name="________________phi28">#REF!</definedName>
    <definedName name="________________phi6" localSheetId="4">#REF!</definedName>
    <definedName name="________________phi6">#REF!</definedName>
    <definedName name="________________phi8" localSheetId="4">#REF!</definedName>
    <definedName name="________________phi8">#REF!</definedName>
    <definedName name="________________slg1" localSheetId="4">#REF!</definedName>
    <definedName name="________________slg1">#REF!</definedName>
    <definedName name="________________slg2" localSheetId="4">#REF!</definedName>
    <definedName name="________________slg2">#REF!</definedName>
    <definedName name="________________slg3" localSheetId="4">#REF!</definedName>
    <definedName name="________________slg3">#REF!</definedName>
    <definedName name="________________slg4" localSheetId="4">#REF!</definedName>
    <definedName name="________________slg4">#REF!</definedName>
    <definedName name="________________slg5" localSheetId="4">#REF!</definedName>
    <definedName name="________________slg5">#REF!</definedName>
    <definedName name="________________slg6" localSheetId="4">#REF!</definedName>
    <definedName name="________________slg6">#REF!</definedName>
    <definedName name="_______________cao1" localSheetId="4">#REF!</definedName>
    <definedName name="_______________cao1">#REF!</definedName>
    <definedName name="_______________cao2" localSheetId="4">#REF!</definedName>
    <definedName name="_______________cao2">#REF!</definedName>
    <definedName name="_______________cao3" localSheetId="4">#REF!</definedName>
    <definedName name="_______________cao3">#REF!</definedName>
    <definedName name="_______________cao4" localSheetId="4">#REF!</definedName>
    <definedName name="_______________cao4">#REF!</definedName>
    <definedName name="_______________cao5" localSheetId="4">#REF!</definedName>
    <definedName name="_______________cao5">#REF!</definedName>
    <definedName name="_______________cao6" localSheetId="4">#REF!</definedName>
    <definedName name="_______________cao6">#REF!</definedName>
    <definedName name="_______________dai1" localSheetId="4">#REF!</definedName>
    <definedName name="_______________dai1">#REF!</definedName>
    <definedName name="_______________dai2" localSheetId="4">#REF!</definedName>
    <definedName name="_______________dai2">#REF!</definedName>
    <definedName name="_______________dai3" localSheetId="4">#REF!</definedName>
    <definedName name="_______________dai3">#REF!</definedName>
    <definedName name="_______________dai4" localSheetId="4">#REF!</definedName>
    <definedName name="_______________dai4">#REF!</definedName>
    <definedName name="_______________dai5" localSheetId="4">#REF!</definedName>
    <definedName name="_______________dai5">#REF!</definedName>
    <definedName name="_______________dai6" localSheetId="4">#REF!</definedName>
    <definedName name="_______________dai6">#REF!</definedName>
    <definedName name="_______________dan1" localSheetId="4">#REF!</definedName>
    <definedName name="_______________dan1">#REF!</definedName>
    <definedName name="_______________dan2" localSheetId="4">#REF!</definedName>
    <definedName name="_______________dan2">#REF!</definedName>
    <definedName name="_______________IN20">[2]XL4Poppy!$B$1:$B$16</definedName>
    <definedName name="_______________ma1368" localSheetId="4">#REF!</definedName>
    <definedName name="_______________ma1368">#REF!</definedName>
    <definedName name="_______________phi10" localSheetId="4">#REF!</definedName>
    <definedName name="_______________phi10">#REF!</definedName>
    <definedName name="_______________phi12" localSheetId="4">#REF!</definedName>
    <definedName name="_______________phi12">#REF!</definedName>
    <definedName name="_______________phi14" localSheetId="4">#REF!</definedName>
    <definedName name="_______________phi14">#REF!</definedName>
    <definedName name="_______________phi16" localSheetId="4">#REF!</definedName>
    <definedName name="_______________phi16">#REF!</definedName>
    <definedName name="_______________phi18" localSheetId="4">#REF!</definedName>
    <definedName name="_______________phi18">#REF!</definedName>
    <definedName name="_______________phi20" localSheetId="4">#REF!</definedName>
    <definedName name="_______________phi20">#REF!</definedName>
    <definedName name="_______________phi22" localSheetId="4">#REF!</definedName>
    <definedName name="_______________phi22">#REF!</definedName>
    <definedName name="_______________phi25" localSheetId="4">#REF!</definedName>
    <definedName name="_______________phi25">#REF!</definedName>
    <definedName name="_______________phi28" localSheetId="4">#REF!</definedName>
    <definedName name="_______________phi28">#REF!</definedName>
    <definedName name="_______________phi6" localSheetId="4">#REF!</definedName>
    <definedName name="_______________phi6">#REF!</definedName>
    <definedName name="_______________phi8" localSheetId="4">#REF!</definedName>
    <definedName name="_______________phi8">#REF!</definedName>
    <definedName name="_______________slg1" localSheetId="4">#REF!</definedName>
    <definedName name="_______________slg1">#REF!</definedName>
    <definedName name="_______________slg2" localSheetId="4">#REF!</definedName>
    <definedName name="_______________slg2">#REF!</definedName>
    <definedName name="_______________slg3" localSheetId="4">#REF!</definedName>
    <definedName name="_______________slg3">#REF!</definedName>
    <definedName name="_______________slg4" localSheetId="4">#REF!</definedName>
    <definedName name="_______________slg4">#REF!</definedName>
    <definedName name="_______________slg5" localSheetId="4">#REF!</definedName>
    <definedName name="_______________slg5">#REF!</definedName>
    <definedName name="_______________slg6" localSheetId="4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4">#REF!</definedName>
    <definedName name="______________cao1">#REF!</definedName>
    <definedName name="______________cao2" localSheetId="4">#REF!</definedName>
    <definedName name="______________cao2">#REF!</definedName>
    <definedName name="______________cao3" localSheetId="4">#REF!</definedName>
    <definedName name="______________cao3">#REF!</definedName>
    <definedName name="______________cao4" localSheetId="4">#REF!</definedName>
    <definedName name="______________cao4">#REF!</definedName>
    <definedName name="______________cao5" localSheetId="4">#REF!</definedName>
    <definedName name="______________cao5">#REF!</definedName>
    <definedName name="______________cao6" localSheetId="4">#REF!</definedName>
    <definedName name="______________cao6">#REF!</definedName>
    <definedName name="______________dai1" localSheetId="4">#REF!</definedName>
    <definedName name="______________dai1">#REF!</definedName>
    <definedName name="______________dai2" localSheetId="4">#REF!</definedName>
    <definedName name="______________dai2">#REF!</definedName>
    <definedName name="______________dai3" localSheetId="4">#REF!</definedName>
    <definedName name="______________dai3">#REF!</definedName>
    <definedName name="______________dai4" localSheetId="4">#REF!</definedName>
    <definedName name="______________dai4">#REF!</definedName>
    <definedName name="______________dai5" localSheetId="4">#REF!</definedName>
    <definedName name="______________dai5">#REF!</definedName>
    <definedName name="______________dai6" localSheetId="4">#REF!</definedName>
    <definedName name="______________dai6">#REF!</definedName>
    <definedName name="______________dan1" localSheetId="4">#REF!</definedName>
    <definedName name="______________dan1">#REF!</definedName>
    <definedName name="______________dan2" localSheetId="4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4">#REF!</definedName>
    <definedName name="______________phi10">#REF!</definedName>
    <definedName name="______________phi12" localSheetId="4">#REF!</definedName>
    <definedName name="______________phi12">#REF!</definedName>
    <definedName name="______________phi14" localSheetId="4">#REF!</definedName>
    <definedName name="______________phi14">#REF!</definedName>
    <definedName name="______________phi16" localSheetId="4">#REF!</definedName>
    <definedName name="______________phi16">#REF!</definedName>
    <definedName name="______________phi18" localSheetId="4">#REF!</definedName>
    <definedName name="______________phi18">#REF!</definedName>
    <definedName name="______________phi20" localSheetId="4">#REF!</definedName>
    <definedName name="______________phi20">#REF!</definedName>
    <definedName name="______________phi2000" localSheetId="4">#REF!</definedName>
    <definedName name="______________phi2000">#REF!</definedName>
    <definedName name="______________phi22" localSheetId="4">#REF!</definedName>
    <definedName name="______________phi22">#REF!</definedName>
    <definedName name="______________phi25" localSheetId="4">#REF!</definedName>
    <definedName name="______________phi25">#REF!</definedName>
    <definedName name="______________phi28" localSheetId="4">#REF!</definedName>
    <definedName name="______________phi28">#REF!</definedName>
    <definedName name="______________phi6" localSheetId="4">#REF!</definedName>
    <definedName name="______________phi6">#REF!</definedName>
    <definedName name="______________phi8" localSheetId="4">#REF!</definedName>
    <definedName name="______________phi8">#REF!</definedName>
    <definedName name="______________slg1" localSheetId="4">#REF!</definedName>
    <definedName name="______________slg1">#REF!</definedName>
    <definedName name="______________slg2" localSheetId="4">#REF!</definedName>
    <definedName name="______________slg2">#REF!</definedName>
    <definedName name="______________slg3" localSheetId="4">#REF!</definedName>
    <definedName name="______________slg3">#REF!</definedName>
    <definedName name="______________slg4" localSheetId="4">#REF!</definedName>
    <definedName name="______________slg4">#REF!</definedName>
    <definedName name="______________slg5" localSheetId="4">#REF!</definedName>
    <definedName name="______________slg5">#REF!</definedName>
    <definedName name="______________slg6" localSheetId="4">#REF!</definedName>
    <definedName name="______________slg6">#REF!</definedName>
    <definedName name="_____________cao1" localSheetId="4">#REF!</definedName>
    <definedName name="_____________cao1">#REF!</definedName>
    <definedName name="_____________cao2" localSheetId="4">#REF!</definedName>
    <definedName name="_____________cao2">#REF!</definedName>
    <definedName name="_____________cao3" localSheetId="4">#REF!</definedName>
    <definedName name="_____________cao3">#REF!</definedName>
    <definedName name="_____________cao4" localSheetId="4">#REF!</definedName>
    <definedName name="_____________cao4">#REF!</definedName>
    <definedName name="_____________cao5" localSheetId="4">#REF!</definedName>
    <definedName name="_____________cao5">#REF!</definedName>
    <definedName name="_____________cao6" localSheetId="4">#REF!</definedName>
    <definedName name="_____________cao6">#REF!</definedName>
    <definedName name="_____________CON1" localSheetId="4">#REF!</definedName>
    <definedName name="_____________CON1">#REF!</definedName>
    <definedName name="_____________CON2" localSheetId="4">#REF!</definedName>
    <definedName name="_____________CON2">#REF!</definedName>
    <definedName name="_____________dai1" localSheetId="4">#REF!</definedName>
    <definedName name="_____________dai1">#REF!</definedName>
    <definedName name="_____________dai2" localSheetId="4">#REF!</definedName>
    <definedName name="_____________dai2">#REF!</definedName>
    <definedName name="_____________dai3" localSheetId="4">#REF!</definedName>
    <definedName name="_____________dai3">#REF!</definedName>
    <definedName name="_____________dai4" localSheetId="4">#REF!</definedName>
    <definedName name="_____________dai4">#REF!</definedName>
    <definedName name="_____________dai5" localSheetId="4">#REF!</definedName>
    <definedName name="_____________dai5">#REF!</definedName>
    <definedName name="_____________dai6" localSheetId="4">#REF!</definedName>
    <definedName name="_____________dai6">#REF!</definedName>
    <definedName name="_____________dan1" localSheetId="4">#REF!</definedName>
    <definedName name="_____________dan1">#REF!</definedName>
    <definedName name="_____________dan2" localSheetId="4">#REF!</definedName>
    <definedName name="_____________dan2">#REF!</definedName>
    <definedName name="_____________IN20">[2]XL4Poppy!$B$1:$B$16</definedName>
    <definedName name="_____________lap1" localSheetId="4">#REF!</definedName>
    <definedName name="_____________lap1">#REF!</definedName>
    <definedName name="_____________lap2" localSheetId="4">#REF!</definedName>
    <definedName name="_____________lap2">#REF!</definedName>
    <definedName name="_____________ma1368" localSheetId="4">#REF!</definedName>
    <definedName name="_____________ma1368">#REF!</definedName>
    <definedName name="_____________NET2" localSheetId="4">#REF!</definedName>
    <definedName name="_____________NET2">#REF!</definedName>
    <definedName name="_____________phi10" localSheetId="4">#REF!</definedName>
    <definedName name="_____________phi10">#REF!</definedName>
    <definedName name="_____________phi12" localSheetId="4">#REF!</definedName>
    <definedName name="_____________phi12">#REF!</definedName>
    <definedName name="_____________phi14" localSheetId="4">#REF!</definedName>
    <definedName name="_____________phi14">#REF!</definedName>
    <definedName name="_____________phi16" localSheetId="4">#REF!</definedName>
    <definedName name="_____________phi16">#REF!</definedName>
    <definedName name="_____________phi18" localSheetId="4">#REF!</definedName>
    <definedName name="_____________phi18">#REF!</definedName>
    <definedName name="_____________phi20" localSheetId="4">#REF!</definedName>
    <definedName name="_____________phi20">#REF!</definedName>
    <definedName name="_____________phi22" localSheetId="4">#REF!</definedName>
    <definedName name="_____________phi22">#REF!</definedName>
    <definedName name="_____________phi25" localSheetId="4">#REF!</definedName>
    <definedName name="_____________phi25">#REF!</definedName>
    <definedName name="_____________phi28" localSheetId="4">#REF!</definedName>
    <definedName name="_____________phi28">#REF!</definedName>
    <definedName name="_____________phi6" localSheetId="4">#REF!</definedName>
    <definedName name="_____________phi6">#REF!</definedName>
    <definedName name="_____________phi8" localSheetId="4">#REF!</definedName>
    <definedName name="_____________phi8">#REF!</definedName>
    <definedName name="_____________slg1" localSheetId="4">#REF!</definedName>
    <definedName name="_____________slg1">#REF!</definedName>
    <definedName name="_____________slg2" localSheetId="4">#REF!</definedName>
    <definedName name="_____________slg2">#REF!</definedName>
    <definedName name="_____________slg3" localSheetId="4">#REF!</definedName>
    <definedName name="_____________slg3">#REF!</definedName>
    <definedName name="_____________slg4" localSheetId="4">#REF!</definedName>
    <definedName name="_____________slg4">#REF!</definedName>
    <definedName name="_____________slg5" localSheetId="4">#REF!</definedName>
    <definedName name="_____________slg5">#REF!</definedName>
    <definedName name="_____________slg6" localSheetId="4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4">#REF!</definedName>
    <definedName name="____________cao1">#REF!</definedName>
    <definedName name="____________cao2" localSheetId="4">#REF!</definedName>
    <definedName name="____________cao2">#REF!</definedName>
    <definedName name="____________cao3" localSheetId="4">#REF!</definedName>
    <definedName name="____________cao3">#REF!</definedName>
    <definedName name="____________cao4" localSheetId="4">#REF!</definedName>
    <definedName name="____________cao4">#REF!</definedName>
    <definedName name="____________cao5" localSheetId="4">#REF!</definedName>
    <definedName name="____________cao5">#REF!</definedName>
    <definedName name="____________cao6" localSheetId="4">#REF!</definedName>
    <definedName name="____________cao6">#REF!</definedName>
    <definedName name="____________CON1" localSheetId="4">#REF!</definedName>
    <definedName name="____________CON1">#REF!</definedName>
    <definedName name="____________CON2" localSheetId="4">#REF!</definedName>
    <definedName name="____________CON2">#REF!</definedName>
    <definedName name="____________dai1" localSheetId="4">#REF!</definedName>
    <definedName name="____________dai1">#REF!</definedName>
    <definedName name="____________dai2" localSheetId="4">#REF!</definedName>
    <definedName name="____________dai2">#REF!</definedName>
    <definedName name="____________dai3" localSheetId="4">#REF!</definedName>
    <definedName name="____________dai3">#REF!</definedName>
    <definedName name="____________dai4" localSheetId="4">#REF!</definedName>
    <definedName name="____________dai4">#REF!</definedName>
    <definedName name="____________dai5" localSheetId="4">#REF!</definedName>
    <definedName name="____________dai5">#REF!</definedName>
    <definedName name="____________dai6" localSheetId="4">#REF!</definedName>
    <definedName name="____________dai6">#REF!</definedName>
    <definedName name="____________dan1" localSheetId="4">#REF!</definedName>
    <definedName name="____________dan1">#REF!</definedName>
    <definedName name="____________dan2" localSheetId="4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4">#REF!</definedName>
    <definedName name="____________lap1">#REF!</definedName>
    <definedName name="____________lap2" localSheetId="4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4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4">#REF!</definedName>
    <definedName name="____________NET2">#REF!</definedName>
    <definedName name="____________phi10" localSheetId="4">#REF!</definedName>
    <definedName name="____________phi10">#REF!</definedName>
    <definedName name="____________phi12" localSheetId="4">#REF!</definedName>
    <definedName name="____________phi12">#REF!</definedName>
    <definedName name="____________phi14" localSheetId="4">#REF!</definedName>
    <definedName name="____________phi14">#REF!</definedName>
    <definedName name="____________phi16" localSheetId="4">#REF!</definedName>
    <definedName name="____________phi16">#REF!</definedName>
    <definedName name="____________phi18" localSheetId="4">#REF!</definedName>
    <definedName name="____________phi18">#REF!</definedName>
    <definedName name="____________phi20" localSheetId="4">#REF!</definedName>
    <definedName name="____________phi20">#REF!</definedName>
    <definedName name="____________phi2000" localSheetId="4">#REF!</definedName>
    <definedName name="____________phi2000">#REF!</definedName>
    <definedName name="____________phi22" localSheetId="4">#REF!</definedName>
    <definedName name="____________phi22">#REF!</definedName>
    <definedName name="____________phi25" localSheetId="4">#REF!</definedName>
    <definedName name="____________phi25">#REF!</definedName>
    <definedName name="____________phi28" localSheetId="4">#REF!</definedName>
    <definedName name="____________phi28">#REF!</definedName>
    <definedName name="____________phi6" localSheetId="4">#REF!</definedName>
    <definedName name="____________phi6">#REF!</definedName>
    <definedName name="____________phi8" localSheetId="4">#REF!</definedName>
    <definedName name="____________phi8">#REF!</definedName>
    <definedName name="____________slg1" localSheetId="4">#REF!</definedName>
    <definedName name="____________slg1">#REF!</definedName>
    <definedName name="____________slg2" localSheetId="4">#REF!</definedName>
    <definedName name="____________slg2">#REF!</definedName>
    <definedName name="____________slg3" localSheetId="4">#REF!</definedName>
    <definedName name="____________slg3">#REF!</definedName>
    <definedName name="____________slg4" localSheetId="4">#REF!</definedName>
    <definedName name="____________slg4">#REF!</definedName>
    <definedName name="____________slg5" localSheetId="4">#REF!</definedName>
    <definedName name="____________slg5">#REF!</definedName>
    <definedName name="____________slg6" localSheetId="4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4">#REF!</definedName>
    <definedName name="___________cao1">#REF!</definedName>
    <definedName name="___________cao2" localSheetId="4">#REF!</definedName>
    <definedName name="___________cao2">#REF!</definedName>
    <definedName name="___________cao3" localSheetId="4">#REF!</definedName>
    <definedName name="___________cao3">#REF!</definedName>
    <definedName name="___________cao4" localSheetId="4">#REF!</definedName>
    <definedName name="___________cao4">#REF!</definedName>
    <definedName name="___________cao5" localSheetId="4">#REF!</definedName>
    <definedName name="___________cao5">#REF!</definedName>
    <definedName name="___________cao6" localSheetId="4">#REF!</definedName>
    <definedName name="___________cao6">#REF!</definedName>
    <definedName name="___________CON1" localSheetId="4">#REF!</definedName>
    <definedName name="___________CON1">#REF!</definedName>
    <definedName name="___________CON2" localSheetId="4">#REF!</definedName>
    <definedName name="___________CON2">#REF!</definedName>
    <definedName name="___________dai1" localSheetId="4">#REF!</definedName>
    <definedName name="___________dai1">#REF!</definedName>
    <definedName name="___________dai2" localSheetId="4">#REF!</definedName>
    <definedName name="___________dai2">#REF!</definedName>
    <definedName name="___________dai3" localSheetId="4">#REF!</definedName>
    <definedName name="___________dai3">#REF!</definedName>
    <definedName name="___________dai4" localSheetId="4">#REF!</definedName>
    <definedName name="___________dai4">#REF!</definedName>
    <definedName name="___________dai5" localSheetId="4">#REF!</definedName>
    <definedName name="___________dai5">#REF!</definedName>
    <definedName name="___________dai6" localSheetId="4">#REF!</definedName>
    <definedName name="___________dai6">#REF!</definedName>
    <definedName name="___________dan1" localSheetId="4">#REF!</definedName>
    <definedName name="___________dan1">#REF!</definedName>
    <definedName name="___________dan2" localSheetId="4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4">#REF!</definedName>
    <definedName name="___________lap1">#REF!</definedName>
    <definedName name="___________lap2" localSheetId="4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4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4">#REF!</definedName>
    <definedName name="___________NET2">#REF!</definedName>
    <definedName name="___________phi10" localSheetId="4">#REF!</definedName>
    <definedName name="___________phi10">#REF!</definedName>
    <definedName name="___________phi12" localSheetId="4">#REF!</definedName>
    <definedName name="___________phi12">#REF!</definedName>
    <definedName name="___________phi14" localSheetId="4">#REF!</definedName>
    <definedName name="___________phi14">#REF!</definedName>
    <definedName name="___________phi16" localSheetId="4">#REF!</definedName>
    <definedName name="___________phi16">#REF!</definedName>
    <definedName name="___________phi18" localSheetId="4">#REF!</definedName>
    <definedName name="___________phi18">#REF!</definedName>
    <definedName name="___________phi20" localSheetId="4">#REF!</definedName>
    <definedName name="___________phi20">#REF!</definedName>
    <definedName name="___________phi2000" localSheetId="4">#REF!</definedName>
    <definedName name="___________phi2000">#REF!</definedName>
    <definedName name="___________phi22" localSheetId="4">#REF!</definedName>
    <definedName name="___________phi22">#REF!</definedName>
    <definedName name="___________phi25" localSheetId="4">#REF!</definedName>
    <definedName name="___________phi25">#REF!</definedName>
    <definedName name="___________phi28" localSheetId="4">#REF!</definedName>
    <definedName name="___________phi28">#REF!</definedName>
    <definedName name="___________phi6" localSheetId="4">#REF!</definedName>
    <definedName name="___________phi6">#REF!</definedName>
    <definedName name="___________phi8" localSheetId="4">#REF!</definedName>
    <definedName name="___________phi8">#REF!</definedName>
    <definedName name="___________slg1" localSheetId="4">#REF!</definedName>
    <definedName name="___________slg1">#REF!</definedName>
    <definedName name="___________slg2" localSheetId="4">#REF!</definedName>
    <definedName name="___________slg2">#REF!</definedName>
    <definedName name="___________slg3" localSheetId="4">#REF!</definedName>
    <definedName name="___________slg3">#REF!</definedName>
    <definedName name="___________slg4" localSheetId="4">#REF!</definedName>
    <definedName name="___________slg4">#REF!</definedName>
    <definedName name="___________slg5" localSheetId="4">#REF!</definedName>
    <definedName name="___________slg5">#REF!</definedName>
    <definedName name="___________slg6" localSheetId="4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4">#REF!</definedName>
    <definedName name="__________cao1">#REF!</definedName>
    <definedName name="__________cao2" localSheetId="4">#REF!</definedName>
    <definedName name="__________cao2">#REF!</definedName>
    <definedName name="__________cao3" localSheetId="4">#REF!</definedName>
    <definedName name="__________cao3">#REF!</definedName>
    <definedName name="__________cao4" localSheetId="4">#REF!</definedName>
    <definedName name="__________cao4">#REF!</definedName>
    <definedName name="__________cao5" localSheetId="4">#REF!</definedName>
    <definedName name="__________cao5">#REF!</definedName>
    <definedName name="__________cao6" localSheetId="4">#REF!</definedName>
    <definedName name="__________cao6">#REF!</definedName>
    <definedName name="__________CON1" localSheetId="4">#REF!</definedName>
    <definedName name="__________CON1">#REF!</definedName>
    <definedName name="__________CON2" localSheetId="4">#REF!</definedName>
    <definedName name="__________CON2">#REF!</definedName>
    <definedName name="__________dai1" localSheetId="4">#REF!</definedName>
    <definedName name="__________dai1">#REF!</definedName>
    <definedName name="__________dai2" localSheetId="4">#REF!</definedName>
    <definedName name="__________dai2">#REF!</definedName>
    <definedName name="__________dai3" localSheetId="4">#REF!</definedName>
    <definedName name="__________dai3">#REF!</definedName>
    <definedName name="__________dai4" localSheetId="4">#REF!</definedName>
    <definedName name="__________dai4">#REF!</definedName>
    <definedName name="__________dai5" localSheetId="4">#REF!</definedName>
    <definedName name="__________dai5">#REF!</definedName>
    <definedName name="__________dai6" localSheetId="4">#REF!</definedName>
    <definedName name="__________dai6">#REF!</definedName>
    <definedName name="__________dan1" localSheetId="4">#REF!</definedName>
    <definedName name="__________dan1">#REF!</definedName>
    <definedName name="__________dan2" localSheetId="4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4">#REF!</definedName>
    <definedName name="__________lap1">#REF!</definedName>
    <definedName name="__________lap2" localSheetId="4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4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4">#REF!</definedName>
    <definedName name="__________NET2">#REF!</definedName>
    <definedName name="__________phi10" localSheetId="4">#REF!</definedName>
    <definedName name="__________phi10">#REF!</definedName>
    <definedName name="__________phi12" localSheetId="4">#REF!</definedName>
    <definedName name="__________phi12">#REF!</definedName>
    <definedName name="__________phi14" localSheetId="4">#REF!</definedName>
    <definedName name="__________phi14">#REF!</definedName>
    <definedName name="__________phi16" localSheetId="4">#REF!</definedName>
    <definedName name="__________phi16">#REF!</definedName>
    <definedName name="__________phi18" localSheetId="4">#REF!</definedName>
    <definedName name="__________phi18">#REF!</definedName>
    <definedName name="__________phi20" localSheetId="4">#REF!</definedName>
    <definedName name="__________phi20">#REF!</definedName>
    <definedName name="__________phi2000" localSheetId="4">#REF!</definedName>
    <definedName name="__________phi2000">#REF!</definedName>
    <definedName name="__________phi22" localSheetId="4">#REF!</definedName>
    <definedName name="__________phi22">#REF!</definedName>
    <definedName name="__________phi25" localSheetId="4">#REF!</definedName>
    <definedName name="__________phi25">#REF!</definedName>
    <definedName name="__________phi28" localSheetId="4">#REF!</definedName>
    <definedName name="__________phi28">#REF!</definedName>
    <definedName name="__________phi6" localSheetId="4">#REF!</definedName>
    <definedName name="__________phi6">#REF!</definedName>
    <definedName name="__________phi8" localSheetId="4">#REF!</definedName>
    <definedName name="__________phi8">#REF!</definedName>
    <definedName name="__________slg1" localSheetId="4">#REF!</definedName>
    <definedName name="__________slg1">#REF!</definedName>
    <definedName name="__________slg2" localSheetId="4">#REF!</definedName>
    <definedName name="__________slg2">#REF!</definedName>
    <definedName name="__________slg3" localSheetId="4">#REF!</definedName>
    <definedName name="__________slg3">#REF!</definedName>
    <definedName name="__________slg4" localSheetId="4">#REF!</definedName>
    <definedName name="__________slg4">#REF!</definedName>
    <definedName name="__________slg5" localSheetId="4">#REF!</definedName>
    <definedName name="__________slg5">#REF!</definedName>
    <definedName name="__________slg6" localSheetId="4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4">#REF!</definedName>
    <definedName name="_________cao1">#REF!</definedName>
    <definedName name="_________cao2" localSheetId="4">#REF!</definedName>
    <definedName name="_________cao2">#REF!</definedName>
    <definedName name="_________cao3" localSheetId="4">#REF!</definedName>
    <definedName name="_________cao3">#REF!</definedName>
    <definedName name="_________cao4" localSheetId="4">#REF!</definedName>
    <definedName name="_________cao4">#REF!</definedName>
    <definedName name="_________cao5" localSheetId="4">#REF!</definedName>
    <definedName name="_________cao5">#REF!</definedName>
    <definedName name="_________cao6" localSheetId="4">#REF!</definedName>
    <definedName name="_________cao6">#REF!</definedName>
    <definedName name="_________CON1" localSheetId="4">#REF!</definedName>
    <definedName name="_________CON1">#REF!</definedName>
    <definedName name="_________CON2" localSheetId="4">#REF!</definedName>
    <definedName name="_________CON2">#REF!</definedName>
    <definedName name="_________dai1" localSheetId="4">#REF!</definedName>
    <definedName name="_________dai1">#REF!</definedName>
    <definedName name="_________dai2" localSheetId="4">#REF!</definedName>
    <definedName name="_________dai2">#REF!</definedName>
    <definedName name="_________dai3" localSheetId="4">#REF!</definedName>
    <definedName name="_________dai3">#REF!</definedName>
    <definedName name="_________dai4" localSheetId="4">#REF!</definedName>
    <definedName name="_________dai4">#REF!</definedName>
    <definedName name="_________dai5" localSheetId="4">#REF!</definedName>
    <definedName name="_________dai5">#REF!</definedName>
    <definedName name="_________dai6" localSheetId="4">#REF!</definedName>
    <definedName name="_________dai6">#REF!</definedName>
    <definedName name="_________dan1" localSheetId="4">#REF!</definedName>
    <definedName name="_________dan1">#REF!</definedName>
    <definedName name="_________dan2" localSheetId="4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4">#REF!</definedName>
    <definedName name="_________lap1">#REF!</definedName>
    <definedName name="_________lap2" localSheetId="4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4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4">#REF!</definedName>
    <definedName name="_________NET2">#REF!</definedName>
    <definedName name="_________phi10" localSheetId="4">#REF!</definedName>
    <definedName name="_________phi10">#REF!</definedName>
    <definedName name="_________phi12" localSheetId="4">#REF!</definedName>
    <definedName name="_________phi12">#REF!</definedName>
    <definedName name="_________phi14" localSheetId="4">#REF!</definedName>
    <definedName name="_________phi14">#REF!</definedName>
    <definedName name="_________phi16" localSheetId="4">#REF!</definedName>
    <definedName name="_________phi16">#REF!</definedName>
    <definedName name="_________phi18" localSheetId="4">#REF!</definedName>
    <definedName name="_________phi18">#REF!</definedName>
    <definedName name="_________phi20" localSheetId="4">#REF!</definedName>
    <definedName name="_________phi20">#REF!</definedName>
    <definedName name="_________phi2000" localSheetId="4">#REF!</definedName>
    <definedName name="_________phi2000">#REF!</definedName>
    <definedName name="_________phi22" localSheetId="4">#REF!</definedName>
    <definedName name="_________phi22">#REF!</definedName>
    <definedName name="_________phi25" localSheetId="4">#REF!</definedName>
    <definedName name="_________phi25">#REF!</definedName>
    <definedName name="_________phi28" localSheetId="4">#REF!</definedName>
    <definedName name="_________phi28">#REF!</definedName>
    <definedName name="_________phi6" localSheetId="4">#REF!</definedName>
    <definedName name="_________phi6">#REF!</definedName>
    <definedName name="_________phi8" localSheetId="4">#REF!</definedName>
    <definedName name="_________phi8">#REF!</definedName>
    <definedName name="_________slg1" localSheetId="4">#REF!</definedName>
    <definedName name="_________slg1">#REF!</definedName>
    <definedName name="_________slg2" localSheetId="4">#REF!</definedName>
    <definedName name="_________slg2">#REF!</definedName>
    <definedName name="_________slg3" localSheetId="4">#REF!</definedName>
    <definedName name="_________slg3">#REF!</definedName>
    <definedName name="_________slg4" localSheetId="4">#REF!</definedName>
    <definedName name="_________slg4">#REF!</definedName>
    <definedName name="_________slg5" localSheetId="4">#REF!</definedName>
    <definedName name="_________slg5">#REF!</definedName>
    <definedName name="_________slg6" localSheetId="4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4">#REF!</definedName>
    <definedName name="________cao1">#REF!</definedName>
    <definedName name="________cao2" localSheetId="4">#REF!</definedName>
    <definedName name="________cao2">#REF!</definedName>
    <definedName name="________cao3" localSheetId="4">#REF!</definedName>
    <definedName name="________cao3">#REF!</definedName>
    <definedName name="________cao4" localSheetId="4">#REF!</definedName>
    <definedName name="________cao4">#REF!</definedName>
    <definedName name="________cao5" localSheetId="4">#REF!</definedName>
    <definedName name="________cao5">#REF!</definedName>
    <definedName name="________cao6" localSheetId="4">#REF!</definedName>
    <definedName name="________cao6">#REF!</definedName>
    <definedName name="________CON1" localSheetId="4">#REF!</definedName>
    <definedName name="________CON1">#REF!</definedName>
    <definedName name="________CON2" localSheetId="4">#REF!</definedName>
    <definedName name="________CON2">#REF!</definedName>
    <definedName name="________dai1" localSheetId="4">#REF!</definedName>
    <definedName name="________dai1">#REF!</definedName>
    <definedName name="________dai2" localSheetId="4">#REF!</definedName>
    <definedName name="________dai2">#REF!</definedName>
    <definedName name="________dai3" localSheetId="4">#REF!</definedName>
    <definedName name="________dai3">#REF!</definedName>
    <definedName name="________dai4" localSheetId="4">#REF!</definedName>
    <definedName name="________dai4">#REF!</definedName>
    <definedName name="________dai5" localSheetId="4">#REF!</definedName>
    <definedName name="________dai5">#REF!</definedName>
    <definedName name="________dai6" localSheetId="4">#REF!</definedName>
    <definedName name="________dai6">#REF!</definedName>
    <definedName name="________dan1" localSheetId="4">#REF!</definedName>
    <definedName name="________dan1">#REF!</definedName>
    <definedName name="________dan2" localSheetId="4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4">#REF!</definedName>
    <definedName name="________lap1">#REF!</definedName>
    <definedName name="________lap2" localSheetId="4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4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4">#REF!</definedName>
    <definedName name="________NET2">#REF!</definedName>
    <definedName name="________phi10" localSheetId="4">#REF!</definedName>
    <definedName name="________phi10">#REF!</definedName>
    <definedName name="________phi12" localSheetId="4">#REF!</definedName>
    <definedName name="________phi12">#REF!</definedName>
    <definedName name="________phi14" localSheetId="4">#REF!</definedName>
    <definedName name="________phi14">#REF!</definedName>
    <definedName name="________phi16" localSheetId="4">#REF!</definedName>
    <definedName name="________phi16">#REF!</definedName>
    <definedName name="________phi18" localSheetId="4">#REF!</definedName>
    <definedName name="________phi18">#REF!</definedName>
    <definedName name="________phi20" localSheetId="4">#REF!</definedName>
    <definedName name="________phi20">#REF!</definedName>
    <definedName name="________phi2000" localSheetId="4">#REF!</definedName>
    <definedName name="________phi2000">#REF!</definedName>
    <definedName name="________phi22" localSheetId="4">#REF!</definedName>
    <definedName name="________phi22">#REF!</definedName>
    <definedName name="________phi25" localSheetId="4">#REF!</definedName>
    <definedName name="________phi25">#REF!</definedName>
    <definedName name="________phi28" localSheetId="4">#REF!</definedName>
    <definedName name="________phi28">#REF!</definedName>
    <definedName name="________phi6" localSheetId="4">#REF!</definedName>
    <definedName name="________phi6">#REF!</definedName>
    <definedName name="________phi8" localSheetId="4">#REF!</definedName>
    <definedName name="________phi8">#REF!</definedName>
    <definedName name="________slg1" localSheetId="4">#REF!</definedName>
    <definedName name="________slg1">#REF!</definedName>
    <definedName name="________slg2" localSheetId="4">#REF!</definedName>
    <definedName name="________slg2">#REF!</definedName>
    <definedName name="________slg3" localSheetId="4">#REF!</definedName>
    <definedName name="________slg3">#REF!</definedName>
    <definedName name="________slg4" localSheetId="4">#REF!</definedName>
    <definedName name="________slg4">#REF!</definedName>
    <definedName name="________slg5" localSheetId="4">#REF!</definedName>
    <definedName name="________slg5">#REF!</definedName>
    <definedName name="________slg6" localSheetId="4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4">#REF!</definedName>
    <definedName name="_______cao1">#REF!</definedName>
    <definedName name="_______cao2" localSheetId="4">#REF!</definedName>
    <definedName name="_______cao2">#REF!</definedName>
    <definedName name="_______cao3" localSheetId="4">#REF!</definedName>
    <definedName name="_______cao3">#REF!</definedName>
    <definedName name="_______cao4" localSheetId="4">#REF!</definedName>
    <definedName name="_______cao4">#REF!</definedName>
    <definedName name="_______cao5" localSheetId="4">#REF!</definedName>
    <definedName name="_______cao5">#REF!</definedName>
    <definedName name="_______cao6" localSheetId="4">#REF!</definedName>
    <definedName name="_______cao6">#REF!</definedName>
    <definedName name="_______CON1" localSheetId="4">#REF!</definedName>
    <definedName name="_______CON1">#REF!</definedName>
    <definedName name="_______CON2" localSheetId="4">#REF!</definedName>
    <definedName name="_______CON2">#REF!</definedName>
    <definedName name="_______dai1" localSheetId="4">#REF!</definedName>
    <definedName name="_______dai1">#REF!</definedName>
    <definedName name="_______dai2" localSheetId="4">#REF!</definedName>
    <definedName name="_______dai2">#REF!</definedName>
    <definedName name="_______dai3" localSheetId="4">#REF!</definedName>
    <definedName name="_______dai3">#REF!</definedName>
    <definedName name="_______dai4" localSheetId="4">#REF!</definedName>
    <definedName name="_______dai4">#REF!</definedName>
    <definedName name="_______dai5" localSheetId="4">#REF!</definedName>
    <definedName name="_______dai5">#REF!</definedName>
    <definedName name="_______dai6" localSheetId="4">#REF!</definedName>
    <definedName name="_______dai6">#REF!</definedName>
    <definedName name="_______dan1" localSheetId="4">#REF!</definedName>
    <definedName name="_______dan1">#REF!</definedName>
    <definedName name="_______dan2" localSheetId="4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4">#REF!</definedName>
    <definedName name="_______lap1">#REF!</definedName>
    <definedName name="_______lap2" localSheetId="4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4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4">#REF!</definedName>
    <definedName name="_______NET2">#REF!</definedName>
    <definedName name="_______phi10" localSheetId="4">#REF!</definedName>
    <definedName name="_______phi10">#REF!</definedName>
    <definedName name="_______phi12" localSheetId="4">#REF!</definedName>
    <definedName name="_______phi12">#REF!</definedName>
    <definedName name="_______phi14" localSheetId="4">#REF!</definedName>
    <definedName name="_______phi14">#REF!</definedName>
    <definedName name="_______phi16" localSheetId="4">#REF!</definedName>
    <definedName name="_______phi16">#REF!</definedName>
    <definedName name="_______phi18" localSheetId="4">#REF!</definedName>
    <definedName name="_______phi18">#REF!</definedName>
    <definedName name="_______phi20" localSheetId="4">#REF!</definedName>
    <definedName name="_______phi20">#REF!</definedName>
    <definedName name="_______phi2000" localSheetId="4">#REF!</definedName>
    <definedName name="_______phi2000">#REF!</definedName>
    <definedName name="_______phi22" localSheetId="4">#REF!</definedName>
    <definedName name="_______phi22">#REF!</definedName>
    <definedName name="_______phi25" localSheetId="4">#REF!</definedName>
    <definedName name="_______phi25">#REF!</definedName>
    <definedName name="_______phi28" localSheetId="4">#REF!</definedName>
    <definedName name="_______phi28">#REF!</definedName>
    <definedName name="_______phi6" localSheetId="4">#REF!</definedName>
    <definedName name="_______phi6">#REF!</definedName>
    <definedName name="_______phi8" localSheetId="4">#REF!</definedName>
    <definedName name="_______phi8">#REF!</definedName>
    <definedName name="_______slg1" localSheetId="4">#REF!</definedName>
    <definedName name="_______slg1">#REF!</definedName>
    <definedName name="_______slg2" localSheetId="4">#REF!</definedName>
    <definedName name="_______slg2">#REF!</definedName>
    <definedName name="_______slg3" localSheetId="4">#REF!</definedName>
    <definedName name="_______slg3">#REF!</definedName>
    <definedName name="_______slg4" localSheetId="4">#REF!</definedName>
    <definedName name="_______slg4">#REF!</definedName>
    <definedName name="_______slg5" localSheetId="4">#REF!</definedName>
    <definedName name="_______slg5">#REF!</definedName>
    <definedName name="_______slg6" localSheetId="4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4">#REF!</definedName>
    <definedName name="______cao1">#REF!</definedName>
    <definedName name="______cao2" localSheetId="4">#REF!</definedName>
    <definedName name="______cao2">#REF!</definedName>
    <definedName name="______cao3" localSheetId="4">#REF!</definedName>
    <definedName name="______cao3">#REF!</definedName>
    <definedName name="______cao4" localSheetId="4">#REF!</definedName>
    <definedName name="______cao4">#REF!</definedName>
    <definedName name="______cao5" localSheetId="4">#REF!</definedName>
    <definedName name="______cao5">#REF!</definedName>
    <definedName name="______cao6" localSheetId="4">#REF!</definedName>
    <definedName name="______cao6">#REF!</definedName>
    <definedName name="______CON1" localSheetId="4">#REF!</definedName>
    <definedName name="______CON1">#REF!</definedName>
    <definedName name="______CON2" localSheetId="4">#REF!</definedName>
    <definedName name="______CON2">#REF!</definedName>
    <definedName name="______dai1" localSheetId="4">#REF!</definedName>
    <definedName name="______dai1">#REF!</definedName>
    <definedName name="______dai2" localSheetId="4">#REF!</definedName>
    <definedName name="______dai2">#REF!</definedName>
    <definedName name="______dai3" localSheetId="4">#REF!</definedName>
    <definedName name="______dai3">#REF!</definedName>
    <definedName name="______dai4" localSheetId="4">#REF!</definedName>
    <definedName name="______dai4">#REF!</definedName>
    <definedName name="______dai5" localSheetId="4">#REF!</definedName>
    <definedName name="______dai5">#REF!</definedName>
    <definedName name="______dai6" localSheetId="4">#REF!</definedName>
    <definedName name="______dai6">#REF!</definedName>
    <definedName name="______dan1" localSheetId="4">#REF!</definedName>
    <definedName name="______dan1">#REF!</definedName>
    <definedName name="______dan2" localSheetId="4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4">#REF!</definedName>
    <definedName name="______lap1">#REF!</definedName>
    <definedName name="______lap2" localSheetId="4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4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4">#REF!</definedName>
    <definedName name="______NET2">#REF!</definedName>
    <definedName name="______phi10" localSheetId="4">#REF!</definedName>
    <definedName name="______phi10">#REF!</definedName>
    <definedName name="______phi12" localSheetId="4">#REF!</definedName>
    <definedName name="______phi12">#REF!</definedName>
    <definedName name="______phi14" localSheetId="4">#REF!</definedName>
    <definedName name="______phi14">#REF!</definedName>
    <definedName name="______phi16" localSheetId="4">#REF!</definedName>
    <definedName name="______phi16">#REF!</definedName>
    <definedName name="______phi18" localSheetId="4">#REF!</definedName>
    <definedName name="______phi18">#REF!</definedName>
    <definedName name="______phi20" localSheetId="4">#REF!</definedName>
    <definedName name="______phi20">#REF!</definedName>
    <definedName name="______phi2000" localSheetId="4">#REF!</definedName>
    <definedName name="______phi2000">#REF!</definedName>
    <definedName name="______phi22" localSheetId="4">#REF!</definedName>
    <definedName name="______phi22">#REF!</definedName>
    <definedName name="______phi25" localSheetId="4">#REF!</definedName>
    <definedName name="______phi25">#REF!</definedName>
    <definedName name="______phi28" localSheetId="4">#REF!</definedName>
    <definedName name="______phi28">#REF!</definedName>
    <definedName name="______phi6" localSheetId="4">#REF!</definedName>
    <definedName name="______phi6">#REF!</definedName>
    <definedName name="______phi8" localSheetId="4">#REF!</definedName>
    <definedName name="______phi8">#REF!</definedName>
    <definedName name="______slg1" localSheetId="4">#REF!</definedName>
    <definedName name="______slg1">#REF!</definedName>
    <definedName name="______slg2" localSheetId="4">#REF!</definedName>
    <definedName name="______slg2">#REF!</definedName>
    <definedName name="______slg3" localSheetId="4">#REF!</definedName>
    <definedName name="______slg3">#REF!</definedName>
    <definedName name="______slg4" localSheetId="4">#REF!</definedName>
    <definedName name="______slg4">#REF!</definedName>
    <definedName name="______slg5" localSheetId="4">#REF!</definedName>
    <definedName name="______slg5">#REF!</definedName>
    <definedName name="______slg6" localSheetId="4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4">#REF!</definedName>
    <definedName name="_____cao1">#REF!</definedName>
    <definedName name="_____cao2" localSheetId="4">#REF!</definedName>
    <definedName name="_____cao2">#REF!</definedName>
    <definedName name="_____cao3" localSheetId="4">#REF!</definedName>
    <definedName name="_____cao3">#REF!</definedName>
    <definedName name="_____cao4" localSheetId="4">#REF!</definedName>
    <definedName name="_____cao4">#REF!</definedName>
    <definedName name="_____cao5" localSheetId="4">#REF!</definedName>
    <definedName name="_____cao5">#REF!</definedName>
    <definedName name="_____cao6" localSheetId="4">#REF!</definedName>
    <definedName name="_____cao6">#REF!</definedName>
    <definedName name="_____CON1" localSheetId="4">#REF!</definedName>
    <definedName name="_____CON1">#REF!</definedName>
    <definedName name="_____CON2" localSheetId="4">#REF!</definedName>
    <definedName name="_____CON2">#REF!</definedName>
    <definedName name="_____dai1" localSheetId="4">#REF!</definedName>
    <definedName name="_____dai1">#REF!</definedName>
    <definedName name="_____dai2" localSheetId="4">#REF!</definedName>
    <definedName name="_____dai2">#REF!</definedName>
    <definedName name="_____dai3" localSheetId="4">#REF!</definedName>
    <definedName name="_____dai3">#REF!</definedName>
    <definedName name="_____dai4" localSheetId="4">#REF!</definedName>
    <definedName name="_____dai4">#REF!</definedName>
    <definedName name="_____dai5" localSheetId="4">#REF!</definedName>
    <definedName name="_____dai5">#REF!</definedName>
    <definedName name="_____dai6" localSheetId="4">#REF!</definedName>
    <definedName name="_____dai6">#REF!</definedName>
    <definedName name="_____dan1" localSheetId="4">#REF!</definedName>
    <definedName name="_____dan1">#REF!</definedName>
    <definedName name="_____dan2" localSheetId="4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4">#REF!</definedName>
    <definedName name="_____lap1">#REF!</definedName>
    <definedName name="_____lap2" localSheetId="4">#REF!</definedName>
    <definedName name="_____lap2">#REF!</definedName>
    <definedName name="_____NET2" localSheetId="4">#REF!</definedName>
    <definedName name="_____NET2">#REF!</definedName>
    <definedName name="_____phi10" localSheetId="4">#REF!</definedName>
    <definedName name="_____phi10">#REF!</definedName>
    <definedName name="_____phi12" localSheetId="4">#REF!</definedName>
    <definedName name="_____phi12">#REF!</definedName>
    <definedName name="_____phi14" localSheetId="4">#REF!</definedName>
    <definedName name="_____phi14">#REF!</definedName>
    <definedName name="_____phi16" localSheetId="4">#REF!</definedName>
    <definedName name="_____phi16">#REF!</definedName>
    <definedName name="_____phi18" localSheetId="4">#REF!</definedName>
    <definedName name="_____phi18">#REF!</definedName>
    <definedName name="_____phi20" localSheetId="4">#REF!</definedName>
    <definedName name="_____phi20">#REF!</definedName>
    <definedName name="_____phi2000" localSheetId="4">#REF!</definedName>
    <definedName name="_____phi2000">#REF!</definedName>
    <definedName name="_____phi22" localSheetId="4">#REF!</definedName>
    <definedName name="_____phi22">#REF!</definedName>
    <definedName name="_____phi25" localSheetId="4">#REF!</definedName>
    <definedName name="_____phi25">#REF!</definedName>
    <definedName name="_____phi28" localSheetId="4">#REF!</definedName>
    <definedName name="_____phi28">#REF!</definedName>
    <definedName name="_____phi6" localSheetId="4">#REF!</definedName>
    <definedName name="_____phi6">#REF!</definedName>
    <definedName name="_____phi8" localSheetId="4">#REF!</definedName>
    <definedName name="_____phi8">#REF!</definedName>
    <definedName name="_____slg1" localSheetId="4">#REF!</definedName>
    <definedName name="_____slg1">#REF!</definedName>
    <definedName name="_____slg2" localSheetId="4">#REF!</definedName>
    <definedName name="_____slg2">#REF!</definedName>
    <definedName name="_____slg3" localSheetId="4">#REF!</definedName>
    <definedName name="_____slg3">#REF!</definedName>
    <definedName name="_____slg4" localSheetId="4">#REF!</definedName>
    <definedName name="_____slg4">#REF!</definedName>
    <definedName name="_____slg5" localSheetId="4">#REF!</definedName>
    <definedName name="_____slg5">#REF!</definedName>
    <definedName name="_____slg6" localSheetId="4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4">#REF!</definedName>
    <definedName name="____cao1">#REF!</definedName>
    <definedName name="____cao2" localSheetId="4">#REF!</definedName>
    <definedName name="____cao2">#REF!</definedName>
    <definedName name="____cao3" localSheetId="4">#REF!</definedName>
    <definedName name="____cao3">#REF!</definedName>
    <definedName name="____cao4" localSheetId="4">#REF!</definedName>
    <definedName name="____cao4">#REF!</definedName>
    <definedName name="____cao5" localSheetId="4">#REF!</definedName>
    <definedName name="____cao5">#REF!</definedName>
    <definedName name="____cao6" localSheetId="4">#REF!</definedName>
    <definedName name="____cao6">#REF!</definedName>
    <definedName name="____CON1" localSheetId="4">#REF!</definedName>
    <definedName name="____CON1">#REF!</definedName>
    <definedName name="____CON2" localSheetId="4">#REF!</definedName>
    <definedName name="____CON2">#REF!</definedName>
    <definedName name="____dai1" localSheetId="4">#REF!</definedName>
    <definedName name="____dai1">#REF!</definedName>
    <definedName name="____dai2" localSheetId="4">#REF!</definedName>
    <definedName name="____dai2">#REF!</definedName>
    <definedName name="____dai3" localSheetId="4">#REF!</definedName>
    <definedName name="____dai3">#REF!</definedName>
    <definedName name="____dai4" localSheetId="4">#REF!</definedName>
    <definedName name="____dai4">#REF!</definedName>
    <definedName name="____dai5" localSheetId="4">#REF!</definedName>
    <definedName name="____dai5">#REF!</definedName>
    <definedName name="____dai6" localSheetId="4">#REF!</definedName>
    <definedName name="____dai6">#REF!</definedName>
    <definedName name="____dan1" localSheetId="4">#REF!</definedName>
    <definedName name="____dan1">#REF!</definedName>
    <definedName name="____dan2" localSheetId="4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4">#REF!</definedName>
    <definedName name="____lap1">#REF!</definedName>
    <definedName name="____lap2" localSheetId="4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4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4">#REF!</definedName>
    <definedName name="____NET2">#REF!</definedName>
    <definedName name="____phi10" localSheetId="4">#REF!</definedName>
    <definedName name="____phi10">#REF!</definedName>
    <definedName name="____phi12" localSheetId="4">#REF!</definedName>
    <definedName name="____phi12">#REF!</definedName>
    <definedName name="____phi14" localSheetId="4">#REF!</definedName>
    <definedName name="____phi14">#REF!</definedName>
    <definedName name="____phi16" localSheetId="4">#REF!</definedName>
    <definedName name="____phi16">#REF!</definedName>
    <definedName name="____phi18" localSheetId="4">#REF!</definedName>
    <definedName name="____phi18">#REF!</definedName>
    <definedName name="____phi20" localSheetId="4">#REF!</definedName>
    <definedName name="____phi20">#REF!</definedName>
    <definedName name="____phi22" localSheetId="4">#REF!</definedName>
    <definedName name="____phi22">#REF!</definedName>
    <definedName name="____phi25" localSheetId="4">#REF!</definedName>
    <definedName name="____phi25">#REF!</definedName>
    <definedName name="____phi28" localSheetId="4">#REF!</definedName>
    <definedName name="____phi28">#REF!</definedName>
    <definedName name="____phi6" localSheetId="4">#REF!</definedName>
    <definedName name="____phi6">#REF!</definedName>
    <definedName name="____phi8" localSheetId="4">#REF!</definedName>
    <definedName name="____phi8">#REF!</definedName>
    <definedName name="____slg1" localSheetId="4">#REF!</definedName>
    <definedName name="____slg1">#REF!</definedName>
    <definedName name="____slg2" localSheetId="4">#REF!</definedName>
    <definedName name="____slg2">#REF!</definedName>
    <definedName name="____slg3" localSheetId="4">#REF!</definedName>
    <definedName name="____slg3">#REF!</definedName>
    <definedName name="____slg4" localSheetId="4">#REF!</definedName>
    <definedName name="____slg4">#REF!</definedName>
    <definedName name="____slg5" localSheetId="4">#REF!</definedName>
    <definedName name="____slg5">#REF!</definedName>
    <definedName name="____slg6" localSheetId="4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4">#REF!</definedName>
    <definedName name="___cao1">#REF!</definedName>
    <definedName name="___cao2" localSheetId="4">#REF!</definedName>
    <definedName name="___cao2">#REF!</definedName>
    <definedName name="___cao3" localSheetId="4">#REF!</definedName>
    <definedName name="___cao3">#REF!</definedName>
    <definedName name="___cao4" localSheetId="4">#REF!</definedName>
    <definedName name="___cao4">#REF!</definedName>
    <definedName name="___cao5" localSheetId="4">#REF!</definedName>
    <definedName name="___cao5">#REF!</definedName>
    <definedName name="___cao6" localSheetId="4">#REF!</definedName>
    <definedName name="___cao6">#REF!</definedName>
    <definedName name="___CON1" localSheetId="4">#REF!</definedName>
    <definedName name="___CON1">#REF!</definedName>
    <definedName name="___CON2" localSheetId="4">#REF!</definedName>
    <definedName name="___CON2">#REF!</definedName>
    <definedName name="___dai1" localSheetId="4">#REF!</definedName>
    <definedName name="___dai1">#REF!</definedName>
    <definedName name="___dai2" localSheetId="4">#REF!</definedName>
    <definedName name="___dai2">#REF!</definedName>
    <definedName name="___dai3" localSheetId="4">#REF!</definedName>
    <definedName name="___dai3">#REF!</definedName>
    <definedName name="___dai4" localSheetId="4">#REF!</definedName>
    <definedName name="___dai4">#REF!</definedName>
    <definedName name="___dai5" localSheetId="4">#REF!</definedName>
    <definedName name="___dai5">#REF!</definedName>
    <definedName name="___dai6" localSheetId="4">#REF!</definedName>
    <definedName name="___dai6">#REF!</definedName>
    <definedName name="___dan1" localSheetId="4">#REF!</definedName>
    <definedName name="___dan1">#REF!</definedName>
    <definedName name="___dan2" localSheetId="4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4">#REF!</definedName>
    <definedName name="___lap1">#REF!</definedName>
    <definedName name="___lap2" localSheetId="4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4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4">#REF!</definedName>
    <definedName name="___NET2">#REF!</definedName>
    <definedName name="___phi10" localSheetId="4">#REF!</definedName>
    <definedName name="___phi10">#REF!</definedName>
    <definedName name="___phi12" localSheetId="4">#REF!</definedName>
    <definedName name="___phi12">#REF!</definedName>
    <definedName name="___phi14" localSheetId="4">#REF!</definedName>
    <definedName name="___phi14">#REF!</definedName>
    <definedName name="___phi16" localSheetId="4">#REF!</definedName>
    <definedName name="___phi16">#REF!</definedName>
    <definedName name="___phi18" localSheetId="4">#REF!</definedName>
    <definedName name="___phi18">#REF!</definedName>
    <definedName name="___phi20" localSheetId="4">#REF!</definedName>
    <definedName name="___phi20">#REF!</definedName>
    <definedName name="___phi2000" localSheetId="4">#REF!</definedName>
    <definedName name="___phi2000">#REF!</definedName>
    <definedName name="___phi22" localSheetId="4">#REF!</definedName>
    <definedName name="___phi22">#REF!</definedName>
    <definedName name="___phi25" localSheetId="4">#REF!</definedName>
    <definedName name="___phi25">#REF!</definedName>
    <definedName name="___phi28" localSheetId="4">#REF!</definedName>
    <definedName name="___phi28">#REF!</definedName>
    <definedName name="___phi6" localSheetId="4">#REF!</definedName>
    <definedName name="___phi6">#REF!</definedName>
    <definedName name="___phi8" localSheetId="4">#REF!</definedName>
    <definedName name="___phi8">#REF!</definedName>
    <definedName name="___slg1" localSheetId="4">#REF!</definedName>
    <definedName name="___slg1">#REF!</definedName>
    <definedName name="___slg2" localSheetId="4">#REF!</definedName>
    <definedName name="___slg2">#REF!</definedName>
    <definedName name="___slg3" localSheetId="4">#REF!</definedName>
    <definedName name="___slg3">#REF!</definedName>
    <definedName name="___slg4" localSheetId="4">#REF!</definedName>
    <definedName name="___slg4">#REF!</definedName>
    <definedName name="___slg5" localSheetId="4">#REF!</definedName>
    <definedName name="___slg5">#REF!</definedName>
    <definedName name="___slg6" localSheetId="4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4">#REF!</definedName>
    <definedName name="__cao1">#REF!</definedName>
    <definedName name="__cao2" localSheetId="4">#REF!</definedName>
    <definedName name="__cao2">#REF!</definedName>
    <definedName name="__cao3" localSheetId="4">#REF!</definedName>
    <definedName name="__cao3">#REF!</definedName>
    <definedName name="__cao4" localSheetId="4">#REF!</definedName>
    <definedName name="__cao4">#REF!</definedName>
    <definedName name="__cao5" localSheetId="4">#REF!</definedName>
    <definedName name="__cao5">#REF!</definedName>
    <definedName name="__cao6" localSheetId="4">#REF!</definedName>
    <definedName name="__cao6">#REF!</definedName>
    <definedName name="__CON1" localSheetId="4">#REF!</definedName>
    <definedName name="__CON1">#REF!</definedName>
    <definedName name="__CON2" localSheetId="4">#REF!</definedName>
    <definedName name="__CON2">#REF!</definedName>
    <definedName name="__dai1" localSheetId="4">#REF!</definedName>
    <definedName name="__dai1">#REF!</definedName>
    <definedName name="__dai2" localSheetId="4">#REF!</definedName>
    <definedName name="__dai2">#REF!</definedName>
    <definedName name="__dai3" localSheetId="4">#REF!</definedName>
    <definedName name="__dai3">#REF!</definedName>
    <definedName name="__dai4" localSheetId="4">#REF!</definedName>
    <definedName name="__dai4">#REF!</definedName>
    <definedName name="__dai5" localSheetId="4">#REF!</definedName>
    <definedName name="__dai5">#REF!</definedName>
    <definedName name="__dai6" localSheetId="4">#REF!</definedName>
    <definedName name="__dai6">#REF!</definedName>
    <definedName name="__dan1" localSheetId="4">#REF!</definedName>
    <definedName name="__dan1">#REF!</definedName>
    <definedName name="__dan2" localSheetId="4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4">#REF!</definedName>
    <definedName name="__lap1">#REF!</definedName>
    <definedName name="__lap2" localSheetId="4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4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4">#REF!</definedName>
    <definedName name="__NET2">#REF!</definedName>
    <definedName name="__phi10" localSheetId="4">#REF!</definedName>
    <definedName name="__phi10">#REF!</definedName>
    <definedName name="__phi12" localSheetId="4">#REF!</definedName>
    <definedName name="__phi12">#REF!</definedName>
    <definedName name="__phi14" localSheetId="4">#REF!</definedName>
    <definedName name="__phi14">#REF!</definedName>
    <definedName name="__phi16" localSheetId="4">#REF!</definedName>
    <definedName name="__phi16">#REF!</definedName>
    <definedName name="__phi18" localSheetId="4">#REF!</definedName>
    <definedName name="__phi18">#REF!</definedName>
    <definedName name="__phi20" localSheetId="4">#REF!</definedName>
    <definedName name="__phi20">#REF!</definedName>
    <definedName name="__phi2000" localSheetId="4">#REF!</definedName>
    <definedName name="__phi2000">#REF!</definedName>
    <definedName name="__phi22" localSheetId="4">#REF!</definedName>
    <definedName name="__phi22">#REF!</definedName>
    <definedName name="__phi25" localSheetId="4">#REF!</definedName>
    <definedName name="__phi25">#REF!</definedName>
    <definedName name="__phi28" localSheetId="4">#REF!</definedName>
    <definedName name="__phi28">#REF!</definedName>
    <definedName name="__phi6" localSheetId="4">#REF!</definedName>
    <definedName name="__phi6">#REF!</definedName>
    <definedName name="__phi8" localSheetId="4">#REF!</definedName>
    <definedName name="__phi8">#REF!</definedName>
    <definedName name="__slg1" localSheetId="4">#REF!</definedName>
    <definedName name="__slg1">#REF!</definedName>
    <definedName name="__slg2" localSheetId="4">#REF!</definedName>
    <definedName name="__slg2">#REF!</definedName>
    <definedName name="__slg3" localSheetId="4">#REF!</definedName>
    <definedName name="__slg3">#REF!</definedName>
    <definedName name="__slg4" localSheetId="4">#REF!</definedName>
    <definedName name="__slg4">#REF!</definedName>
    <definedName name="__slg5" localSheetId="4">#REF!</definedName>
    <definedName name="__slg5">#REF!</definedName>
    <definedName name="__slg6" localSheetId="4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4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4">#REF!</definedName>
    <definedName name="_cao1">#REF!</definedName>
    <definedName name="_cao2" localSheetId="4">#REF!</definedName>
    <definedName name="_cao2">#REF!</definedName>
    <definedName name="_cao3" localSheetId="4">#REF!</definedName>
    <definedName name="_cao3">#REF!</definedName>
    <definedName name="_cao4" localSheetId="4">#REF!</definedName>
    <definedName name="_cao4">#REF!</definedName>
    <definedName name="_cao5" localSheetId="4">#REF!</definedName>
    <definedName name="_cao5">#REF!</definedName>
    <definedName name="_cao6" localSheetId="4">#REF!</definedName>
    <definedName name="_cao6">#REF!</definedName>
    <definedName name="_CON1" localSheetId="4">#REF!</definedName>
    <definedName name="_CON1">#REF!</definedName>
    <definedName name="_CON2" localSheetId="4">#REF!</definedName>
    <definedName name="_CON2">#REF!</definedName>
    <definedName name="_dai1" localSheetId="4">#REF!</definedName>
    <definedName name="_dai1">#REF!</definedName>
    <definedName name="_dai2" localSheetId="4">#REF!</definedName>
    <definedName name="_dai2">#REF!</definedName>
    <definedName name="_dai3" localSheetId="4">#REF!</definedName>
    <definedName name="_dai3">#REF!</definedName>
    <definedName name="_dai4" localSheetId="4">#REF!</definedName>
    <definedName name="_dai4">#REF!</definedName>
    <definedName name="_dai5" localSheetId="4">#REF!</definedName>
    <definedName name="_dai5">#REF!</definedName>
    <definedName name="_dai6" localSheetId="4">#REF!</definedName>
    <definedName name="_dai6">#REF!</definedName>
    <definedName name="_dan1" localSheetId="4">#REF!</definedName>
    <definedName name="_dan1">#REF!</definedName>
    <definedName name="_dan2" localSheetId="4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4" hidden="1">#REF!</definedName>
    <definedName name="_Fill" hidden="1">#REF!</definedName>
    <definedName name="_xlnm._FilterDatabase" localSheetId="3" hidden="1">'DELIVERY INSTRUCTION'!$A$25:$L$34</definedName>
    <definedName name="_xlnm._FilterDatabase" localSheetId="1" hidden="1">INV!$A$30:$K$93</definedName>
    <definedName name="_xlnm._FilterDatabase" localSheetId="0" hidden="1">PKL!$A$30:$AG$94</definedName>
    <definedName name="_xlnm._FilterDatabase" localSheetId="2" hidden="1">TEM!$A$2:$N$14</definedName>
    <definedName name="_IN20">[2]XL4Poppy!$B$1:$B$16</definedName>
    <definedName name="_Key1" localSheetId="4" hidden="1">#REF!</definedName>
    <definedName name="_Key1" hidden="1">#REF!</definedName>
    <definedName name="_Key2" localSheetId="4" hidden="1">#REF!</definedName>
    <definedName name="_Key2" hidden="1">#REF!</definedName>
    <definedName name="_lap1" localSheetId="4">#REF!</definedName>
    <definedName name="_lap1">#REF!</definedName>
    <definedName name="_lap2" localSheetId="4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4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4">#REF!</definedName>
    <definedName name="_NET2">#REF!</definedName>
    <definedName name="_Order1" hidden="1">255</definedName>
    <definedName name="_Order2" hidden="1">255</definedName>
    <definedName name="_phi10" localSheetId="4">#REF!</definedName>
    <definedName name="_phi10">#REF!</definedName>
    <definedName name="_phi12" localSheetId="4">#REF!</definedName>
    <definedName name="_phi12">#REF!</definedName>
    <definedName name="_phi14" localSheetId="4">#REF!</definedName>
    <definedName name="_phi14">#REF!</definedName>
    <definedName name="_phi16" localSheetId="4">#REF!</definedName>
    <definedName name="_phi16">#REF!</definedName>
    <definedName name="_phi18" localSheetId="4">#REF!</definedName>
    <definedName name="_phi18">#REF!</definedName>
    <definedName name="_phi20" localSheetId="4">#REF!</definedName>
    <definedName name="_phi20">#REF!</definedName>
    <definedName name="_phi2000" localSheetId="4">#REF!</definedName>
    <definedName name="_phi2000">#REF!</definedName>
    <definedName name="_phi22" localSheetId="4">#REF!</definedName>
    <definedName name="_phi22">#REF!</definedName>
    <definedName name="_phi25" localSheetId="4">#REF!</definedName>
    <definedName name="_phi25">#REF!</definedName>
    <definedName name="_phi28" localSheetId="4">#REF!</definedName>
    <definedName name="_phi28">#REF!</definedName>
    <definedName name="_phi6" localSheetId="4">#REF!</definedName>
    <definedName name="_phi6">#REF!</definedName>
    <definedName name="_phi8" localSheetId="4">#REF!</definedName>
    <definedName name="_phi8">#REF!</definedName>
    <definedName name="_slg1" localSheetId="4">#REF!</definedName>
    <definedName name="_slg1">#REF!</definedName>
    <definedName name="_slg2" localSheetId="4">#REF!</definedName>
    <definedName name="_slg2">#REF!</definedName>
    <definedName name="_slg3" localSheetId="4">#REF!</definedName>
    <definedName name="_slg3">#REF!</definedName>
    <definedName name="_slg4" localSheetId="4">#REF!</definedName>
    <definedName name="_slg4">#REF!</definedName>
    <definedName name="_slg5" localSheetId="4">#REF!</definedName>
    <definedName name="_slg5">#REF!</definedName>
    <definedName name="_slg6" localSheetId="4">#REF!</definedName>
    <definedName name="_slg6">#REF!</definedName>
    <definedName name="_Sort" localSheetId="4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4">#REF!</definedName>
    <definedName name="AA">#REF!</definedName>
    <definedName name="AAA">'[11]MTL$-INTER'!#REF!</definedName>
    <definedName name="All_Item" localSheetId="4">#REF!</definedName>
    <definedName name="All_Item">#REF!</definedName>
    <definedName name="ALPIN">#N/A</definedName>
    <definedName name="ALPJYOU">#N/A</definedName>
    <definedName name="ALPTOI">#N/A</definedName>
    <definedName name="ASDSDFD" localSheetId="4">#REF!</definedName>
    <definedName name="ASDSDFD">#REF!</definedName>
    <definedName name="B">'[1]PNT-QUOT-#3'!#REF!</definedName>
    <definedName name="bangchu" localSheetId="4">#REF!</definedName>
    <definedName name="bangchu">#REF!</definedName>
    <definedName name="BB" localSheetId="4">#REF!</definedName>
    <definedName name="BB">#REF!</definedName>
    <definedName name="bengam" localSheetId="4">#REF!</definedName>
    <definedName name="bengam">#REF!</definedName>
    <definedName name="benuoc" localSheetId="4">#REF!</definedName>
    <definedName name="benuoc">#REF!</definedName>
    <definedName name="black" localSheetId="4">#REF!</definedName>
    <definedName name="black">#REF!</definedName>
    <definedName name="BOQ" localSheetId="4">#REF!</definedName>
    <definedName name="BOQ">#REF!</definedName>
    <definedName name="BUSAN_KOREA" localSheetId="4">#REF!</definedName>
    <definedName name="BUSAN_KOREA">#REF!</definedName>
    <definedName name="BVCISUMMARY" localSheetId="4">#REF!</definedName>
    <definedName name="BVCISUMMARY">#REF!</definedName>
    <definedName name="CABLE2">'[12]MTO REV.0'!$A$1:$Q$570</definedName>
    <definedName name="cao" localSheetId="4">#REF!</definedName>
    <definedName name="cao">#REF!</definedName>
    <definedName name="cap" localSheetId="4">#REF!</definedName>
    <definedName name="cap">#REF!</definedName>
    <definedName name="cap0.7" localSheetId="4">#REF!</definedName>
    <definedName name="cap0.7">#REF!</definedName>
    <definedName name="Category_All" localSheetId="4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4">#REF!</definedName>
    <definedName name="CL">#REF!</definedName>
    <definedName name="COAT">'[1]PNT-QUOT-#3'!#REF!</definedName>
    <definedName name="coc" localSheetId="4">#REF!</definedName>
    <definedName name="coc">#REF!</definedName>
    <definedName name="cocbtct" localSheetId="4">#REF!</definedName>
    <definedName name="cocbtct">#REF!</definedName>
    <definedName name="cocot" localSheetId="4">#REF!</definedName>
    <definedName name="cocot">#REF!</definedName>
    <definedName name="cocott" localSheetId="4">#REF!</definedName>
    <definedName name="cocott">#REF!</definedName>
    <definedName name="COMMON" localSheetId="4">#REF!</definedName>
    <definedName name="COMMON">#REF!</definedName>
    <definedName name="comong" localSheetId="4">#REF!</definedName>
    <definedName name="comong">#REF!</definedName>
    <definedName name="CON_EQP_COS" localSheetId="4">#REF!</definedName>
    <definedName name="CON_EQP_COS">#REF!</definedName>
    <definedName name="CON_EQP_COST" localSheetId="4">#REF!</definedName>
    <definedName name="CON_EQP_COST">#REF!</definedName>
    <definedName name="congbengam" localSheetId="4">#REF!</definedName>
    <definedName name="congbengam">#REF!</definedName>
    <definedName name="congbenuoc" localSheetId="4">#REF!</definedName>
    <definedName name="congbenuoc">#REF!</definedName>
    <definedName name="congcoc" localSheetId="4">#REF!</definedName>
    <definedName name="congcoc">#REF!</definedName>
    <definedName name="congcocot" localSheetId="4">#REF!</definedName>
    <definedName name="congcocot">#REF!</definedName>
    <definedName name="congcocott" localSheetId="4">#REF!</definedName>
    <definedName name="congcocott">#REF!</definedName>
    <definedName name="congcomong" localSheetId="4">#REF!</definedName>
    <definedName name="congcomong">#REF!</definedName>
    <definedName name="congcottron" localSheetId="4">#REF!</definedName>
    <definedName name="congcottron">#REF!</definedName>
    <definedName name="congcotvuong" localSheetId="4">#REF!</definedName>
    <definedName name="congcotvuong">#REF!</definedName>
    <definedName name="congdam" localSheetId="4">#REF!</definedName>
    <definedName name="congdam">#REF!</definedName>
    <definedName name="congdam1" localSheetId="4">#REF!</definedName>
    <definedName name="congdam1">#REF!</definedName>
    <definedName name="congdan1" localSheetId="4">#REF!</definedName>
    <definedName name="congdan1">#REF!</definedName>
    <definedName name="congdan2" localSheetId="4">#REF!</definedName>
    <definedName name="congdan2">#REF!</definedName>
    <definedName name="congdandusan" localSheetId="4">#REF!</definedName>
    <definedName name="congdandusan">#REF!</definedName>
    <definedName name="conglanhto" localSheetId="4">#REF!</definedName>
    <definedName name="conglanhto">#REF!</definedName>
    <definedName name="congmong" localSheetId="4">#REF!</definedName>
    <definedName name="congmong">#REF!</definedName>
    <definedName name="congmongbang" localSheetId="4">#REF!</definedName>
    <definedName name="congmongbang">#REF!</definedName>
    <definedName name="congmongdon" localSheetId="4">#REF!</definedName>
    <definedName name="congmongdon">#REF!</definedName>
    <definedName name="congpanen" localSheetId="4">#REF!</definedName>
    <definedName name="congpanen">#REF!</definedName>
    <definedName name="congsan" localSheetId="4">#REF!</definedName>
    <definedName name="congsan">#REF!</definedName>
    <definedName name="congthang" localSheetId="4">#REF!</definedName>
    <definedName name="congthang">#REF!</definedName>
    <definedName name="CONST_EQ" localSheetId="4">#REF!</definedName>
    <definedName name="CONST_EQ">#REF!</definedName>
    <definedName name="cot" localSheetId="4">#REF!</definedName>
    <definedName name="cot">#REF!</definedName>
    <definedName name="Cotbandoc" localSheetId="4">#REF!</definedName>
    <definedName name="Cotbandoc">#REF!</definedName>
    <definedName name="Cotthe" localSheetId="4">#REF!</definedName>
    <definedName name="Cotthe">#REF!</definedName>
    <definedName name="cottron" localSheetId="4">#REF!</definedName>
    <definedName name="cottron">#REF!</definedName>
    <definedName name="cotvuong" localSheetId="4">#REF!</definedName>
    <definedName name="cotvuong">#REF!</definedName>
    <definedName name="COVER" localSheetId="4">#REF!</definedName>
    <definedName name="COVER">#REF!</definedName>
    <definedName name="_xlnm.Criteria" localSheetId="4">#REF!</definedName>
    <definedName name="_xlnm.Criteria">#REF!</definedName>
    <definedName name="CRITINST" localSheetId="4">#REF!</definedName>
    <definedName name="CRITINST">#REF!</definedName>
    <definedName name="CRITPURC" localSheetId="4">#REF!</definedName>
    <definedName name="CRITPURC">#REF!</definedName>
    <definedName name="CS_10" localSheetId="4">#REF!</definedName>
    <definedName name="CS_10">#REF!</definedName>
    <definedName name="CS_100" localSheetId="4">#REF!</definedName>
    <definedName name="CS_100">#REF!</definedName>
    <definedName name="CS_10S" localSheetId="4">#REF!</definedName>
    <definedName name="CS_10S">#REF!</definedName>
    <definedName name="CS_120" localSheetId="4">#REF!</definedName>
    <definedName name="CS_120">#REF!</definedName>
    <definedName name="CS_140" localSheetId="4">#REF!</definedName>
    <definedName name="CS_140">#REF!</definedName>
    <definedName name="CS_160" localSheetId="4">#REF!</definedName>
    <definedName name="CS_160">#REF!</definedName>
    <definedName name="CS_20" localSheetId="4">#REF!</definedName>
    <definedName name="CS_20">#REF!</definedName>
    <definedName name="CS_30" localSheetId="4">#REF!</definedName>
    <definedName name="CS_30">#REF!</definedName>
    <definedName name="CS_40" localSheetId="4">#REF!</definedName>
    <definedName name="CS_40">#REF!</definedName>
    <definedName name="CS_40S" localSheetId="4">#REF!</definedName>
    <definedName name="CS_40S">#REF!</definedName>
    <definedName name="CS_5S" localSheetId="4">#REF!</definedName>
    <definedName name="CS_5S">#REF!</definedName>
    <definedName name="CS_60" localSheetId="4">#REF!</definedName>
    <definedName name="CS_60">#REF!</definedName>
    <definedName name="CS_80" localSheetId="4">#REF!</definedName>
    <definedName name="CS_80">#REF!</definedName>
    <definedName name="CS_80S" localSheetId="4">#REF!</definedName>
    <definedName name="CS_80S">#REF!</definedName>
    <definedName name="CS_STD" localSheetId="4">#REF!</definedName>
    <definedName name="CS_STD">#REF!</definedName>
    <definedName name="CS_XS" localSheetId="4">#REF!</definedName>
    <definedName name="CS_XS">#REF!</definedName>
    <definedName name="CS_XXS" localSheetId="4">#REF!</definedName>
    <definedName name="CS_XXS">#REF!</definedName>
    <definedName name="ctdn9697" localSheetId="4">#REF!</definedName>
    <definedName name="ctdn9697">#REF!</definedName>
    <definedName name="CURRENCY" localSheetId="4">#REF!</definedName>
    <definedName name="CURRENCY">#REF!</definedName>
    <definedName name="D_7101A_B" localSheetId="4">#REF!</definedName>
    <definedName name="D_7101A_B">#REF!</definedName>
    <definedName name="dam" localSheetId="4">#REF!</definedName>
    <definedName name="dam">#REF!</definedName>
    <definedName name="danducsan" localSheetId="4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_xlnm.Database" localSheetId="4">#REF!</definedName>
    <definedName name="_xlnm.Database">#REF!</definedName>
    <definedName name="Database1" localSheetId="4">#REF!</definedName>
    <definedName name="Database1">#REF!</definedName>
    <definedName name="DataFilter">[13]!DataFilter</definedName>
    <definedName name="DataSort">[13]!DataSort</definedName>
    <definedName name="DENNGAY" localSheetId="5">#REF!</definedName>
    <definedName name="DENNGAY" localSheetId="1">#REF!</definedName>
    <definedName name="DENNGAY" localSheetId="2">#REF!</definedName>
    <definedName name="DENNGAY">#REF!</definedName>
    <definedName name="Diachi" localSheetId="4">#REF!</definedName>
    <definedName name="Diachi">#REF!</definedName>
    <definedName name="dientichck" localSheetId="4">#REF!</definedName>
    <definedName name="dientichck">#REF!</definedName>
    <definedName name="Dieukien" localSheetId="4">#REF!</definedName>
    <definedName name="Dieukien">#REF!</definedName>
    <definedName name="Dieukien1" localSheetId="4">#REF!</definedName>
    <definedName name="Dieukien1">#REF!</definedName>
    <definedName name="doan1" localSheetId="4">#REF!</definedName>
    <definedName name="doan1">#REF!</definedName>
    <definedName name="doan2" localSheetId="4">#REF!</definedName>
    <definedName name="doan2">#REF!</definedName>
    <definedName name="doan3" localSheetId="4">#REF!</definedName>
    <definedName name="doan3">#REF!</definedName>
    <definedName name="doan4" localSheetId="4">#REF!</definedName>
    <definedName name="doan4">#REF!</definedName>
    <definedName name="doan5" localSheetId="4">#REF!</definedName>
    <definedName name="doan5">#REF!</definedName>
    <definedName name="doan6" localSheetId="4">#REF!</definedName>
    <definedName name="doan6">#REF!</definedName>
    <definedName name="dobt" localSheetId="4">#REF!</definedName>
    <definedName name="dobt">#REF!</definedName>
    <definedName name="Document_array" localSheetId="1">{"ÿÿÿÿÿ"}</definedName>
    <definedName name="Document_array">{"ÿÿÿÿÿ"}</definedName>
    <definedName name="Documents_array" localSheetId="4">#REF!</definedName>
    <definedName name="Documents_array">#REF!</definedName>
    <definedName name="Donvi" localSheetId="4">#REF!</definedName>
    <definedName name="Donvi">#REF!</definedName>
    <definedName name="Drawn_JPY" localSheetId="4">#REF!</definedName>
    <definedName name="Drawn_JPY">#REF!</definedName>
    <definedName name="Drawn_USD" localSheetId="4">#REF!</definedName>
    <definedName name="Drawn_USD">#REF!</definedName>
    <definedName name="DSFGSDGRDG" localSheetId="4">#REF!</definedName>
    <definedName name="DSFGSDGRDG">#REF!</definedName>
    <definedName name="DSUMDATA" localSheetId="4">#REF!</definedName>
    <definedName name="DSUMDATA">#REF!</definedName>
    <definedName name="dtich1" localSheetId="4">#REF!</definedName>
    <definedName name="dtich1">#REF!</definedName>
    <definedName name="dtich2" localSheetId="4">#REF!</definedName>
    <definedName name="dtich2">#REF!</definedName>
    <definedName name="dtich3" localSheetId="4">#REF!</definedName>
    <definedName name="dtich3">#REF!</definedName>
    <definedName name="dtich4" localSheetId="4">#REF!</definedName>
    <definedName name="dtich4">#REF!</definedName>
    <definedName name="dtich5" localSheetId="4">#REF!</definedName>
    <definedName name="dtich5">#REF!</definedName>
    <definedName name="dtich6" localSheetId="4">#REF!</definedName>
    <definedName name="dtich6">#REF!</definedName>
    <definedName name="End_1" localSheetId="4">#REF!</definedName>
    <definedName name="End_1">#REF!</definedName>
    <definedName name="End_10" localSheetId="4">#REF!</definedName>
    <definedName name="End_10">#REF!</definedName>
    <definedName name="End_11" localSheetId="4">#REF!</definedName>
    <definedName name="End_11">#REF!</definedName>
    <definedName name="End_12" localSheetId="4">#REF!</definedName>
    <definedName name="End_12">#REF!</definedName>
    <definedName name="End_13" localSheetId="4">#REF!</definedName>
    <definedName name="End_13">#REF!</definedName>
    <definedName name="End_2" localSheetId="4">#REF!</definedName>
    <definedName name="End_2">#REF!</definedName>
    <definedName name="End_3" localSheetId="4">#REF!</definedName>
    <definedName name="End_3">#REF!</definedName>
    <definedName name="End_4" localSheetId="4">#REF!</definedName>
    <definedName name="End_4">#REF!</definedName>
    <definedName name="End_5" localSheetId="4">#REF!</definedName>
    <definedName name="End_5">#REF!</definedName>
    <definedName name="End_6" localSheetId="4">#REF!</definedName>
    <definedName name="End_6">#REF!</definedName>
    <definedName name="End_7" localSheetId="4">#REF!</definedName>
    <definedName name="End_7">#REF!</definedName>
    <definedName name="End_8" localSheetId="4">#REF!</definedName>
    <definedName name="End_8">#REF!</definedName>
    <definedName name="End_9" localSheetId="4">#REF!</definedName>
    <definedName name="End_9">#REF!</definedName>
    <definedName name="_xlnm.Extract">[14]SILICATE!#REF!</definedName>
    <definedName name="FACTOR" localSheetId="4">#REF!</definedName>
    <definedName name="FACTOR">#REF!</definedName>
    <definedName name="FFF" localSheetId="4">#REF!</definedName>
    <definedName name="FFF">#REF!</definedName>
    <definedName name="FOB" localSheetId="4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4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4">#REF!</definedName>
    <definedName name="HOME_MANP">#REF!</definedName>
    <definedName name="HOMEOFFICE_COST" localSheetId="4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4">#REF!</definedName>
    <definedName name="IDLAB_COST">#REF!</definedName>
    <definedName name="IND_LAB" localSheetId="4">#REF!</definedName>
    <definedName name="IND_LAB">#REF!</definedName>
    <definedName name="INDMANP" localSheetId="4">#REF!</definedName>
    <definedName name="INDMANP">#REF!</definedName>
    <definedName name="INSBURGH.KCO.LTD" localSheetId="4">#REF!</definedName>
    <definedName name="INSBURGH.KCO.LTD">#REF!</definedName>
    <definedName name="IO">'[1]COAT&amp;WRAP-QIOT-#3'!#REF!</definedName>
    <definedName name="j" localSheetId="4">#REF!</definedName>
    <definedName name="j">#REF!</definedName>
    <definedName name="jhkh">[17]XL4Poppy!$B$1:$B$16</definedName>
    <definedName name="JK" localSheetId="4">#REF!</definedName>
    <definedName name="JK">#REF!</definedName>
    <definedName name="K" localSheetId="4">#REF!</definedName>
    <definedName name="K">#REF!</definedName>
    <definedName name="KABUL" localSheetId="4">#REF!</definedName>
    <definedName name="KABUL">#REF!</definedName>
    <definedName name="KVC" localSheetId="4">#REF!</definedName>
    <definedName name="KVC">#REF!</definedName>
    <definedName name="L" localSheetId="4">#REF!</definedName>
    <definedName name="L">#REF!</definedName>
    <definedName name="lanhto" localSheetId="4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4">#REF!</definedName>
    <definedName name="Loaisach">#REF!</definedName>
    <definedName name="lVC" localSheetId="4">#REF!</definedName>
    <definedName name="lVC">#REF!</definedName>
    <definedName name="MailTo_JPY" localSheetId="4">#REF!</definedName>
    <definedName name="MailTo_JPY">#REF!</definedName>
    <definedName name="MailTo_USD" localSheetId="4">#REF!</definedName>
    <definedName name="MailTo_USD">#REF!</definedName>
    <definedName name="MAJ_CON_EQP" localSheetId="4">#REF!</definedName>
    <definedName name="MAJ_CON_EQP">#REF!</definedName>
    <definedName name="MARK" localSheetId="4">#REF!</definedName>
    <definedName name="MARK">#REF!</definedName>
    <definedName name="Masosach" localSheetId="4">#REF!</definedName>
    <definedName name="Masosach">#REF!</definedName>
    <definedName name="Masothe" localSheetId="4">#REF!</definedName>
    <definedName name="Masothe">#REF!</definedName>
    <definedName name="MAT">'[1]COAT&amp;WRAP-QIOT-#3'!#REF!</definedName>
    <definedName name="MF">'[1]COAT&amp;WRAP-QIOT-#3'!#REF!</definedName>
    <definedName name="MG_A" localSheetId="4">#REF!</definedName>
    <definedName name="MG_A">#REF!</definedName>
    <definedName name="mongbang" localSheetId="4">#REF!</definedName>
    <definedName name="mongbang">#REF!</definedName>
    <definedName name="mongdon" localSheetId="4">#REF!</definedName>
    <definedName name="mongdon">#REF!</definedName>
    <definedName name="Monloaichinh" localSheetId="4">#REF!</definedName>
    <definedName name="Monloaichinh">#REF!</definedName>
    <definedName name="NCcap0.7" localSheetId="4">#REF!</definedName>
    <definedName name="NCcap0.7">#REF!</definedName>
    <definedName name="NCcap1" localSheetId="4">#REF!</definedName>
    <definedName name="NCcap1">#REF!</definedName>
    <definedName name="NET" localSheetId="4">#REF!</definedName>
    <definedName name="NET">#REF!</definedName>
    <definedName name="NET_1" localSheetId="4">#REF!</definedName>
    <definedName name="NET_1">#REF!</definedName>
    <definedName name="NET_ANA" localSheetId="4">#REF!</definedName>
    <definedName name="NET_ANA">#REF!</definedName>
    <definedName name="NET_ANA_1" localSheetId="4">#REF!</definedName>
    <definedName name="NET_ANA_1">#REF!</definedName>
    <definedName name="NET_ANA_2" localSheetId="4">#REF!</definedName>
    <definedName name="NET_ANA_2">#REF!</definedName>
    <definedName name="NGAY_NK" localSheetId="5">'[18]NHẬP KHO'!$B:$B</definedName>
    <definedName name="NGAY_NK" localSheetId="1">'[18]NHẬP KHO'!$B:$B</definedName>
    <definedName name="NGAY_NK">'[18]NHẬP KHO'!$B:$B</definedName>
    <definedName name="NGAY_XK" localSheetId="5">'[18]XUẤT KHO'!$B:$B</definedName>
    <definedName name="NGAY_XK" localSheetId="1">'[18]XUẤT KHO'!$B:$B</definedName>
    <definedName name="NGAY_XK">'[18]XUẤT KHO'!$B:$B</definedName>
    <definedName name="NGHIA" localSheetId="4">#REF!</definedName>
    <definedName name="NGHIA">#REF!</definedName>
    <definedName name="Nhaxuatban" localSheetId="4">#REF!</definedName>
    <definedName name="Nhaxuatban">#REF!</definedName>
    <definedName name="Noixuatban" localSheetId="4">#REF!</definedName>
    <definedName name="Noixuatban">#REF!</definedName>
    <definedName name="NVLHOAKY" localSheetId="5">#REF!</definedName>
    <definedName name="NVLHOAKY" localSheetId="1">#REF!</definedName>
    <definedName name="NVLHOAKY" localSheetId="2">#REF!</definedName>
    <definedName name="NVLHOAKY">#REF!</definedName>
    <definedName name="OTHER_PANEL">'[15]NEW-PANEL'!#REF!</definedName>
    <definedName name="P">'[1]PNT-QUOT-#3'!#REF!</definedName>
    <definedName name="panen" localSheetId="4">#REF!</definedName>
    <definedName name="panen">#REF!</definedName>
    <definedName name="PCVISA" localSheetId="4">#REF!</definedName>
    <definedName name="PCVISA">#REF!</definedName>
    <definedName name="PEJM">'[1]COAT&amp;WRAP-QIOT-#3'!#REF!</definedName>
    <definedName name="PF">'[1]PNT-QUOT-#3'!#REF!</definedName>
    <definedName name="PHONG" localSheetId="4">#REF!</definedName>
    <definedName name="PHONG">#REF!</definedName>
    <definedName name="PL_指示燈___P.B.___REST_P.B._壓扣開關">'[15]NEW-PANEL'!#REF!</definedName>
    <definedName name="PM">[19]IBASE!$AH$16:$AV$110</definedName>
    <definedName name="POD">[20]XL4Poppy!$C$27</definedName>
    <definedName name="PRICE" localSheetId="4">#REF!</definedName>
    <definedName name="PRICE">#REF!</definedName>
    <definedName name="PRICE1" localSheetId="4">#REF!</definedName>
    <definedName name="PRICE1">#REF!</definedName>
    <definedName name="_xlnm.Print_Area" localSheetId="5">'IN PHIẾU XUẤT '!$A$1:$J$74</definedName>
    <definedName name="_xlnm.Print_Area" localSheetId="1">INV!$A$1:$J$95</definedName>
    <definedName name="_xlnm.Print_Area" localSheetId="0">PKL!$A$1:$M$94</definedName>
    <definedName name="_xlnm.Print_Area" localSheetId="4">SC!$A$1:$J$53</definedName>
    <definedName name="_xlnm.Print_Area" localSheetId="2">TEM!$A$1:$N$21</definedName>
    <definedName name="Print_Area_MI">[21]ESTI.!$A$1:$U$52</definedName>
    <definedName name="_xlnm.Print_Titles">#N/A</definedName>
    <definedName name="Print_Titles_MI" localSheetId="4">#REF!</definedName>
    <definedName name="Print_Titles_MI">#REF!</definedName>
    <definedName name="PRINTA" localSheetId="4">#REF!</definedName>
    <definedName name="PRINTA">#REF!</definedName>
    <definedName name="PRINTB" localSheetId="4">#REF!</definedName>
    <definedName name="PRINTB">#REF!</definedName>
    <definedName name="PRINTC" localSheetId="4">#REF!</definedName>
    <definedName name="PRINTC">#REF!</definedName>
    <definedName name="PROPOSAL" localSheetId="4">#REF!</definedName>
    <definedName name="PROPOSAL">#REF!</definedName>
    <definedName name="QLY" localSheetId="4">#REF!</definedName>
    <definedName name="QLY">#REF!</definedName>
    <definedName name="Quequan" localSheetId="4">#REF!</definedName>
    <definedName name="Quequan">#REF!</definedName>
    <definedName name="Query2" localSheetId="4">#REF!</definedName>
    <definedName name="Query2">#REF!</definedName>
    <definedName name="re">[17]XL4Poppy!$C$27</definedName>
    <definedName name="_xlnm.Recorder" localSheetId="4">#REF!</definedName>
    <definedName name="_xlnm.Recorder">#REF!</definedName>
    <definedName name="RECOUT">#N/A</definedName>
    <definedName name="ReimBK_JPY" localSheetId="4">#REF!</definedName>
    <definedName name="ReimBK_JPY">#REF!</definedName>
    <definedName name="ReimBK_USD" localSheetId="4">#REF!</definedName>
    <definedName name="ReimBK_USD">#REF!</definedName>
    <definedName name="renego_jpy" localSheetId="4">#REF!</definedName>
    <definedName name="renego_jpy">#REF!</definedName>
    <definedName name="renego_usd" localSheetId="4">#REF!</definedName>
    <definedName name="renego_usd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 localSheetId="4">#REF!</definedName>
    <definedName name="RFP003D">#REF!</definedName>
    <definedName name="RFP003E" localSheetId="4">#REF!</definedName>
    <definedName name="RFP003E">#REF!</definedName>
    <definedName name="RFP003F" localSheetId="4">#REF!</definedName>
    <definedName name="RFP003F">#REF!</definedName>
    <definedName name="rong1" localSheetId="4">#REF!</definedName>
    <definedName name="rong1">#REF!</definedName>
    <definedName name="rong2" localSheetId="4">#REF!</definedName>
    <definedName name="rong2">#REF!</definedName>
    <definedName name="rong3" localSheetId="4">#REF!</definedName>
    <definedName name="rong3">#REF!</definedName>
    <definedName name="rong4" localSheetId="4">#REF!</definedName>
    <definedName name="rong4">#REF!</definedName>
    <definedName name="rong5" localSheetId="4">#REF!</definedName>
    <definedName name="rong5">#REF!</definedName>
    <definedName name="rong6" localSheetId="4">#REF!</definedName>
    <definedName name="rong6">#REF!</definedName>
    <definedName name="RT">'[1]COAT&amp;WRAP-QIOT-#3'!#REF!</definedName>
    <definedName name="safghsf">[22]XL4Poppy!$C$27</definedName>
    <definedName name="san" localSheetId="4">#REF!</definedName>
    <definedName name="san">#REF!</definedName>
    <definedName name="sau">'[8]Chiet tinh dz35'!$H$4</definedName>
    <definedName name="SB">[19]IBASE!$AH$7:$AL$14</definedName>
    <definedName name="SCCR" localSheetId="4">#REF!</definedName>
    <definedName name="SCCR">#REF!</definedName>
    <definedName name="SCDT" localSheetId="4">#REF!</definedName>
    <definedName name="SCDT">#REF!</definedName>
    <definedName name="SCH" localSheetId="4">#REF!</definedName>
    <definedName name="SCH">#REF!</definedName>
    <definedName name="ShipMark">[23]Header!#REF!</definedName>
    <definedName name="ShipMarkAll">[23]Header!#REF!</definedName>
    <definedName name="SIZE" localSheetId="4">#REF!</definedName>
    <definedName name="SIZE">#REF!</definedName>
    <definedName name="SL_NK" localSheetId="5">'[18]NHẬP KHO'!$F:$F</definedName>
    <definedName name="SL_NK" localSheetId="1">'[18]NHẬP KHO'!$F:$F</definedName>
    <definedName name="SL_NK">'[18]NHẬP KHO'!$F:$F</definedName>
    <definedName name="SL_XK" localSheetId="5">'[18]XUẤT KHO'!$G:$G</definedName>
    <definedName name="SL_XK" localSheetId="1">'[18]XUẤT KHO'!$G:$G</definedName>
    <definedName name="SL_XK">'[18]XUẤT KHO'!$G:$G</definedName>
    <definedName name="slg" localSheetId="4">#REF!</definedName>
    <definedName name="slg">#REF!</definedName>
    <definedName name="Sodong" localSheetId="4">#REF!</definedName>
    <definedName name="Sodong">#REF!</definedName>
    <definedName name="sodong1" localSheetId="4">#REF!</definedName>
    <definedName name="sodong1">#REF!</definedName>
    <definedName name="sodong2" localSheetId="4">#REF!</definedName>
    <definedName name="sodong2">#REF!</definedName>
    <definedName name="Soluong" localSheetId="4">#REF!</definedName>
    <definedName name="Soluong">#REF!</definedName>
    <definedName name="SORT" localSheetId="4">#REF!</definedName>
    <definedName name="SORT">#REF!</definedName>
    <definedName name="SORT_AREA">'[21]DI-ESTI'!$A$8:$R$489</definedName>
    <definedName name="Sothe" localSheetId="4">#REF!</definedName>
    <definedName name="Sothe">#REF!</definedName>
    <definedName name="SP">'[1]PNT-QUOT-#3'!#REF!</definedName>
    <definedName name="SPEC" localSheetId="4">#REF!</definedName>
    <definedName name="SPEC">#REF!</definedName>
    <definedName name="SPECSUMMARY" localSheetId="4">#REF!</definedName>
    <definedName name="SPECSUMMARY">#REF!</definedName>
    <definedName name="Start_1" localSheetId="4">#REF!</definedName>
    <definedName name="Start_1">#REF!</definedName>
    <definedName name="Start_10" localSheetId="4">#REF!</definedName>
    <definedName name="Start_10">#REF!</definedName>
    <definedName name="Start_11" localSheetId="4">#REF!</definedName>
    <definedName name="Start_11">#REF!</definedName>
    <definedName name="Start_12" localSheetId="4">#REF!</definedName>
    <definedName name="Start_12">#REF!</definedName>
    <definedName name="Start_13" localSheetId="4">#REF!</definedName>
    <definedName name="Start_13">#REF!</definedName>
    <definedName name="Start_2" localSheetId="4">#REF!</definedName>
    <definedName name="Start_2">#REF!</definedName>
    <definedName name="Start_3" localSheetId="4">#REF!</definedName>
    <definedName name="Start_3">#REF!</definedName>
    <definedName name="Start_4" localSheetId="4">#REF!</definedName>
    <definedName name="Start_4">#REF!</definedName>
    <definedName name="Start_5" localSheetId="4">#REF!</definedName>
    <definedName name="Start_5">#REF!</definedName>
    <definedName name="Start_6" localSheetId="4">#REF!</definedName>
    <definedName name="Start_6">#REF!</definedName>
    <definedName name="Start_7" localSheetId="4">#REF!</definedName>
    <definedName name="Start_7">#REF!</definedName>
    <definedName name="Start_8" localSheetId="4">#REF!</definedName>
    <definedName name="Start_8">#REF!</definedName>
    <definedName name="Start_9" localSheetId="4">#REF!</definedName>
    <definedName name="Start_9">#REF!</definedName>
    <definedName name="stt">[24]DATA!$A:$CQ</definedName>
    <definedName name="SUMMARY" localSheetId="4">#REF!</definedName>
    <definedName name="SUMMARY">#REF!</definedName>
    <definedName name="TaxTV">10%</definedName>
    <definedName name="TaxXL">5%</definedName>
    <definedName name="tenck" localSheetId="4">#REF!</definedName>
    <definedName name="tenck">#REF!</definedName>
    <definedName name="TENHANG_NK" localSheetId="5">'[18]NHẬP KHO'!$D:$D</definedName>
    <definedName name="TENHANG_NK" localSheetId="1">'[18]NHẬP KHO'!$D:$D</definedName>
    <definedName name="TENHANG_NK">'[18]NHẬP KHO'!$D:$D</definedName>
    <definedName name="TENHANG_XK" localSheetId="5">'[18]XUẤT KHO'!$E:$E</definedName>
    <definedName name="TENHANG_XK" localSheetId="1">'[18]XUẤT KHO'!$E:$E</definedName>
    <definedName name="TENHANG_XK">'[18]XUẤT KHO'!$E:$E</definedName>
    <definedName name="TENNGUYENLIEU" localSheetId="5">#REF!</definedName>
    <definedName name="TENNGUYENLIEU" localSheetId="1">#REF!</definedName>
    <definedName name="TENNGUYENLIEU" localSheetId="2">#REF!</definedName>
    <definedName name="TENNGUYENLIEU">#REF!</definedName>
    <definedName name="tenor_JPY" localSheetId="4">#REF!</definedName>
    <definedName name="tenor_JPY">#REF!</definedName>
    <definedName name="tenor_USD" localSheetId="4">#REF!</definedName>
    <definedName name="tenor_USD">#REF!</definedName>
    <definedName name="Tensach" localSheetId="4">#REF!</definedName>
    <definedName name="Tensach">#REF!</definedName>
    <definedName name="thang" localSheetId="4">#REF!</definedName>
    <definedName name="thang">#REF!</definedName>
    <definedName name="thanhtien" localSheetId="4">#REF!</definedName>
    <definedName name="thanhtien">#REF!</definedName>
    <definedName name="thepban" localSheetId="4">#REF!</definedName>
    <definedName name="thepban">#REF!</definedName>
    <definedName name="thetichck" localSheetId="4">#REF!</definedName>
    <definedName name="thetichck">#REF!</definedName>
    <definedName name="THI" localSheetId="4">#REF!</definedName>
    <definedName name="THI">#REF!</definedName>
    <definedName name="THK">'[1]COAT&amp;WRAP-QIOT-#3'!#REF!</definedName>
    <definedName name="Thongdza" localSheetId="4">#REF!</definedName>
    <definedName name="Thongdza">#REF!</definedName>
    <definedName name="thtich1" localSheetId="4">#REF!</definedName>
    <definedName name="thtich1">#REF!</definedName>
    <definedName name="thtich2" localSheetId="4">#REF!</definedName>
    <definedName name="thtich2">#REF!</definedName>
    <definedName name="thtich3" localSheetId="4">#REF!</definedName>
    <definedName name="thtich3">#REF!</definedName>
    <definedName name="thtich4" localSheetId="4">#REF!</definedName>
    <definedName name="thtich4">#REF!</definedName>
    <definedName name="thtich5" localSheetId="4">#REF!</definedName>
    <definedName name="thtich5">#REF!</definedName>
    <definedName name="thtich6" localSheetId="4">#REF!</definedName>
    <definedName name="thtich6">#REF!</definedName>
    <definedName name="THUCHI">#REF!</definedName>
    <definedName name="TITAN" localSheetId="4">#REF!</definedName>
    <definedName name="TITAN">#REF!</definedName>
    <definedName name="tongbt" localSheetId="4">#REF!</definedName>
    <definedName name="tongbt">#REF!</definedName>
    <definedName name="tongcong" localSheetId="4">#REF!</definedName>
    <definedName name="tongcong">#REF!</definedName>
    <definedName name="tongdientich" localSheetId="4">#REF!</definedName>
    <definedName name="tongdientich">#REF!</definedName>
    <definedName name="tongthep" localSheetId="4">#REF!</definedName>
    <definedName name="tongthep">#REF!</definedName>
    <definedName name="tongthetich" localSheetId="4">#REF!</definedName>
    <definedName name="tongthetich">#REF!</definedName>
    <definedName name="TotalAmt">#REF!</definedName>
    <definedName name="TPLRP" localSheetId="4">#REF!</definedName>
    <definedName name="TPLRP">#REF!</definedName>
    <definedName name="TRADE2" localSheetId="4">#REF!</definedName>
    <definedName name="TRADE2">#REF!</definedName>
    <definedName name="TRANSFORMER">'[15]NEW-PANEL'!#REF!</definedName>
    <definedName name="TRUONG" localSheetId="4">#REF!</definedName>
    <definedName name="TRUONG">#REF!</definedName>
    <definedName name="ttbt" localSheetId="4">#REF!</definedName>
    <definedName name="ttbt">#REF!</definedName>
    <definedName name="ttt">'[6]CT Thang Mo'!$B$309:$M$309</definedName>
    <definedName name="tttb">'[6]CT Thang Mo'!$B$431:$I$431</definedName>
    <definedName name="TUNGAY" localSheetId="5">#REF!</definedName>
    <definedName name="TUNGAY" localSheetId="1">#REF!</definedName>
    <definedName name="TUNGAY" localSheetId="2">#REF!</definedName>
    <definedName name="TUNGAY">#REF!</definedName>
    <definedName name="VARIINST" localSheetId="4">#REF!</definedName>
    <definedName name="VARIINST">#REF!</definedName>
    <definedName name="VARIPURC" localSheetId="4">#REF!</definedName>
    <definedName name="VARIPURC">#REF!</definedName>
    <definedName name="vc3.">'[6]CT  PL'!$B$125:$H$125</definedName>
    <definedName name="vca">'[6]CT  PL'!$B$25:$H$25</definedName>
    <definedName name="vccot" localSheetId="4">#REF!</definedName>
    <definedName name="vccot">#REF!</definedName>
    <definedName name="vccot.">'[6]CT  PL'!$B$8:$H$8</definedName>
    <definedName name="vcdbt">'[6]CT Thang Mo'!$B$220:$I$220</definedName>
    <definedName name="vcdc.">'[25]Chi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4">#REF!</definedName>
    <definedName name="vctb">#REF!</definedName>
    <definedName name="vctt">'[6]CT  PL'!$B$288:$H$288</definedName>
    <definedName name="Vlcap0.7" localSheetId="4">#REF!</definedName>
    <definedName name="Vlcap0.7">#REF!</definedName>
    <definedName name="VLcap1" localSheetId="4">#REF!</definedName>
    <definedName name="VLcap1">#REF!</definedName>
    <definedName name="vung1">#REF!</definedName>
    <definedName name="VUNGDH">#REF!</definedName>
    <definedName name="vungT1">#REF!</definedName>
    <definedName name="W" localSheetId="4">#REF!</definedName>
    <definedName name="W">#REF!</definedName>
    <definedName name="White">#REF!</definedName>
    <definedName name="X" localSheetId="4">#REF!</definedName>
    <definedName name="X">#REF!</definedName>
    <definedName name="XDVCS" localSheetId="4">#REF!</definedName>
    <definedName name="XDVCS">#REF!</definedName>
    <definedName name="YDS" localSheetId="4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4">#REF!</definedName>
    <definedName name="yyyyyyyyyyyyyyyyyyyyyyyyyyyyyyy">#REF!</definedName>
    <definedName name="ZF" localSheetId="4">#REF!</definedName>
    <definedName name="ZF">#REF!</definedName>
    <definedName name="ZYX" localSheetId="4">#REF!</definedName>
    <definedName name="ZYX">#REF!</definedName>
    <definedName name="zz" localSheetId="4">#REF!</definedName>
    <definedName name="zz">#REF!</definedName>
    <definedName name="ZZZ" localSheetId="4">#REF!</definedName>
    <definedName name="ZZZ">#REF!</definedName>
    <definedName name="효진">[26]ITL!#REF!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1" l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31" i="1"/>
  <c r="M92" i="1"/>
  <c r="L92" i="1"/>
  <c r="I92" i="1"/>
  <c r="O91" i="1"/>
  <c r="K91" i="1"/>
  <c r="O90" i="1"/>
  <c r="K90" i="1"/>
  <c r="O89" i="1"/>
  <c r="K89" i="1"/>
  <c r="O88" i="1"/>
  <c r="K88" i="1"/>
  <c r="O87" i="1"/>
  <c r="K87" i="1"/>
  <c r="O86" i="1"/>
  <c r="K86" i="1"/>
  <c r="O85" i="1"/>
  <c r="O84" i="1"/>
  <c r="K84" i="1"/>
  <c r="O83" i="1"/>
  <c r="K83" i="1"/>
  <c r="O82" i="1"/>
  <c r="K82" i="1"/>
  <c r="O81" i="1"/>
  <c r="K81" i="1"/>
  <c r="O80" i="1"/>
  <c r="K80" i="1"/>
  <c r="O79" i="1"/>
  <c r="O78" i="1"/>
  <c r="O77" i="1"/>
  <c r="K77" i="1"/>
  <c r="O76" i="1"/>
  <c r="K76" i="1"/>
  <c r="O75" i="1"/>
  <c r="O74" i="1"/>
  <c r="K74" i="1"/>
  <c r="O73" i="1"/>
  <c r="O72" i="1"/>
  <c r="K72" i="1"/>
  <c r="O71" i="1"/>
  <c r="K71" i="1"/>
  <c r="O70" i="1"/>
  <c r="O69" i="1"/>
  <c r="K69" i="1"/>
  <c r="O68" i="1"/>
  <c r="O67" i="1"/>
  <c r="K67" i="1"/>
  <c r="O66" i="1"/>
  <c r="O65" i="1"/>
  <c r="O64" i="1"/>
  <c r="O63" i="1"/>
  <c r="K63" i="1"/>
  <c r="O62" i="1"/>
  <c r="K62" i="1"/>
  <c r="O61" i="1"/>
  <c r="O60" i="1"/>
  <c r="K60" i="1"/>
  <c r="O59" i="1"/>
  <c r="O58" i="1"/>
  <c r="K58" i="1"/>
  <c r="O57" i="1"/>
  <c r="O56" i="1"/>
  <c r="O55" i="1"/>
  <c r="K55" i="1"/>
  <c r="O54" i="1"/>
  <c r="K54" i="1"/>
  <c r="O53" i="1"/>
  <c r="K53" i="1"/>
  <c r="O52" i="1"/>
  <c r="K52" i="1"/>
  <c r="O51" i="1"/>
  <c r="O50" i="1"/>
  <c r="O49" i="1"/>
  <c r="K49" i="1"/>
  <c r="O48" i="1"/>
  <c r="O47" i="1"/>
  <c r="K47" i="1"/>
  <c r="O46" i="1"/>
  <c r="O45" i="1"/>
  <c r="K45" i="1"/>
  <c r="O44" i="1"/>
  <c r="O43" i="1"/>
  <c r="K43" i="1"/>
  <c r="O42" i="1"/>
  <c r="O41" i="1"/>
  <c r="O40" i="1"/>
  <c r="K40" i="1"/>
  <c r="O39" i="1"/>
  <c r="K39" i="1"/>
  <c r="O38" i="1"/>
  <c r="O37" i="1"/>
  <c r="O36" i="1"/>
  <c r="O35" i="1"/>
  <c r="K35" i="1"/>
  <c r="O34" i="1"/>
  <c r="O33" i="1"/>
  <c r="K33" i="1"/>
  <c r="O32" i="1"/>
  <c r="O31" i="1"/>
  <c r="K31" i="1"/>
  <c r="K92" i="1" s="1"/>
  <c r="A29" i="8" l="1"/>
  <c r="G88" i="8" l="1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31" i="8"/>
  <c r="N34" i="8"/>
  <c r="N35" i="8"/>
  <c r="O35" i="8" s="1"/>
  <c r="N36" i="8"/>
  <c r="N37" i="8"/>
  <c r="N38" i="8"/>
  <c r="N39" i="8"/>
  <c r="O39" i="8" s="1"/>
  <c r="N40" i="8"/>
  <c r="N41" i="8"/>
  <c r="N42" i="8"/>
  <c r="N43" i="8"/>
  <c r="O43" i="8" s="1"/>
  <c r="N44" i="8"/>
  <c r="N45" i="8"/>
  <c r="N46" i="8"/>
  <c r="N47" i="8"/>
  <c r="O47" i="8" s="1"/>
  <c r="N48" i="8"/>
  <c r="N49" i="8"/>
  <c r="N50" i="8"/>
  <c r="N51" i="8"/>
  <c r="O51" i="8" s="1"/>
  <c r="N52" i="8"/>
  <c r="N53" i="8"/>
  <c r="N54" i="8"/>
  <c r="N55" i="8"/>
  <c r="O55" i="8" s="1"/>
  <c r="N56" i="8"/>
  <c r="N57" i="8"/>
  <c r="N58" i="8"/>
  <c r="N59" i="8"/>
  <c r="O59" i="8" s="1"/>
  <c r="N60" i="8"/>
  <c r="N61" i="8"/>
  <c r="N62" i="8"/>
  <c r="O62" i="8" s="1"/>
  <c r="N63" i="8"/>
  <c r="O63" i="8" s="1"/>
  <c r="N64" i="8"/>
  <c r="N65" i="8"/>
  <c r="N66" i="8"/>
  <c r="O66" i="8" s="1"/>
  <c r="N67" i="8"/>
  <c r="N68" i="8"/>
  <c r="N69" i="8"/>
  <c r="N70" i="8"/>
  <c r="O70" i="8" s="1"/>
  <c r="N71" i="8"/>
  <c r="O71" i="8" s="1"/>
  <c r="N72" i="8"/>
  <c r="N73" i="8"/>
  <c r="N74" i="8"/>
  <c r="O74" i="8" s="1"/>
  <c r="N75" i="8"/>
  <c r="O75" i="8" s="1"/>
  <c r="N76" i="8"/>
  <c r="N77" i="8"/>
  <c r="N78" i="8"/>
  <c r="O78" i="8" s="1"/>
  <c r="N79" i="8"/>
  <c r="O79" i="8" s="1"/>
  <c r="N80" i="8"/>
  <c r="N81" i="8"/>
  <c r="N82" i="8"/>
  <c r="O82" i="8" s="1"/>
  <c r="N83" i="8"/>
  <c r="O83" i="8" s="1"/>
  <c r="N84" i="8"/>
  <c r="N85" i="8"/>
  <c r="N86" i="8"/>
  <c r="O86" i="8" s="1"/>
  <c r="N87" i="8"/>
  <c r="O87" i="8" s="1"/>
  <c r="O34" i="8"/>
  <c r="O36" i="8"/>
  <c r="O37" i="8"/>
  <c r="O38" i="8"/>
  <c r="O40" i="8"/>
  <c r="O41" i="8"/>
  <c r="O42" i="8"/>
  <c r="O44" i="8"/>
  <c r="O45" i="8"/>
  <c r="O46" i="8"/>
  <c r="O48" i="8"/>
  <c r="O49" i="8"/>
  <c r="O50" i="8"/>
  <c r="O52" i="8"/>
  <c r="O53" i="8"/>
  <c r="O54" i="8"/>
  <c r="O56" i="8"/>
  <c r="O57" i="8"/>
  <c r="O58" i="8"/>
  <c r="O60" i="8"/>
  <c r="O61" i="8"/>
  <c r="O64" i="8"/>
  <c r="O65" i="8"/>
  <c r="O67" i="8"/>
  <c r="O68" i="8"/>
  <c r="O69" i="8"/>
  <c r="O72" i="8"/>
  <c r="O73" i="8"/>
  <c r="O76" i="8"/>
  <c r="O77" i="8"/>
  <c r="O80" i="8"/>
  <c r="O81" i="8"/>
  <c r="O84" i="8"/>
  <c r="O85" i="8"/>
  <c r="J88" i="8" l="1"/>
  <c r="N33" i="8"/>
  <c r="O33" i="8" s="1"/>
  <c r="N32" i="8"/>
  <c r="O32" i="8" s="1"/>
  <c r="N31" i="8"/>
  <c r="O31" i="8" s="1"/>
  <c r="G9" i="8" l="1"/>
  <c r="F9" i="8"/>
  <c r="C25" i="8" l="1"/>
  <c r="A25" i="8"/>
  <c r="A20" i="8"/>
  <c r="A19" i="8"/>
  <c r="A18" i="8"/>
  <c r="A17" i="8"/>
  <c r="A16" i="8"/>
  <c r="F6" i="8" l="1"/>
  <c r="C38" i="6" l="1"/>
  <c r="H35" i="6"/>
  <c r="K34" i="6"/>
  <c r="K33" i="6"/>
  <c r="K32" i="6"/>
  <c r="K31" i="6"/>
  <c r="K30" i="6"/>
  <c r="K29" i="6"/>
  <c r="K28" i="6"/>
  <c r="K27" i="6"/>
  <c r="K26" i="6"/>
  <c r="G6" i="8"/>
  <c r="C29" i="8"/>
  <c r="K35" i="6" l="1"/>
  <c r="J20" i="7"/>
  <c r="D26" i="7" s="1"/>
  <c r="G20" i="7"/>
  <c r="D24" i="7" s="1"/>
  <c r="I70" i="3"/>
  <c r="F66" i="3"/>
  <c r="P65" i="3"/>
  <c r="O65" i="3"/>
  <c r="N65" i="3"/>
  <c r="M65" i="3"/>
  <c r="L65" i="3"/>
  <c r="K65" i="3"/>
  <c r="J65" i="3"/>
  <c r="I65" i="3"/>
  <c r="H65" i="3"/>
  <c r="G65" i="3"/>
  <c r="F65" i="3"/>
  <c r="Q64" i="3"/>
  <c r="P64" i="3"/>
  <c r="O64" i="3"/>
  <c r="N64" i="3"/>
  <c r="M64" i="3"/>
  <c r="L64" i="3"/>
  <c r="K64" i="3"/>
  <c r="J64" i="3"/>
  <c r="I64" i="3"/>
  <c r="H64" i="3"/>
  <c r="G64" i="3"/>
  <c r="F64" i="3"/>
  <c r="Q63" i="3"/>
  <c r="P63" i="3"/>
  <c r="O63" i="3"/>
  <c r="N63" i="3"/>
  <c r="M63" i="3"/>
  <c r="L63" i="3"/>
  <c r="K63" i="3"/>
  <c r="J63" i="3"/>
  <c r="I63" i="3"/>
  <c r="H63" i="3"/>
  <c r="G63" i="3"/>
  <c r="F63" i="3"/>
  <c r="Q62" i="3"/>
  <c r="P62" i="3"/>
  <c r="O62" i="3"/>
  <c r="N62" i="3"/>
  <c r="M62" i="3"/>
  <c r="L62" i="3"/>
  <c r="K62" i="3"/>
  <c r="J62" i="3"/>
  <c r="I62" i="3"/>
  <c r="H62" i="3"/>
  <c r="G62" i="3"/>
  <c r="F62" i="3"/>
  <c r="C61" i="3"/>
  <c r="A61" i="3"/>
  <c r="C60" i="3"/>
  <c r="H59" i="3"/>
  <c r="L57" i="3"/>
  <c r="C4" i="3"/>
  <c r="D41" i="7"/>
  <c r="D36" i="7"/>
  <c r="D35" i="7"/>
  <c r="D34" i="7"/>
  <c r="C15" i="6"/>
  <c r="C9" i="6"/>
  <c r="C45" i="6" s="1"/>
  <c r="C4" i="6"/>
  <c r="C3" i="6"/>
  <c r="N11" i="5"/>
  <c r="M11" i="5"/>
  <c r="L11" i="5"/>
  <c r="J11" i="5"/>
  <c r="A11" i="5"/>
  <c r="L3" i="5"/>
  <c r="L9" i="1"/>
  <c r="J9" i="1"/>
  <c r="D29" i="8"/>
  <c r="C43" i="6"/>
</calcChain>
</file>

<file path=xl/sharedStrings.xml><?xml version="1.0" encoding="utf-8"?>
<sst xmlns="http://schemas.openxmlformats.org/spreadsheetml/2006/main" count="1566" uniqueCount="321">
  <si>
    <t xml:space="preserve"> ADVANCE KNITTING VIETNAM CO., LTD</t>
  </si>
  <si>
    <t>LOT F5-4, THUAN DAO INDUSTRIAL PARK'S EXPANSION PHASE, LONG CANG COMMUNE, TAY NINH PROVINCE, VIETNAM</t>
  </si>
  <si>
    <t>TEL:(+84)-723-643-733;       (+84)-723-643-734                                         FAX: (+84)-723-643-735</t>
  </si>
  <si>
    <t>PACKING LIST</t>
  </si>
  <si>
    <t>Shipper / Exporter:</t>
  </si>
  <si>
    <t>No. / Date of Packing List :</t>
  </si>
  <si>
    <t>ADVANCE KNITTING VIETNAM CO.,LTD</t>
  </si>
  <si>
    <t>No. / Date of Invoice :</t>
  </si>
  <si>
    <r>
      <rPr>
        <b/>
        <u/>
        <sz val="12"/>
        <color theme="1"/>
        <rFont val="Arial Narrow"/>
        <family val="2"/>
      </rPr>
      <t>Buyer:</t>
    </r>
    <r>
      <rPr>
        <b/>
        <sz val="12"/>
        <color indexed="8"/>
        <rFont val="Arial Narrow"/>
        <family val="2"/>
      </rPr>
      <t xml:space="preserve"> </t>
    </r>
  </si>
  <si>
    <t>GDI HK LIMITED</t>
  </si>
  <si>
    <t>No. / Date of Contract :</t>
  </si>
  <si>
    <t>FLAT H, 2/F MANSION INDUSTRIAL BUILDING,</t>
  </si>
  <si>
    <t>8 A KUNG NGAM VILLAGE LANE, SHAU KEI WAN, HONG KONG</t>
  </si>
  <si>
    <t>Notify party:</t>
  </si>
  <si>
    <t>KANMAX ENTERPRISES LIMITED</t>
  </si>
  <si>
    <t xml:space="preserve">Consignee: </t>
  </si>
  <si>
    <t>CHUTEX INTERNATIONAL CO.,LTD</t>
  </si>
  <si>
    <t>NO.18 THONG NHAT ROAD, SONG THAN INDUSTRIAL ZONE II,DI AN WARD,</t>
  </si>
  <si>
    <t>HO CHI MINH CITY, VIETNAM.</t>
  </si>
  <si>
    <t>TAX CODE :3700346873</t>
  </si>
  <si>
    <t>TEL :0084-274.3790.780|Ext.:260</t>
  </si>
  <si>
    <t>Loading:</t>
  </si>
  <si>
    <t>Discharge:</t>
  </si>
  <si>
    <r>
      <rPr>
        <b/>
        <u/>
        <sz val="12"/>
        <color theme="1"/>
        <rFont val="Arial Narrow"/>
        <family val="2"/>
      </rPr>
      <t>Term of Delivery:</t>
    </r>
    <r>
      <rPr>
        <sz val="12"/>
        <color theme="1"/>
        <rFont val="Arial Narrow"/>
        <family val="2"/>
      </rPr>
      <t xml:space="preserve"> </t>
    </r>
  </si>
  <si>
    <t>DAP HO CHI MINH</t>
  </si>
  <si>
    <t>TAY NINH</t>
  </si>
  <si>
    <t>HO CHI MINH</t>
  </si>
  <si>
    <t xml:space="preserve">Origin of Goods: </t>
  </si>
  <si>
    <t>Vietnam</t>
  </si>
  <si>
    <t>PO No:</t>
  </si>
  <si>
    <t>Delivery date</t>
  </si>
  <si>
    <t xml:space="preserve"> ETA:</t>
  </si>
  <si>
    <t>Term of Payment:</t>
  </si>
  <si>
    <t>T/T 100% PAYMENT WITHIN 30 DAYS DELIVERY</t>
  </si>
  <si>
    <t>POLYESTER KNITTED RIB</t>
  </si>
  <si>
    <t>CARTON NO</t>
  </si>
  <si>
    <t xml:space="preserve">
PO
</t>
  </si>
  <si>
    <t>DESCRIPTION 
OF GOODS</t>
  </si>
  <si>
    <t>ITEM NO</t>
  </si>
  <si>
    <t>COLOR</t>
  </si>
  <si>
    <t>SIZE</t>
  </si>
  <si>
    <t xml:space="preserve">REF# </t>
  </si>
  <si>
    <t xml:space="preserve">
Q'TY
</t>
  </si>
  <si>
    <t>UNIT</t>
  </si>
  <si>
    <t>Net Weight
     (Kgs)</t>
  </si>
  <si>
    <t>Gross Weight
      (Kgs)</t>
  </si>
  <si>
    <t>Measurements
     (CBM)</t>
  </si>
  <si>
    <t>60% BETTER COTTON (BCI) 40% POLYESTER 32S/1x4 PLY FLAT KNIT  COLLAR</t>
  </si>
  <si>
    <t>MONET BLUE 744油画蓝</t>
  </si>
  <si>
    <t>XS</t>
  </si>
  <si>
    <t>PCS</t>
  </si>
  <si>
    <t>S</t>
  </si>
  <si>
    <t>M</t>
  </si>
  <si>
    <t>XL</t>
  </si>
  <si>
    <t>L</t>
  </si>
  <si>
    <t>XXL</t>
  </si>
  <si>
    <t>L HUSKY</t>
  </si>
  <si>
    <t>XL HUSKY</t>
  </si>
  <si>
    <t>XXL HUSKY</t>
  </si>
  <si>
    <t>BLACK JACK 400黑色</t>
  </si>
  <si>
    <t>SIOB251103005</t>
  </si>
  <si>
    <t>KV06798 263K0033-A2+~A4(1ST LOT)/S/416363</t>
  </si>
  <si>
    <t>TOTAL</t>
  </si>
  <si>
    <t>MADE IN VIETNAM</t>
  </si>
  <si>
    <t>ADVANCE KNITTING VIETNAM CO., LTD</t>
  </si>
  <si>
    <t>Signature, full name, seal</t>
  </si>
  <si>
    <t>SHIMADA 4</t>
  </si>
  <si>
    <t>Carton No</t>
  </si>
  <si>
    <t xml:space="preserve">
PO NUMBER
</t>
  </si>
  <si>
    <t>PRODUCT CODE</t>
  </si>
  <si>
    <t>LOT</t>
  </si>
  <si>
    <t>PO-DMBK-I-2435/25</t>
  </si>
  <si>
    <t>ĐƠN 4</t>
  </si>
  <si>
    <t>(H25234206(TL-1)) POLYESTER KNITTED RIB SIZE S 100% POLYESTER</t>
  </si>
  <si>
    <t>H25234206(TL-1)</t>
  </si>
  <si>
    <t>7.5*37.5 CM</t>
  </si>
  <si>
    <t>GT250128</t>
  </si>
  <si>
    <t xml:space="preserve">PCS </t>
  </si>
  <si>
    <t>7.5*38.5 CM</t>
  </si>
  <si>
    <t>7.5*39.5 CM</t>
  </si>
  <si>
    <t>LL</t>
  </si>
  <si>
    <t>7.5*40.5 CM</t>
  </si>
  <si>
    <t>PO-DMBK-I-2432/25</t>
  </si>
  <si>
    <t>(H25234110(TM-1)) POLYESTER KNITTED RIB SIZE 3L 100% POLYESTER</t>
  </si>
  <si>
    <t>H25234110(TM-1)</t>
  </si>
  <si>
    <t>8*41 CM</t>
  </si>
  <si>
    <t>8*42.5 CM</t>
  </si>
  <si>
    <t>8*44 CM</t>
  </si>
  <si>
    <t>3L</t>
  </si>
  <si>
    <t>8*45.5 CM</t>
  </si>
  <si>
    <t xml:space="preserve">                                      ADVANCE KNITTING VIETNAM CO., LTD</t>
  </si>
  <si>
    <t>COMMERCIAL INVOICE</t>
  </si>
  <si>
    <t xml:space="preserve">LOT F5-4, THUAN DAO INDUSTRIAL PARK'S EXPANSION PHASE, LONG CANG </t>
  </si>
  <si>
    <t>Contract No. / Date:</t>
  </si>
  <si>
    <t>COMMUNE, TAY NINH PROVINCE, VIETNAM</t>
  </si>
  <si>
    <t>TEL:(+84)-723-643-733;       (+84)-723-643-734                                 FAX: (+84)-723-643-735</t>
  </si>
  <si>
    <r>
      <rPr>
        <b/>
        <u/>
        <sz val="11"/>
        <color theme="1"/>
        <rFont val="Arial Narrow"/>
        <family val="2"/>
      </rPr>
      <t>Origin of Goods:</t>
    </r>
    <r>
      <rPr>
        <sz val="11"/>
        <color theme="1"/>
        <rFont val="Arial Narrow"/>
        <family val="2"/>
      </rPr>
      <t xml:space="preserve"> Vietnam</t>
    </r>
  </si>
  <si>
    <t>PO</t>
  </si>
  <si>
    <t>REF#</t>
  </si>
  <si>
    <t>DESCRIPTION OF GOODS</t>
  </si>
  <si>
    <t>QUANTITY</t>
  </si>
  <si>
    <t>Unit</t>
  </si>
  <si>
    <t>UNIT PRICE
(USD)</t>
  </si>
  <si>
    <t>AMOUNT
(USD)</t>
  </si>
  <si>
    <t>USD</t>
  </si>
  <si>
    <t>SAY:</t>
  </si>
  <si>
    <t>PLEASE MAKE  PAYMENT TO OUR BANK :  JOINT STOCK COMMERCIAL BANK FOR FOREIGN TRADE OF VIET NAM (VIETCOMBANK)</t>
  </si>
  <si>
    <t>ACCOUNT NO : 0631370457237</t>
  </si>
  <si>
    <t xml:space="preserve">  Signature, full name, seal</t>
  </si>
  <si>
    <t>DELIVERY INSTRUCTION</t>
  </si>
  <si>
    <t>No.</t>
  </si>
  <si>
    <t>:</t>
  </si>
  <si>
    <t>Date</t>
  </si>
  <si>
    <t>Pursuant to Contract No.</t>
  </si>
  <si>
    <t>We (Buyer) hereby</t>
  </si>
  <si>
    <t>ADD: FLAT H, 2/F MANSION INDUSTRIAL BUILDING, 8 A KUNG NGAM VILLAGE LANE, SHAU KEI WAN, HONG KONG</t>
  </si>
  <si>
    <t>To appoint to Seller</t>
  </si>
  <si>
    <t>TEL:(+84)-723-643-733;       (+84)-723-643-734     FAX: (+84)-723-643-735</t>
  </si>
  <si>
    <t>To release cargo to Consignee</t>
  </si>
  <si>
    <t>As the followings</t>
  </si>
  <si>
    <t>AMOUNT IN WORDS</t>
  </si>
  <si>
    <t>ARTICLE 2: ORIGIN OF VIETNAM</t>
  </si>
  <si>
    <t>ARTICLE 3: PACKING</t>
  </si>
  <si>
    <t>Export Standard Packing</t>
  </si>
  <si>
    <t>ARTICLE 4: DELIVERY AND PAYMENT</t>
  </si>
  <si>
    <t>*Delivery</t>
  </si>
  <si>
    <t>*Delivery Time</t>
  </si>
  <si>
    <t>*Delivery Term</t>
  </si>
  <si>
    <t>*Bill To</t>
  </si>
  <si>
    <t>We kindly request the relevant parties to perform the delivery and receipt of goods in accordance with the above instruction and comply with the customs</t>
  </si>
  <si>
    <t>For and on behalf of Buyer</t>
  </si>
  <si>
    <t>BUYER: GDI HK LIMITED</t>
  </si>
  <si>
    <t>FLAT H, 2/F MANSION INDUSTRIAL BUILDING, 8 A KUNG NGAM VILLAGE LANE, SHAU KEI WAN, HONG KONG</t>
  </si>
  <si>
    <t>Date:</t>
  </si>
  <si>
    <t xml:space="preserve">THE FOLLOWING GOODS BY CONTRACT OF SALE MADE ON THE ABOVE DATE AND ON THE TERNMS AND </t>
  </si>
  <si>
    <t>CONDITIONS  HEREAFTER SET FORTH:</t>
  </si>
  <si>
    <t>COMMODITY</t>
  </si>
  <si>
    <t>CLOTHING ACCESSORIES</t>
  </si>
  <si>
    <t>QUALITY</t>
  </si>
  <si>
    <t>AS PER ADVANCE KNITTING VIETNAM'S STANDARD GRADE</t>
  </si>
  <si>
    <t>PACKING MARKING</t>
  </si>
  <si>
    <t>EXPORT STANDARD PACKING IN TRUCK</t>
  </si>
  <si>
    <t>TOTAL AMOUNT OF CONTRACT</t>
  </si>
  <si>
    <t>TERMS OF PAYMENT</t>
  </si>
  <si>
    <t>DELIVERY PLACE:</t>
  </si>
  <si>
    <t>BUYER NOMINATE SELLER DELIVER GOODS TO CONSIGNEE BELOW:</t>
  </si>
  <si>
    <t>DELIVERY TERM:</t>
  </si>
  <si>
    <t>NOTIFY PARTY (IF NEEDED)</t>
  </si>
  <si>
    <t>OUR BANK</t>
  </si>
  <si>
    <t>JOINT STOCK COMMERCIAL BANK FOR FOREIGN TRADE OF VIET NAM (VIETCOMBANK)</t>
  </si>
  <si>
    <t>BRANCH</t>
  </si>
  <si>
    <t xml:space="preserve"> 2A PHAM VAN NGU STREET, BEN LUC DISTRICT, LONG AN PROVINCE, VIET NAM</t>
  </si>
  <si>
    <t xml:space="preserve">ACCOUNT NO. </t>
  </si>
  <si>
    <t>0631370457237</t>
  </si>
  <si>
    <t>SWIFT CODE</t>
  </si>
  <si>
    <t>BFTVVNVX</t>
  </si>
  <si>
    <t xml:space="preserve">TIME OF SHIPMENT </t>
  </si>
  <si>
    <t>FROM</t>
  </si>
  <si>
    <t>DESTINATION                                  :</t>
  </si>
  <si>
    <t>INSPECTION</t>
  </si>
  <si>
    <t xml:space="preserve">ADVANCE KNITTING  VIETNAM FACTORY 'S INSPECTION TO BE TAKEN AS FINAL </t>
  </si>
  <si>
    <t>OTHER CONDITIONS</t>
  </si>
  <si>
    <t>PRICE ADJUSTMENT FOR INFERIOR  PRODUCTS IF ANY SHALL BE SETTLED BY THE</t>
  </si>
  <si>
    <t>SELLER BASED ON MUTUAL BENEFIT AND AMICABLE NEGOTIATION DURING TRANSACTION</t>
  </si>
  <si>
    <t>TERMS OF PAYMENT ALSO CAN BE MADE BY BALANCE SETTLE.</t>
  </si>
  <si>
    <t>Accepted and confirmed by</t>
  </si>
  <si>
    <t>( BUYER)</t>
  </si>
  <si>
    <t>( SELLER)</t>
  </si>
  <si>
    <t>Mẫu số: 02-VT</t>
  </si>
  <si>
    <t>出货明细
PHIẾU XUẤT KHO</t>
  </si>
  <si>
    <t>(Ban hành theo TT số: 200/2014/TT-BTC)</t>
  </si>
  <si>
    <t>Lô F5-4, KCN Thuận Đạo, huyện Cần Đước, tỉnh Long An</t>
  </si>
  <si>
    <t>Ngày 22/12/2014 của bộ trưởng BTC</t>
  </si>
  <si>
    <t>Nợ……………...........</t>
  </si>
  <si>
    <t>PXK:SH28032025</t>
  </si>
  <si>
    <t>Có……………............</t>
  </si>
  <si>
    <t xml:space="preserve">Họ tên người nhận hàng 领料员: </t>
  </si>
  <si>
    <t>PO:</t>
  </si>
  <si>
    <t>Khách hàng/ Bộ phận 部门SHIMADA SHOJI (VIETNAM) CO., LTD</t>
  </si>
  <si>
    <t>Biển kiểm soát :</t>
  </si>
  <si>
    <t>Địa chỉ 地址Lô số 21-1, 21-2 và 21-3, Đường số 8B, Khu Công Nghiệp Quốc Tế Protrade,Xã An Tây, Thị xã Bến Cát, T.BD.VN</t>
  </si>
  <si>
    <t>Lý do xuất kho:</t>
  </si>
  <si>
    <t>XUẤT THÀNH PHẨM 出口成品</t>
  </si>
  <si>
    <t xml:space="preserve">Xuất tại kho: </t>
  </si>
  <si>
    <t xml:space="preserve">CÔNG TY TNHH ADVANCE KNITTING VIỆT NAM </t>
  </si>
  <si>
    <t xml:space="preserve"> </t>
  </si>
  <si>
    <t>Ghi chú备注: 15 THÙNG</t>
  </si>
  <si>
    <t>STT</t>
  </si>
  <si>
    <t>色號
Mã màu</t>
  </si>
  <si>
    <t>缸号
Mã Lot</t>
  </si>
  <si>
    <t>尺寸
Quy cách</t>
  </si>
  <si>
    <t xml:space="preserve">单位
Đơn vị </t>
  </si>
  <si>
    <t xml:space="preserve">数量
Số lượng </t>
  </si>
  <si>
    <t>Ghi chú
备注</t>
  </si>
  <si>
    <t>良品数量
Thực xuất</t>
  </si>
  <si>
    <t>PO-DMBK-I-1669(HN)/25</t>
  </si>
  <si>
    <t>NVY</t>
  </si>
  <si>
    <t>GT240114</t>
  </si>
  <si>
    <t xml:space="preserve"> 140MMX500MM</t>
  </si>
  <si>
    <t>WHT</t>
  </si>
  <si>
    <t>GT240815</t>
  </si>
  <si>
    <t>ABN</t>
  </si>
  <si>
    <t>GT250221</t>
  </si>
  <si>
    <t>PO-DMBK-I-2418/25</t>
  </si>
  <si>
    <t>1120(NAVY)</t>
  </si>
  <si>
    <t>GT250204</t>
  </si>
  <si>
    <t xml:space="preserve">6.5X50CM </t>
  </si>
  <si>
    <t>1030(WHITE)</t>
  </si>
  <si>
    <t>1140(GREEN)</t>
  </si>
  <si>
    <t>1110(RED)</t>
  </si>
  <si>
    <t>PO-DMBK-I-1668/25</t>
  </si>
  <si>
    <t>GT250218
GT240815</t>
  </si>
  <si>
    <t>100MM*600MM</t>
  </si>
  <si>
    <t>THIẾU 800</t>
  </si>
  <si>
    <t>DBL</t>
  </si>
  <si>
    <t>GT250114
GT240815</t>
  </si>
  <si>
    <t>THIẾU 200</t>
  </si>
  <si>
    <t>BLK</t>
  </si>
  <si>
    <t>GT250218</t>
  </si>
  <si>
    <t>110MM*800MM</t>
  </si>
  <si>
    <t>THIẾU 300</t>
  </si>
  <si>
    <t xml:space="preserve">金额 Tổng </t>
  </si>
  <si>
    <t xml:space="preserve">Tổng Tiền: </t>
  </si>
  <si>
    <t>đồng./.</t>
  </si>
  <si>
    <t>收货人
người nhận hàng</t>
  </si>
  <si>
    <t>负担人
người lập phiếu</t>
  </si>
  <si>
    <t>仓管
Quản kho</t>
  </si>
  <si>
    <t>批准
Phê Chuẩn</t>
  </si>
  <si>
    <t>CHÂU QUANG TRÊN</t>
  </si>
  <si>
    <t>TRƯƠNG TẤN ĐẠT</t>
  </si>
  <si>
    <t>FAN SENG FATT</t>
  </si>
  <si>
    <t xml:space="preserve">                                 </t>
  </si>
  <si>
    <t>SALE CONTRACT</t>
  </si>
  <si>
    <t>SIOB251103005-1</t>
  </si>
  <si>
    <t>AK/GDI/CT-202512 on Dec. 17, 2025</t>
  </si>
  <si>
    <t xml:space="preserve">BASE ON PO NO SIOB251103005 SIGNED ON NOVEMBER 03, 2025 ;
ADVANCE KNITTING VIETNAM CO.,LTD AS SELLER , HEREBY CONFIRMS HAVING SOLD THE REMAIN QUANTITY OF THIS PO TO YOUR FIRM </t>
  </si>
  <si>
    <t>US DOLLAR FORTY FOUR AND THREE CENTS ONLY.</t>
  </si>
  <si>
    <t>No:</t>
  </si>
  <si>
    <t>14-1/4"x3.625”</t>
  </si>
  <si>
    <t>16"x3.625”</t>
  </si>
  <si>
    <t>17"x3.625”</t>
  </si>
  <si>
    <t>16-1/2"x3.625”</t>
  </si>
  <si>
    <t>17-1/2"x3.625”</t>
  </si>
  <si>
    <t>Mô tả tiếng việt</t>
  </si>
  <si>
    <t>HS CODE</t>
  </si>
  <si>
    <t>Bo thun cổ áo, màu BLACK JACK 400, size XXL HUSKY. Mới 100%#&amp;VN</t>
  </si>
  <si>
    <t>Bo thun cổ áo, màu BLACK JACK 400, size M. Mới 100%#&amp;VN</t>
  </si>
  <si>
    <t>Bo thun cổ áo, màu BLACK JACK 400, size L. Mới 100%#&amp;VN</t>
  </si>
  <si>
    <t>Bo thun cổ áo, màu BLACK JACK 400, size XL. Mới 100%#&amp;VN</t>
  </si>
  <si>
    <t>Bo thun cổ áo, màu BLACK JACK 400, size XXL. Mới 100%#&amp;VN</t>
  </si>
  <si>
    <t>Bo thun cổ áo, màu BLACK JACK 400, size L HUSKY. Mới 100%#&amp;VN</t>
  </si>
  <si>
    <t>Bo thun cổ áo, màu BLACK JACK 400, size XL HUSKY. Mới 100%#&amp;VN</t>
  </si>
  <si>
    <t>SIOB251105016</t>
  </si>
  <si>
    <t>KV06800 263K0033-B~E4(3RD MB)/ S/416363</t>
  </si>
  <si>
    <t>Bo thun cổ áo, màu BLACK JACK 400, size XS. Mới 100%#&amp;VN</t>
  </si>
  <si>
    <t>Bo thun cổ áo, màu BLACK JACK 400, size S. Mới 100%#&amp;VN</t>
  </si>
  <si>
    <t>TEL: 65 6702 1179                                         FAX : FAX: 65 6702 1182</t>
  </si>
  <si>
    <t>By T/T</t>
  </si>
  <si>
    <r>
      <t>Term of Payment:</t>
    </r>
    <r>
      <rPr>
        <sz val="11"/>
        <color theme="1"/>
        <rFont val="Arial Narrow"/>
        <family val="2"/>
      </rPr>
      <t xml:space="preserve"> By T/T</t>
    </r>
  </si>
  <si>
    <t>13-1/4"x3.375”</t>
  </si>
  <si>
    <t>15"x3.625”</t>
  </si>
  <si>
    <t>15-1/2"x3.625”</t>
  </si>
  <si>
    <t>ADD: 60 PAYA LEBAR ROAD, #04-21 PAYA LEBAR SQUARE, SINGAPORE 409051, SINGAPORE.</t>
  </si>
  <si>
    <t>By Truck/ Lalamove</t>
  </si>
  <si>
    <t>PT NIRWANA ALABARE GARMENT</t>
  </si>
  <si>
    <t xml:space="preserve">JL. RAYA RANCAEKEK - MAJALAYA , NO.289, DESA SOLOKAN JERUK, </t>
  </si>
  <si>
    <t>KECAMATAN SOLOKAN JERUK, KABUPATEN BANDUNG JAWA BARAT</t>
  </si>
  <si>
    <t>40382, INDONESIA</t>
  </si>
  <si>
    <t>TAX ID :0745 4069 2644 4000</t>
  </si>
  <si>
    <t>JAKARTA</t>
  </si>
  <si>
    <r>
      <t>Term of Delivery:</t>
    </r>
    <r>
      <rPr>
        <sz val="11"/>
        <color theme="1"/>
        <rFont val="Arial Narrow"/>
        <family val="2"/>
      </rPr>
      <t xml:space="preserve"> CFR JAKARTA INDONESIA</t>
    </r>
  </si>
  <si>
    <t>CFR JAKARTA INDONESIA</t>
  </si>
  <si>
    <t>SIOB260205005</t>
  </si>
  <si>
    <t>KD00397 265K0051-1ST LOT/ 
S/416363</t>
  </si>
  <si>
    <t>CALLA LILY 451漂白</t>
  </si>
  <si>
    <t>BLUE TANGO 884克莱恩蓝</t>
  </si>
  <si>
    <t>B25 FAUX HEATHER GREY (B25 PSD)B25单染涤</t>
  </si>
  <si>
    <t>WINE STAIN 853酒红</t>
  </si>
  <si>
    <t>13-3/4"x3.375”</t>
  </si>
  <si>
    <t>SIOB260205012</t>
  </si>
  <si>
    <t>KD00400 265K0052 -1ST LOT/ S/767468</t>
  </si>
  <si>
    <t>13"x3.375”</t>
  </si>
  <si>
    <t>14"x3.625”</t>
  </si>
  <si>
    <t>ĐƠN 10</t>
  </si>
  <si>
    <t>ĐƠN 11</t>
  </si>
  <si>
    <t>Bo thun cổ áo, màu BLUE TANGO 884, size XS. Mới 100%#&amp;VN</t>
  </si>
  <si>
    <t>Bo thun cổ áo, màu BLUE TANGO 884, size S. Mới 100%#&amp;VN</t>
  </si>
  <si>
    <t>Bo thun cổ áo, màu BLUE TANGO 884, size M. Mới 100%#&amp;VN</t>
  </si>
  <si>
    <t>Bo thun cổ áo, màu BLUE TANGO 884, size L. Mới 100%#&amp;VN</t>
  </si>
  <si>
    <t>Bo thun cổ áo, màu BLUE TANGO 884, size XL. Mới 100%#&amp;VN</t>
  </si>
  <si>
    <t>Bo thun cổ áo, màu BLUE TANGO 884, size XXL. Mới 100%#&amp;VN</t>
  </si>
  <si>
    <t>Bo thun cổ áo, màu BLUE TANGO 884, size L HUSKY. Mới 100%#&amp;VN</t>
  </si>
  <si>
    <t>Bo thun cổ áo, màu BLUE TANGO 884, size XL HUSKY. Mới 100%#&amp;VN</t>
  </si>
  <si>
    <t>Bo thun cổ áo, màu BLUE TANGO 884, size XXL HUSKY. Mới 100%#&amp;VN</t>
  </si>
  <si>
    <t>Bo thun cổ áo, màu CALLA LILY 451, size L. Mới 100%#&amp;VN</t>
  </si>
  <si>
    <t>Bo thun cổ áo, màu WINE STAIN 853, size XS. Mới 100%#&amp;VN</t>
  </si>
  <si>
    <t>Bo thun cổ áo, màu WINE STAIN 853, size S. Mới 100%#&amp;VN</t>
  </si>
  <si>
    <t>Bo thun cổ áo, màu WINE STAIN 853, size M. Mới 100%#&amp;VN</t>
  </si>
  <si>
    <t>Bo thun cổ áo, màu WINE STAIN 853, size L. Mới 100%#&amp;VN</t>
  </si>
  <si>
    <t>Bo thun cổ áo, màu WINE STAIN 853, size XL. Mới 100%#&amp;VN</t>
  </si>
  <si>
    <t>Bo thun cổ áo, màu WINE STAIN 853, size XXL. Mới 100%#&amp;VN</t>
  </si>
  <si>
    <t>Bo thun cổ áo, màu WINE STAIN 853, size L HUSKY. Mới 100%#&amp;VN</t>
  </si>
  <si>
    <t>Bo thun cổ áo, màu WINE STAIN 853, size XL HUSKY. Mới 100%#&amp;VN</t>
  </si>
  <si>
    <t>Bo thun cổ áo, màu WINE STAIN 853, size XXL HUSKY. Mới 100%#&amp;VN</t>
  </si>
  <si>
    <t>Bo thun cổ áo, màu B25 FAUX HEATHER GREY (B25 PSD)B25, size XXL HUSKY. Mới 100%#&amp;VN</t>
  </si>
  <si>
    <t>Bo thun cổ áo, màu B25 FAUX HEATHER GREY (B25 PSD)B25, size XS. Mới 100%#&amp;VN</t>
  </si>
  <si>
    <t>Bo thun cổ áo, màu B25 FAUX HEATHER GREY (B25 PSD)B25, size S. Mới 100%#&amp;VN</t>
  </si>
  <si>
    <t>Bo thun cổ áo, màu B25 FAUX HEATHER GREY (B25 PSD)B25, size M. Mới 100%#&amp;VN</t>
  </si>
  <si>
    <t>Bo thun cổ áo, màu B25 FAUX HEATHER GREY (B25 PSD)B25, size L. Mới 100%#&amp;VN</t>
  </si>
  <si>
    <t>Bo thun cổ áo, màu B25 FAUX HEATHER GREY (B25 PSD)B25, size XL. Mới 100%#&amp;VN</t>
  </si>
  <si>
    <t>Bo thun cổ áo, màu B25 FAUX HEATHER GREY (B25 PSD)B25, size XXL. Mới 100%#&amp;VN</t>
  </si>
  <si>
    <t>Bo thun cổ áo, màu B25 FAUX HEATHER GREY (B25 PSD)B25, size L HUSKY. Mới 100%#&amp;VN</t>
  </si>
  <si>
    <t>Bo thun cổ áo, màu B25 FAUX HEATHER GREY (B25 PSD)B25, size XL HUSKY. Mới 100%#&amp;VN</t>
  </si>
  <si>
    <t>AK/GDI-20260009</t>
  </si>
  <si>
    <t>AK/GDI/CT-202602</t>
  </si>
  <si>
    <t>EMAIL : LUSI@PTNAG.COM
                  YUS.YULIUS@PTNAG.COM</t>
  </si>
  <si>
    <t>Bo thun cổ áo, màu CALLA LILY 451, size XS. Mới 100%#&amp;VN</t>
  </si>
  <si>
    <t>Bo thun cổ áo, màu CALLA LILY 451, size XL. Mới 100%#&amp;VN</t>
  </si>
  <si>
    <t>TR 0553</t>
  </si>
  <si>
    <t>FLIGHT NO:</t>
  </si>
  <si>
    <t>US DOLLAR SIX THOUSAND SEVEN HUNDRED TWENTY FOUR AND SIXTY ONE CENTS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</si>
</sst>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5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.\ dd\,\ yyyy"/>
    <numFmt numFmtId="165" formatCode="_-* #,##0.00\ _₫_-;\-* #,##0.00\ _₫_-;_-* &quot;-&quot;??\ _₫_-;_-@_-"/>
    <numFmt numFmtId="166" formatCode="&quot;$&quot;#,##0.00"/>
    <numFmt numFmtId="167" formatCode="[$-409]d\-mmm\-yy;@"/>
    <numFmt numFmtId="168" formatCode="[$$-409]#,##0.00"/>
    <numFmt numFmtId="169" formatCode="_-* #,##0\ _₫_-;\-* #,##0\ _₫_-;_-* &quot;-&quot;??\ _₫_-;_-@_-"/>
    <numFmt numFmtId="170" formatCode="_(* #,##0_);_(* \(#,##0\);_(* &quot;-&quot;??_);_(@_)"/>
    <numFmt numFmtId="171" formatCode="&quot;Ngày&quot;\ dd\ &quot;Tháng&quot;\ mm\ &quot;Năm&quot;\ yyyy\."/>
    <numFmt numFmtId="172" formatCode="[$-409]mmmm\ d\,\ yyyy;@"/>
    <numFmt numFmtId="173" formatCode="#,##0.0\ &quot;KGS ( GW ) &quot;"/>
    <numFmt numFmtId="174" formatCode="0\ &quot;SETS HEM)&quot;"/>
    <numFmt numFmtId="175" formatCode="#,##0.00\ &quot;USD &quot;"/>
    <numFmt numFmtId="176" formatCode="0.000_);[Red]\(0.000\)"/>
    <numFmt numFmtId="177" formatCode="#,##0.00000"/>
    <numFmt numFmtId="178" formatCode="#,##0\ &quot;CARTONS&quot;"/>
    <numFmt numFmtId="179" formatCode="_(* #,##0.000_);_(* \(#,##0.000\);_(* &quot;-&quot;??_);_(@_)"/>
    <numFmt numFmtId="180" formatCode="#,##0.00\ &quot;KGS&quot;"/>
    <numFmt numFmtId="181" formatCode="#,##0.00\ &quot;CBM&quot;"/>
    <numFmt numFmtId="182" formatCode="#,##0\ &quot;Cartons&quot;"/>
    <numFmt numFmtId="183" formatCode="#,##0.00\ &quot;MET&quot;"/>
    <numFmt numFmtId="184" formatCode="0_);\(0\)"/>
  </numFmts>
  <fonts count="1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sz val="15"/>
      <name val="Times New Roman"/>
      <family val="1"/>
    </font>
    <font>
      <b/>
      <sz val="22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14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2"/>
      <color theme="1"/>
      <name val="Arial Narrow"/>
      <family val="2"/>
    </font>
    <font>
      <sz val="14"/>
      <color rgb="FF000000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sz val="16"/>
      <color rgb="FF000000"/>
      <name val="Arial Narrow"/>
      <family val="2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2"/>
      <name val="Times New Roman"/>
      <family val="1"/>
    </font>
    <font>
      <i/>
      <sz val="7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rial Narrow"/>
      <family val="2"/>
    </font>
    <font>
      <sz val="10"/>
      <name val="Times New Roman"/>
      <family val="1"/>
    </font>
    <font>
      <b/>
      <sz val="13"/>
      <color theme="1"/>
      <name val="Arial Narrow"/>
      <family val="2"/>
    </font>
    <font>
      <b/>
      <sz val="30"/>
      <color indexed="23"/>
      <name val="Times New Roman"/>
      <family val="1"/>
    </font>
    <font>
      <u/>
      <sz val="13"/>
      <name val="Arial Narrow"/>
      <family val="2"/>
    </font>
    <font>
      <b/>
      <sz val="13"/>
      <name val="Arial Narrow"/>
      <family val="2"/>
    </font>
    <font>
      <sz val="13"/>
      <name val="Arial Narrow"/>
      <family val="2"/>
    </font>
    <font>
      <sz val="13"/>
      <color theme="1"/>
      <name val="Arial Narrow"/>
      <family val="2"/>
    </font>
    <font>
      <b/>
      <sz val="16"/>
      <name val="Times New Roman"/>
      <family val="1"/>
    </font>
    <font>
      <b/>
      <u/>
      <sz val="13"/>
      <name val="Arial Narrow"/>
      <family val="2"/>
    </font>
    <font>
      <b/>
      <sz val="12"/>
      <color theme="1"/>
      <name val="Arial Narrow"/>
      <family val="2"/>
    </font>
    <font>
      <b/>
      <sz val="15"/>
      <color theme="1"/>
      <name val="Arial Narrow"/>
      <family val="2"/>
    </font>
    <font>
      <b/>
      <sz val="12"/>
      <name val="Arial Narrow"/>
      <family val="2"/>
    </font>
    <font>
      <b/>
      <sz val="15"/>
      <name val="Arial Narrow"/>
      <family val="2"/>
    </font>
    <font>
      <i/>
      <sz val="13"/>
      <name val="Arial Narrow"/>
      <family val="2"/>
    </font>
    <font>
      <b/>
      <sz val="10"/>
      <color indexed="8"/>
      <name val="Times New Roman"/>
      <family val="1"/>
    </font>
    <font>
      <sz val="12"/>
      <color theme="3"/>
      <name val="Times New Roman"/>
      <family val="1"/>
    </font>
    <font>
      <sz val="12"/>
      <name val="Times New Roman"/>
      <family val="1"/>
    </font>
    <font>
      <i/>
      <sz val="12"/>
      <color indexed="30"/>
      <name val="Times New Roman"/>
      <family val="1"/>
    </font>
    <font>
      <sz val="12"/>
      <color indexed="30"/>
      <name val="Times New Roman"/>
      <family val="1"/>
    </font>
    <font>
      <sz val="14"/>
      <color indexed="30"/>
      <name val="Times New Roman"/>
      <family val="1"/>
    </font>
    <font>
      <i/>
      <sz val="12"/>
      <color theme="3"/>
      <name val="Times New Roman"/>
      <family val="1"/>
    </font>
    <font>
      <b/>
      <sz val="12"/>
      <color theme="3"/>
      <name val="Times New Roman"/>
      <family val="1"/>
    </font>
    <font>
      <sz val="10"/>
      <color indexed="8"/>
      <name val="Times New Roman"/>
      <family val="1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Arial Narrow"/>
      <family val="2"/>
    </font>
    <font>
      <b/>
      <sz val="22"/>
      <color theme="1"/>
      <name val="Arial"/>
      <family val="2"/>
    </font>
    <font>
      <b/>
      <u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2"/>
      <color rgb="FFFF0000"/>
      <name val="Arial Narrow"/>
      <family val="2"/>
    </font>
    <font>
      <b/>
      <sz val="12"/>
      <color indexed="8"/>
      <name val="Arial Narrow"/>
      <family val="2"/>
    </font>
    <font>
      <sz val="12"/>
      <name val="Arial Narrow"/>
      <family val="2"/>
    </font>
    <font>
      <sz val="12"/>
      <color indexed="8"/>
      <name val="Arial Narrow"/>
      <family val="2"/>
    </font>
    <font>
      <b/>
      <u/>
      <sz val="12"/>
      <color indexed="8"/>
      <name val="Arial Narrow"/>
      <family val="2"/>
    </font>
    <font>
      <b/>
      <u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name val="Arial Narrow"/>
      <family val="2"/>
    </font>
    <font>
      <u/>
      <sz val="8"/>
      <color theme="1"/>
      <name val="Arial Narrow"/>
      <family val="2"/>
    </font>
    <font>
      <sz val="12"/>
      <name val=".VnTime"/>
      <charset val="134"/>
    </font>
    <font>
      <b/>
      <sz val="25"/>
      <color theme="1"/>
      <name val="Arial Narrow"/>
      <family val="2"/>
    </font>
    <font>
      <i/>
      <sz val="10"/>
      <color theme="1"/>
      <name val="Arial Narrow"/>
      <family val="2"/>
    </font>
    <font>
      <b/>
      <sz val="16"/>
      <color indexed="8"/>
      <name val="Arial Narrow"/>
      <family val="2"/>
    </font>
    <font>
      <b/>
      <sz val="12"/>
      <color rgb="FFFF0000"/>
      <name val="Arial Narrow"/>
      <family val="2"/>
    </font>
    <font>
      <b/>
      <u/>
      <sz val="13"/>
      <color theme="1"/>
      <name val="Arial Narrow"/>
      <family val="2"/>
    </font>
    <font>
      <i/>
      <sz val="13"/>
      <color theme="1"/>
      <name val="Arial Narrow"/>
      <family val="2"/>
    </font>
    <font>
      <b/>
      <sz val="13"/>
      <color rgb="FFFF0000"/>
      <name val="Arial Narrow"/>
      <family val="2"/>
    </font>
    <font>
      <sz val="11"/>
      <color rgb="FF000000"/>
      <name val="Calibri"/>
      <family val="2"/>
    </font>
    <font>
      <b/>
      <sz val="20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MS Sans Serif"/>
      <family val="2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indexed="12"/>
      <name val=".VnTime"/>
      <charset val="134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1"/>
      <name val="Calibri"/>
      <family val="2"/>
    </font>
    <font>
      <sz val="10"/>
      <name val="VNI-Times"/>
      <charset val="134"/>
    </font>
    <font>
      <sz val="12"/>
      <name val="바탕체"/>
      <charset val="129"/>
    </font>
    <font>
      <sz val="11"/>
      <name val="돋움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0"/>
      <color theme="8" tint="0.89992980742820516"/>
      <name val="Calibri"/>
      <family val="2"/>
      <scheme val="minor"/>
    </font>
    <font>
      <sz val="9"/>
      <color rgb="FF000000"/>
      <name val="Arial"/>
      <family val="2"/>
    </font>
    <font>
      <sz val="12"/>
      <name val="宋体"/>
      <charset val="134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sz val="1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name val="Arial Narrow"/>
      <family val="2"/>
    </font>
    <font>
      <sz val="13"/>
      <name val="Arial Narrow"/>
      <family val="2"/>
    </font>
    <font>
      <sz val="12"/>
      <name val=".VnTime"/>
      <family val="2"/>
    </font>
    <font>
      <b/>
      <sz val="14"/>
      <color theme="1"/>
      <name val="Arial Narrow"/>
      <family val="2"/>
    </font>
    <font>
      <sz val="15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70C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medium">
        <color auto="1"/>
      </bottom>
      <diagonal/>
    </border>
    <border>
      <left/>
      <right style="hair">
        <color auto="1"/>
      </right>
      <top style="hair">
        <color indexed="64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84">
    <xf numFmtId="0" fontId="0" fillId="0" borderId="0"/>
    <xf numFmtId="43" fontId="103" fillId="0" borderId="0" applyFont="0" applyFill="0" applyBorder="0" applyAlignment="0" applyProtection="0"/>
    <xf numFmtId="0" fontId="86" fillId="0" borderId="0" applyNumberFormat="0" applyFill="0" applyBorder="0" applyAlignment="0" applyProtection="0"/>
    <xf numFmtId="41" fontId="74" fillId="0" borderId="0" applyFont="0" applyFill="0" applyBorder="0" applyAlignment="0" applyProtection="0"/>
    <xf numFmtId="40" fontId="87" fillId="0" borderId="0" applyFont="0" applyFill="0" applyBorder="0" applyAlignment="0" applyProtection="0"/>
    <xf numFmtId="43" fontId="74" fillId="0" borderId="0" applyFont="0" applyFill="0" applyBorder="0" applyAlignment="0" applyProtection="0"/>
    <xf numFmtId="164" fontId="88" fillId="0" borderId="0" applyFont="0" applyFill="0" applyBorder="0" applyAlignment="0" applyProtection="0"/>
    <xf numFmtId="40" fontId="87" fillId="0" borderId="0" applyFont="0" applyFill="0" applyBorder="0" applyAlignment="0" applyProtection="0"/>
    <xf numFmtId="165" fontId="103" fillId="0" borderId="0" applyFont="0" applyFill="0" applyBorder="0" applyAlignment="0" applyProtection="0"/>
    <xf numFmtId="165" fontId="89" fillId="0" borderId="0" applyFont="0" applyFill="0" applyBorder="0" applyAlignment="0" applyProtection="0"/>
    <xf numFmtId="165" fontId="89" fillId="0" borderId="0" applyFont="0" applyFill="0" applyBorder="0" applyAlignment="0" applyProtection="0"/>
    <xf numFmtId="165" fontId="90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3" fontId="74" fillId="0" borderId="0" applyFont="0" applyFill="0" applyBorder="0" applyAlignment="0" applyProtection="0"/>
    <xf numFmtId="44" fontId="103" fillId="0" borderId="0" applyFont="0" applyFill="0" applyBorder="0" applyAlignment="0" applyProtection="0"/>
    <xf numFmtId="8" fontId="87" fillId="0" borderId="0" applyFont="0" applyFill="0" applyBorder="0" applyAlignment="0" applyProtection="0"/>
    <xf numFmtId="166" fontId="89" fillId="0" borderId="0" applyFont="0" applyFill="0" applyBorder="0" applyProtection="0">
      <alignment horizontal="right"/>
    </xf>
    <xf numFmtId="0" fontId="91" fillId="0" borderId="0" applyNumberFormat="0" applyFill="0" applyBorder="0" applyAlignment="0" applyProtection="0">
      <alignment vertical="top"/>
      <protection locked="0"/>
    </xf>
    <xf numFmtId="0" fontId="92" fillId="0" borderId="0" applyNumberFormat="0" applyFont="0" applyFill="0" applyBorder="0" applyProtection="0">
      <alignment horizontal="left" indent="1"/>
    </xf>
    <xf numFmtId="0" fontId="93" fillId="0" borderId="0" applyNumberFormat="0" applyFill="0" applyBorder="0" applyProtection="0">
      <alignment horizontal="left"/>
    </xf>
    <xf numFmtId="0" fontId="103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4" fillId="0" borderId="0">
      <alignment vertical="top"/>
      <protection locked="0"/>
    </xf>
    <xf numFmtId="0" fontId="103" fillId="0" borderId="0">
      <alignment vertical="center"/>
    </xf>
    <xf numFmtId="0" fontId="89" fillId="0" borderId="0">
      <alignment vertical="center"/>
    </xf>
    <xf numFmtId="0" fontId="103" fillId="0" borderId="0"/>
    <xf numFmtId="0" fontId="89" fillId="0" borderId="0">
      <alignment vertical="center"/>
    </xf>
    <xf numFmtId="0" fontId="95" fillId="0" borderId="0">
      <alignment vertical="top"/>
    </xf>
    <xf numFmtId="0" fontId="96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90" fillId="0" borderId="0"/>
    <xf numFmtId="0" fontId="74" fillId="0" borderId="0"/>
    <xf numFmtId="0" fontId="74" fillId="0" borderId="0"/>
    <xf numFmtId="0" fontId="90" fillId="0" borderId="0"/>
    <xf numFmtId="0" fontId="87" fillId="0" borderId="0" applyNumberFormat="0" applyFont="0"/>
    <xf numFmtId="0" fontId="82" fillId="0" borderId="0"/>
    <xf numFmtId="0" fontId="103" fillId="0" borderId="0"/>
    <xf numFmtId="0" fontId="103" fillId="0" borderId="0"/>
    <xf numFmtId="0" fontId="103" fillId="0" borderId="0"/>
    <xf numFmtId="0" fontId="89" fillId="0" borderId="0"/>
    <xf numFmtId="0" fontId="89" fillId="0" borderId="0"/>
    <xf numFmtId="167" fontId="103" fillId="0" borderId="0"/>
    <xf numFmtId="0" fontId="103" fillId="0" borderId="0"/>
    <xf numFmtId="0" fontId="97" fillId="0" borderId="0"/>
    <xf numFmtId="0" fontId="98" fillId="0" borderId="0"/>
    <xf numFmtId="168" fontId="99" fillId="0" borderId="0"/>
    <xf numFmtId="0" fontId="100" fillId="5" borderId="0" applyNumberFormat="0" applyBorder="0" applyAlignment="0" applyProtection="0"/>
    <xf numFmtId="0" fontId="101" fillId="0" borderId="0">
      <alignment horizontal="center" vertical="center"/>
    </xf>
    <xf numFmtId="0" fontId="92" fillId="4" borderId="0" applyNumberFormat="0" applyFont="0" applyBorder="0" applyAlignment="0" applyProtection="0"/>
    <xf numFmtId="0" fontId="97" fillId="0" borderId="0"/>
    <xf numFmtId="0" fontId="103" fillId="0" borderId="0">
      <alignment vertical="center"/>
    </xf>
    <xf numFmtId="0" fontId="103" fillId="0" borderId="0">
      <alignment vertical="center"/>
    </xf>
    <xf numFmtId="0" fontId="103" fillId="0" borderId="0"/>
    <xf numFmtId="0" fontId="102" fillId="0" borderId="0"/>
    <xf numFmtId="0" fontId="110" fillId="0" borderId="0"/>
    <xf numFmtId="43" fontId="110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0" fillId="0" borderId="0"/>
    <xf numFmtId="43" fontId="74" fillId="0" borderId="0" applyFont="0" applyFill="0" applyBorder="0" applyAlignment="0" applyProtection="0"/>
    <xf numFmtId="0" fontId="113" fillId="0" borderId="0"/>
    <xf numFmtId="0" fontId="110" fillId="0" borderId="0"/>
    <xf numFmtId="43" fontId="74" fillId="0" borderId="0" applyFont="0" applyFill="0" applyBorder="0" applyAlignment="0" applyProtection="0"/>
    <xf numFmtId="0" fontId="2" fillId="0" borderId="0"/>
    <xf numFmtId="0" fontId="2" fillId="0" borderId="0">
      <alignment vertical="center"/>
    </xf>
    <xf numFmtId="0" fontId="2" fillId="0" borderId="0"/>
    <xf numFmtId="0" fontId="74" fillId="0" borderId="0"/>
    <xf numFmtId="0" fontId="82" fillId="0" borderId="0"/>
    <xf numFmtId="0" fontId="1" fillId="0" borderId="0"/>
    <xf numFmtId="0" fontId="1" fillId="0" borderId="0">
      <alignment vertical="center"/>
    </xf>
    <xf numFmtId="0" fontId="98" fillId="0" borderId="0"/>
    <xf numFmtId="0" fontId="1" fillId="0" borderId="0"/>
  </cellStyleXfs>
  <cellXfs count="635">
    <xf numFmtId="0" fontId="0" fillId="0" borderId="0" xfId="0"/>
    <xf numFmtId="0" fontId="5" fillId="0" borderId="0" xfId="51" applyFont="1" applyBorder="1" applyAlignment="1">
      <alignment vertical="center"/>
    </xf>
    <xf numFmtId="0" fontId="6" fillId="0" borderId="0" xfId="51" applyFont="1" applyBorder="1" applyAlignment="1">
      <alignment vertical="center"/>
    </xf>
    <xf numFmtId="0" fontId="7" fillId="0" borderId="0" xfId="51" applyFont="1" applyBorder="1" applyAlignment="1">
      <alignment vertical="center"/>
    </xf>
    <xf numFmtId="0" fontId="103" fillId="0" borderId="0" xfId="51"/>
    <xf numFmtId="0" fontId="8" fillId="0" borderId="0" xfId="51" applyFont="1" applyBorder="1" applyAlignment="1">
      <alignment vertical="center"/>
    </xf>
    <xf numFmtId="0" fontId="9" fillId="0" borderId="0" xfId="51" applyFont="1" applyAlignment="1">
      <alignment vertical="center"/>
    </xf>
    <xf numFmtId="2" fontId="9" fillId="0" borderId="0" xfId="8" applyNumberFormat="1" applyFont="1" applyAlignment="1">
      <alignment vertical="center"/>
    </xf>
    <xf numFmtId="169" fontId="9" fillId="0" borderId="0" xfId="8" applyNumberFormat="1" applyFont="1" applyAlignment="1">
      <alignment vertical="center"/>
    </xf>
    <xf numFmtId="170" fontId="9" fillId="0" borderId="0" xfId="8" applyNumberFormat="1" applyFont="1" applyAlignment="1">
      <alignment vertical="center"/>
    </xf>
    <xf numFmtId="0" fontId="9" fillId="0" borderId="0" xfId="51" applyFont="1" applyBorder="1" applyAlignment="1">
      <alignment vertical="center"/>
    </xf>
    <xf numFmtId="0" fontId="10" fillId="0" borderId="0" xfId="51" applyFont="1" applyBorder="1" applyAlignment="1">
      <alignment vertical="center"/>
    </xf>
    <xf numFmtId="0" fontId="11" fillId="0" borderId="0" xfId="51" applyFont="1" applyBorder="1" applyAlignment="1">
      <alignment vertical="center"/>
    </xf>
    <xf numFmtId="2" fontId="11" fillId="0" borderId="0" xfId="8" applyNumberFormat="1" applyFont="1" applyBorder="1" applyAlignment="1">
      <alignment vertical="center"/>
    </xf>
    <xf numFmtId="169" fontId="11" fillId="0" borderId="0" xfId="8" applyNumberFormat="1" applyFont="1" applyBorder="1" applyAlignment="1">
      <alignment vertical="center"/>
    </xf>
    <xf numFmtId="0" fontId="12" fillId="0" borderId="0" xfId="51" applyFont="1" applyBorder="1" applyAlignment="1">
      <alignment vertical="center" wrapText="1"/>
    </xf>
    <xf numFmtId="0" fontId="12" fillId="0" borderId="0" xfId="51" applyFont="1" applyBorder="1" applyAlignment="1">
      <alignment vertical="center"/>
    </xf>
    <xf numFmtId="0" fontId="14" fillId="0" borderId="0" xfId="51" applyFont="1" applyBorder="1" applyAlignment="1">
      <alignment wrapText="1"/>
    </xf>
    <xf numFmtId="170" fontId="9" fillId="0" borderId="0" xfId="8" applyNumberFormat="1" applyFont="1" applyAlignment="1">
      <alignment horizontal="right" vertical="center"/>
    </xf>
    <xf numFmtId="2" fontId="9" fillId="0" borderId="0" xfId="8" applyNumberFormat="1" applyFont="1" applyAlignment="1">
      <alignment horizontal="right" vertical="center"/>
    </xf>
    <xf numFmtId="170" fontId="9" fillId="0" borderId="0" xfId="8" applyNumberFormat="1" applyFont="1" applyAlignment="1">
      <alignment horizontal="left" vertical="center"/>
    </xf>
    <xf numFmtId="169" fontId="9" fillId="0" borderId="0" xfId="8" applyNumberFormat="1" applyFont="1" applyBorder="1" applyAlignment="1">
      <alignment vertical="center"/>
    </xf>
    <xf numFmtId="170" fontId="5" fillId="0" borderId="0" xfId="8" applyNumberFormat="1" applyFont="1" applyBorder="1" applyAlignment="1">
      <alignment vertical="center" wrapText="1"/>
    </xf>
    <xf numFmtId="170" fontId="16" fillId="0" borderId="2" xfId="8" applyNumberFormat="1" applyFont="1" applyBorder="1" applyAlignment="1">
      <alignment horizontal="center" vertical="center" wrapText="1"/>
    </xf>
    <xf numFmtId="169" fontId="17" fillId="0" borderId="4" xfId="8" applyNumberFormat="1" applyFont="1" applyBorder="1" applyAlignment="1">
      <alignment horizontal="center" vertical="center" wrapText="1"/>
    </xf>
    <xf numFmtId="0" fontId="5" fillId="0" borderId="3" xfId="28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49" fontId="19" fillId="3" borderId="4" xfId="51" applyNumberFormat="1" applyFont="1" applyFill="1" applyBorder="1" applyAlignment="1">
      <alignment horizontal="center" vertical="center"/>
    </xf>
    <xf numFmtId="0" fontId="10" fillId="4" borderId="4" xfId="51" applyFont="1" applyFill="1" applyBorder="1" applyAlignment="1">
      <alignment horizontal="center" vertical="center" wrapText="1"/>
    </xf>
    <xf numFmtId="0" fontId="20" fillId="4" borderId="4" xfId="40" applyFont="1" applyFill="1" applyBorder="1" applyAlignment="1">
      <alignment horizontal="center" vertical="center" wrapText="1"/>
    </xf>
    <xf numFmtId="170" fontId="9" fillId="0" borderId="4" xfId="1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9" fillId="4" borderId="4" xfId="51" applyFont="1" applyFill="1" applyBorder="1" applyAlignment="1">
      <alignment horizontal="center" vertical="center" wrapText="1"/>
    </xf>
    <xf numFmtId="49" fontId="22" fillId="3" borderId="4" xfId="51" applyNumberFormat="1" applyFont="1" applyFill="1" applyBorder="1" applyAlignment="1">
      <alignment horizontal="center" vertical="center"/>
    </xf>
    <xf numFmtId="0" fontId="21" fillId="4" borderId="4" xfId="41" applyFont="1" applyFill="1" applyBorder="1" applyAlignment="1">
      <alignment horizontal="center" vertical="center" wrapText="1"/>
    </xf>
    <xf numFmtId="170" fontId="5" fillId="0" borderId="8" xfId="1" applyNumberFormat="1" applyFont="1" applyBorder="1" applyAlignment="1">
      <alignment vertical="center"/>
    </xf>
    <xf numFmtId="0" fontId="7" fillId="0" borderId="0" xfId="51" applyFont="1" applyBorder="1" applyAlignment="1">
      <alignment vertical="center" wrapText="1"/>
    </xf>
    <xf numFmtId="0" fontId="24" fillId="0" borderId="0" xfId="51" applyFont="1"/>
    <xf numFmtId="2" fontId="24" fillId="0" borderId="0" xfId="51" applyNumberFormat="1" applyFont="1"/>
    <xf numFmtId="169" fontId="24" fillId="0" borderId="0" xfId="8" applyNumberFormat="1" applyFont="1"/>
    <xf numFmtId="170" fontId="26" fillId="0" borderId="0" xfId="8" applyNumberFormat="1" applyFont="1" applyBorder="1" applyAlignment="1">
      <alignment vertical="center"/>
    </xf>
    <xf numFmtId="170" fontId="27" fillId="0" borderId="0" xfId="8" applyNumberFormat="1" applyFont="1" applyBorder="1" applyAlignment="1">
      <alignment vertical="center"/>
    </xf>
    <xf numFmtId="170" fontId="28" fillId="0" borderId="0" xfId="8" applyNumberFormat="1" applyFont="1" applyBorder="1" applyAlignment="1">
      <alignment vertical="center"/>
    </xf>
    <xf numFmtId="0" fontId="5" fillId="4" borderId="0" xfId="8" applyNumberFormat="1" applyFont="1" applyFill="1" applyBorder="1" applyAlignment="1">
      <alignment horizontal="right" vertical="center"/>
    </xf>
    <xf numFmtId="0" fontId="5" fillId="0" borderId="0" xfId="8" applyNumberFormat="1" applyFont="1" applyFill="1" applyBorder="1" applyAlignment="1">
      <alignment horizontal="right" vertical="center"/>
    </xf>
    <xf numFmtId="170" fontId="29" fillId="0" borderId="5" xfId="8" applyNumberFormat="1" applyFont="1" applyBorder="1" applyAlignment="1">
      <alignment horizontal="center" vertical="center"/>
    </xf>
    <xf numFmtId="170" fontId="29" fillId="0" borderId="11" xfId="8" applyNumberFormat="1" applyFont="1" applyBorder="1" applyAlignment="1">
      <alignment horizontal="center" vertical="center"/>
    </xf>
    <xf numFmtId="0" fontId="6" fillId="0" borderId="0" xfId="51" applyFont="1" applyBorder="1" applyAlignment="1"/>
    <xf numFmtId="0" fontId="30" fillId="0" borderId="0" xfId="51" applyFont="1" applyBorder="1" applyAlignment="1"/>
    <xf numFmtId="169" fontId="30" fillId="0" borderId="0" xfId="8" applyNumberFormat="1" applyFont="1" applyBorder="1" applyAlignment="1"/>
    <xf numFmtId="0" fontId="6" fillId="0" borderId="0" xfId="51" applyFont="1" applyAlignment="1">
      <alignment vertical="center"/>
    </xf>
    <xf numFmtId="0" fontId="9" fillId="0" borderId="0" xfId="51" applyFont="1" applyAlignment="1">
      <alignment horizontal="left" vertical="center"/>
    </xf>
    <xf numFmtId="0" fontId="5" fillId="0" borderId="0" xfId="51" applyFont="1"/>
    <xf numFmtId="0" fontId="6" fillId="0" borderId="0" xfId="51" applyFont="1" applyAlignment="1">
      <alignment horizontal="left" vertical="center" indent="1"/>
    </xf>
    <xf numFmtId="0" fontId="30" fillId="0" borderId="0" xfId="51" applyFont="1" applyAlignment="1">
      <alignment vertical="center" wrapText="1"/>
    </xf>
    <xf numFmtId="0" fontId="29" fillId="0" borderId="0" xfId="51" applyFont="1" applyBorder="1" applyAlignment="1">
      <alignment vertical="center"/>
    </xf>
    <xf numFmtId="0" fontId="0" fillId="0" borderId="0" xfId="0" applyAlignment="1">
      <alignment vertical="center"/>
    </xf>
    <xf numFmtId="0" fontId="31" fillId="0" borderId="0" xfId="0" applyFont="1" applyAlignment="1">
      <alignment vertical="center"/>
    </xf>
    <xf numFmtId="0" fontId="5" fillId="0" borderId="0" xfId="43" applyFont="1"/>
    <xf numFmtId="0" fontId="32" fillId="0" borderId="0" xfId="43" applyFont="1"/>
    <xf numFmtId="0" fontId="34" fillId="0" borderId="0" xfId="43" applyNumberFormat="1" applyFont="1" applyFill="1" applyBorder="1" applyAlignment="1" applyProtection="1">
      <alignment horizontal="center"/>
    </xf>
    <xf numFmtId="0" fontId="35" fillId="0" borderId="19" xfId="41" applyFont="1" applyBorder="1" applyAlignment="1">
      <alignment vertical="center"/>
    </xf>
    <xf numFmtId="0" fontId="36" fillId="0" borderId="0" xfId="41" applyFont="1" applyBorder="1" applyAlignment="1">
      <alignment vertical="center"/>
    </xf>
    <xf numFmtId="0" fontId="5" fillId="0" borderId="0" xfId="43" applyFont="1" applyAlignment="1">
      <alignment horizontal="right" vertical="center"/>
    </xf>
    <xf numFmtId="0" fontId="5" fillId="0" borderId="0" xfId="43" applyFont="1" applyFill="1" applyBorder="1" applyAlignment="1">
      <alignment vertical="center"/>
    </xf>
    <xf numFmtId="0" fontId="5" fillId="0" borderId="0" xfId="43" applyFont="1" applyBorder="1" applyAlignment="1">
      <alignment horizontal="right" vertical="center"/>
    </xf>
    <xf numFmtId="0" fontId="38" fillId="0" borderId="19" xfId="19" applyFont="1" applyBorder="1" applyAlignment="1" applyProtection="1">
      <alignment vertical="center"/>
    </xf>
    <xf numFmtId="0" fontId="37" fillId="0" borderId="0" xfId="41" applyFont="1" applyAlignment="1">
      <alignment vertical="center"/>
    </xf>
    <xf numFmtId="0" fontId="36" fillId="0" borderId="0" xfId="41" applyFont="1" applyAlignment="1">
      <alignment vertical="center"/>
    </xf>
    <xf numFmtId="0" fontId="37" fillId="0" borderId="19" xfId="41" applyFont="1" applyBorder="1" applyAlignment="1">
      <alignment horizontal="left" vertical="center" wrapText="1"/>
    </xf>
    <xf numFmtId="0" fontId="37" fillId="0" borderId="0" xfId="41" applyFont="1" applyBorder="1" applyAlignment="1">
      <alignment horizontal="left" vertical="center" wrapText="1"/>
    </xf>
    <xf numFmtId="0" fontId="39" fillId="0" borderId="0" xfId="43" applyNumberFormat="1" applyFont="1" applyFill="1" applyBorder="1" applyAlignment="1" applyProtection="1">
      <alignment horizontal="left" vertical="top"/>
    </xf>
    <xf numFmtId="0" fontId="32" fillId="0" borderId="0" xfId="43" applyFont="1" applyAlignment="1">
      <alignment horizontal="left"/>
    </xf>
    <xf numFmtId="0" fontId="37" fillId="0" borderId="19" xfId="41" applyFont="1" applyBorder="1" applyAlignment="1">
      <alignment vertical="center"/>
    </xf>
    <xf numFmtId="0" fontId="40" fillId="0" borderId="0" xfId="41" applyFont="1" applyAlignment="1">
      <alignment vertical="center"/>
    </xf>
    <xf numFmtId="0" fontId="37" fillId="0" borderId="0" xfId="41" applyFont="1" applyAlignment="1">
      <alignment horizontal="right" vertical="center"/>
    </xf>
    <xf numFmtId="0" fontId="37" fillId="0" borderId="0" xfId="41" applyFont="1" applyBorder="1" applyAlignment="1">
      <alignment vertical="center"/>
    </xf>
    <xf numFmtId="0" fontId="18" fillId="4" borderId="7" xfId="0" applyFont="1" applyFill="1" applyBorder="1" applyAlignment="1">
      <alignment vertical="center"/>
    </xf>
    <xf numFmtId="173" fontId="42" fillId="4" borderId="21" xfId="41" applyNumberFormat="1" applyFont="1" applyFill="1" applyBorder="1" applyAlignment="1">
      <alignment vertical="center"/>
    </xf>
    <xf numFmtId="173" fontId="42" fillId="4" borderId="22" xfId="41" applyNumberFormat="1" applyFont="1" applyFill="1" applyBorder="1" applyAlignment="1">
      <alignment vertical="center"/>
    </xf>
    <xf numFmtId="173" fontId="42" fillId="4" borderId="8" xfId="41" applyNumberFormat="1" applyFont="1" applyFill="1" applyBorder="1" applyAlignment="1">
      <alignment horizontal="center" vertical="center"/>
    </xf>
    <xf numFmtId="0" fontId="43" fillId="4" borderId="8" xfId="0" applyFont="1" applyFill="1" applyBorder="1" applyAlignment="1">
      <alignment horizontal="center" vertical="center" wrapText="1"/>
    </xf>
    <xf numFmtId="170" fontId="44" fillId="4" borderId="8" xfId="41" applyNumberFormat="1" applyFont="1" applyFill="1" applyBorder="1" applyAlignment="1">
      <alignment horizontal="center" vertical="center"/>
    </xf>
    <xf numFmtId="0" fontId="23" fillId="0" borderId="0" xfId="43" applyFont="1" applyAlignment="1">
      <alignment horizontal="left"/>
    </xf>
    <xf numFmtId="0" fontId="23" fillId="0" borderId="0" xfId="43" applyFont="1" applyBorder="1" applyAlignment="1">
      <alignment horizontal="left"/>
    </xf>
    <xf numFmtId="0" fontId="23" fillId="0" borderId="0" xfId="43" applyFont="1" applyBorder="1" applyAlignment="1">
      <alignment horizontal="center"/>
    </xf>
    <xf numFmtId="3" fontId="15" fillId="0" borderId="0" xfId="43" applyNumberFormat="1" applyFont="1" applyBorder="1" applyAlignment="1">
      <alignment horizontal="right"/>
    </xf>
    <xf numFmtId="4" fontId="23" fillId="0" borderId="0" xfId="43" applyNumberFormat="1" applyFont="1" applyBorder="1" applyAlignment="1">
      <alignment horizontal="right"/>
    </xf>
    <xf numFmtId="170" fontId="36" fillId="0" borderId="0" xfId="5" applyNumberFormat="1" applyFont="1" applyBorder="1" applyAlignment="1">
      <alignment vertical="center" wrapText="1"/>
    </xf>
    <xf numFmtId="174" fontId="45" fillId="0" borderId="0" xfId="5" applyNumberFormat="1" applyFont="1" applyBorder="1" applyAlignment="1">
      <alignment horizontal="center" vertical="center" wrapText="1"/>
    </xf>
    <xf numFmtId="0" fontId="37" fillId="0" borderId="0" xfId="41" applyFont="1" applyAlignment="1">
      <alignment vertical="center" wrapText="1"/>
    </xf>
    <xf numFmtId="4" fontId="37" fillId="0" borderId="0" xfId="41" applyNumberFormat="1" applyFont="1" applyAlignment="1">
      <alignment vertical="center"/>
    </xf>
    <xf numFmtId="0" fontId="37" fillId="0" borderId="19" xfId="41" applyFont="1" applyBorder="1" applyAlignment="1">
      <alignment vertical="center" wrapText="1"/>
    </xf>
    <xf numFmtId="0" fontId="37" fillId="0" borderId="0" xfId="41" applyFont="1" applyAlignment="1">
      <alignment horizontal="right" vertical="center" wrapText="1"/>
    </xf>
    <xf numFmtId="0" fontId="37" fillId="0" borderId="0" xfId="41" applyFont="1" applyAlignment="1">
      <alignment horizontal="left" vertical="center"/>
    </xf>
    <xf numFmtId="4" fontId="37" fillId="0" borderId="0" xfId="41" applyNumberFormat="1" applyFont="1" applyAlignment="1">
      <alignment horizontal="right" vertical="center"/>
    </xf>
    <xf numFmtId="4" fontId="37" fillId="0" borderId="0" xfId="41" applyNumberFormat="1" applyFont="1" applyBorder="1" applyAlignment="1">
      <alignment horizontal="right" vertical="center"/>
    </xf>
    <xf numFmtId="4" fontId="37" fillId="0" borderId="0" xfId="41" applyNumberFormat="1" applyFont="1" applyAlignment="1">
      <alignment horizontal="center" vertical="center"/>
    </xf>
    <xf numFmtId="4" fontId="37" fillId="0" borderId="0" xfId="41" applyNumberFormat="1" applyFont="1" applyBorder="1" applyAlignment="1">
      <alignment horizontal="center" vertical="center"/>
    </xf>
    <xf numFmtId="0" fontId="37" fillId="0" borderId="19" xfId="41" applyFont="1" applyBorder="1" applyAlignment="1">
      <alignment horizontal="left" vertical="center"/>
    </xf>
    <xf numFmtId="15" fontId="37" fillId="0" borderId="0" xfId="41" applyNumberFormat="1" applyFont="1" applyAlignment="1">
      <alignment vertical="center"/>
    </xf>
    <xf numFmtId="0" fontId="36" fillId="0" borderId="0" xfId="41" applyFont="1" applyAlignment="1">
      <alignment vertical="center" wrapText="1"/>
    </xf>
    <xf numFmtId="0" fontId="36" fillId="0" borderId="0" xfId="41" applyFont="1" applyAlignment="1">
      <alignment horizontal="center" vertical="center" wrapText="1"/>
    </xf>
    <xf numFmtId="0" fontId="36" fillId="0" borderId="0" xfId="41" applyFont="1" applyBorder="1" applyAlignment="1">
      <alignment horizontal="center" vertical="center" wrapText="1"/>
    </xf>
    <xf numFmtId="0" fontId="40" fillId="0" borderId="0" xfId="41" applyFont="1" applyAlignment="1">
      <alignment horizontal="left" vertical="center"/>
    </xf>
    <xf numFmtId="0" fontId="36" fillId="0" borderId="19" xfId="4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3" fillId="0" borderId="16" xfId="41" applyFont="1" applyBorder="1" applyAlignment="1">
      <alignment vertical="center"/>
    </xf>
    <xf numFmtId="0" fontId="33" fillId="0" borderId="18" xfId="41" applyFont="1" applyBorder="1" applyAlignment="1">
      <alignment vertical="center"/>
    </xf>
    <xf numFmtId="43" fontId="44" fillId="4" borderId="12" xfId="1" applyNumberFormat="1" applyFont="1" applyFill="1" applyBorder="1" applyAlignment="1">
      <alignment horizontal="center" vertical="center"/>
    </xf>
    <xf numFmtId="0" fontId="15" fillId="0" borderId="0" xfId="43" applyNumberFormat="1" applyFont="1" applyFill="1" applyBorder="1" applyAlignment="1" applyProtection="1">
      <alignment horizontal="center"/>
    </xf>
    <xf numFmtId="176" fontId="37" fillId="0" borderId="0" xfId="41" applyNumberFormat="1" applyFont="1" applyAlignment="1">
      <alignment horizontal="left" vertical="center"/>
    </xf>
    <xf numFmtId="0" fontId="46" fillId="0" borderId="0" xfId="43" applyNumberFormat="1" applyFont="1" applyFill="1" applyBorder="1" applyAlignment="1" applyProtection="1"/>
    <xf numFmtId="0" fontId="32" fillId="0" borderId="0" xfId="43" applyFont="1" applyAlignment="1">
      <alignment vertical="center"/>
    </xf>
    <xf numFmtId="0" fontId="47" fillId="0" borderId="0" xfId="31" applyFont="1"/>
    <xf numFmtId="0" fontId="47" fillId="0" borderId="0" xfId="43" applyFont="1"/>
    <xf numFmtId="0" fontId="47" fillId="0" borderId="0" xfId="43" applyFont="1" applyBorder="1"/>
    <xf numFmtId="0" fontId="48" fillId="0" borderId="0" xfId="31" applyFont="1" applyBorder="1"/>
    <xf numFmtId="0" fontId="49" fillId="0" borderId="0" xfId="31" applyFont="1" applyBorder="1" applyAlignment="1"/>
    <xf numFmtId="0" fontId="50" fillId="0" borderId="0" xfId="31" applyFont="1" applyBorder="1"/>
    <xf numFmtId="0" fontId="51" fillId="0" borderId="0" xfId="31" applyFont="1" applyBorder="1" applyAlignment="1">
      <alignment horizontal="center"/>
    </xf>
    <xf numFmtId="0" fontId="52" fillId="0" borderId="0" xfId="31" applyFont="1" applyAlignment="1">
      <alignment horizontal="left"/>
    </xf>
    <xf numFmtId="0" fontId="53" fillId="0" borderId="0" xfId="31" applyFont="1" applyAlignment="1">
      <alignment horizontal="left"/>
    </xf>
    <xf numFmtId="0" fontId="54" fillId="0" borderId="0" xfId="43" applyNumberFormat="1" applyFont="1" applyFill="1" applyBorder="1" applyAlignment="1" applyProtection="1"/>
    <xf numFmtId="0" fontId="103" fillId="0" borderId="0" xfId="28"/>
    <xf numFmtId="0" fontId="56" fillId="0" borderId="0" xfId="28" applyFont="1" applyAlignment="1">
      <alignment horizontal="left"/>
    </xf>
    <xf numFmtId="0" fontId="57" fillId="0" borderId="0" xfId="28" applyFont="1"/>
    <xf numFmtId="172" fontId="56" fillId="0" borderId="0" xfId="28" applyNumberFormat="1" applyFont="1" applyAlignment="1">
      <alignment horizontal="left"/>
    </xf>
    <xf numFmtId="0" fontId="0" fillId="0" borderId="0" xfId="28" applyFont="1"/>
    <xf numFmtId="0" fontId="103" fillId="0" borderId="0" xfId="28" applyBorder="1"/>
    <xf numFmtId="0" fontId="103" fillId="0" borderId="24" xfId="28" applyBorder="1"/>
    <xf numFmtId="0" fontId="41" fillId="0" borderId="25" xfId="41" applyFont="1" applyBorder="1" applyAlignment="1">
      <alignment horizontal="center" vertical="center" wrapText="1"/>
    </xf>
    <xf numFmtId="0" fontId="41" fillId="0" borderId="2" xfId="41" applyFont="1" applyBorder="1" applyAlignment="1">
      <alignment horizontal="center" vertical="center" wrapText="1"/>
    </xf>
    <xf numFmtId="0" fontId="58" fillId="0" borderId="0" xfId="28" applyFont="1"/>
    <xf numFmtId="172" fontId="57" fillId="0" borderId="0" xfId="28" applyNumberFormat="1" applyFont="1" applyAlignment="1">
      <alignment horizontal="left"/>
    </xf>
    <xf numFmtId="0" fontId="55" fillId="0" borderId="0" xfId="28" applyFont="1" applyAlignment="1">
      <alignment vertical="center"/>
    </xf>
    <xf numFmtId="0" fontId="0" fillId="0" borderId="0" xfId="0" applyFill="1"/>
    <xf numFmtId="0" fontId="41" fillId="0" borderId="0" xfId="41" applyFont="1" applyBorder="1" applyAlignment="1">
      <alignment vertical="center"/>
    </xf>
    <xf numFmtId="0" fontId="62" fillId="0" borderId="32" xfId="41" applyFont="1" applyBorder="1" applyAlignment="1">
      <alignment vertical="center"/>
    </xf>
    <xf numFmtId="0" fontId="31" fillId="0" borderId="0" xfId="0" applyFont="1" applyBorder="1"/>
    <xf numFmtId="0" fontId="62" fillId="4" borderId="34" xfId="41" applyFont="1" applyFill="1" applyBorder="1" applyAlignment="1">
      <alignment vertical="center"/>
    </xf>
    <xf numFmtId="0" fontId="31" fillId="4" borderId="35" xfId="0" applyFont="1" applyFill="1" applyBorder="1"/>
    <xf numFmtId="0" fontId="18" fillId="0" borderId="0" xfId="41" applyFont="1" applyBorder="1" applyAlignment="1">
      <alignment vertical="center"/>
    </xf>
    <xf numFmtId="0" fontId="18" fillId="4" borderId="0" xfId="0" applyFont="1" applyFill="1" applyBorder="1" applyAlignment="1">
      <alignment horizontal="left" vertical="center"/>
    </xf>
    <xf numFmtId="0" fontId="18" fillId="0" borderId="19" xfId="2" applyFont="1" applyBorder="1" applyAlignment="1">
      <alignment vertical="center"/>
    </xf>
    <xf numFmtId="0" fontId="18" fillId="0" borderId="0" xfId="2" applyFont="1" applyBorder="1" applyAlignment="1">
      <alignment vertical="center"/>
    </xf>
    <xf numFmtId="0" fontId="18" fillId="4" borderId="0" xfId="41" applyFont="1" applyFill="1" applyBorder="1" applyAlignment="1">
      <alignment vertical="center"/>
    </xf>
    <xf numFmtId="0" fontId="31" fillId="4" borderId="0" xfId="0" applyFont="1" applyFill="1" applyBorder="1"/>
    <xf numFmtId="0" fontId="18" fillId="0" borderId="35" xfId="41" applyFont="1" applyBorder="1" applyAlignment="1">
      <alignment horizontal="center" vertical="center"/>
    </xf>
    <xf numFmtId="0" fontId="57" fillId="0" borderId="0" xfId="0" applyFont="1"/>
    <xf numFmtId="0" fontId="18" fillId="4" borderId="35" xfId="0" applyFont="1" applyFill="1" applyBorder="1"/>
    <xf numFmtId="172" fontId="66" fillId="4" borderId="0" xfId="0" applyNumberFormat="1" applyFont="1" applyFill="1" applyBorder="1" applyAlignment="1">
      <alignment horizontal="center" vertical="center"/>
    </xf>
    <xf numFmtId="0" fontId="67" fillId="0" borderId="0" xfId="41" applyFont="1" applyFill="1" applyBorder="1" applyAlignment="1">
      <alignment horizontal="left" vertical="center" wrapText="1"/>
    </xf>
    <xf numFmtId="0" fontId="68" fillId="4" borderId="37" xfId="41" applyFont="1" applyFill="1" applyBorder="1" applyAlignment="1">
      <alignment vertical="center"/>
    </xf>
    <xf numFmtId="0" fontId="68" fillId="4" borderId="35" xfId="41" applyFont="1" applyFill="1" applyBorder="1" applyAlignment="1">
      <alignment vertical="center"/>
    </xf>
    <xf numFmtId="0" fontId="67" fillId="0" borderId="35" xfId="41" applyFont="1" applyFill="1" applyBorder="1" applyAlignment="1">
      <alignment vertical="center"/>
    </xf>
    <xf numFmtId="172" fontId="18" fillId="4" borderId="0" xfId="0" applyNumberFormat="1" applyFont="1" applyFill="1" applyBorder="1" applyAlignment="1">
      <alignment horizontal="center" vertical="center"/>
    </xf>
    <xf numFmtId="0" fontId="65" fillId="0" borderId="0" xfId="41" applyFont="1" applyFill="1" applyBorder="1" applyAlignment="1">
      <alignment vertical="center"/>
    </xf>
    <xf numFmtId="0" fontId="66" fillId="4" borderId="19" xfId="41" applyFont="1" applyFill="1" applyBorder="1" applyAlignment="1">
      <alignment vertical="center"/>
    </xf>
    <xf numFmtId="0" fontId="66" fillId="4" borderId="0" xfId="41" applyFont="1" applyFill="1" applyBorder="1" applyAlignment="1">
      <alignment vertical="center"/>
    </xf>
    <xf numFmtId="0" fontId="66" fillId="0" borderId="0" xfId="41" applyFont="1" applyFill="1" applyBorder="1" applyAlignment="1">
      <alignment vertical="center"/>
    </xf>
    <xf numFmtId="0" fontId="67" fillId="0" borderId="36" xfId="41" applyFont="1" applyFill="1" applyBorder="1" applyAlignment="1">
      <alignment vertical="center"/>
    </xf>
    <xf numFmtId="0" fontId="66" fillId="0" borderId="19" xfId="41" applyFont="1" applyFill="1" applyBorder="1" applyAlignment="1">
      <alignment vertical="center" wrapText="1"/>
    </xf>
    <xf numFmtId="0" fontId="66" fillId="0" borderId="0" xfId="41" applyFont="1" applyFill="1" applyBorder="1" applyAlignment="1">
      <alignment vertical="center" wrapText="1"/>
    </xf>
    <xf numFmtId="0" fontId="67" fillId="0" borderId="36" xfId="41" applyFont="1" applyFill="1" applyBorder="1" applyAlignment="1">
      <alignment vertical="center" wrapText="1"/>
    </xf>
    <xf numFmtId="172" fontId="18" fillId="4" borderId="35" xfId="0" applyNumberFormat="1" applyFont="1" applyFill="1" applyBorder="1" applyAlignment="1">
      <alignment horizontal="center" vertical="center"/>
    </xf>
    <xf numFmtId="0" fontId="18" fillId="0" borderId="0" xfId="41" applyFont="1" applyBorder="1" applyAlignment="1">
      <alignment vertical="center" wrapText="1"/>
    </xf>
    <xf numFmtId="0" fontId="67" fillId="0" borderId="0" xfId="41" applyFont="1" applyFill="1" applyBorder="1" applyAlignment="1">
      <alignment vertical="center" wrapText="1"/>
    </xf>
    <xf numFmtId="0" fontId="62" fillId="0" borderId="34" xfId="41" applyFont="1" applyBorder="1" applyAlignment="1">
      <alignment vertical="center"/>
    </xf>
    <xf numFmtId="0" fontId="62" fillId="0" borderId="35" xfId="41" applyFont="1" applyBorder="1" applyAlignment="1">
      <alignment vertical="center"/>
    </xf>
    <xf numFmtId="0" fontId="18" fillId="0" borderId="35" xfId="0" applyFont="1" applyBorder="1"/>
    <xf numFmtId="0" fontId="0" fillId="0" borderId="0" xfId="0" applyBorder="1"/>
    <xf numFmtId="0" fontId="31" fillId="0" borderId="35" xfId="0" applyFont="1" applyBorder="1"/>
    <xf numFmtId="0" fontId="1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18" fillId="0" borderId="0" xfId="41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33" fillId="4" borderId="1" xfId="41" applyFont="1" applyFill="1" applyBorder="1" applyAlignment="1">
      <alignment horizontal="center" vertical="center" wrapText="1"/>
    </xf>
    <xf numFmtId="0" fontId="33" fillId="0" borderId="2" xfId="41" applyFont="1" applyFill="1" applyBorder="1" applyAlignment="1">
      <alignment horizontal="center" vertical="center" wrapText="1"/>
    </xf>
    <xf numFmtId="0" fontId="33" fillId="0" borderId="2" xfId="41" applyFont="1" applyFill="1" applyBorder="1" applyAlignment="1">
      <alignment horizontal="center" vertical="center"/>
    </xf>
    <xf numFmtId="0" fontId="38" fillId="0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/>
    </xf>
    <xf numFmtId="0" fontId="38" fillId="0" borderId="4" xfId="41" applyFont="1" applyFill="1" applyBorder="1" applyAlignment="1">
      <alignment horizontal="center" vertical="center" wrapText="1"/>
    </xf>
    <xf numFmtId="0" fontId="78" fillId="0" borderId="8" xfId="0" applyFont="1" applyBorder="1" applyAlignment="1">
      <alignment horizontal="center" vertical="center" wrapText="1"/>
    </xf>
    <xf numFmtId="0" fontId="33" fillId="0" borderId="0" xfId="53" applyFont="1" applyBorder="1" applyAlignment="1">
      <alignment horizontal="center" vertical="center" wrapText="1"/>
    </xf>
    <xf numFmtId="0" fontId="38" fillId="0" borderId="0" xfId="41" applyFont="1" applyFill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79" fillId="4" borderId="19" xfId="41" applyFont="1" applyFill="1" applyBorder="1" applyAlignment="1">
      <alignment horizontal="center" vertical="center"/>
    </xf>
    <xf numFmtId="0" fontId="33" fillId="0" borderId="0" xfId="41" applyFont="1" applyBorder="1" applyAlignment="1">
      <alignment horizontal="center" vertical="center" wrapText="1"/>
    </xf>
    <xf numFmtId="4" fontId="38" fillId="4" borderId="19" xfId="41" applyNumberFormat="1" applyFont="1" applyFill="1" applyBorder="1" applyAlignment="1">
      <alignment horizontal="center" vertical="center"/>
    </xf>
    <xf numFmtId="4" fontId="38" fillId="0" borderId="0" xfId="41" applyNumberFormat="1" applyFont="1" applyBorder="1" applyAlignment="1">
      <alignment horizontal="center" vertical="center"/>
    </xf>
    <xf numFmtId="0" fontId="80" fillId="0" borderId="0" xfId="41" applyFont="1" applyBorder="1" applyAlignment="1">
      <alignment horizontal="center" vertical="center"/>
    </xf>
    <xf numFmtId="0" fontId="62" fillId="4" borderId="32" xfId="0" applyFont="1" applyFill="1" applyBorder="1" applyAlignment="1">
      <alignment vertical="center"/>
    </xf>
    <xf numFmtId="0" fontId="18" fillId="4" borderId="0" xfId="0" applyFont="1" applyFill="1" applyBorder="1" applyAlignment="1">
      <alignment vertical="center"/>
    </xf>
    <xf numFmtId="0" fontId="18" fillId="4" borderId="44" xfId="0" applyFont="1" applyFill="1" applyBorder="1" applyAlignment="1">
      <alignment vertical="center"/>
    </xf>
    <xf numFmtId="0" fontId="33" fillId="4" borderId="2" xfId="41" applyFont="1" applyFill="1" applyBorder="1" applyAlignment="1">
      <alignment horizontal="center" vertical="center" wrapText="1"/>
    </xf>
    <xf numFmtId="2" fontId="33" fillId="4" borderId="2" xfId="5" applyNumberFormat="1" applyFont="1" applyFill="1" applyBorder="1" applyAlignment="1">
      <alignment horizontal="center" vertical="center" wrapText="1"/>
    </xf>
    <xf numFmtId="179" fontId="33" fillId="4" borderId="9" xfId="5" applyNumberFormat="1" applyFont="1" applyFill="1" applyBorder="1" applyAlignment="1">
      <alignment horizontal="center" vertical="center" wrapText="1"/>
    </xf>
    <xf numFmtId="0" fontId="38" fillId="4" borderId="4" xfId="41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/>
    </xf>
    <xf numFmtId="0" fontId="81" fillId="0" borderId="8" xfId="41" applyFont="1" applyFill="1" applyBorder="1" applyAlignment="1">
      <alignment horizontal="center" vertical="center" wrapText="1"/>
    </xf>
    <xf numFmtId="2" fontId="33" fillId="0" borderId="8" xfId="0" applyNumberFormat="1" applyFont="1" applyBorder="1" applyAlignment="1">
      <alignment horizontal="center" vertical="center"/>
    </xf>
    <xf numFmtId="180" fontId="33" fillId="0" borderId="8" xfId="5" applyNumberFormat="1" applyFont="1" applyFill="1" applyBorder="1" applyAlignment="1">
      <alignment horizontal="center" vertical="center" wrapText="1"/>
    </xf>
    <xf numFmtId="181" fontId="33" fillId="0" borderId="12" xfId="5" applyNumberFormat="1" applyFont="1" applyFill="1" applyBorder="1" applyAlignment="1">
      <alignment horizontal="center" vertical="center" wrapText="1"/>
    </xf>
    <xf numFmtId="0" fontId="38" fillId="4" borderId="0" xfId="0" applyFont="1" applyFill="1" applyBorder="1" applyAlignment="1">
      <alignment horizontal="center" vertical="center"/>
    </xf>
    <xf numFmtId="0" fontId="80" fillId="4" borderId="0" xfId="41" applyFont="1" applyFill="1" applyBorder="1" applyAlignment="1">
      <alignment horizontal="center" vertical="center"/>
    </xf>
    <xf numFmtId="0" fontId="62" fillId="4" borderId="19" xfId="41" applyFont="1" applyFill="1" applyBorder="1" applyAlignment="1">
      <alignment vertical="center"/>
    </xf>
    <xf numFmtId="0" fontId="62" fillId="4" borderId="0" xfId="41" applyFont="1" applyFill="1" applyBorder="1" applyAlignment="1">
      <alignment vertical="center"/>
    </xf>
    <xf numFmtId="0" fontId="18" fillId="0" borderId="0" xfId="0" applyFont="1" applyBorder="1" applyAlignment="1">
      <alignment horizontal="center" vertical="center"/>
    </xf>
    <xf numFmtId="0" fontId="41" fillId="4" borderId="19" xfId="41" applyFont="1" applyFill="1" applyBorder="1" applyAlignment="1">
      <alignment vertical="center"/>
    </xf>
    <xf numFmtId="0" fontId="41" fillId="4" borderId="0" xfId="41" applyFont="1" applyFill="1" applyBorder="1" applyAlignment="1">
      <alignment vertical="center"/>
    </xf>
    <xf numFmtId="0" fontId="18" fillId="0" borderId="0" xfId="41" applyFont="1" applyBorder="1" applyAlignment="1">
      <alignment horizontal="center" vertical="center" wrapText="1"/>
    </xf>
    <xf numFmtId="0" fontId="18" fillId="4" borderId="19" xfId="41" applyFont="1" applyFill="1" applyBorder="1" applyAlignment="1">
      <alignment vertical="center"/>
    </xf>
    <xf numFmtId="0" fontId="62" fillId="4" borderId="37" xfId="41" applyFont="1" applyFill="1" applyBorder="1" applyAlignment="1">
      <alignment vertical="center"/>
    </xf>
    <xf numFmtId="0" fontId="62" fillId="4" borderId="35" xfId="41" applyFont="1" applyFill="1" applyBorder="1" applyAlignment="1">
      <alignment vertical="center"/>
    </xf>
    <xf numFmtId="0" fontId="18" fillId="0" borderId="35" xfId="41" applyFont="1" applyBorder="1" applyAlignment="1">
      <alignment vertical="center"/>
    </xf>
    <xf numFmtId="0" fontId="67" fillId="0" borderId="19" xfId="41" applyFont="1" applyFill="1" applyBorder="1" applyAlignment="1">
      <alignment vertical="center" wrapText="1"/>
    </xf>
    <xf numFmtId="0" fontId="67" fillId="0" borderId="0" xfId="41" applyFont="1" applyFill="1" applyBorder="1" applyAlignment="1">
      <alignment horizontal="center" vertical="center" wrapText="1"/>
    </xf>
    <xf numFmtId="0" fontId="67" fillId="0" borderId="40" xfId="41" applyFont="1" applyFill="1" applyBorder="1" applyAlignment="1">
      <alignment vertical="center" wrapText="1"/>
    </xf>
    <xf numFmtId="0" fontId="67" fillId="0" borderId="35" xfId="41" applyFont="1" applyFill="1" applyBorder="1" applyAlignment="1">
      <alignment horizontal="center" vertical="center" wrapText="1"/>
    </xf>
    <xf numFmtId="0" fontId="67" fillId="0" borderId="0" xfId="41" applyFont="1" applyFill="1" applyBorder="1" applyAlignment="1">
      <alignment vertical="center"/>
    </xf>
    <xf numFmtId="0" fontId="67" fillId="0" borderId="0" xfId="41" applyFont="1" applyFill="1" applyBorder="1" applyAlignment="1">
      <alignment horizontal="center" vertical="center"/>
    </xf>
    <xf numFmtId="0" fontId="67" fillId="0" borderId="35" xfId="41" applyFont="1" applyFill="1" applyBorder="1" applyAlignment="1">
      <alignment horizontal="center" vertical="center"/>
    </xf>
    <xf numFmtId="0" fontId="18" fillId="0" borderId="32" xfId="41" applyFont="1" applyBorder="1" applyAlignment="1">
      <alignment vertical="center"/>
    </xf>
    <xf numFmtId="0" fontId="41" fillId="4" borderId="37" xfId="41" applyFont="1" applyFill="1" applyBorder="1" applyAlignment="1">
      <alignment vertical="center"/>
    </xf>
    <xf numFmtId="0" fontId="41" fillId="4" borderId="35" xfId="41" applyFont="1" applyFill="1" applyBorder="1" applyAlignment="1">
      <alignment vertical="center"/>
    </xf>
    <xf numFmtId="0" fontId="18" fillId="0" borderId="35" xfId="0" applyFont="1" applyBorder="1" applyAlignment="1">
      <alignment vertical="center"/>
    </xf>
    <xf numFmtId="0" fontId="18" fillId="0" borderId="35" xfId="0" applyFont="1" applyBorder="1" applyAlignment="1">
      <alignment horizontal="center" vertical="center"/>
    </xf>
    <xf numFmtId="172" fontId="64" fillId="0" borderId="33" xfId="41" applyNumberFormat="1" applyFont="1" applyFill="1" applyBorder="1" applyAlignment="1">
      <alignment horizontal="left" vertical="center"/>
    </xf>
    <xf numFmtId="172" fontId="64" fillId="0" borderId="47" xfId="41" applyNumberFormat="1" applyFont="1" applyFill="1" applyBorder="1" applyAlignment="1">
      <alignment horizontal="left" vertical="center"/>
    </xf>
    <xf numFmtId="0" fontId="18" fillId="0" borderId="40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0" fontId="33" fillId="4" borderId="19" xfId="41" applyFont="1" applyFill="1" applyBorder="1" applyAlignment="1">
      <alignment horizontal="center" vertical="center"/>
    </xf>
    <xf numFmtId="0" fontId="33" fillId="4" borderId="0" xfId="41" applyFont="1" applyFill="1" applyBorder="1" applyAlignment="1">
      <alignment horizontal="center" vertical="center"/>
    </xf>
    <xf numFmtId="172" fontId="33" fillId="0" borderId="48" xfId="41" applyNumberFormat="1" applyFont="1" applyFill="1" applyBorder="1" applyAlignment="1">
      <alignment horizontal="center" vertical="center"/>
    </xf>
    <xf numFmtId="172" fontId="33" fillId="0" borderId="24" xfId="41" applyNumberFormat="1" applyFont="1" applyFill="1" applyBorder="1" applyAlignment="1">
      <alignment horizontal="center" vertical="center"/>
    </xf>
    <xf numFmtId="172" fontId="33" fillId="0" borderId="0" xfId="41" applyNumberFormat="1" applyFont="1" applyFill="1" applyBorder="1" applyAlignment="1">
      <alignment horizontal="left" vertical="center"/>
    </xf>
    <xf numFmtId="0" fontId="79" fillId="0" borderId="32" xfId="41" applyFont="1" applyFill="1" applyBorder="1" applyAlignment="1">
      <alignment horizontal="center" vertical="center"/>
    </xf>
    <xf numFmtId="0" fontId="79" fillId="0" borderId="0" xfId="41" applyFont="1" applyFill="1" applyBorder="1" applyAlignment="1">
      <alignment horizontal="center" vertical="center"/>
    </xf>
    <xf numFmtId="0" fontId="33" fillId="0" borderId="30" xfId="41" applyFont="1" applyBorder="1" applyAlignment="1">
      <alignment vertical="center"/>
    </xf>
    <xf numFmtId="0" fontId="33" fillId="0" borderId="31" xfId="41" applyFont="1" applyBorder="1" applyAlignment="1">
      <alignment vertical="center"/>
    </xf>
    <xf numFmtId="0" fontId="33" fillId="0" borderId="0" xfId="41" applyFont="1" applyBorder="1" applyAlignment="1">
      <alignment vertical="center"/>
    </xf>
    <xf numFmtId="0" fontId="83" fillId="0" borderId="19" xfId="41" applyFont="1" applyBorder="1" applyAlignment="1">
      <alignment vertical="center"/>
    </xf>
    <xf numFmtId="0" fontId="83" fillId="0" borderId="0" xfId="41" applyFont="1" applyBorder="1" applyAlignment="1">
      <alignment vertical="center"/>
    </xf>
    <xf numFmtId="0" fontId="41" fillId="0" borderId="35" xfId="41" applyFont="1" applyBorder="1" applyAlignment="1">
      <alignment vertical="center"/>
    </xf>
    <xf numFmtId="0" fontId="41" fillId="0" borderId="44" xfId="41" applyFont="1" applyBorder="1" applyAlignment="1">
      <alignment vertical="center"/>
    </xf>
    <xf numFmtId="0" fontId="64" fillId="4" borderId="32" xfId="41" applyFont="1" applyFill="1" applyBorder="1" applyAlignment="1">
      <alignment vertical="center"/>
    </xf>
    <xf numFmtId="0" fontId="64" fillId="0" borderId="0" xfId="0" applyFont="1" applyBorder="1" applyAlignment="1">
      <alignment vertical="center"/>
    </xf>
    <xf numFmtId="0" fontId="62" fillId="4" borderId="32" xfId="41" applyFont="1" applyFill="1" applyBorder="1" applyAlignment="1">
      <alignment vertical="center"/>
    </xf>
    <xf numFmtId="0" fontId="18" fillId="0" borderId="44" xfId="41" applyFont="1" applyBorder="1" applyAlignment="1">
      <alignment vertical="center"/>
    </xf>
    <xf numFmtId="0" fontId="18" fillId="4" borderId="32" xfId="41" applyFont="1" applyFill="1" applyBorder="1" applyAlignment="1">
      <alignment vertical="center"/>
    </xf>
    <xf numFmtId="0" fontId="18" fillId="0" borderId="0" xfId="41" applyFont="1" applyFill="1" applyBorder="1" applyAlignment="1">
      <alignment vertical="center"/>
    </xf>
    <xf numFmtId="0" fontId="18" fillId="0" borderId="36" xfId="0" applyFont="1" applyBorder="1" applyAlignment="1">
      <alignment vertical="center"/>
    </xf>
    <xf numFmtId="0" fontId="18" fillId="0" borderId="44" xfId="0" applyFont="1" applyBorder="1" applyAlignment="1">
      <alignment vertical="center"/>
    </xf>
    <xf numFmtId="0" fontId="18" fillId="0" borderId="38" xfId="0" applyFont="1" applyBorder="1" applyAlignment="1">
      <alignment vertical="center"/>
    </xf>
    <xf numFmtId="0" fontId="62" fillId="4" borderId="0" xfId="0" applyFont="1" applyFill="1" applyBorder="1" applyAlignment="1">
      <alignment vertical="center"/>
    </xf>
    <xf numFmtId="172" fontId="18" fillId="4" borderId="44" xfId="0" applyNumberFormat="1" applyFont="1" applyFill="1" applyBorder="1" applyAlignment="1">
      <alignment horizontal="center" vertical="center"/>
    </xf>
    <xf numFmtId="172" fontId="18" fillId="4" borderId="0" xfId="0" applyNumberFormat="1" applyFont="1" applyFill="1" applyBorder="1" applyAlignment="1">
      <alignment vertical="center"/>
    </xf>
    <xf numFmtId="14" fontId="18" fillId="0" borderId="0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172" fontId="18" fillId="0" borderId="0" xfId="0" applyNumberFormat="1" applyFont="1" applyBorder="1" applyAlignment="1">
      <alignment vertical="center"/>
    </xf>
    <xf numFmtId="182" fontId="18" fillId="0" borderId="0" xfId="41" applyNumberFormat="1" applyFont="1" applyBorder="1" applyAlignment="1">
      <alignment vertical="center"/>
    </xf>
    <xf numFmtId="182" fontId="18" fillId="0" borderId="44" xfId="41" applyNumberFormat="1" applyFont="1" applyBorder="1" applyAlignment="1">
      <alignment vertical="center"/>
    </xf>
    <xf numFmtId="0" fontId="18" fillId="0" borderId="41" xfId="0" applyFont="1" applyBorder="1" applyAlignment="1">
      <alignment vertical="center"/>
    </xf>
    <xf numFmtId="0" fontId="62" fillId="4" borderId="0" xfId="41" applyFont="1" applyFill="1" applyBorder="1" applyAlignment="1">
      <alignment vertical="center" wrapText="1"/>
    </xf>
    <xf numFmtId="0" fontId="62" fillId="4" borderId="32" xfId="41" applyFont="1" applyFill="1" applyBorder="1" applyAlignment="1">
      <alignment vertical="center" wrapText="1"/>
    </xf>
    <xf numFmtId="0" fontId="0" fillId="4" borderId="0" xfId="0" applyFont="1" applyFill="1" applyBorder="1" applyAlignment="1">
      <alignment vertical="center"/>
    </xf>
    <xf numFmtId="0" fontId="62" fillId="4" borderId="33" xfId="41" applyFont="1" applyFill="1" applyBorder="1" applyAlignment="1">
      <alignment vertical="center"/>
    </xf>
    <xf numFmtId="0" fontId="18" fillId="0" borderId="40" xfId="41" applyFont="1" applyBorder="1" applyAlignment="1">
      <alignment vertical="center" wrapText="1"/>
    </xf>
    <xf numFmtId="0" fontId="18" fillId="0" borderId="45" xfId="41" applyFont="1" applyBorder="1" applyAlignment="1">
      <alignment vertical="center" wrapText="1"/>
    </xf>
    <xf numFmtId="0" fontId="38" fillId="0" borderId="44" xfId="0" applyFont="1" applyBorder="1" applyAlignment="1">
      <alignment horizontal="center" vertical="center"/>
    </xf>
    <xf numFmtId="0" fontId="38" fillId="4" borderId="35" xfId="0" applyFont="1" applyFill="1" applyBorder="1" applyAlignment="1">
      <alignment horizontal="center" vertical="center"/>
    </xf>
    <xf numFmtId="0" fontId="104" fillId="0" borderId="0" xfId="0" applyFont="1" applyBorder="1" applyAlignment="1">
      <alignment vertical="center"/>
    </xf>
    <xf numFmtId="0" fontId="104" fillId="4" borderId="0" xfId="0" applyFont="1" applyFill="1" applyBorder="1" applyAlignment="1">
      <alignment vertical="center"/>
    </xf>
    <xf numFmtId="0" fontId="105" fillId="0" borderId="0" xfId="28" applyFont="1"/>
    <xf numFmtId="0" fontId="57" fillId="0" borderId="0" xfId="28" applyFont="1" applyAlignment="1"/>
    <xf numFmtId="0" fontId="106" fillId="4" borderId="4" xfId="35" applyNumberFormat="1" applyFont="1" applyFill="1" applyBorder="1" applyAlignment="1">
      <alignment horizontal="center" vertical="center" wrapText="1"/>
    </xf>
    <xf numFmtId="0" fontId="41" fillId="0" borderId="1" xfId="41" applyFont="1" applyBorder="1" applyAlignment="1">
      <alignment horizontal="center" vertical="center" wrapText="1"/>
    </xf>
    <xf numFmtId="0" fontId="41" fillId="0" borderId="9" xfId="41" applyFont="1" applyBorder="1" applyAlignment="1">
      <alignment horizontal="center" vertical="center" wrapText="1"/>
    </xf>
    <xf numFmtId="0" fontId="107" fillId="0" borderId="1" xfId="41" applyFont="1" applyBorder="1" applyAlignment="1">
      <alignment horizontal="center" vertical="center" wrapText="1"/>
    </xf>
    <xf numFmtId="0" fontId="107" fillId="0" borderId="2" xfId="41" applyFont="1" applyBorder="1" applyAlignment="1">
      <alignment horizontal="center" vertical="center" wrapText="1"/>
    </xf>
    <xf numFmtId="170" fontId="107" fillId="0" borderId="26" xfId="14" applyNumberFormat="1" applyFont="1" applyBorder="1" applyAlignment="1">
      <alignment horizontal="center" vertical="center" wrapText="1"/>
    </xf>
    <xf numFmtId="0" fontId="107" fillId="0" borderId="26" xfId="41" applyFont="1" applyBorder="1" applyAlignment="1">
      <alignment horizontal="center" vertical="center" wrapText="1"/>
    </xf>
    <xf numFmtId="0" fontId="107" fillId="0" borderId="9" xfId="41" applyFont="1" applyBorder="1" applyAlignment="1">
      <alignment horizontal="center" vertical="center" wrapText="1"/>
    </xf>
    <xf numFmtId="0" fontId="106" fillId="0" borderId="20" xfId="41" applyFont="1" applyFill="1" applyBorder="1" applyAlignment="1">
      <alignment horizontal="center" vertical="center" wrapText="1"/>
    </xf>
    <xf numFmtId="0" fontId="106" fillId="0" borderId="20" xfId="0" applyFont="1" applyFill="1" applyBorder="1" applyAlignment="1">
      <alignment horizontal="center" vertical="center" wrapText="1"/>
    </xf>
    <xf numFmtId="0" fontId="106" fillId="0" borderId="20" xfId="41" quotePrefix="1" applyFont="1" applyFill="1" applyBorder="1" applyAlignment="1">
      <alignment horizontal="center" vertical="center" wrapText="1"/>
    </xf>
    <xf numFmtId="2" fontId="106" fillId="0" borderId="23" xfId="0" applyNumberFormat="1" applyFont="1" applyFill="1" applyBorder="1" applyAlignment="1">
      <alignment horizontal="center" vertical="center" wrapText="1"/>
    </xf>
    <xf numFmtId="0" fontId="106" fillId="4" borderId="4" xfId="35" applyNumberFormat="1" applyFont="1" applyFill="1" applyBorder="1" applyAlignment="1">
      <alignment horizontal="center" vertical="center"/>
    </xf>
    <xf numFmtId="43" fontId="108" fillId="4" borderId="12" xfId="1" applyNumberFormat="1" applyFont="1" applyFill="1" applyBorder="1" applyAlignment="1">
      <alignment horizontal="center" vertical="center"/>
    </xf>
    <xf numFmtId="0" fontId="35" fillId="0" borderId="0" xfId="41" applyFont="1" applyBorder="1" applyAlignment="1">
      <alignment vertical="center"/>
    </xf>
    <xf numFmtId="0" fontId="38" fillId="0" borderId="0" xfId="19" applyFont="1" applyBorder="1" applyAlignment="1" applyProtection="1">
      <alignment vertical="center"/>
    </xf>
    <xf numFmtId="0" fontId="18" fillId="4" borderId="27" xfId="0" applyFont="1" applyFill="1" applyBorder="1" applyAlignment="1">
      <alignment vertical="center"/>
    </xf>
    <xf numFmtId="0" fontId="37" fillId="0" borderId="0" xfId="41" applyFont="1" applyBorder="1" applyAlignment="1">
      <alignment vertical="center" wrapText="1"/>
    </xf>
    <xf numFmtId="0" fontId="37" fillId="0" borderId="0" xfId="41" applyFont="1" applyBorder="1" applyAlignment="1">
      <alignment horizontal="left" vertical="center"/>
    </xf>
    <xf numFmtId="0" fontId="36" fillId="0" borderId="0" xfId="41" applyFont="1" applyBorder="1" applyAlignment="1">
      <alignment horizontal="center" vertical="center"/>
    </xf>
    <xf numFmtId="170" fontId="41" fillId="0" borderId="2" xfId="14" applyNumberFormat="1" applyFont="1" applyBorder="1" applyAlignment="1">
      <alignment horizontal="center" vertical="center" wrapText="1"/>
    </xf>
    <xf numFmtId="4" fontId="109" fillId="0" borderId="0" xfId="41" applyNumberFormat="1" applyFont="1" applyAlignment="1">
      <alignment vertical="center"/>
    </xf>
    <xf numFmtId="172" fontId="18" fillId="4" borderId="0" xfId="0" applyNumberFormat="1" applyFont="1" applyFill="1" applyBorder="1" applyAlignment="1">
      <alignment horizontal="center" vertical="center"/>
    </xf>
    <xf numFmtId="0" fontId="111" fillId="0" borderId="0" xfId="63" applyFont="1" applyBorder="1" applyAlignment="1"/>
    <xf numFmtId="0" fontId="70" fillId="0" borderId="0" xfId="63" applyFont="1" applyBorder="1" applyAlignment="1"/>
    <xf numFmtId="0" fontId="61" fillId="0" borderId="0" xfId="63" applyFont="1" applyBorder="1" applyAlignment="1">
      <alignment vertical="center"/>
    </xf>
    <xf numFmtId="0" fontId="62" fillId="0" borderId="19" xfId="63" applyFont="1" applyBorder="1" applyAlignment="1">
      <alignment vertical="center"/>
    </xf>
    <xf numFmtId="0" fontId="62" fillId="0" borderId="0" xfId="63" applyFont="1" applyBorder="1" applyAlignment="1">
      <alignment vertical="center"/>
    </xf>
    <xf numFmtId="0" fontId="41" fillId="0" borderId="0" xfId="63" applyFont="1" applyBorder="1" applyAlignment="1">
      <alignment vertical="center"/>
    </xf>
    <xf numFmtId="0" fontId="62" fillId="0" borderId="32" xfId="63" applyFont="1" applyBorder="1" applyAlignment="1">
      <alignment vertical="center"/>
    </xf>
    <xf numFmtId="0" fontId="63" fillId="0" borderId="0" xfId="63" applyFont="1" applyBorder="1" applyAlignment="1">
      <alignment vertical="center"/>
    </xf>
    <xf numFmtId="0" fontId="0" fillId="0" borderId="54" xfId="0" applyBorder="1"/>
    <xf numFmtId="0" fontId="41" fillId="0" borderId="19" xfId="63" applyFont="1" applyBorder="1" applyAlignment="1">
      <alignment vertical="center"/>
    </xf>
    <xf numFmtId="0" fontId="64" fillId="4" borderId="33" xfId="63" applyFont="1" applyFill="1" applyBorder="1" applyAlignment="1">
      <alignment vertical="center"/>
    </xf>
    <xf numFmtId="172" fontId="64" fillId="4" borderId="0" xfId="63" applyNumberFormat="1" applyFont="1" applyFill="1" applyBorder="1" applyAlignment="1">
      <alignment horizontal="center" vertical="center"/>
    </xf>
    <xf numFmtId="0" fontId="0" fillId="0" borderId="44" xfId="0" applyBorder="1"/>
    <xf numFmtId="172" fontId="71" fillId="0" borderId="0" xfId="63" applyNumberFormat="1" applyFont="1" applyFill="1" applyBorder="1" applyAlignment="1">
      <alignment horizontal="center" vertical="center"/>
    </xf>
    <xf numFmtId="0" fontId="18" fillId="0" borderId="19" xfId="63" applyFont="1" applyBorder="1" applyAlignment="1">
      <alignment horizontal="left" vertical="center"/>
    </xf>
    <xf numFmtId="0" fontId="18" fillId="0" borderId="0" xfId="63" applyFont="1" applyBorder="1" applyAlignment="1">
      <alignment horizontal="left" vertical="center"/>
    </xf>
    <xf numFmtId="0" fontId="62" fillId="4" borderId="34" xfId="63" applyFont="1" applyFill="1" applyBorder="1" applyAlignment="1">
      <alignment vertical="center"/>
    </xf>
    <xf numFmtId="0" fontId="18" fillId="4" borderId="35" xfId="63" applyFont="1" applyFill="1" applyBorder="1" applyAlignment="1">
      <alignment vertical="center"/>
    </xf>
    <xf numFmtId="2" fontId="70" fillId="0" borderId="0" xfId="64" applyNumberFormat="1" applyFont="1" applyFill="1" applyBorder="1" applyAlignment="1">
      <alignment horizontal="center" vertical="center"/>
    </xf>
    <xf numFmtId="0" fontId="18" fillId="0" borderId="19" xfId="63" applyFont="1" applyBorder="1" applyAlignment="1">
      <alignment vertical="center"/>
    </xf>
    <xf numFmtId="0" fontId="18" fillId="0" borderId="0" xfId="63" applyFont="1" applyBorder="1" applyAlignment="1">
      <alignment vertical="center"/>
    </xf>
    <xf numFmtId="0" fontId="18" fillId="0" borderId="36" xfId="63" applyFont="1" applyBorder="1" applyAlignment="1">
      <alignment vertical="center"/>
    </xf>
    <xf numFmtId="172" fontId="18" fillId="4" borderId="0" xfId="63" applyNumberFormat="1" applyFont="1" applyFill="1" applyBorder="1" applyAlignment="1">
      <alignment horizontal="center" vertical="center"/>
    </xf>
    <xf numFmtId="0" fontId="18" fillId="4" borderId="0" xfId="63" applyFont="1" applyFill="1" applyBorder="1" applyAlignment="1">
      <alignment vertical="center"/>
    </xf>
    <xf numFmtId="0" fontId="62" fillId="0" borderId="37" xfId="63" applyFont="1" applyBorder="1" applyAlignment="1">
      <alignment horizontal="left" vertical="center"/>
    </xf>
    <xf numFmtId="0" fontId="62" fillId="0" borderId="35" xfId="63" applyFont="1" applyBorder="1" applyAlignment="1">
      <alignment horizontal="left" vertical="center"/>
    </xf>
    <xf numFmtId="0" fontId="18" fillId="0" borderId="35" xfId="63" applyFont="1" applyBorder="1" applyAlignment="1">
      <alignment horizontal="center" vertical="center"/>
    </xf>
    <xf numFmtId="0" fontId="18" fillId="0" borderId="38" xfId="63" applyFont="1" applyBorder="1" applyAlignment="1">
      <alignment horizontal="center" vertical="center"/>
    </xf>
    <xf numFmtId="0" fontId="0" fillId="0" borderId="55" xfId="0" applyBorder="1"/>
    <xf numFmtId="0" fontId="31" fillId="0" borderId="0" xfId="63" applyFont="1" applyBorder="1" applyAlignment="1">
      <alignment horizontal="left" vertical="center"/>
    </xf>
    <xf numFmtId="0" fontId="65" fillId="0" borderId="0" xfId="63" applyFont="1" applyFill="1" applyBorder="1" applyAlignment="1">
      <alignment horizontal="left" vertical="center" wrapText="1"/>
    </xf>
    <xf numFmtId="0" fontId="65" fillId="0" borderId="36" xfId="63" applyFont="1" applyFill="1" applyBorder="1" applyAlignment="1">
      <alignment horizontal="left" vertical="center" wrapText="1"/>
    </xf>
    <xf numFmtId="0" fontId="67" fillId="0" borderId="36" xfId="63" applyFont="1" applyFill="1" applyBorder="1" applyAlignment="1">
      <alignment horizontal="left" vertical="center" wrapText="1"/>
    </xf>
    <xf numFmtId="0" fontId="67" fillId="0" borderId="19" xfId="63" applyFont="1" applyFill="1" applyBorder="1" applyAlignment="1">
      <alignment horizontal="left" vertical="center" wrapText="1"/>
    </xf>
    <xf numFmtId="0" fontId="67" fillId="0" borderId="0" xfId="63" applyFont="1" applyFill="1" applyBorder="1" applyAlignment="1">
      <alignment horizontal="left" vertical="center" wrapText="1"/>
    </xf>
    <xf numFmtId="0" fontId="68" fillId="4" borderId="37" xfId="63" applyFont="1" applyFill="1" applyBorder="1" applyAlignment="1">
      <alignment vertical="center"/>
    </xf>
    <xf numFmtId="0" fontId="68" fillId="4" borderId="35" xfId="63" applyFont="1" applyFill="1" applyBorder="1" applyAlignment="1">
      <alignment vertical="center"/>
    </xf>
    <xf numFmtId="0" fontId="67" fillId="0" borderId="35" xfId="63" applyFont="1" applyFill="1" applyBorder="1" applyAlignment="1">
      <alignment vertical="center"/>
    </xf>
    <xf numFmtId="0" fontId="67" fillId="0" borderId="38" xfId="63" applyFont="1" applyFill="1" applyBorder="1" applyAlignment="1">
      <alignment vertical="center"/>
    </xf>
    <xf numFmtId="0" fontId="69" fillId="4" borderId="0" xfId="63" applyFont="1" applyFill="1" applyBorder="1" applyAlignment="1">
      <alignment vertical="center"/>
    </xf>
    <xf numFmtId="0" fontId="69" fillId="0" borderId="0" xfId="63" applyFont="1" applyBorder="1" applyAlignment="1">
      <alignment vertical="center"/>
    </xf>
    <xf numFmtId="0" fontId="69" fillId="4" borderId="32" xfId="63" applyFont="1" applyFill="1" applyBorder="1" applyAlignment="1">
      <alignment vertical="center"/>
    </xf>
    <xf numFmtId="0" fontId="66" fillId="4" borderId="19" xfId="63" applyFont="1" applyFill="1" applyBorder="1" applyAlignment="1">
      <alignment vertical="center"/>
    </xf>
    <xf numFmtId="0" fontId="66" fillId="4" borderId="0" xfId="63" applyFont="1" applyFill="1" applyBorder="1" applyAlignment="1">
      <alignment vertical="center"/>
    </xf>
    <xf numFmtId="0" fontId="66" fillId="0" borderId="0" xfId="63" applyFont="1" applyFill="1" applyBorder="1" applyAlignment="1">
      <alignment vertical="center"/>
    </xf>
    <xf numFmtId="0" fontId="67" fillId="0" borderId="36" xfId="63" applyFont="1" applyFill="1" applyBorder="1" applyAlignment="1">
      <alignment vertical="center"/>
    </xf>
    <xf numFmtId="0" fontId="0" fillId="0" borderId="45" xfId="0" applyBorder="1"/>
    <xf numFmtId="0" fontId="67" fillId="0" borderId="36" xfId="63" applyFont="1" applyFill="1" applyBorder="1" applyAlignment="1">
      <alignment vertical="center" wrapText="1"/>
    </xf>
    <xf numFmtId="0" fontId="62" fillId="4" borderId="35" xfId="63" applyFont="1" applyFill="1" applyBorder="1" applyAlignment="1">
      <alignment vertical="center" wrapText="1"/>
    </xf>
    <xf numFmtId="0" fontId="18" fillId="0" borderId="0" xfId="63" applyFont="1" applyBorder="1" applyAlignment="1">
      <alignment vertical="center" wrapText="1"/>
    </xf>
    <xf numFmtId="0" fontId="66" fillId="0" borderId="19" xfId="63" applyFont="1" applyFill="1" applyBorder="1" applyAlignment="1">
      <alignment vertical="center" wrapText="1"/>
    </xf>
    <xf numFmtId="0" fontId="66" fillId="0" borderId="0" xfId="63" applyFont="1" applyFill="1" applyBorder="1" applyAlignment="1">
      <alignment vertical="center" wrapText="1"/>
    </xf>
    <xf numFmtId="0" fontId="67" fillId="0" borderId="0" xfId="63" applyFont="1" applyFill="1" applyBorder="1" applyAlignment="1">
      <alignment vertical="center" wrapText="1"/>
    </xf>
    <xf numFmtId="0" fontId="18" fillId="0" borderId="32" xfId="63" applyFont="1" applyBorder="1" applyAlignment="1">
      <alignment vertical="center" wrapText="1"/>
    </xf>
    <xf numFmtId="0" fontId="18" fillId="0" borderId="33" xfId="63" applyFont="1" applyBorder="1" applyAlignment="1">
      <alignment horizontal="left" vertical="center"/>
    </xf>
    <xf numFmtId="0" fontId="18" fillId="0" borderId="40" xfId="63" applyFont="1" applyBorder="1" applyAlignment="1">
      <alignment vertical="center"/>
    </xf>
    <xf numFmtId="0" fontId="18" fillId="0" borderId="37" xfId="63" applyFont="1" applyBorder="1" applyAlignment="1">
      <alignment horizontal="left" vertical="center"/>
    </xf>
    <xf numFmtId="0" fontId="67" fillId="0" borderId="38" xfId="63" applyFont="1" applyFill="1" applyBorder="1" applyAlignment="1">
      <alignment vertical="center" wrapText="1"/>
    </xf>
    <xf numFmtId="0" fontId="62" fillId="0" borderId="35" xfId="63" applyFont="1" applyBorder="1" applyAlignment="1">
      <alignment vertical="center"/>
    </xf>
    <xf numFmtId="0" fontId="62" fillId="0" borderId="34" xfId="63" applyFont="1" applyBorder="1" applyAlignment="1">
      <alignment vertical="center" wrapText="1"/>
    </xf>
    <xf numFmtId="0" fontId="62" fillId="0" borderId="35" xfId="63" applyFont="1" applyBorder="1" applyAlignment="1">
      <alignment vertical="center" wrapText="1"/>
    </xf>
    <xf numFmtId="0" fontId="31" fillId="0" borderId="0" xfId="63" applyFont="1" applyBorder="1" applyAlignment="1">
      <alignment horizontal="left" vertical="center" wrapText="1"/>
    </xf>
    <xf numFmtId="0" fontId="18" fillId="4" borderId="42" xfId="63" applyFont="1" applyFill="1" applyBorder="1" applyAlignment="1">
      <alignment horizontal="left" vertical="center"/>
    </xf>
    <xf numFmtId="0" fontId="18" fillId="4" borderId="0" xfId="63" applyFont="1" applyFill="1" applyBorder="1" applyAlignment="1">
      <alignment horizontal="left" vertical="center"/>
    </xf>
    <xf numFmtId="172" fontId="31" fillId="4" borderId="32" xfId="63" applyNumberFormat="1" applyFont="1" applyFill="1" applyBorder="1" applyAlignment="1">
      <alignment horizontal="left" vertical="center"/>
    </xf>
    <xf numFmtId="172" fontId="31" fillId="4" borderId="24" xfId="63" applyNumberFormat="1" applyFont="1" applyFill="1" applyBorder="1" applyAlignment="1">
      <alignment horizontal="left" vertical="center" wrapText="1"/>
    </xf>
    <xf numFmtId="0" fontId="0" fillId="0" borderId="46" xfId="0" applyBorder="1"/>
    <xf numFmtId="0" fontId="41" fillId="0" borderId="56" xfId="63" applyFont="1" applyBorder="1" applyAlignment="1">
      <alignment horizontal="center" vertical="center" wrapText="1"/>
    </xf>
    <xf numFmtId="0" fontId="41" fillId="0" borderId="2" xfId="63" applyFont="1" applyBorder="1" applyAlignment="1">
      <alignment horizontal="center" vertical="center" wrapText="1"/>
    </xf>
    <xf numFmtId="170" fontId="41" fillId="0" borderId="26" xfId="64" applyNumberFormat="1" applyFont="1" applyBorder="1" applyAlignment="1">
      <alignment horizontal="center" vertical="center" wrapText="1"/>
    </xf>
    <xf numFmtId="0" fontId="41" fillId="0" borderId="26" xfId="63" applyFont="1" applyBorder="1" applyAlignment="1">
      <alignment horizontal="center" vertical="center" wrapText="1"/>
    </xf>
    <xf numFmtId="0" fontId="41" fillId="0" borderId="57" xfId="63" applyFont="1" applyBorder="1" applyAlignment="1">
      <alignment horizontal="center" vertical="center" wrapText="1"/>
    </xf>
    <xf numFmtId="0" fontId="18" fillId="0" borderId="3" xfId="63" applyFont="1" applyBorder="1" applyAlignment="1">
      <alignment horizontal="left" vertical="center"/>
    </xf>
    <xf numFmtId="0" fontId="18" fillId="0" borderId="4" xfId="63" applyFont="1" applyBorder="1" applyAlignment="1">
      <alignment horizontal="left" vertical="center"/>
    </xf>
    <xf numFmtId="0" fontId="18" fillId="0" borderId="0" xfId="0" applyFont="1" applyFill="1"/>
    <xf numFmtId="0" fontId="18" fillId="0" borderId="0" xfId="0" applyFont="1"/>
    <xf numFmtId="0" fontId="18" fillId="4" borderId="4" xfId="65" applyNumberFormat="1" applyFont="1" applyFill="1" applyBorder="1" applyAlignment="1">
      <alignment horizontal="center" vertical="center" wrapText="1"/>
    </xf>
    <xf numFmtId="0" fontId="21" fillId="4" borderId="4" xfId="65" applyNumberFormat="1" applyFont="1" applyFill="1" applyBorder="1" applyAlignment="1">
      <alignment horizontal="center" vertical="center" wrapText="1"/>
    </xf>
    <xf numFmtId="0" fontId="18" fillId="0" borderId="20" xfId="63" applyFont="1" applyFill="1" applyBorder="1" applyAlignment="1">
      <alignment horizontal="center" vertical="center" wrapText="1"/>
    </xf>
    <xf numFmtId="0" fontId="18" fillId="0" borderId="20" xfId="0" applyFont="1" applyFill="1" applyBorder="1" applyAlignment="1">
      <alignment horizontal="center" vertical="center" wrapText="1"/>
    </xf>
    <xf numFmtId="0" fontId="18" fillId="0" borderId="20" xfId="63" quotePrefix="1" applyFont="1" applyFill="1" applyBorder="1" applyAlignment="1">
      <alignment horizontal="center" vertical="center" wrapText="1"/>
    </xf>
    <xf numFmtId="0" fontId="38" fillId="0" borderId="20" xfId="63" applyFont="1" applyFill="1" applyBorder="1" applyAlignment="1">
      <alignment horizontal="center" vertical="center" wrapText="1"/>
    </xf>
    <xf numFmtId="2" fontId="18" fillId="0" borderId="23" xfId="0" applyNumberFormat="1" applyFont="1" applyFill="1" applyBorder="1" applyAlignment="1">
      <alignment horizontal="center" vertical="center" wrapText="1"/>
    </xf>
    <xf numFmtId="0" fontId="66" fillId="0" borderId="6" xfId="0" applyFont="1" applyFill="1" applyBorder="1" applyAlignment="1">
      <alignment horizontal="left" vertical="center"/>
    </xf>
    <xf numFmtId="0" fontId="66" fillId="0" borderId="4" xfId="0" applyFont="1" applyFill="1" applyBorder="1" applyAlignment="1">
      <alignment horizontal="left"/>
    </xf>
    <xf numFmtId="0" fontId="18" fillId="0" borderId="0" xfId="0" applyFont="1" applyFill="1" applyAlignment="1">
      <alignment horizontal="center" vertical="center" wrapText="1"/>
    </xf>
    <xf numFmtId="0" fontId="18" fillId="4" borderId="22" xfId="0" applyFont="1" applyFill="1" applyBorder="1" applyAlignment="1">
      <alignment vertical="center"/>
    </xf>
    <xf numFmtId="0" fontId="18" fillId="4" borderId="8" xfId="0" applyFont="1" applyFill="1" applyBorder="1" applyAlignment="1">
      <alignment vertical="center"/>
    </xf>
    <xf numFmtId="173" fontId="42" fillId="4" borderId="8" xfId="63" applyNumberFormat="1" applyFont="1" applyFill="1" applyBorder="1" applyAlignment="1">
      <alignment horizontal="center" vertical="center"/>
    </xf>
    <xf numFmtId="0" fontId="43" fillId="4" borderId="8" xfId="0" applyNumberFormat="1" applyFont="1" applyFill="1" applyBorder="1" applyAlignment="1">
      <alignment horizontal="center" vertical="center" wrapText="1"/>
    </xf>
    <xf numFmtId="170" fontId="44" fillId="4" borderId="8" xfId="63" applyNumberFormat="1" applyFont="1" applyFill="1" applyBorder="1" applyAlignment="1">
      <alignment horizontal="center" vertical="center"/>
    </xf>
    <xf numFmtId="0" fontId="112" fillId="4" borderId="0" xfId="63" applyFont="1" applyFill="1" applyAlignment="1">
      <alignment horizontal="center" vertical="center"/>
    </xf>
    <xf numFmtId="0" fontId="66" fillId="4" borderId="4" xfId="0" applyFont="1" applyFill="1" applyBorder="1" applyAlignment="1">
      <alignment horizontal="left"/>
    </xf>
    <xf numFmtId="0" fontId="0" fillId="4" borderId="0" xfId="0" applyFill="1"/>
    <xf numFmtId="4" fontId="69" fillId="0" borderId="19" xfId="63" applyNumberFormat="1" applyFont="1" applyBorder="1" applyAlignment="1">
      <alignment horizontal="right"/>
    </xf>
    <xf numFmtId="177" fontId="72" fillId="0" borderId="31" xfId="63" applyNumberFormat="1" applyFont="1" applyBorder="1" applyAlignment="1">
      <alignment horizontal="left"/>
    </xf>
    <xf numFmtId="4" fontId="31" fillId="0" borderId="0" xfId="63" applyNumberFormat="1" applyFont="1" applyBorder="1" applyAlignment="1">
      <alignment horizontal="left"/>
    </xf>
    <xf numFmtId="4" fontId="71" fillId="0" borderId="0" xfId="63" applyNumberFormat="1" applyFont="1" applyBorder="1"/>
    <xf numFmtId="170" fontId="71" fillId="0" borderId="0" xfId="64" applyNumberFormat="1" applyFont="1" applyBorder="1"/>
    <xf numFmtId="170" fontId="70" fillId="0" borderId="0" xfId="64" applyNumberFormat="1" applyFont="1" applyBorder="1" applyAlignment="1">
      <alignment horizontal="center"/>
    </xf>
    <xf numFmtId="4" fontId="70" fillId="0" borderId="0" xfId="63" applyNumberFormat="1" applyFont="1" applyBorder="1" applyAlignment="1">
      <alignment horizontal="right"/>
    </xf>
    <xf numFmtId="0" fontId="31" fillId="0" borderId="19" xfId="63" applyFont="1" applyBorder="1"/>
    <xf numFmtId="0" fontId="31" fillId="0" borderId="0" xfId="63" applyFont="1" applyBorder="1"/>
    <xf numFmtId="0" fontId="63" fillId="0" borderId="0" xfId="63" applyFont="1" applyBorder="1" applyAlignment="1">
      <alignment horizontal="center"/>
    </xf>
    <xf numFmtId="0" fontId="73" fillId="0" borderId="19" xfId="63" applyFont="1" applyBorder="1"/>
    <xf numFmtId="0" fontId="73" fillId="0" borderId="0" xfId="63" applyFont="1" applyBorder="1"/>
    <xf numFmtId="0" fontId="76" fillId="0" borderId="0" xfId="63" applyFont="1" applyBorder="1" applyAlignment="1">
      <alignment horizontal="center"/>
    </xf>
    <xf numFmtId="2" fontId="41" fillId="0" borderId="12" xfId="0" applyNumberFormat="1" applyFont="1" applyFill="1" applyBorder="1" applyAlignment="1">
      <alignment horizontal="center" vertical="center" wrapText="1"/>
    </xf>
    <xf numFmtId="170" fontId="43" fillId="4" borderId="8" xfId="41" applyNumberFormat="1" applyFont="1" applyFill="1" applyBorder="1" applyAlignment="1">
      <alignment horizontal="center" vertical="center"/>
    </xf>
    <xf numFmtId="184" fontId="44" fillId="4" borderId="8" xfId="63" applyNumberFormat="1" applyFont="1" applyFill="1" applyBorder="1" applyAlignment="1">
      <alignment horizontal="center" vertical="center"/>
    </xf>
    <xf numFmtId="0" fontId="18" fillId="0" borderId="35" xfId="63" applyFont="1" applyBorder="1" applyAlignment="1">
      <alignment horizontal="left" vertical="center"/>
    </xf>
    <xf numFmtId="0" fontId="62" fillId="0" borderId="58" xfId="63" applyFont="1" applyBorder="1" applyAlignment="1">
      <alignment horizontal="left" vertical="center"/>
    </xf>
    <xf numFmtId="0" fontId="62" fillId="0" borderId="59" xfId="63" applyFont="1" applyBorder="1" applyAlignment="1">
      <alignment vertical="center"/>
    </xf>
    <xf numFmtId="172" fontId="31" fillId="4" borderId="60" xfId="63" applyNumberFormat="1" applyFont="1" applyFill="1" applyBorder="1" applyAlignment="1">
      <alignment horizontal="left" vertical="center"/>
    </xf>
    <xf numFmtId="172" fontId="31" fillId="4" borderId="61" xfId="63" applyNumberFormat="1" applyFont="1" applyFill="1" applyBorder="1" applyAlignment="1">
      <alignment horizontal="left" vertical="center"/>
    </xf>
    <xf numFmtId="0" fontId="31" fillId="0" borderId="40" xfId="0" applyFont="1" applyBorder="1"/>
    <xf numFmtId="172" fontId="18" fillId="4" borderId="35" xfId="63" applyNumberFormat="1" applyFont="1" applyFill="1" applyBorder="1" applyAlignment="1">
      <alignment horizontal="center" vertical="center"/>
    </xf>
    <xf numFmtId="0" fontId="18" fillId="4" borderId="34" xfId="63" applyFont="1" applyFill="1" applyBorder="1" applyAlignment="1">
      <alignment vertical="center"/>
    </xf>
    <xf numFmtId="0" fontId="57" fillId="0" borderId="33" xfId="0" applyFont="1" applyBorder="1"/>
    <xf numFmtId="172" fontId="66" fillId="4" borderId="40" xfId="0" applyNumberFormat="1" applyFont="1" applyFill="1" applyBorder="1" applyAlignment="1">
      <alignment horizontal="center" vertical="center"/>
    </xf>
    <xf numFmtId="0" fontId="115" fillId="0" borderId="0" xfId="0" applyFont="1" applyFill="1" applyBorder="1" applyAlignment="1">
      <alignment vertical="center"/>
    </xf>
    <xf numFmtId="0" fontId="115" fillId="0" borderId="0" xfId="0" applyFont="1" applyBorder="1" applyAlignment="1">
      <alignment vertical="center"/>
    </xf>
    <xf numFmtId="0" fontId="18" fillId="4" borderId="62" xfId="65" applyNumberFormat="1" applyFont="1" applyFill="1" applyBorder="1" applyAlignment="1">
      <alignment horizontal="center" vertical="center" wrapText="1"/>
    </xf>
    <xf numFmtId="0" fontId="21" fillId="4" borderId="62" xfId="65" applyNumberFormat="1" applyFont="1" applyFill="1" applyBorder="1" applyAlignment="1">
      <alignment horizontal="center" vertical="center" wrapText="1"/>
    </xf>
    <xf numFmtId="0" fontId="66" fillId="0" borderId="0" xfId="0" applyFont="1" applyFill="1" applyBorder="1" applyAlignment="1">
      <alignment horizontal="left" vertical="center"/>
    </xf>
    <xf numFmtId="0" fontId="66" fillId="0" borderId="0" xfId="0" applyFont="1" applyFill="1" applyBorder="1" applyAlignment="1">
      <alignment vertical="center"/>
    </xf>
    <xf numFmtId="172" fontId="18" fillId="4" borderId="0" xfId="0" applyNumberFormat="1" applyFont="1" applyFill="1" applyBorder="1" applyAlignment="1">
      <alignment horizontal="center" vertical="center"/>
    </xf>
    <xf numFmtId="172" fontId="18" fillId="4" borderId="44" xfId="0" applyNumberFormat="1" applyFont="1" applyFill="1" applyBorder="1" applyAlignment="1">
      <alignment horizontal="center" vertical="center"/>
    </xf>
    <xf numFmtId="0" fontId="66" fillId="0" borderId="19" xfId="63" applyFont="1" applyFill="1" applyBorder="1" applyAlignment="1">
      <alignment vertical="center" wrapText="1"/>
    </xf>
    <xf numFmtId="0" fontId="66" fillId="0" borderId="0" xfId="63" applyFont="1" applyFill="1" applyBorder="1" applyAlignment="1">
      <alignment vertical="center" wrapText="1"/>
    </xf>
    <xf numFmtId="0" fontId="67" fillId="0" borderId="38" xfId="41" applyFont="1" applyFill="1" applyBorder="1" applyAlignment="1">
      <alignment vertical="center"/>
    </xf>
    <xf numFmtId="2" fontId="111" fillId="4" borderId="2" xfId="74" applyNumberFormat="1" applyFont="1" applyFill="1" applyBorder="1" applyAlignment="1">
      <alignment horizontal="center" vertical="center" wrapText="1"/>
    </xf>
    <xf numFmtId="179" fontId="111" fillId="4" borderId="9" xfId="74" applyNumberFormat="1" applyFont="1" applyFill="1" applyBorder="1" applyAlignment="1">
      <alignment horizontal="center" vertical="center" wrapText="1"/>
    </xf>
    <xf numFmtId="183" fontId="33" fillId="4" borderId="8" xfId="74" applyNumberFormat="1" applyFont="1" applyFill="1" applyBorder="1" applyAlignment="1">
      <alignment horizontal="center" vertical="center" wrapText="1"/>
    </xf>
    <xf numFmtId="1" fontId="33" fillId="0" borderId="8" xfId="74" applyNumberFormat="1" applyFont="1" applyFill="1" applyBorder="1" applyAlignment="1">
      <alignment horizontal="center" vertical="center" wrapText="1"/>
    </xf>
    <xf numFmtId="0" fontId="111" fillId="4" borderId="1" xfId="78" applyFont="1" applyFill="1" applyBorder="1" applyAlignment="1">
      <alignment horizontal="center" vertical="center" wrapText="1"/>
    </xf>
    <xf numFmtId="0" fontId="111" fillId="4" borderId="2" xfId="78" applyFont="1" applyFill="1" applyBorder="1" applyAlignment="1">
      <alignment horizontal="center" vertical="center" wrapText="1"/>
    </xf>
    <xf numFmtId="0" fontId="111" fillId="4" borderId="2" xfId="78" applyFont="1" applyFill="1" applyBorder="1" applyAlignment="1">
      <alignment horizontal="center" vertical="center"/>
    </xf>
    <xf numFmtId="0" fontId="82" fillId="0" borderId="0" xfId="79" applyBorder="1" applyAlignment="1">
      <alignment vertical="center"/>
    </xf>
    <xf numFmtId="0" fontId="82" fillId="0" borderId="0" xfId="79" applyAlignment="1">
      <alignment vertical="center"/>
    </xf>
    <xf numFmtId="0" fontId="112" fillId="0" borderId="4" xfId="80" applyNumberFormat="1" applyFont="1" applyFill="1" applyBorder="1" applyAlignment="1">
      <alignment horizontal="center" vertical="center"/>
    </xf>
    <xf numFmtId="0" fontId="112" fillId="0" borderId="4" xfId="80" applyNumberFormat="1" applyFont="1" applyFill="1" applyBorder="1" applyAlignment="1">
      <alignment horizontal="center" vertical="center" wrapText="1"/>
    </xf>
    <xf numFmtId="0" fontId="112" fillId="4" borderId="0" xfId="80" applyNumberFormat="1" applyFont="1" applyFill="1" applyBorder="1" applyAlignment="1">
      <alignment vertical="center"/>
    </xf>
    <xf numFmtId="0" fontId="112" fillId="4" borderId="16" xfId="80" applyNumberFormat="1" applyFont="1" applyFill="1" applyBorder="1" applyAlignment="1">
      <alignment vertical="center"/>
    </xf>
    <xf numFmtId="0" fontId="112" fillId="4" borderId="15" xfId="80" applyNumberFormat="1" applyFont="1" applyFill="1" applyBorder="1" applyAlignment="1">
      <alignment vertical="center"/>
    </xf>
    <xf numFmtId="0" fontId="112" fillId="0" borderId="3" xfId="80" applyNumberFormat="1" applyFont="1" applyFill="1" applyBorder="1" applyAlignment="1">
      <alignment horizontal="center" vertical="center"/>
    </xf>
    <xf numFmtId="0" fontId="112" fillId="0" borderId="10" xfId="80" applyNumberFormat="1" applyFont="1" applyFill="1" applyBorder="1" applyAlignment="1">
      <alignment horizontal="center" vertical="center"/>
    </xf>
    <xf numFmtId="0" fontId="112" fillId="0" borderId="56" xfId="80" applyNumberFormat="1" applyFont="1" applyFill="1" applyBorder="1" applyAlignment="1">
      <alignment horizontal="center" vertical="center"/>
    </xf>
    <xf numFmtId="0" fontId="112" fillId="0" borderId="63" xfId="80" applyNumberFormat="1" applyFont="1" applyFill="1" applyBorder="1" applyAlignment="1">
      <alignment horizontal="center" vertical="center"/>
    </xf>
    <xf numFmtId="0" fontId="112" fillId="0" borderId="20" xfId="80" applyNumberFormat="1" applyFont="1" applyFill="1" applyBorder="1" applyAlignment="1">
      <alignment horizontal="center" vertical="center"/>
    </xf>
    <xf numFmtId="0" fontId="112" fillId="0" borderId="23" xfId="80" applyNumberFormat="1" applyFont="1" applyFill="1" applyBorder="1" applyAlignment="1">
      <alignment horizontal="center" vertical="center"/>
    </xf>
    <xf numFmtId="178" fontId="33" fillId="4" borderId="8" xfId="81" applyNumberFormat="1" applyFont="1" applyFill="1" applyBorder="1" applyAlignment="1">
      <alignment horizontal="center" vertical="center"/>
    </xf>
    <xf numFmtId="0" fontId="33" fillId="4" borderId="8" xfId="81" applyFont="1" applyFill="1" applyBorder="1" applyAlignment="1">
      <alignment vertical="center"/>
    </xf>
    <xf numFmtId="182" fontId="84" fillId="4" borderId="8" xfId="81" applyNumberFormat="1" applyFont="1" applyFill="1" applyBorder="1" applyAlignment="1">
      <alignment horizontal="center" vertical="center"/>
    </xf>
    <xf numFmtId="0" fontId="33" fillId="4" borderId="8" xfId="79" applyFont="1" applyFill="1" applyBorder="1" applyAlignment="1">
      <alignment horizontal="center" vertical="center"/>
    </xf>
    <xf numFmtId="0" fontId="85" fillId="0" borderId="8" xfId="79" applyFont="1" applyBorder="1" applyAlignment="1">
      <alignment horizontal="center" vertical="center"/>
    </xf>
    <xf numFmtId="180" fontId="114" fillId="0" borderId="8" xfId="79" applyNumberFormat="1" applyFont="1" applyBorder="1" applyAlignment="1">
      <alignment horizontal="center" vertical="center"/>
    </xf>
    <xf numFmtId="181" fontId="114" fillId="0" borderId="12" xfId="79" applyNumberFormat="1" applyFont="1" applyBorder="1" applyAlignment="1">
      <alignment horizontal="center" vertical="center"/>
    </xf>
    <xf numFmtId="0" fontId="18" fillId="4" borderId="0" xfId="79" applyFont="1" applyFill="1" applyBorder="1" applyAlignment="1">
      <alignment vertical="center"/>
    </xf>
    <xf numFmtId="0" fontId="18" fillId="4" borderId="0" xfId="79" applyFont="1" applyFill="1" applyAlignment="1">
      <alignment vertical="center"/>
    </xf>
    <xf numFmtId="0" fontId="38" fillId="4" borderId="0" xfId="79" applyFont="1" applyFill="1" applyAlignment="1">
      <alignment horizontal="center" vertical="center"/>
    </xf>
    <xf numFmtId="0" fontId="79" fillId="4" borderId="19" xfId="78" applyFont="1" applyFill="1" applyBorder="1" applyAlignment="1">
      <alignment horizontal="center" vertical="center"/>
    </xf>
    <xf numFmtId="0" fontId="38" fillId="4" borderId="0" xfId="78" applyFont="1" applyFill="1" applyAlignment="1">
      <alignment horizontal="center" vertical="center"/>
    </xf>
    <xf numFmtId="0" fontId="33" fillId="0" borderId="0" xfId="78" applyFont="1" applyAlignment="1">
      <alignment vertical="center"/>
    </xf>
    <xf numFmtId="0" fontId="33" fillId="0" borderId="0" xfId="78" applyFont="1" applyAlignment="1">
      <alignment horizontal="center" vertical="center"/>
    </xf>
    <xf numFmtId="0" fontId="112" fillId="0" borderId="23" xfId="80" applyNumberFormat="1" applyFont="1" applyFill="1" applyBorder="1" applyAlignment="1">
      <alignment horizontal="center" vertical="center"/>
    </xf>
    <xf numFmtId="0" fontId="112" fillId="0" borderId="57" xfId="80" applyNumberFormat="1" applyFont="1" applyFill="1" applyBorder="1" applyAlignment="1">
      <alignment horizontal="center" vertical="center"/>
    </xf>
    <xf numFmtId="0" fontId="112" fillId="0" borderId="63" xfId="80" applyNumberFormat="1" applyFont="1" applyFill="1" applyBorder="1" applyAlignment="1">
      <alignment horizontal="center" vertical="center"/>
    </xf>
    <xf numFmtId="0" fontId="112" fillId="0" borderId="64" xfId="80" applyNumberFormat="1" applyFont="1" applyFill="1" applyBorder="1" applyAlignment="1">
      <alignment horizontal="center" vertical="center"/>
    </xf>
    <xf numFmtId="0" fontId="112" fillId="0" borderId="56" xfId="80" applyNumberFormat="1" applyFont="1" applyFill="1" applyBorder="1" applyAlignment="1">
      <alignment horizontal="center" vertical="center"/>
    </xf>
    <xf numFmtId="0" fontId="112" fillId="0" borderId="20" xfId="80" applyNumberFormat="1" applyFont="1" applyFill="1" applyBorder="1" applyAlignment="1">
      <alignment horizontal="center" vertical="center"/>
    </xf>
    <xf numFmtId="0" fontId="112" fillId="0" borderId="65" xfId="80" applyNumberFormat="1" applyFont="1" applyFill="1" applyBorder="1" applyAlignment="1">
      <alignment horizontal="center" vertical="center"/>
    </xf>
    <xf numFmtId="0" fontId="112" fillId="0" borderId="26" xfId="80" applyNumberFormat="1" applyFont="1" applyFill="1" applyBorder="1" applyAlignment="1">
      <alignment horizontal="center" vertical="center"/>
    </xf>
    <xf numFmtId="0" fontId="112" fillId="0" borderId="66" xfId="80" applyNumberFormat="1" applyFont="1" applyFill="1" applyBorder="1" applyAlignment="1">
      <alignment horizontal="center" vertical="center"/>
    </xf>
    <xf numFmtId="0" fontId="112" fillId="0" borderId="10" xfId="80" applyNumberFormat="1" applyFont="1" applyFill="1" applyBorder="1" applyAlignment="1">
      <alignment horizontal="center" vertical="center"/>
    </xf>
    <xf numFmtId="0" fontId="33" fillId="0" borderId="7" xfId="81" applyFont="1" applyBorder="1" applyAlignment="1">
      <alignment horizontal="center" vertical="center"/>
    </xf>
    <xf numFmtId="0" fontId="33" fillId="0" borderId="8" xfId="81" applyFont="1" applyBorder="1" applyAlignment="1">
      <alignment horizontal="center" vertical="center"/>
    </xf>
    <xf numFmtId="0" fontId="112" fillId="0" borderId="4" xfId="80" applyNumberFormat="1" applyFont="1" applyFill="1" applyBorder="1" applyAlignment="1">
      <alignment horizontal="center" vertical="center"/>
    </xf>
    <xf numFmtId="0" fontId="112" fillId="0" borderId="3" xfId="80" applyNumberFormat="1" applyFont="1" applyFill="1" applyBorder="1" applyAlignment="1">
      <alignment horizontal="center" vertical="center"/>
    </xf>
    <xf numFmtId="0" fontId="65" fillId="0" borderId="19" xfId="41" applyFont="1" applyFill="1" applyBorder="1" applyAlignment="1">
      <alignment vertical="center"/>
    </xf>
    <xf numFmtId="0" fontId="65" fillId="0" borderId="0" xfId="41" applyFont="1" applyFill="1" applyBorder="1" applyAlignment="1">
      <alignment vertical="center"/>
    </xf>
    <xf numFmtId="0" fontId="33" fillId="0" borderId="13" xfId="41" applyFont="1" applyBorder="1" applyAlignment="1">
      <alignment horizontal="center" vertical="center"/>
    </xf>
    <xf numFmtId="0" fontId="33" fillId="0" borderId="14" xfId="41" applyFont="1" applyBorder="1" applyAlignment="1">
      <alignment horizontal="center" vertical="center"/>
    </xf>
    <xf numFmtId="0" fontId="33" fillId="0" borderId="49" xfId="41" applyFont="1" applyBorder="1" applyAlignment="1">
      <alignment horizontal="center" vertical="center"/>
    </xf>
    <xf numFmtId="0" fontId="33" fillId="0" borderId="15" xfId="41" applyFont="1" applyBorder="1" applyAlignment="1">
      <alignment horizontal="center" vertical="center"/>
    </xf>
    <xf numFmtId="0" fontId="33" fillId="0" borderId="16" xfId="41" applyFont="1" applyBorder="1" applyAlignment="1">
      <alignment horizontal="center" vertical="center"/>
    </xf>
    <xf numFmtId="0" fontId="33" fillId="0" borderId="50" xfId="41" applyFont="1" applyBorder="1" applyAlignment="1">
      <alignment horizontal="center" vertical="center"/>
    </xf>
    <xf numFmtId="0" fontId="33" fillId="0" borderId="17" xfId="41" applyFont="1" applyBorder="1" applyAlignment="1">
      <alignment horizontal="center" vertical="center"/>
    </xf>
    <xf numFmtId="0" fontId="33" fillId="0" borderId="18" xfId="41" applyFont="1" applyBorder="1" applyAlignment="1">
      <alignment horizontal="center" vertical="center"/>
    </xf>
    <xf numFmtId="0" fontId="33" fillId="0" borderId="51" xfId="41" applyFont="1" applyBorder="1" applyAlignment="1">
      <alignment horizontal="center" vertical="center"/>
    </xf>
    <xf numFmtId="172" fontId="64" fillId="0" borderId="0" xfId="41" applyNumberFormat="1" applyFont="1" applyFill="1" applyBorder="1" applyAlignment="1">
      <alignment horizontal="center" vertical="center"/>
    </xf>
    <xf numFmtId="172" fontId="64" fillId="0" borderId="44" xfId="41" applyNumberFormat="1" applyFont="1" applyFill="1" applyBorder="1" applyAlignment="1">
      <alignment horizontal="center" vertical="center"/>
    </xf>
    <xf numFmtId="0" fontId="18" fillId="0" borderId="19" xfId="41" applyFont="1" applyBorder="1" applyAlignment="1">
      <alignment horizontal="left" vertical="center" wrapText="1"/>
    </xf>
    <xf numFmtId="0" fontId="18" fillId="0" borderId="0" xfId="41" applyFont="1" applyBorder="1" applyAlignment="1">
      <alignment horizontal="left" vertical="center" wrapText="1"/>
    </xf>
    <xf numFmtId="0" fontId="83" fillId="0" borderId="15" xfId="41" applyFont="1" applyBorder="1" applyAlignment="1">
      <alignment horizontal="center" vertical="center"/>
    </xf>
    <xf numFmtId="0" fontId="83" fillId="0" borderId="16" xfId="41" applyFont="1" applyBorder="1" applyAlignment="1">
      <alignment horizontal="center" vertical="center"/>
    </xf>
    <xf numFmtId="0" fontId="83" fillId="0" borderId="50" xfId="41" applyFont="1" applyBorder="1" applyAlignment="1">
      <alignment horizontal="center" vertical="center"/>
    </xf>
    <xf numFmtId="0" fontId="83" fillId="0" borderId="19" xfId="41" applyFont="1" applyBorder="1" applyAlignment="1">
      <alignment horizontal="center" vertical="center"/>
    </xf>
    <xf numFmtId="0" fontId="83" fillId="0" borderId="0" xfId="41" applyFont="1" applyBorder="1" applyAlignment="1">
      <alignment horizontal="center" vertical="center"/>
    </xf>
    <xf numFmtId="0" fontId="83" fillId="0" borderId="44" xfId="41" applyFont="1" applyBorder="1" applyAlignment="1">
      <alignment horizontal="center" vertical="center"/>
    </xf>
    <xf numFmtId="172" fontId="18" fillId="0" borderId="0" xfId="41" applyNumberFormat="1" applyFont="1" applyFill="1" applyBorder="1" applyAlignment="1">
      <alignment horizontal="center" vertical="center"/>
    </xf>
    <xf numFmtId="172" fontId="18" fillId="0" borderId="44" xfId="41" applyNumberFormat="1" applyFont="1" applyFill="1" applyBorder="1" applyAlignment="1">
      <alignment horizontal="center" vertical="center"/>
    </xf>
    <xf numFmtId="0" fontId="65" fillId="0" borderId="19" xfId="41" applyFont="1" applyFill="1" applyBorder="1" applyAlignment="1">
      <alignment vertical="center" wrapText="1"/>
    </xf>
    <xf numFmtId="0" fontId="65" fillId="0" borderId="0" xfId="41" applyFont="1" applyFill="1" applyBorder="1" applyAlignment="1">
      <alignment vertical="center" wrapText="1"/>
    </xf>
    <xf numFmtId="0" fontId="67" fillId="0" borderId="19" xfId="41" applyFont="1" applyFill="1" applyBorder="1" applyAlignment="1">
      <alignment horizontal="left" vertical="center" wrapText="1"/>
    </xf>
    <xf numFmtId="0" fontId="67" fillId="0" borderId="0" xfId="41" applyFont="1" applyFill="1" applyBorder="1" applyAlignment="1">
      <alignment horizontal="left" vertical="center" wrapText="1"/>
    </xf>
    <xf numFmtId="172" fontId="104" fillId="0" borderId="0" xfId="41" applyNumberFormat="1" applyFont="1" applyFill="1" applyBorder="1" applyAlignment="1">
      <alignment horizontal="center" vertical="center"/>
    </xf>
    <xf numFmtId="172" fontId="104" fillId="0" borderId="44" xfId="41" applyNumberFormat="1" applyFont="1" applyFill="1" applyBorder="1" applyAlignment="1">
      <alignment horizontal="center" vertical="center"/>
    </xf>
    <xf numFmtId="0" fontId="67" fillId="0" borderId="19" xfId="41" applyFont="1" applyFill="1" applyBorder="1" applyAlignment="1">
      <alignment vertical="center" wrapText="1"/>
    </xf>
    <xf numFmtId="0" fontId="67" fillId="0" borderId="0" xfId="41" applyFont="1" applyFill="1" applyBorder="1" applyAlignment="1">
      <alignment vertical="center" wrapText="1"/>
    </xf>
    <xf numFmtId="172" fontId="115" fillId="0" borderId="0" xfId="41" applyNumberFormat="1" applyFont="1" applyFill="1" applyBorder="1" applyAlignment="1">
      <alignment horizontal="center" vertical="center"/>
    </xf>
    <xf numFmtId="172" fontId="115" fillId="0" borderId="44" xfId="41" applyNumberFormat="1" applyFont="1" applyFill="1" applyBorder="1" applyAlignment="1">
      <alignment horizontal="center" vertical="center"/>
    </xf>
    <xf numFmtId="172" fontId="18" fillId="4" borderId="0" xfId="0" applyNumberFormat="1" applyFont="1" applyFill="1" applyBorder="1" applyAlignment="1">
      <alignment horizontal="center" vertical="center"/>
    </xf>
    <xf numFmtId="172" fontId="18" fillId="4" borderId="44" xfId="0" applyNumberFormat="1" applyFont="1" applyFill="1" applyBorder="1" applyAlignment="1">
      <alignment horizontal="center" vertical="center"/>
    </xf>
    <xf numFmtId="0" fontId="66" fillId="0" borderId="39" xfId="41" applyFont="1" applyFill="1" applyBorder="1" applyAlignment="1">
      <alignment horizontal="left" vertical="center" wrapText="1"/>
    </xf>
    <xf numFmtId="0" fontId="66" fillId="0" borderId="40" xfId="41" applyFont="1" applyFill="1" applyBorder="1" applyAlignment="1">
      <alignment horizontal="left" vertical="center" wrapText="1"/>
    </xf>
    <xf numFmtId="0" fontId="66" fillId="0" borderId="19" xfId="41" applyFont="1" applyFill="1" applyBorder="1" applyAlignment="1">
      <alignment vertical="center" wrapText="1"/>
    </xf>
    <xf numFmtId="0" fontId="66" fillId="0" borderId="0" xfId="41" applyFont="1" applyFill="1" applyBorder="1" applyAlignment="1">
      <alignment vertical="center" wrapText="1"/>
    </xf>
    <xf numFmtId="0" fontId="33" fillId="0" borderId="0" xfId="82" applyFont="1" applyBorder="1" applyAlignment="1">
      <alignment horizontal="left" vertical="center" wrapText="1"/>
    </xf>
    <xf numFmtId="4" fontId="31" fillId="0" borderId="19" xfId="63" applyNumberFormat="1" applyFont="1" applyBorder="1" applyAlignment="1">
      <alignment horizontal="center"/>
    </xf>
    <xf numFmtId="4" fontId="31" fillId="0" borderId="0" xfId="63" applyNumberFormat="1" applyFont="1" applyBorder="1" applyAlignment="1">
      <alignment horizontal="center"/>
    </xf>
    <xf numFmtId="4" fontId="18" fillId="0" borderId="19" xfId="63" applyNumberFormat="1" applyFont="1" applyBorder="1" applyAlignment="1">
      <alignment horizontal="center"/>
    </xf>
    <xf numFmtId="4" fontId="18" fillId="0" borderId="0" xfId="63" applyNumberFormat="1" applyFont="1" applyBorder="1" applyAlignment="1">
      <alignment horizontal="center"/>
    </xf>
    <xf numFmtId="0" fontId="66" fillId="0" borderId="19" xfId="63" applyFont="1" applyFill="1" applyBorder="1" applyAlignment="1">
      <alignment vertical="center" wrapText="1"/>
    </xf>
    <xf numFmtId="0" fontId="66" fillId="0" borderId="0" xfId="63" applyFont="1" applyFill="1" applyBorder="1" applyAlignment="1">
      <alignment vertical="center" wrapText="1"/>
    </xf>
    <xf numFmtId="0" fontId="67" fillId="0" borderId="19" xfId="63" applyFont="1" applyFill="1" applyBorder="1" applyAlignment="1">
      <alignment horizontal="left" vertical="center" wrapText="1"/>
    </xf>
    <xf numFmtId="0" fontId="67" fillId="0" borderId="0" xfId="63" applyFont="1" applyFill="1" applyBorder="1" applyAlignment="1">
      <alignment horizontal="left" vertical="center" wrapText="1"/>
    </xf>
    <xf numFmtId="0" fontId="65" fillId="0" borderId="19" xfId="63" applyFont="1" applyFill="1" applyBorder="1" applyAlignment="1">
      <alignment vertical="center"/>
    </xf>
    <xf numFmtId="0" fontId="65" fillId="0" borderId="0" xfId="63" applyFont="1" applyFill="1" applyBorder="1" applyAlignment="1">
      <alignment vertical="center"/>
    </xf>
    <xf numFmtId="0" fontId="66" fillId="0" borderId="39" xfId="63" applyFont="1" applyFill="1" applyBorder="1" applyAlignment="1">
      <alignment horizontal="left" vertical="center" wrapText="1"/>
    </xf>
    <xf numFmtId="0" fontId="66" fillId="0" borderId="40" xfId="63" applyFont="1" applyFill="1" applyBorder="1" applyAlignment="1">
      <alignment horizontal="left" vertical="center" wrapText="1"/>
    </xf>
    <xf numFmtId="0" fontId="66" fillId="0" borderId="41" xfId="63" applyFont="1" applyFill="1" applyBorder="1" applyAlignment="1">
      <alignment horizontal="left" vertical="center" wrapText="1"/>
    </xf>
    <xf numFmtId="0" fontId="67" fillId="0" borderId="36" xfId="63" applyFont="1" applyFill="1" applyBorder="1" applyAlignment="1">
      <alignment horizontal="left" vertical="center" wrapText="1"/>
    </xf>
    <xf numFmtId="0" fontId="60" fillId="0" borderId="28" xfId="63" applyFont="1" applyBorder="1" applyAlignment="1">
      <alignment horizontal="center" vertical="center"/>
    </xf>
    <xf numFmtId="0" fontId="60" fillId="0" borderId="29" xfId="63" applyFont="1" applyBorder="1" applyAlignment="1">
      <alignment horizontal="center" vertical="center"/>
    </xf>
    <xf numFmtId="0" fontId="60" fillId="0" borderId="43" xfId="63" applyFont="1" applyBorder="1" applyAlignment="1">
      <alignment horizontal="center" vertical="center"/>
    </xf>
    <xf numFmtId="0" fontId="41" fillId="0" borderId="30" xfId="63" applyFont="1" applyBorder="1" applyAlignment="1">
      <alignment horizontal="center"/>
    </xf>
    <xf numFmtId="0" fontId="41" fillId="0" borderId="31" xfId="63" applyFont="1" applyBorder="1" applyAlignment="1">
      <alignment horizontal="center"/>
    </xf>
    <xf numFmtId="0" fontId="41" fillId="0" borderId="54" xfId="63" applyFont="1" applyBorder="1" applyAlignment="1">
      <alignment horizontal="center"/>
    </xf>
    <xf numFmtId="0" fontId="41" fillId="0" borderId="28" xfId="63" applyFont="1" applyBorder="1" applyAlignment="1">
      <alignment horizontal="center"/>
    </xf>
    <xf numFmtId="0" fontId="41" fillId="0" borderId="29" xfId="63" applyFont="1" applyBorder="1" applyAlignment="1">
      <alignment horizontal="center"/>
    </xf>
    <xf numFmtId="0" fontId="41" fillId="0" borderId="43" xfId="63" applyFont="1" applyBorder="1" applyAlignment="1">
      <alignment horizontal="center"/>
    </xf>
    <xf numFmtId="0" fontId="61" fillId="0" borderId="28" xfId="63" applyFont="1" applyBorder="1" applyAlignment="1">
      <alignment horizontal="center" vertical="center"/>
    </xf>
    <xf numFmtId="0" fontId="61" fillId="0" borderId="29" xfId="63" applyFont="1" applyBorder="1" applyAlignment="1">
      <alignment horizontal="center" vertical="center"/>
    </xf>
    <xf numFmtId="0" fontId="61" fillId="0" borderId="54" xfId="63" applyFont="1" applyBorder="1" applyAlignment="1">
      <alignment horizontal="center" vertical="center"/>
    </xf>
    <xf numFmtId="0" fontId="65" fillId="0" borderId="19" xfId="63" applyFont="1" applyFill="1" applyBorder="1" applyAlignment="1">
      <alignment horizontal="left" vertical="center" wrapText="1"/>
    </xf>
    <xf numFmtId="0" fontId="65" fillId="0" borderId="0" xfId="63" applyFont="1" applyFill="1" applyBorder="1" applyAlignment="1">
      <alignment horizontal="left" vertical="center" wrapText="1"/>
    </xf>
    <xf numFmtId="0" fontId="77" fillId="0" borderId="19" xfId="41" applyFont="1" applyFill="1" applyBorder="1" applyAlignment="1">
      <alignment vertical="center" wrapText="1"/>
    </xf>
    <xf numFmtId="0" fontId="77" fillId="0" borderId="0" xfId="41" applyFont="1" applyFill="1" applyBorder="1" applyAlignment="1">
      <alignment vertical="center" wrapText="1"/>
    </xf>
    <xf numFmtId="178" fontId="33" fillId="0" borderId="7" xfId="26" applyNumberFormat="1" applyFont="1" applyFill="1" applyBorder="1" applyAlignment="1">
      <alignment horizontal="center" vertical="center"/>
    </xf>
    <xf numFmtId="178" fontId="33" fillId="0" borderId="8" xfId="26" applyNumberFormat="1" applyFont="1" applyFill="1" applyBorder="1" applyAlignment="1">
      <alignment horizontal="center" vertical="center"/>
    </xf>
    <xf numFmtId="0" fontId="33" fillId="0" borderId="0" xfId="53" applyFont="1" applyBorder="1" applyAlignment="1">
      <alignment horizontal="center" vertical="center" wrapText="1"/>
    </xf>
    <xf numFmtId="0" fontId="33" fillId="0" borderId="0" xfId="41" applyFont="1" applyBorder="1" applyAlignment="1">
      <alignment horizontal="center" vertical="center"/>
    </xf>
    <xf numFmtId="0" fontId="80" fillId="0" borderId="0" xfId="41" applyFont="1" applyBorder="1" applyAlignment="1">
      <alignment horizontal="center" vertical="center"/>
    </xf>
    <xf numFmtId="0" fontId="63" fillId="0" borderId="0" xfId="41" applyFont="1" applyBorder="1" applyAlignment="1">
      <alignment horizontal="center" vertical="center"/>
    </xf>
    <xf numFmtId="0" fontId="75" fillId="0" borderId="0" xfId="41" applyFont="1" applyBorder="1" applyAlignment="1">
      <alignment horizontal="center" vertical="center"/>
    </xf>
    <xf numFmtId="0" fontId="38" fillId="4" borderId="3" xfId="41" applyFont="1" applyFill="1" applyBorder="1" applyAlignment="1">
      <alignment horizontal="center" vertical="center" wrapText="1"/>
    </xf>
    <xf numFmtId="2" fontId="38" fillId="4" borderId="4" xfId="41" applyNumberFormat="1" applyFont="1" applyFill="1" applyBorder="1" applyAlignment="1">
      <alignment horizontal="center" vertical="center" wrapText="1"/>
    </xf>
    <xf numFmtId="2" fontId="38" fillId="4" borderId="10" xfId="41" applyNumberFormat="1" applyFont="1" applyFill="1" applyBorder="1" applyAlignment="1">
      <alignment horizontal="center" vertical="center" wrapText="1"/>
    </xf>
    <xf numFmtId="0" fontId="55" fillId="0" borderId="0" xfId="28" applyFont="1" applyAlignment="1">
      <alignment horizontal="center" vertical="center"/>
    </xf>
    <xf numFmtId="0" fontId="56" fillId="0" borderId="0" xfId="28" applyFont="1"/>
    <xf numFmtId="0" fontId="57" fillId="0" borderId="0" xfId="28" applyFont="1" applyAlignment="1">
      <alignment vertical="justify" wrapText="1"/>
    </xf>
    <xf numFmtId="0" fontId="56" fillId="0" borderId="0" xfId="28" applyFont="1" applyAlignment="1">
      <alignment horizontal="left" vertical="center" wrapText="1"/>
    </xf>
    <xf numFmtId="0" fontId="57" fillId="0" borderId="0" xfId="28" applyFont="1" applyAlignment="1">
      <alignment horizontal="left" vertical="center" wrapText="1"/>
    </xf>
    <xf numFmtId="0" fontId="3" fillId="0" borderId="0" xfId="28" applyFont="1"/>
    <xf numFmtId="0" fontId="103" fillId="0" borderId="0" xfId="28"/>
    <xf numFmtId="0" fontId="57" fillId="0" borderId="0" xfId="28" applyFont="1" applyAlignment="1">
      <alignment vertical="top" wrapText="1"/>
    </xf>
    <xf numFmtId="0" fontId="56" fillId="0" borderId="0" xfId="28" applyFont="1" applyAlignment="1">
      <alignment horizontal="left"/>
    </xf>
    <xf numFmtId="0" fontId="57" fillId="0" borderId="0" xfId="28" applyFont="1" applyAlignment="1">
      <alignment horizontal="left" vertical="justify" wrapText="1"/>
    </xf>
    <xf numFmtId="0" fontId="103" fillId="0" borderId="0" xfId="28" applyAlignment="1">
      <alignment wrapText="1"/>
    </xf>
    <xf numFmtId="0" fontId="59" fillId="0" borderId="0" xfId="45" applyFont="1" applyAlignment="1">
      <alignment horizontal="center" vertical="center" wrapText="1"/>
    </xf>
    <xf numFmtId="0" fontId="57" fillId="0" borderId="0" xfId="28" applyFont="1" applyAlignment="1">
      <alignment horizontal="left" vertical="top" wrapText="1"/>
    </xf>
    <xf numFmtId="173" fontId="42" fillId="4" borderId="21" xfId="63" applyNumberFormat="1" applyFont="1" applyFill="1" applyBorder="1" applyAlignment="1">
      <alignment horizontal="center" vertical="center"/>
    </xf>
    <xf numFmtId="173" fontId="42" fillId="4" borderId="22" xfId="63" applyNumberFormat="1" applyFont="1" applyFill="1" applyBorder="1" applyAlignment="1">
      <alignment horizontal="center" vertical="center"/>
    </xf>
    <xf numFmtId="0" fontId="18" fillId="4" borderId="5" xfId="35" applyNumberFormat="1" applyFont="1" applyFill="1" applyBorder="1" applyAlignment="1">
      <alignment horizontal="center" vertical="center" wrapText="1"/>
    </xf>
    <xf numFmtId="0" fontId="106" fillId="4" borderId="6" xfId="35" applyNumberFormat="1" applyFont="1" applyFill="1" applyBorder="1" applyAlignment="1">
      <alignment horizontal="center" vertical="center" wrapText="1"/>
    </xf>
    <xf numFmtId="0" fontId="107" fillId="0" borderId="52" xfId="41" applyFont="1" applyBorder="1" applyAlignment="1">
      <alignment horizontal="center" vertical="center" wrapText="1"/>
    </xf>
    <xf numFmtId="0" fontId="107" fillId="0" borderId="53" xfId="41" applyFont="1" applyBorder="1" applyAlignment="1">
      <alignment horizontal="center" vertical="center" wrapText="1"/>
    </xf>
    <xf numFmtId="0" fontId="34" fillId="0" borderId="16" xfId="43" applyNumberFormat="1" applyFont="1" applyFill="1" applyBorder="1" applyAlignment="1" applyProtection="1">
      <alignment horizontal="center"/>
    </xf>
    <xf numFmtId="0" fontId="37" fillId="0" borderId="19" xfId="41" applyFont="1" applyBorder="1" applyAlignment="1">
      <alignment horizontal="left" vertical="justify" wrapText="1"/>
    </xf>
    <xf numFmtId="0" fontId="37" fillId="0" borderId="0" xfId="41" applyFont="1" applyBorder="1" applyAlignment="1">
      <alignment horizontal="left" vertical="justify" wrapText="1"/>
    </xf>
    <xf numFmtId="172" fontId="5" fillId="0" borderId="0" xfId="43" applyNumberFormat="1" applyFont="1" applyBorder="1" applyAlignment="1">
      <alignment horizontal="left" vertical="center"/>
    </xf>
    <xf numFmtId="0" fontId="109" fillId="0" borderId="19" xfId="41" applyFont="1" applyBorder="1" applyAlignment="1">
      <alignment horizontal="left" vertical="center" wrapText="1"/>
    </xf>
    <xf numFmtId="0" fontId="109" fillId="0" borderId="0" xfId="41" applyFont="1" applyBorder="1" applyAlignment="1">
      <alignment horizontal="left" vertical="center" wrapText="1"/>
    </xf>
    <xf numFmtId="0" fontId="37" fillId="0" borderId="0" xfId="41" applyFont="1" applyBorder="1" applyAlignment="1">
      <alignment horizontal="left" vertical="center" wrapText="1"/>
    </xf>
    <xf numFmtId="175" fontId="36" fillId="0" borderId="0" xfId="41" applyNumberFormat="1" applyFont="1" applyAlignment="1">
      <alignment horizontal="left" vertical="center"/>
    </xf>
    <xf numFmtId="0" fontId="37" fillId="0" borderId="0" xfId="41" applyFont="1" applyAlignment="1">
      <alignment horizontal="left" vertical="center"/>
    </xf>
    <xf numFmtId="1" fontId="37" fillId="0" borderId="0" xfId="41" quotePrefix="1" applyNumberFormat="1" applyFont="1" applyAlignment="1">
      <alignment horizontal="left" vertical="center"/>
    </xf>
    <xf numFmtId="1" fontId="37" fillId="0" borderId="0" xfId="41" applyNumberFormat="1" applyFont="1" applyAlignment="1">
      <alignment horizontal="left" vertical="center"/>
    </xf>
    <xf numFmtId="172" fontId="37" fillId="0" borderId="0" xfId="41" applyNumberFormat="1" applyFont="1" applyAlignment="1">
      <alignment horizontal="left" vertical="center"/>
    </xf>
    <xf numFmtId="0" fontId="37" fillId="0" borderId="0" xfId="41" applyFont="1" applyAlignment="1">
      <alignment horizontal="left" vertical="center" wrapText="1"/>
    </xf>
    <xf numFmtId="0" fontId="37" fillId="0" borderId="19" xfId="41" applyFont="1" applyBorder="1" applyAlignment="1">
      <alignment horizontal="center" vertical="center"/>
    </xf>
    <xf numFmtId="0" fontId="37" fillId="0" borderId="0" xfId="41" applyFont="1" applyBorder="1" applyAlignment="1">
      <alignment horizontal="center" vertical="center"/>
    </xf>
    <xf numFmtId="0" fontId="37" fillId="0" borderId="0" xfId="41" applyFont="1" applyAlignment="1">
      <alignment horizontal="center" vertical="center"/>
    </xf>
    <xf numFmtId="4" fontId="37" fillId="0" borderId="19" xfId="41" applyNumberFormat="1" applyFont="1" applyBorder="1" applyAlignment="1">
      <alignment horizontal="center" vertical="center"/>
    </xf>
    <xf numFmtId="4" fontId="37" fillId="0" borderId="0" xfId="41" applyNumberFormat="1" applyFont="1" applyBorder="1" applyAlignment="1">
      <alignment horizontal="center" vertical="center"/>
    </xf>
    <xf numFmtId="4" fontId="37" fillId="0" borderId="0" xfId="41" applyNumberFormat="1" applyFont="1" applyAlignment="1">
      <alignment horizontal="center" vertical="center"/>
    </xf>
    <xf numFmtId="170" fontId="25" fillId="0" borderId="0" xfId="8" applyNumberFormat="1" applyFont="1" applyBorder="1" applyAlignment="1">
      <alignment horizontal="center" vertical="center"/>
    </xf>
    <xf numFmtId="0" fontId="13" fillId="0" borderId="0" xfId="51" applyFont="1" applyBorder="1" applyAlignment="1">
      <alignment horizontal="left" vertical="center" wrapText="1"/>
    </xf>
    <xf numFmtId="171" fontId="5" fillId="0" borderId="0" xfId="51" applyNumberFormat="1" applyFont="1" applyBorder="1" applyAlignment="1">
      <alignment horizontal="center" vertical="center"/>
    </xf>
    <xf numFmtId="170" fontId="9" fillId="0" borderId="0" xfId="8" applyNumberFormat="1" applyFont="1" applyAlignment="1">
      <alignment horizontal="left" vertical="center"/>
    </xf>
    <xf numFmtId="0" fontId="12" fillId="0" borderId="0" xfId="51" applyFont="1" applyBorder="1" applyAlignment="1">
      <alignment horizontal="center" vertical="center" wrapText="1"/>
    </xf>
    <xf numFmtId="0" fontId="9" fillId="0" borderId="0" xfId="51" applyFont="1" applyAlignment="1">
      <alignment horizontal="right" vertical="center" wrapText="1"/>
    </xf>
    <xf numFmtId="0" fontId="9" fillId="0" borderId="0" xfId="0" applyFont="1" applyAlignment="1">
      <alignment horizontal="left" vertical="center" wrapText="1"/>
    </xf>
    <xf numFmtId="0" fontId="9" fillId="4" borderId="5" xfId="51" applyFont="1" applyFill="1" applyBorder="1" applyAlignment="1">
      <alignment horizontal="center" vertical="center" wrapText="1"/>
    </xf>
    <xf numFmtId="0" fontId="9" fillId="4" borderId="6" xfId="51" applyFont="1" applyFill="1" applyBorder="1" applyAlignment="1">
      <alignment horizontal="center" vertical="center" wrapText="1"/>
    </xf>
    <xf numFmtId="170" fontId="29" fillId="0" borderId="4" xfId="8" applyNumberFormat="1" applyFont="1" applyBorder="1" applyAlignment="1">
      <alignment horizontal="center" vertical="center"/>
    </xf>
    <xf numFmtId="170" fontId="29" fillId="0" borderId="10" xfId="8" applyNumberFormat="1" applyFont="1" applyBorder="1" applyAlignment="1">
      <alignment horizontal="center" vertical="center"/>
    </xf>
    <xf numFmtId="0" fontId="21" fillId="0" borderId="5" xfId="41" applyFont="1" applyFill="1" applyBorder="1" applyAlignment="1">
      <alignment horizontal="center" vertical="center" wrapText="1"/>
    </xf>
    <xf numFmtId="0" fontId="21" fillId="0" borderId="6" xfId="41" applyFont="1" applyFill="1" applyBorder="1" applyAlignment="1">
      <alignment horizontal="center" vertical="center" wrapText="1"/>
    </xf>
    <xf numFmtId="0" fontId="23" fillId="0" borderId="7" xfId="51" applyFont="1" applyBorder="1" applyAlignment="1">
      <alignment horizontal="center" vertical="center"/>
    </xf>
    <xf numFmtId="0" fontId="23" fillId="0" borderId="8" xfId="51" applyFont="1" applyBorder="1" applyAlignment="1">
      <alignment horizontal="center" vertical="center"/>
    </xf>
    <xf numFmtId="170" fontId="23" fillId="0" borderId="8" xfId="8" applyNumberFormat="1" applyFont="1" applyBorder="1" applyAlignment="1">
      <alignment horizontal="center" vertical="center"/>
    </xf>
    <xf numFmtId="170" fontId="23" fillId="0" borderId="12" xfId="8" applyNumberFormat="1" applyFont="1" applyBorder="1" applyAlignment="1">
      <alignment horizontal="center" vertical="center"/>
    </xf>
    <xf numFmtId="0" fontId="7" fillId="0" borderId="0" xfId="51" applyFont="1" applyBorder="1" applyAlignment="1">
      <alignment horizontal="left" vertical="center" wrapText="1"/>
    </xf>
    <xf numFmtId="170" fontId="24" fillId="0" borderId="0" xfId="51" applyNumberFormat="1" applyFont="1" applyAlignment="1">
      <alignment horizontal="center"/>
    </xf>
    <xf numFmtId="0" fontId="24" fillId="0" borderId="0" xfId="51" applyFont="1" applyAlignment="1">
      <alignment horizontal="center"/>
    </xf>
    <xf numFmtId="170" fontId="9" fillId="0" borderId="0" xfId="8" applyNumberFormat="1" applyFont="1" applyAlignment="1">
      <alignment horizontal="right" vertical="center"/>
    </xf>
    <xf numFmtId="0" fontId="9" fillId="4" borderId="0" xfId="51" applyFont="1" applyFill="1" applyBorder="1" applyAlignment="1">
      <alignment horizontal="left"/>
    </xf>
    <xf numFmtId="0" fontId="6" fillId="0" borderId="1" xfId="51" applyFont="1" applyBorder="1" applyAlignment="1">
      <alignment horizontal="center" vertical="center"/>
    </xf>
    <xf numFmtId="0" fontId="6" fillId="0" borderId="3" xfId="51" applyFont="1" applyBorder="1" applyAlignment="1">
      <alignment horizontal="center" vertical="center"/>
    </xf>
    <xf numFmtId="0" fontId="6" fillId="0" borderId="2" xfId="51" applyFont="1" applyBorder="1" applyAlignment="1">
      <alignment horizontal="center" vertical="center" wrapText="1"/>
    </xf>
    <xf numFmtId="0" fontId="6" fillId="0" borderId="4" xfId="51" applyFont="1" applyBorder="1" applyAlignment="1">
      <alignment horizontal="center" vertical="center" wrapText="1"/>
    </xf>
    <xf numFmtId="0" fontId="6" fillId="0" borderId="4" xfId="51" applyFont="1" applyBorder="1" applyAlignment="1">
      <alignment horizontal="center" vertical="center"/>
    </xf>
    <xf numFmtId="0" fontId="15" fillId="2" borderId="2" xfId="54" applyNumberFormat="1" applyFont="1" applyFill="1" applyBorder="1" applyAlignment="1">
      <alignment horizontal="center" vertical="center" wrapText="1" shrinkToFit="1"/>
    </xf>
    <xf numFmtId="0" fontId="15" fillId="2" borderId="4" xfId="54" applyNumberFormat="1" applyFont="1" applyFill="1" applyBorder="1" applyAlignment="1">
      <alignment horizontal="center" vertical="center" wrapText="1" shrinkToFit="1"/>
    </xf>
    <xf numFmtId="170" fontId="6" fillId="0" borderId="2" xfId="8" applyNumberFormat="1" applyFont="1" applyBorder="1" applyAlignment="1">
      <alignment horizontal="center" vertical="center" wrapText="1"/>
    </xf>
    <xf numFmtId="170" fontId="6" fillId="0" borderId="9" xfId="8" applyNumberFormat="1" applyFont="1" applyBorder="1" applyAlignment="1">
      <alignment horizontal="center" vertical="center" wrapText="1"/>
    </xf>
    <xf numFmtId="170" fontId="6" fillId="0" borderId="4" xfId="8" applyNumberFormat="1" applyFont="1" applyBorder="1" applyAlignment="1">
      <alignment horizontal="center" vertical="center" wrapText="1"/>
    </xf>
    <xf numFmtId="170" fontId="6" fillId="0" borderId="10" xfId="8" applyNumberFormat="1" applyFont="1" applyBorder="1" applyAlignment="1">
      <alignment horizontal="center" vertical="center" wrapText="1"/>
    </xf>
    <xf numFmtId="0" fontId="30" fillId="0" borderId="0" xfId="51" applyFont="1" applyBorder="1" applyAlignment="1">
      <alignment horizontal="center" vertical="center" wrapText="1"/>
    </xf>
    <xf numFmtId="0" fontId="30" fillId="0" borderId="0" xfId="51" applyFont="1" applyAlignment="1">
      <alignment horizontal="center" vertical="center" wrapText="1"/>
    </xf>
    <xf numFmtId="0" fontId="6" fillId="0" borderId="0" xfId="51" applyFont="1" applyAlignment="1">
      <alignment horizontal="center" vertical="center"/>
    </xf>
    <xf numFmtId="0" fontId="30" fillId="0" borderId="0" xfId="51" applyFont="1" applyAlignment="1">
      <alignment horizontal="center" vertical="center"/>
    </xf>
    <xf numFmtId="22" fontId="29" fillId="0" borderId="0" xfId="51" applyNumberFormat="1" applyFont="1" applyAlignment="1">
      <alignment horizontal="center" vertical="center"/>
    </xf>
  </cellXfs>
  <cellStyles count="84">
    <cellStyle name="Comma" xfId="1" builtinId="3"/>
    <cellStyle name="Comma [0] 2" xfId="3"/>
    <cellStyle name="Comma 10 2" xfId="4"/>
    <cellStyle name="Comma 2" xfId="5"/>
    <cellStyle name="Comma 2 2" xfId="6"/>
    <cellStyle name="Comma 2 3" xfId="7"/>
    <cellStyle name="Comma 2 4" xfId="71"/>
    <cellStyle name="Comma 2 4 2" xfId="74"/>
    <cellStyle name="Comma 3" xfId="8"/>
    <cellStyle name="Comma 3 2" xfId="9"/>
    <cellStyle name="Comma 3 3" xfId="10"/>
    <cellStyle name="Comma 4" xfId="11"/>
    <cellStyle name="Comma 5" xfId="12"/>
    <cellStyle name="Comma 6" xfId="13"/>
    <cellStyle name="Comma 7" xfId="14"/>
    <cellStyle name="Comma 7 2" xfId="64"/>
    <cellStyle name="Comma 8" xfId="15"/>
    <cellStyle name="Comma 9" xfId="66"/>
    <cellStyle name="Currency 2" xfId="16"/>
    <cellStyle name="Currency 2 2" xfId="17"/>
    <cellStyle name="Currency Custom" xfId="18"/>
    <cellStyle name="Hyperlink" xfId="2" builtinId="8"/>
    <cellStyle name="Hyperlink 2" xfId="19"/>
    <cellStyle name="Indent" xfId="20"/>
    <cellStyle name="Item" xfId="21"/>
    <cellStyle name="Normal" xfId="0" builtinId="0"/>
    <cellStyle name="Normal 11" xfId="72"/>
    <cellStyle name="Normal 11 2" xfId="77"/>
    <cellStyle name="Normal 11 2 2" xfId="83"/>
    <cellStyle name="Normal 2" xfId="22"/>
    <cellStyle name="Normal 2 2" xfId="23"/>
    <cellStyle name="Normal 2 3" xfId="24"/>
    <cellStyle name="Normal 2 4" xfId="67"/>
    <cellStyle name="Normal 2 4 2" xfId="25"/>
    <cellStyle name="Normal 3" xfId="26"/>
    <cellStyle name="Normal 3 2" xfId="27"/>
    <cellStyle name="Normal 3 2 2" xfId="28"/>
    <cellStyle name="Normal 3 2 2 2" xfId="68"/>
    <cellStyle name="Normal 3 3" xfId="29"/>
    <cellStyle name="Normal 3 4" xfId="30"/>
    <cellStyle name="Normal 3 5" xfId="31"/>
    <cellStyle name="Normal 3 6" xfId="76"/>
    <cellStyle name="Normal 3 6 2" xfId="81"/>
    <cellStyle name="Normal 4" xfId="32"/>
    <cellStyle name="Normal 4 2" xfId="33"/>
    <cellStyle name="Normal 4 2 2" xfId="34"/>
    <cellStyle name="Normal 4 3" xfId="35"/>
    <cellStyle name="Normal 4 3 2" xfId="36"/>
    <cellStyle name="Normal 4 3 3" xfId="37"/>
    <cellStyle name="Normal 4 3 3 2" xfId="38"/>
    <cellStyle name="Normal 4 3 4" xfId="39"/>
    <cellStyle name="Normal 4 3 5" xfId="65"/>
    <cellStyle name="Normal 4 3 5 2" xfId="75"/>
    <cellStyle name="Normal 4 3 5 2 2" xfId="80"/>
    <cellStyle name="Normal 4 4" xfId="40"/>
    <cellStyle name="Normal 5" xfId="41"/>
    <cellStyle name="Normal 5 2" xfId="42"/>
    <cellStyle name="Normal 5 3" xfId="63"/>
    <cellStyle name="Normal 5 3 2" xfId="70"/>
    <cellStyle name="Normal 5 3 2 2" xfId="73"/>
    <cellStyle name="Normal 5 3 2 2 2" xfId="78"/>
    <cellStyle name="Normal 50 2" xfId="43"/>
    <cellStyle name="Normal 6" xfId="44"/>
    <cellStyle name="Normal 6 2" xfId="45"/>
    <cellStyle name="Normal 6 3" xfId="79"/>
    <cellStyle name="Normal 7" xfId="46"/>
    <cellStyle name="Normal 7 2" xfId="47"/>
    <cellStyle name="Normal 7 2 2" xfId="48"/>
    <cellStyle name="Normal 7 2 3" xfId="49"/>
    <cellStyle name="Normal 7 3" xfId="69"/>
    <cellStyle name="Normal 70 2" xfId="50"/>
    <cellStyle name="Normal 8" xfId="51"/>
    <cellStyle name="Normal 9" xfId="52"/>
    <cellStyle name="Normal_Inv" xfId="53"/>
    <cellStyle name="Normal_Inv 2" xfId="82"/>
    <cellStyle name="Normal_Sheet1" xfId="54"/>
    <cellStyle name="Purple Background" xfId="55"/>
    <cellStyle name="S10" xfId="56"/>
    <cellStyle name="White Background" xfId="57"/>
    <cellStyle name="표준_Book3_0308-10항차" xfId="58"/>
    <cellStyle name="常规 11" xfId="59"/>
    <cellStyle name="常规 29" xfId="60"/>
    <cellStyle name="常规 9 2" xfId="61"/>
    <cellStyle name="常规_Sheet1" xfId="6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52917</xdr:rowOff>
    </xdr:from>
    <xdr:to>
      <xdr:col>2</xdr:col>
      <xdr:colOff>836083</xdr:colOff>
      <xdr:row>2</xdr:row>
      <xdr:rowOff>42334</xdr:rowOff>
    </xdr:to>
    <xdr:sp macro="" textlink="">
      <xdr:nvSpPr>
        <xdr:cNvPr id="2" name="TextBox 1"/>
        <xdr:cNvSpPr txBox="1"/>
      </xdr:nvSpPr>
      <xdr:spPr>
        <a:xfrm>
          <a:off x="0" y="52705"/>
          <a:ext cx="2673985" cy="4464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vi-VN" sz="1100" b="1">
              <a:solidFill>
                <a:sysClr val="windowText" lastClr="000000"/>
              </a:solidFill>
              <a:latin typeface="+mj-lt"/>
            </a:rPr>
            <a:t>CÔNG</a:t>
          </a:r>
          <a:r>
            <a:rPr lang="vi-VN" sz="1100" b="1" baseline="0">
              <a:solidFill>
                <a:sysClr val="windowText" lastClr="000000"/>
              </a:solidFill>
              <a:latin typeface="+mj-lt"/>
            </a:rPr>
            <a:t> TY TNHH ADVANCE KNITTING VIỆT NAM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hung/Desktop/Xu&#7845;t-Nh&#7853;p-T&#7891;n%20BAO%20B&#204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SERVER\PROJECT\WINDOWS\TEMP\IBASE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CS3408\Standard\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D8681F26\IM-2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Eastop/PI/TPI-BT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laxtrading\molax&#50689;&#50629;\BK%20RYU%20ORDER%20&#51652;&#54665;&#44148;\CLUB%20MONACO\#%20006000198%20(ZINFANDEL%20TOP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_x000a_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_x000a_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_x000d_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_x000a_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_x000d_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_x000a_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ẬP KHO"/>
      <sheetName val="XUẤT KHO"/>
      <sheetName val="DANH MỤC SP"/>
      <sheetName val="NHÂT KÝ KHO "/>
      <sheetName val="NHÂT KÝ KHO  (2)"/>
    </sheetNames>
    <sheetDataSet>
      <sheetData sheetId="0">
        <row r="2">
          <cell r="B2">
            <v>0</v>
          </cell>
          <cell r="D2">
            <v>0</v>
          </cell>
          <cell r="F2">
            <v>0</v>
          </cell>
        </row>
        <row r="4">
          <cell r="B4" t="str">
            <v>NGÀY</v>
          </cell>
          <cell r="D4" t="str">
            <v>TÊN HÀNG</v>
          </cell>
          <cell r="F4" t="str">
            <v xml:space="preserve">SL </v>
          </cell>
        </row>
        <row r="5">
          <cell r="B5">
            <v>44854</v>
          </cell>
          <cell r="D5" t="str">
            <v>HK 17 7 19 ỐNG ĐỒNG</v>
          </cell>
          <cell r="F5">
            <v>3623</v>
          </cell>
        </row>
        <row r="6">
          <cell r="B6">
            <v>44854</v>
          </cell>
          <cell r="D6" t="str">
            <v>HK 20 20 15 3M BAO TÍM</v>
          </cell>
          <cell r="F6">
            <v>3315</v>
          </cell>
        </row>
        <row r="7">
          <cell r="B7">
            <v>44854</v>
          </cell>
          <cell r="D7" t="str">
            <v>HK 17 17 17 ỐNG ĐỒNG</v>
          </cell>
          <cell r="F7">
            <v>3285</v>
          </cell>
        </row>
        <row r="8">
          <cell r="B8">
            <v>44854</v>
          </cell>
          <cell r="D8" t="str">
            <v>HK 24 5 8 ỐNG ĐỒNG</v>
          </cell>
          <cell r="F8">
            <v>5092</v>
          </cell>
        </row>
        <row r="9">
          <cell r="B9">
            <v>44854</v>
          </cell>
          <cell r="D9" t="str">
            <v>HK 20 5 10 ỐNG ĐỒNG</v>
          </cell>
          <cell r="F9">
            <v>5144</v>
          </cell>
        </row>
        <row r="10">
          <cell r="B10">
            <v>44854</v>
          </cell>
          <cell r="D10" t="str">
            <v>HK 16 16 8 ỐNG ĐỒNG</v>
          </cell>
          <cell r="F10">
            <v>10828</v>
          </cell>
        </row>
        <row r="11">
          <cell r="B11">
            <v>44854</v>
          </cell>
          <cell r="D11" t="str">
            <v>HK 16 16 8 BAO DỆT</v>
          </cell>
          <cell r="F11">
            <v>9638</v>
          </cell>
        </row>
        <row r="12">
          <cell r="B12">
            <v>44854</v>
          </cell>
          <cell r="D12" t="str">
            <v>HK 20 20 15  BAO XANH</v>
          </cell>
          <cell r="F12">
            <v>4753</v>
          </cell>
        </row>
        <row r="13">
          <cell r="B13">
            <v>44854</v>
          </cell>
          <cell r="D13" t="str">
            <v>HK 22 5 7 ỐNG ĐỒNG</v>
          </cell>
          <cell r="F13">
            <v>5025</v>
          </cell>
        </row>
        <row r="14">
          <cell r="B14">
            <v>44854</v>
          </cell>
          <cell r="D14" t="str">
            <v>HK 18 4 21 ỐNG ĐỒNG</v>
          </cell>
          <cell r="F14">
            <v>2680</v>
          </cell>
        </row>
        <row r="15">
          <cell r="B15">
            <v>44854</v>
          </cell>
          <cell r="D15" t="str">
            <v>HK 19 9 19 ỐNG ĐỒNG</v>
          </cell>
          <cell r="F15">
            <v>7813</v>
          </cell>
        </row>
        <row r="16">
          <cell r="B16">
            <v>44854</v>
          </cell>
          <cell r="D16" t="str">
            <v>HK 17 7 17 ỐNG ĐỒNG</v>
          </cell>
          <cell r="F16">
            <v>4481</v>
          </cell>
        </row>
        <row r="17">
          <cell r="B17">
            <v>44854</v>
          </cell>
          <cell r="D17" t="str">
            <v>HK 30 12 12 ỐNG ĐỒNG</v>
          </cell>
          <cell r="F17">
            <v>455</v>
          </cell>
        </row>
        <row r="18">
          <cell r="B18">
            <v>44854</v>
          </cell>
          <cell r="D18" t="str">
            <v>HK 25 25 5 ỐNG ĐỒNG</v>
          </cell>
          <cell r="F18">
            <v>4350</v>
          </cell>
        </row>
        <row r="19">
          <cell r="B19">
            <v>44854</v>
          </cell>
          <cell r="D19" t="str">
            <v>HK 20 16 8  BAO DỆT</v>
          </cell>
          <cell r="F19">
            <v>7347</v>
          </cell>
        </row>
        <row r="20">
          <cell r="B20">
            <v>44854</v>
          </cell>
          <cell r="D20" t="str">
            <v xml:space="preserve">IS 18 8 19 BAO DỆT </v>
          </cell>
          <cell r="F20">
            <v>3614</v>
          </cell>
        </row>
        <row r="21">
          <cell r="B21">
            <v>44854</v>
          </cell>
          <cell r="D21" t="str">
            <v>IS 19 7 17 ỐNG ĐỒNG</v>
          </cell>
          <cell r="F21">
            <v>2522</v>
          </cell>
        </row>
        <row r="22">
          <cell r="B22">
            <v>44854</v>
          </cell>
          <cell r="D22" t="str">
            <v>IS 24 6 10 ỐNG ĐỒNG</v>
          </cell>
          <cell r="F22">
            <v>10179</v>
          </cell>
        </row>
        <row r="23">
          <cell r="B23">
            <v>44854</v>
          </cell>
          <cell r="D23" t="str">
            <v>IS 22 5 8 BAO DỆT</v>
          </cell>
          <cell r="F23">
            <v>4208</v>
          </cell>
        </row>
        <row r="24">
          <cell r="B24">
            <v>44854</v>
          </cell>
          <cell r="D24" t="str">
            <v>IS 16 16 8 ỐNG ĐỒNG</v>
          </cell>
          <cell r="F24">
            <v>1950</v>
          </cell>
        </row>
        <row r="25">
          <cell r="B25">
            <v>44854</v>
          </cell>
          <cell r="D25" t="str">
            <v>IS 16 16 8 BAO DỆT</v>
          </cell>
          <cell r="F25">
            <v>4578</v>
          </cell>
        </row>
        <row r="26">
          <cell r="B26">
            <v>44854</v>
          </cell>
          <cell r="D26" t="str">
            <v>IS 20 20 15 BAO XANH</v>
          </cell>
          <cell r="F26">
            <v>5250</v>
          </cell>
        </row>
        <row r="27">
          <cell r="B27">
            <v>44854</v>
          </cell>
          <cell r="D27" t="str">
            <v>IS 22 17 10 BAO DỆT</v>
          </cell>
          <cell r="F27">
            <v>7864</v>
          </cell>
        </row>
        <row r="28">
          <cell r="B28">
            <v>44854</v>
          </cell>
          <cell r="D28" t="str">
            <v>IS 20 16 8 ỐNG ĐỒNG</v>
          </cell>
          <cell r="F28">
            <v>7492</v>
          </cell>
        </row>
        <row r="29">
          <cell r="B29">
            <v>44854</v>
          </cell>
          <cell r="D29" t="str">
            <v>IS 18 18 18 ỐNG ĐỒNG</v>
          </cell>
          <cell r="F29">
            <v>5152</v>
          </cell>
        </row>
        <row r="30">
          <cell r="B30">
            <v>44854</v>
          </cell>
          <cell r="D30" t="str">
            <v>IS 17 8 22 BAO DỆT</v>
          </cell>
          <cell r="F30">
            <v>4983</v>
          </cell>
        </row>
        <row r="31">
          <cell r="B31">
            <v>44854</v>
          </cell>
          <cell r="D31" t="str">
            <v>IS 20 8 25 ỐNG ĐỒNG</v>
          </cell>
          <cell r="F31">
            <v>10476</v>
          </cell>
        </row>
        <row r="32">
          <cell r="B32">
            <v>44854</v>
          </cell>
          <cell r="D32" t="str">
            <v>IS 20 20 15 BAO TÍM</v>
          </cell>
          <cell r="F32">
            <v>3213</v>
          </cell>
        </row>
        <row r="33">
          <cell r="B33">
            <v>44854</v>
          </cell>
          <cell r="D33" t="str">
            <v>IS 15 5 25 ỐNG ĐỒNG</v>
          </cell>
          <cell r="F33">
            <v>1225</v>
          </cell>
        </row>
        <row r="34">
          <cell r="B34">
            <v>44854</v>
          </cell>
          <cell r="D34" t="str">
            <v>ND 25 25 5 ỐNG ĐỒNG</v>
          </cell>
          <cell r="F34">
            <v>3043</v>
          </cell>
        </row>
        <row r="35">
          <cell r="B35">
            <v>44854</v>
          </cell>
          <cell r="D35" t="str">
            <v>ND 19 9 19 DỆT</v>
          </cell>
          <cell r="F35">
            <v>9426</v>
          </cell>
        </row>
        <row r="36">
          <cell r="B36">
            <v>44854</v>
          </cell>
          <cell r="D36" t="str">
            <v>ND 16 16 8 ỐNG ĐỒNG</v>
          </cell>
          <cell r="F36">
            <v>4185</v>
          </cell>
        </row>
        <row r="37">
          <cell r="B37">
            <v>44854</v>
          </cell>
          <cell r="D37" t="str">
            <v>ND 22 5 7 ỐNG ĐỒNG</v>
          </cell>
          <cell r="F37">
            <v>3903</v>
          </cell>
        </row>
        <row r="38">
          <cell r="B38">
            <v>44854</v>
          </cell>
          <cell r="D38" t="str">
            <v>ND 20 0 10 ỐNG ĐỒNG</v>
          </cell>
          <cell r="F38">
            <v>1348</v>
          </cell>
        </row>
        <row r="39">
          <cell r="B39">
            <v>44854</v>
          </cell>
          <cell r="D39" t="str">
            <v>ND 20 5 20 ỐNG ĐỒNG</v>
          </cell>
          <cell r="F39">
            <v>3879</v>
          </cell>
        </row>
        <row r="40">
          <cell r="B40">
            <v>44854</v>
          </cell>
          <cell r="D40" t="str">
            <v>ND 19 9 19 ỐNG ĐỒNG</v>
          </cell>
          <cell r="F40">
            <v>2721</v>
          </cell>
        </row>
        <row r="41">
          <cell r="B41">
            <v>44854</v>
          </cell>
          <cell r="D41" t="str">
            <v>ND 20 20 15 BAO XANH MỚI</v>
          </cell>
          <cell r="F41">
            <v>2668</v>
          </cell>
        </row>
        <row r="42">
          <cell r="B42">
            <v>44854</v>
          </cell>
          <cell r="D42" t="str">
            <v>ND 17 7 17 DỆT</v>
          </cell>
          <cell r="F42">
            <v>1470</v>
          </cell>
        </row>
        <row r="43">
          <cell r="B43">
            <v>44854</v>
          </cell>
          <cell r="D43" t="str">
            <v>ND 20 20 15 BAO TÍM</v>
          </cell>
          <cell r="F43">
            <v>3310</v>
          </cell>
        </row>
        <row r="44">
          <cell r="B44">
            <v>44854</v>
          </cell>
          <cell r="D44" t="str">
            <v>ND 24 6 8 ỐNG ĐỒNG</v>
          </cell>
          <cell r="F44">
            <v>6286</v>
          </cell>
        </row>
        <row r="45">
          <cell r="B45">
            <v>44854</v>
          </cell>
          <cell r="D45" t="str">
            <v>ND 20 20 15 BAO HỒNG</v>
          </cell>
          <cell r="F45">
            <v>5982</v>
          </cell>
        </row>
        <row r="46">
          <cell r="B46">
            <v>44854</v>
          </cell>
          <cell r="D46" t="str">
            <v>ND 20 20 15 BAO XANH LÁ</v>
          </cell>
          <cell r="F46">
            <v>3154</v>
          </cell>
        </row>
        <row r="47">
          <cell r="B47">
            <v>44854</v>
          </cell>
          <cell r="D47" t="str">
            <v>ND 16 16 8 BAO DỆT</v>
          </cell>
          <cell r="F47">
            <v>1824</v>
          </cell>
        </row>
        <row r="48">
          <cell r="B48">
            <v>44854</v>
          </cell>
          <cell r="D48" t="str">
            <v>ND 24 8 10 ỐNG ĐỒNG</v>
          </cell>
          <cell r="F48">
            <v>2975</v>
          </cell>
        </row>
        <row r="49">
          <cell r="B49">
            <v>44854</v>
          </cell>
          <cell r="D49" t="str">
            <v>ND 17 7 19 ỐNG ĐỒNG</v>
          </cell>
          <cell r="F49">
            <v>6854</v>
          </cell>
        </row>
        <row r="50">
          <cell r="B50">
            <v>44854</v>
          </cell>
          <cell r="D50" t="str">
            <v>ND 17 7 17 ỐNG ĐỒNG</v>
          </cell>
          <cell r="F50">
            <v>8679</v>
          </cell>
        </row>
        <row r="51">
          <cell r="B51">
            <v>44854</v>
          </cell>
          <cell r="D51" t="str">
            <v>ND 20 17 9 DỆT</v>
          </cell>
          <cell r="F51">
            <v>4553</v>
          </cell>
        </row>
        <row r="52">
          <cell r="B52">
            <v>44854</v>
          </cell>
          <cell r="D52" t="str">
            <v>ND 17 7 19 ỐNG ĐỒNG CŨ</v>
          </cell>
          <cell r="F52">
            <v>3562</v>
          </cell>
        </row>
        <row r="53">
          <cell r="B53">
            <v>44854</v>
          </cell>
          <cell r="D53" t="str">
            <v>ND HỮU CƠ KHOÁNG HẠT</v>
          </cell>
          <cell r="F53">
            <v>382</v>
          </cell>
        </row>
        <row r="54">
          <cell r="B54">
            <v>44854</v>
          </cell>
          <cell r="D54" t="str">
            <v>ND 16 8 16 ỐNG ĐỒNG</v>
          </cell>
          <cell r="F54">
            <v>1384</v>
          </cell>
        </row>
        <row r="55">
          <cell r="B55">
            <v>44854</v>
          </cell>
          <cell r="D55" t="str">
            <v>ND 15 5 16 ỐNG ĐỒNG</v>
          </cell>
          <cell r="F55">
            <v>1553</v>
          </cell>
        </row>
        <row r="56">
          <cell r="B56">
            <v>44854</v>
          </cell>
          <cell r="D56" t="str">
            <v>NTK 20 8 22 ỐNG ĐỒNG</v>
          </cell>
          <cell r="F56">
            <v>9655</v>
          </cell>
        </row>
        <row r="57">
          <cell r="B57">
            <v>44854</v>
          </cell>
          <cell r="D57" t="str">
            <v>NTK 24 8 10 ỐNG ĐỒNG</v>
          </cell>
          <cell r="F57">
            <v>4487</v>
          </cell>
        </row>
        <row r="58">
          <cell r="B58">
            <v>44854</v>
          </cell>
          <cell r="D58" t="str">
            <v>NTK 22 6 8 ỐNG ĐỒNG</v>
          </cell>
          <cell r="F58">
            <v>4795</v>
          </cell>
        </row>
        <row r="59">
          <cell r="B59">
            <v>44854</v>
          </cell>
          <cell r="D59" t="str">
            <v>NTK 20 20 15 ỐNG ĐỒNG</v>
          </cell>
          <cell r="F59">
            <v>8380</v>
          </cell>
        </row>
        <row r="60">
          <cell r="B60">
            <v>44854</v>
          </cell>
          <cell r="D60" t="str">
            <v>NTK 18 8 19 ỐNG ĐỒNG</v>
          </cell>
          <cell r="F60">
            <v>9256</v>
          </cell>
        </row>
        <row r="61">
          <cell r="B61">
            <v>44854</v>
          </cell>
          <cell r="D61" t="str">
            <v>NTK 20 16 9 BAO DỆT</v>
          </cell>
          <cell r="F61">
            <v>5741</v>
          </cell>
        </row>
        <row r="62">
          <cell r="B62">
            <v>44854</v>
          </cell>
          <cell r="D62" t="str">
            <v>NTK 18 18 18 ỐNG ĐỒNG</v>
          </cell>
          <cell r="F62">
            <v>1782</v>
          </cell>
        </row>
        <row r="63">
          <cell r="B63">
            <v>44854</v>
          </cell>
          <cell r="D63" t="str">
            <v>NTK 16 16 8 BAO DỆT</v>
          </cell>
          <cell r="F63">
            <v>3020</v>
          </cell>
        </row>
        <row r="64">
          <cell r="B64">
            <v>44854</v>
          </cell>
          <cell r="D64" t="str">
            <v>AC 24 6 10 ỐNG ĐỒNG</v>
          </cell>
          <cell r="F64">
            <v>5635</v>
          </cell>
        </row>
        <row r="65">
          <cell r="B65">
            <v>44854</v>
          </cell>
          <cell r="D65" t="str">
            <v>AC 19 9 19 ỐNG ĐỒNG</v>
          </cell>
          <cell r="F65">
            <v>10748</v>
          </cell>
        </row>
        <row r="66">
          <cell r="B66">
            <v>44854</v>
          </cell>
          <cell r="D66" t="str">
            <v>AC 17 7 19 ỐNG ĐỒNG</v>
          </cell>
          <cell r="F66">
            <v>3596</v>
          </cell>
        </row>
        <row r="67">
          <cell r="B67">
            <v>44854</v>
          </cell>
          <cell r="D67" t="str">
            <v>AC 16 16 8 ỐNG ĐỒNG</v>
          </cell>
          <cell r="F67">
            <v>11953</v>
          </cell>
        </row>
        <row r="68">
          <cell r="B68">
            <v>44854</v>
          </cell>
          <cell r="D68" t="str">
            <v>AC 16 16 8 BAO DỆT</v>
          </cell>
          <cell r="F68">
            <v>3605</v>
          </cell>
        </row>
        <row r="69">
          <cell r="B69">
            <v>44854</v>
          </cell>
          <cell r="D69" t="str">
            <v>AC 20 6 22 ỐNG ĐỒNG</v>
          </cell>
          <cell r="F69">
            <v>3654</v>
          </cell>
        </row>
        <row r="70">
          <cell r="B70">
            <v>44854</v>
          </cell>
          <cell r="D70" t="str">
            <v>AC 17 7 17 ỐNG ĐỒNG</v>
          </cell>
          <cell r="F70">
            <v>4330</v>
          </cell>
        </row>
        <row r="71">
          <cell r="B71">
            <v>44854</v>
          </cell>
          <cell r="D71" t="str">
            <v>AC 20 16 9 BAO DỆT</v>
          </cell>
          <cell r="F71">
            <v>4210</v>
          </cell>
        </row>
        <row r="72">
          <cell r="B72">
            <v>44854</v>
          </cell>
          <cell r="D72" t="str">
            <v>AC 22 5 8 ỐNG ĐỒNG</v>
          </cell>
          <cell r="F72">
            <v>4346</v>
          </cell>
        </row>
        <row r="73">
          <cell r="B73">
            <v>44854</v>
          </cell>
          <cell r="D73" t="str">
            <v>AC 20 20 15 XANH CHUỐI NON</v>
          </cell>
          <cell r="F73">
            <v>5687</v>
          </cell>
        </row>
        <row r="74">
          <cell r="B74">
            <v>44854</v>
          </cell>
          <cell r="D74" t="str">
            <v xml:space="preserve">AC 20 20 15 XANH </v>
          </cell>
          <cell r="F74">
            <v>912</v>
          </cell>
        </row>
        <row r="75">
          <cell r="B75">
            <v>44854</v>
          </cell>
          <cell r="D75" t="str">
            <v>AC 24 6 9 ỐNG ĐỒNG</v>
          </cell>
          <cell r="F75">
            <v>1241</v>
          </cell>
        </row>
        <row r="76">
          <cell r="B76">
            <v>44854</v>
          </cell>
          <cell r="D76" t="str">
            <v>AC 30 12 10 ỐNG ĐỒNG</v>
          </cell>
          <cell r="F76">
            <v>610</v>
          </cell>
        </row>
        <row r="77">
          <cell r="B77">
            <v>44854</v>
          </cell>
          <cell r="D77" t="str">
            <v>AC 17 17 17 ỐNG ĐỒNG</v>
          </cell>
          <cell r="F77">
            <v>324</v>
          </cell>
        </row>
        <row r="78">
          <cell r="B78">
            <v>44854</v>
          </cell>
          <cell r="D78" t="str">
            <v>UK 17 7 17 ỐNG ĐỒNG</v>
          </cell>
          <cell r="F78">
            <v>8010</v>
          </cell>
        </row>
        <row r="79">
          <cell r="B79">
            <v>44854</v>
          </cell>
          <cell r="D79" t="str">
            <v>UK 16 16 8 ỐNG ĐỒNG</v>
          </cell>
          <cell r="F79">
            <v>11385</v>
          </cell>
        </row>
        <row r="80">
          <cell r="B80">
            <v>44854</v>
          </cell>
          <cell r="D80" t="str">
            <v>UK 19 9 19 ỐNG ĐỒNG</v>
          </cell>
          <cell r="F80">
            <v>2563</v>
          </cell>
        </row>
        <row r="81">
          <cell r="B81">
            <v>44854</v>
          </cell>
          <cell r="D81" t="str">
            <v>UK 17 8 22 ỐNG ĐỒNG</v>
          </cell>
          <cell r="F81">
            <v>3923</v>
          </cell>
        </row>
        <row r="82">
          <cell r="B82">
            <v>44854</v>
          </cell>
          <cell r="D82" t="str">
            <v>UK 24 6 8 ỐNG ĐỒNG</v>
          </cell>
          <cell r="F82">
            <v>4489</v>
          </cell>
        </row>
        <row r="83">
          <cell r="B83">
            <v>44854</v>
          </cell>
          <cell r="D83" t="str">
            <v>UK 22 17 9 DỆT</v>
          </cell>
          <cell r="F83">
            <v>5426</v>
          </cell>
        </row>
        <row r="84">
          <cell r="B84">
            <v>44854</v>
          </cell>
          <cell r="D84" t="str">
            <v>UK 16 16 8 BAO DỆT</v>
          </cell>
          <cell r="F84">
            <v>5682</v>
          </cell>
        </row>
        <row r="85">
          <cell r="B85">
            <v>44854</v>
          </cell>
          <cell r="D85" t="str">
            <v>UK 25 20 15 ỐNG ĐỒNG</v>
          </cell>
          <cell r="F85">
            <v>2122</v>
          </cell>
        </row>
        <row r="86">
          <cell r="B86">
            <v>44854</v>
          </cell>
          <cell r="D86" t="str">
            <v>UK 20 20 15 ỐNG ĐỒNG</v>
          </cell>
          <cell r="F86">
            <v>3032</v>
          </cell>
        </row>
        <row r="87">
          <cell r="B87">
            <v>44854</v>
          </cell>
          <cell r="D87" t="str">
            <v>UK 17 8 22 BAO DỆT</v>
          </cell>
          <cell r="F87">
            <v>3616</v>
          </cell>
        </row>
        <row r="88">
          <cell r="B88">
            <v>44854</v>
          </cell>
          <cell r="D88" t="str">
            <v>UK 17 7 19 ỐNG ĐỒNG</v>
          </cell>
          <cell r="F88">
            <v>3872</v>
          </cell>
        </row>
        <row r="89">
          <cell r="B89">
            <v>0</v>
          </cell>
          <cell r="D89" t="str">
            <v/>
          </cell>
          <cell r="F89">
            <v>0</v>
          </cell>
        </row>
        <row r="90">
          <cell r="B90">
            <v>0</v>
          </cell>
          <cell r="D90" t="str">
            <v/>
          </cell>
          <cell r="F90">
            <v>0</v>
          </cell>
        </row>
        <row r="91">
          <cell r="B91">
            <v>0</v>
          </cell>
          <cell r="D91" t="str">
            <v/>
          </cell>
          <cell r="F91">
            <v>0</v>
          </cell>
        </row>
        <row r="92">
          <cell r="B92">
            <v>0</v>
          </cell>
          <cell r="D92" t="str">
            <v/>
          </cell>
          <cell r="F92">
            <v>0</v>
          </cell>
        </row>
        <row r="93">
          <cell r="B93">
            <v>0</v>
          </cell>
          <cell r="D93" t="str">
            <v/>
          </cell>
          <cell r="F93">
            <v>0</v>
          </cell>
        </row>
        <row r="94">
          <cell r="B94">
            <v>0</v>
          </cell>
          <cell r="D94" t="str">
            <v/>
          </cell>
          <cell r="F94">
            <v>0</v>
          </cell>
        </row>
        <row r="95">
          <cell r="B95">
            <v>0</v>
          </cell>
          <cell r="D95" t="str">
            <v/>
          </cell>
          <cell r="F95">
            <v>0</v>
          </cell>
        </row>
        <row r="96">
          <cell r="B96">
            <v>0</v>
          </cell>
          <cell r="D96" t="str">
            <v/>
          </cell>
          <cell r="F96">
            <v>0</v>
          </cell>
        </row>
        <row r="97">
          <cell r="B97">
            <v>0</v>
          </cell>
          <cell r="D97" t="str">
            <v/>
          </cell>
          <cell r="F97">
            <v>0</v>
          </cell>
        </row>
        <row r="98">
          <cell r="B98">
            <v>0</v>
          </cell>
          <cell r="D98" t="str">
            <v/>
          </cell>
          <cell r="F98">
            <v>0</v>
          </cell>
        </row>
        <row r="99">
          <cell r="B99">
            <v>0</v>
          </cell>
          <cell r="D99" t="str">
            <v/>
          </cell>
          <cell r="F99">
            <v>0</v>
          </cell>
        </row>
        <row r="100">
          <cell r="B100">
            <v>0</v>
          </cell>
          <cell r="D100" t="str">
            <v/>
          </cell>
          <cell r="F100">
            <v>0</v>
          </cell>
        </row>
        <row r="101">
          <cell r="B101">
            <v>0</v>
          </cell>
          <cell r="D101" t="str">
            <v/>
          </cell>
          <cell r="F101">
            <v>0</v>
          </cell>
        </row>
        <row r="102">
          <cell r="B102">
            <v>0</v>
          </cell>
          <cell r="D102" t="str">
            <v/>
          </cell>
          <cell r="F102">
            <v>0</v>
          </cell>
        </row>
        <row r="103">
          <cell r="B103">
            <v>0</v>
          </cell>
          <cell r="D103" t="str">
            <v/>
          </cell>
          <cell r="F103">
            <v>0</v>
          </cell>
        </row>
        <row r="104">
          <cell r="B104">
            <v>0</v>
          </cell>
          <cell r="D104" t="str">
            <v/>
          </cell>
          <cell r="F104">
            <v>0</v>
          </cell>
        </row>
        <row r="105">
          <cell r="B105">
            <v>0</v>
          </cell>
          <cell r="D105" t="str">
            <v/>
          </cell>
          <cell r="F105">
            <v>0</v>
          </cell>
        </row>
        <row r="106">
          <cell r="B106">
            <v>0</v>
          </cell>
          <cell r="D106" t="str">
            <v/>
          </cell>
          <cell r="F106">
            <v>0</v>
          </cell>
        </row>
        <row r="107">
          <cell r="B107">
            <v>0</v>
          </cell>
          <cell r="D107" t="str">
            <v/>
          </cell>
          <cell r="F107">
            <v>0</v>
          </cell>
        </row>
        <row r="108">
          <cell r="B108">
            <v>0</v>
          </cell>
          <cell r="D108" t="str">
            <v/>
          </cell>
          <cell r="F108">
            <v>0</v>
          </cell>
        </row>
        <row r="109">
          <cell r="B109">
            <v>0</v>
          </cell>
          <cell r="D109" t="str">
            <v/>
          </cell>
          <cell r="F109">
            <v>0</v>
          </cell>
        </row>
        <row r="110">
          <cell r="B110">
            <v>0</v>
          </cell>
          <cell r="D110" t="str">
            <v/>
          </cell>
          <cell r="F110">
            <v>0</v>
          </cell>
        </row>
        <row r="111">
          <cell r="B111">
            <v>0</v>
          </cell>
          <cell r="D111" t="str">
            <v/>
          </cell>
          <cell r="F111">
            <v>0</v>
          </cell>
        </row>
        <row r="112">
          <cell r="B112">
            <v>0</v>
          </cell>
          <cell r="D112" t="str">
            <v/>
          </cell>
          <cell r="F112">
            <v>0</v>
          </cell>
        </row>
        <row r="113">
          <cell r="B113">
            <v>0</v>
          </cell>
          <cell r="D113" t="str">
            <v/>
          </cell>
          <cell r="F113">
            <v>0</v>
          </cell>
        </row>
        <row r="114">
          <cell r="B114">
            <v>0</v>
          </cell>
          <cell r="D114" t="str">
            <v/>
          </cell>
          <cell r="F114">
            <v>0</v>
          </cell>
        </row>
        <row r="115">
          <cell r="B115">
            <v>0</v>
          </cell>
          <cell r="D115" t="str">
            <v/>
          </cell>
          <cell r="F115">
            <v>0</v>
          </cell>
        </row>
        <row r="116">
          <cell r="B116">
            <v>0</v>
          </cell>
          <cell r="D116" t="str">
            <v/>
          </cell>
          <cell r="F116">
            <v>0</v>
          </cell>
        </row>
        <row r="117">
          <cell r="B117">
            <v>0</v>
          </cell>
          <cell r="D117" t="str">
            <v/>
          </cell>
          <cell r="F117">
            <v>0</v>
          </cell>
        </row>
        <row r="118">
          <cell r="B118">
            <v>0</v>
          </cell>
          <cell r="D118" t="str">
            <v/>
          </cell>
          <cell r="F118">
            <v>0</v>
          </cell>
        </row>
        <row r="119">
          <cell r="B119">
            <v>0</v>
          </cell>
          <cell r="D119" t="str">
            <v/>
          </cell>
          <cell r="F119">
            <v>0</v>
          </cell>
        </row>
        <row r="120">
          <cell r="B120">
            <v>0</v>
          </cell>
          <cell r="D120" t="str">
            <v/>
          </cell>
          <cell r="F120">
            <v>0</v>
          </cell>
        </row>
        <row r="121">
          <cell r="B121">
            <v>0</v>
          </cell>
          <cell r="D121" t="str">
            <v/>
          </cell>
          <cell r="F121">
            <v>0</v>
          </cell>
        </row>
        <row r="122">
          <cell r="B122">
            <v>0</v>
          </cell>
          <cell r="D122" t="str">
            <v/>
          </cell>
          <cell r="F122">
            <v>0</v>
          </cell>
        </row>
        <row r="123">
          <cell r="B123">
            <v>0</v>
          </cell>
          <cell r="D123" t="str">
            <v/>
          </cell>
          <cell r="F123">
            <v>0</v>
          </cell>
        </row>
        <row r="124">
          <cell r="B124">
            <v>0</v>
          </cell>
          <cell r="D124" t="str">
            <v/>
          </cell>
          <cell r="F124">
            <v>0</v>
          </cell>
        </row>
        <row r="125">
          <cell r="B125">
            <v>0</v>
          </cell>
          <cell r="D125" t="str">
            <v/>
          </cell>
          <cell r="F125">
            <v>0</v>
          </cell>
        </row>
        <row r="126">
          <cell r="B126">
            <v>0</v>
          </cell>
          <cell r="D126" t="str">
            <v/>
          </cell>
          <cell r="F126">
            <v>0</v>
          </cell>
        </row>
        <row r="127">
          <cell r="B127">
            <v>0</v>
          </cell>
          <cell r="D127" t="str">
            <v/>
          </cell>
          <cell r="F127">
            <v>0</v>
          </cell>
        </row>
        <row r="128">
          <cell r="B128">
            <v>0</v>
          </cell>
          <cell r="D128" t="str">
            <v/>
          </cell>
          <cell r="F128">
            <v>0</v>
          </cell>
        </row>
        <row r="129">
          <cell r="B129">
            <v>0</v>
          </cell>
          <cell r="D129" t="str">
            <v/>
          </cell>
          <cell r="F129">
            <v>0</v>
          </cell>
        </row>
        <row r="130">
          <cell r="B130">
            <v>0</v>
          </cell>
          <cell r="D130" t="str">
            <v/>
          </cell>
          <cell r="F130">
            <v>0</v>
          </cell>
        </row>
        <row r="131">
          <cell r="B131">
            <v>0</v>
          </cell>
          <cell r="D131" t="str">
            <v/>
          </cell>
          <cell r="F131">
            <v>0</v>
          </cell>
        </row>
        <row r="132">
          <cell r="B132">
            <v>0</v>
          </cell>
          <cell r="D132" t="str">
            <v/>
          </cell>
          <cell r="F132">
            <v>0</v>
          </cell>
        </row>
        <row r="133">
          <cell r="B133">
            <v>0</v>
          </cell>
          <cell r="D133" t="str">
            <v/>
          </cell>
          <cell r="F133">
            <v>0</v>
          </cell>
        </row>
        <row r="134">
          <cell r="B134">
            <v>0</v>
          </cell>
          <cell r="D134" t="str">
            <v/>
          </cell>
          <cell r="F134">
            <v>0</v>
          </cell>
        </row>
        <row r="135">
          <cell r="B135">
            <v>0</v>
          </cell>
          <cell r="D135" t="str">
            <v/>
          </cell>
          <cell r="F135">
            <v>0</v>
          </cell>
        </row>
        <row r="136">
          <cell r="B136">
            <v>0</v>
          </cell>
          <cell r="D136" t="str">
            <v/>
          </cell>
          <cell r="F136">
            <v>0</v>
          </cell>
        </row>
        <row r="137">
          <cell r="B137">
            <v>0</v>
          </cell>
          <cell r="D137" t="str">
            <v/>
          </cell>
          <cell r="F137">
            <v>0</v>
          </cell>
        </row>
        <row r="138">
          <cell r="B138">
            <v>0</v>
          </cell>
          <cell r="D138" t="str">
            <v/>
          </cell>
          <cell r="F138">
            <v>0</v>
          </cell>
        </row>
        <row r="139">
          <cell r="B139">
            <v>0</v>
          </cell>
          <cell r="D139" t="str">
            <v/>
          </cell>
          <cell r="F139">
            <v>0</v>
          </cell>
        </row>
        <row r="140">
          <cell r="B140">
            <v>0</v>
          </cell>
          <cell r="D140" t="str">
            <v/>
          </cell>
          <cell r="F140">
            <v>0</v>
          </cell>
        </row>
        <row r="141">
          <cell r="B141">
            <v>0</v>
          </cell>
          <cell r="D141" t="str">
            <v/>
          </cell>
          <cell r="F141">
            <v>0</v>
          </cell>
        </row>
        <row r="142">
          <cell r="B142">
            <v>0</v>
          </cell>
          <cell r="D142" t="str">
            <v/>
          </cell>
          <cell r="F142">
            <v>0</v>
          </cell>
        </row>
        <row r="143">
          <cell r="B143">
            <v>0</v>
          </cell>
          <cell r="D143" t="str">
            <v/>
          </cell>
          <cell r="F143">
            <v>0</v>
          </cell>
        </row>
        <row r="144">
          <cell r="B144">
            <v>0</v>
          </cell>
          <cell r="D144" t="str">
            <v/>
          </cell>
          <cell r="F144">
            <v>0</v>
          </cell>
        </row>
        <row r="145">
          <cell r="B145">
            <v>0</v>
          </cell>
          <cell r="D145" t="str">
            <v/>
          </cell>
          <cell r="F145">
            <v>0</v>
          </cell>
        </row>
        <row r="146">
          <cell r="B146">
            <v>0</v>
          </cell>
          <cell r="D146" t="str">
            <v/>
          </cell>
          <cell r="F146">
            <v>0</v>
          </cell>
        </row>
        <row r="147">
          <cell r="B147">
            <v>0</v>
          </cell>
          <cell r="D147" t="str">
            <v/>
          </cell>
          <cell r="F147">
            <v>0</v>
          </cell>
        </row>
        <row r="148">
          <cell r="B148">
            <v>0</v>
          </cell>
          <cell r="D148" t="str">
            <v/>
          </cell>
          <cell r="F148">
            <v>0</v>
          </cell>
        </row>
        <row r="149">
          <cell r="B149">
            <v>0</v>
          </cell>
          <cell r="D149" t="str">
            <v/>
          </cell>
          <cell r="F149">
            <v>0</v>
          </cell>
        </row>
        <row r="150">
          <cell r="B150">
            <v>0</v>
          </cell>
          <cell r="D150" t="str">
            <v/>
          </cell>
          <cell r="F150">
            <v>0</v>
          </cell>
        </row>
        <row r="151">
          <cell r="B151">
            <v>0</v>
          </cell>
          <cell r="D151" t="str">
            <v/>
          </cell>
          <cell r="F151">
            <v>0</v>
          </cell>
        </row>
        <row r="152">
          <cell r="B152">
            <v>0</v>
          </cell>
          <cell r="D152" t="str">
            <v/>
          </cell>
          <cell r="F152">
            <v>0</v>
          </cell>
        </row>
        <row r="153">
          <cell r="B153">
            <v>0</v>
          </cell>
          <cell r="D153" t="str">
            <v/>
          </cell>
          <cell r="F153">
            <v>0</v>
          </cell>
        </row>
        <row r="154">
          <cell r="B154">
            <v>0</v>
          </cell>
          <cell r="D154" t="str">
            <v/>
          </cell>
          <cell r="F154">
            <v>0</v>
          </cell>
        </row>
        <row r="155">
          <cell r="B155">
            <v>0</v>
          </cell>
          <cell r="D155" t="str">
            <v/>
          </cell>
          <cell r="F155">
            <v>0</v>
          </cell>
        </row>
        <row r="156">
          <cell r="B156">
            <v>0</v>
          </cell>
          <cell r="D156" t="str">
            <v/>
          </cell>
          <cell r="F156">
            <v>0</v>
          </cell>
        </row>
        <row r="157">
          <cell r="B157">
            <v>0</v>
          </cell>
          <cell r="D157" t="str">
            <v/>
          </cell>
          <cell r="F157">
            <v>0</v>
          </cell>
        </row>
        <row r="158">
          <cell r="B158">
            <v>0</v>
          </cell>
          <cell r="D158" t="str">
            <v/>
          </cell>
          <cell r="F158">
            <v>0</v>
          </cell>
        </row>
        <row r="159">
          <cell r="B159">
            <v>0</v>
          </cell>
          <cell r="D159" t="str">
            <v/>
          </cell>
          <cell r="F159">
            <v>0</v>
          </cell>
        </row>
        <row r="160">
          <cell r="B160">
            <v>0</v>
          </cell>
          <cell r="D160" t="str">
            <v/>
          </cell>
          <cell r="F160">
            <v>0</v>
          </cell>
        </row>
        <row r="161">
          <cell r="B161">
            <v>0</v>
          </cell>
          <cell r="D161" t="str">
            <v/>
          </cell>
          <cell r="F161">
            <v>0</v>
          </cell>
        </row>
        <row r="162">
          <cell r="B162">
            <v>0</v>
          </cell>
          <cell r="D162" t="str">
            <v/>
          </cell>
          <cell r="F162">
            <v>0</v>
          </cell>
        </row>
        <row r="163">
          <cell r="B163">
            <v>0</v>
          </cell>
          <cell r="D163" t="str">
            <v/>
          </cell>
          <cell r="F163">
            <v>0</v>
          </cell>
        </row>
        <row r="164">
          <cell r="B164">
            <v>0</v>
          </cell>
          <cell r="D164" t="str">
            <v/>
          </cell>
          <cell r="F164">
            <v>0</v>
          </cell>
        </row>
        <row r="165">
          <cell r="B165">
            <v>0</v>
          </cell>
          <cell r="D165" t="str">
            <v/>
          </cell>
          <cell r="F165">
            <v>0</v>
          </cell>
        </row>
        <row r="166">
          <cell r="B166">
            <v>0</v>
          </cell>
          <cell r="D166" t="str">
            <v/>
          </cell>
          <cell r="F166">
            <v>0</v>
          </cell>
        </row>
        <row r="167">
          <cell r="B167">
            <v>0</v>
          </cell>
          <cell r="D167" t="str">
            <v/>
          </cell>
          <cell r="F167">
            <v>0</v>
          </cell>
        </row>
        <row r="168">
          <cell r="B168">
            <v>0</v>
          </cell>
          <cell r="D168" t="str">
            <v/>
          </cell>
          <cell r="F168">
            <v>0</v>
          </cell>
        </row>
        <row r="169">
          <cell r="B169">
            <v>0</v>
          </cell>
          <cell r="D169" t="str">
            <v/>
          </cell>
          <cell r="F169">
            <v>0</v>
          </cell>
        </row>
        <row r="170">
          <cell r="B170">
            <v>0</v>
          </cell>
          <cell r="D170" t="str">
            <v/>
          </cell>
          <cell r="F170">
            <v>0</v>
          </cell>
        </row>
        <row r="171">
          <cell r="B171">
            <v>0</v>
          </cell>
          <cell r="D171" t="str">
            <v/>
          </cell>
          <cell r="F171">
            <v>0</v>
          </cell>
        </row>
        <row r="172">
          <cell r="B172">
            <v>0</v>
          </cell>
          <cell r="D172" t="str">
            <v/>
          </cell>
          <cell r="F172">
            <v>0</v>
          </cell>
        </row>
        <row r="173">
          <cell r="B173">
            <v>0</v>
          </cell>
          <cell r="D173" t="str">
            <v/>
          </cell>
          <cell r="F173">
            <v>0</v>
          </cell>
        </row>
        <row r="174">
          <cell r="B174">
            <v>0</v>
          </cell>
          <cell r="D174" t="str">
            <v/>
          </cell>
          <cell r="F174">
            <v>0</v>
          </cell>
        </row>
        <row r="175">
          <cell r="B175">
            <v>0</v>
          </cell>
          <cell r="D175" t="str">
            <v/>
          </cell>
          <cell r="F175">
            <v>0</v>
          </cell>
        </row>
        <row r="176">
          <cell r="B176">
            <v>0</v>
          </cell>
          <cell r="D176" t="str">
            <v/>
          </cell>
          <cell r="F176">
            <v>0</v>
          </cell>
        </row>
        <row r="177">
          <cell r="B177">
            <v>0</v>
          </cell>
          <cell r="D177" t="str">
            <v/>
          </cell>
          <cell r="F177">
            <v>0</v>
          </cell>
        </row>
        <row r="178">
          <cell r="B178">
            <v>0</v>
          </cell>
          <cell r="D178" t="str">
            <v/>
          </cell>
          <cell r="F178">
            <v>0</v>
          </cell>
        </row>
        <row r="179">
          <cell r="B179">
            <v>0</v>
          </cell>
          <cell r="D179" t="str">
            <v/>
          </cell>
          <cell r="F179">
            <v>0</v>
          </cell>
        </row>
        <row r="180">
          <cell r="B180">
            <v>0</v>
          </cell>
          <cell r="D180" t="str">
            <v/>
          </cell>
          <cell r="F180">
            <v>0</v>
          </cell>
        </row>
        <row r="181">
          <cell r="B181">
            <v>0</v>
          </cell>
          <cell r="D181" t="str">
            <v/>
          </cell>
          <cell r="F181">
            <v>0</v>
          </cell>
        </row>
        <row r="182">
          <cell r="B182">
            <v>0</v>
          </cell>
          <cell r="D182" t="str">
            <v/>
          </cell>
          <cell r="F182">
            <v>0</v>
          </cell>
        </row>
        <row r="183">
          <cell r="B183">
            <v>0</v>
          </cell>
          <cell r="D183" t="str">
            <v/>
          </cell>
          <cell r="F183">
            <v>0</v>
          </cell>
        </row>
        <row r="184">
          <cell r="B184">
            <v>0</v>
          </cell>
          <cell r="D184" t="str">
            <v/>
          </cell>
          <cell r="F184">
            <v>0</v>
          </cell>
        </row>
        <row r="185">
          <cell r="B185">
            <v>0</v>
          </cell>
          <cell r="D185" t="str">
            <v/>
          </cell>
          <cell r="F185">
            <v>0</v>
          </cell>
        </row>
        <row r="186">
          <cell r="B186">
            <v>0</v>
          </cell>
          <cell r="D186" t="str">
            <v/>
          </cell>
          <cell r="F186">
            <v>0</v>
          </cell>
        </row>
        <row r="187">
          <cell r="B187">
            <v>0</v>
          </cell>
          <cell r="D187" t="str">
            <v/>
          </cell>
          <cell r="F187">
            <v>0</v>
          </cell>
        </row>
        <row r="188">
          <cell r="B188">
            <v>0</v>
          </cell>
          <cell r="D188" t="str">
            <v/>
          </cell>
          <cell r="F188">
            <v>0</v>
          </cell>
        </row>
        <row r="189">
          <cell r="B189">
            <v>0</v>
          </cell>
          <cell r="D189" t="str">
            <v/>
          </cell>
          <cell r="F189">
            <v>0</v>
          </cell>
        </row>
        <row r="190">
          <cell r="B190">
            <v>0</v>
          </cell>
          <cell r="D190" t="str">
            <v/>
          </cell>
          <cell r="F190">
            <v>0</v>
          </cell>
        </row>
        <row r="191">
          <cell r="B191">
            <v>0</v>
          </cell>
          <cell r="D191" t="str">
            <v/>
          </cell>
          <cell r="F191">
            <v>0</v>
          </cell>
        </row>
        <row r="192">
          <cell r="B192">
            <v>0</v>
          </cell>
          <cell r="D192" t="str">
            <v/>
          </cell>
          <cell r="F192">
            <v>0</v>
          </cell>
        </row>
        <row r="193">
          <cell r="B193">
            <v>0</v>
          </cell>
          <cell r="D193" t="str">
            <v/>
          </cell>
          <cell r="F193">
            <v>0</v>
          </cell>
        </row>
        <row r="194">
          <cell r="B194">
            <v>0</v>
          </cell>
          <cell r="D194" t="str">
            <v/>
          </cell>
          <cell r="F194">
            <v>0</v>
          </cell>
        </row>
        <row r="195">
          <cell r="B195">
            <v>0</v>
          </cell>
          <cell r="D195" t="str">
            <v/>
          </cell>
          <cell r="F195">
            <v>0</v>
          </cell>
        </row>
        <row r="196">
          <cell r="B196">
            <v>0</v>
          </cell>
          <cell r="D196" t="str">
            <v/>
          </cell>
          <cell r="F196">
            <v>0</v>
          </cell>
        </row>
        <row r="197">
          <cell r="B197">
            <v>0</v>
          </cell>
          <cell r="D197" t="str">
            <v/>
          </cell>
          <cell r="F197">
            <v>0</v>
          </cell>
        </row>
        <row r="198">
          <cell r="B198">
            <v>0</v>
          </cell>
          <cell r="D198" t="str">
            <v/>
          </cell>
          <cell r="F198">
            <v>0</v>
          </cell>
        </row>
        <row r="199">
          <cell r="B199">
            <v>0</v>
          </cell>
          <cell r="D199" t="str">
            <v/>
          </cell>
          <cell r="F199">
            <v>0</v>
          </cell>
        </row>
        <row r="200">
          <cell r="B200">
            <v>0</v>
          </cell>
          <cell r="D200" t="str">
            <v/>
          </cell>
          <cell r="F200">
            <v>0</v>
          </cell>
        </row>
        <row r="201">
          <cell r="B201">
            <v>0</v>
          </cell>
          <cell r="D201" t="str">
            <v/>
          </cell>
          <cell r="F201">
            <v>0</v>
          </cell>
        </row>
        <row r="202">
          <cell r="B202">
            <v>0</v>
          </cell>
          <cell r="D202" t="str">
            <v/>
          </cell>
          <cell r="F202">
            <v>0</v>
          </cell>
        </row>
        <row r="203">
          <cell r="B203">
            <v>0</v>
          </cell>
          <cell r="D203" t="str">
            <v/>
          </cell>
          <cell r="F203">
            <v>0</v>
          </cell>
        </row>
        <row r="204">
          <cell r="B204">
            <v>0</v>
          </cell>
          <cell r="D204" t="str">
            <v/>
          </cell>
          <cell r="F204">
            <v>0</v>
          </cell>
        </row>
        <row r="205">
          <cell r="B205">
            <v>0</v>
          </cell>
          <cell r="D205" t="str">
            <v/>
          </cell>
          <cell r="F205">
            <v>0</v>
          </cell>
        </row>
        <row r="206">
          <cell r="B206">
            <v>0</v>
          </cell>
          <cell r="D206" t="str">
            <v/>
          </cell>
          <cell r="F206">
            <v>0</v>
          </cell>
        </row>
        <row r="207">
          <cell r="B207">
            <v>0</v>
          </cell>
          <cell r="D207" t="str">
            <v/>
          </cell>
          <cell r="F207">
            <v>0</v>
          </cell>
        </row>
        <row r="208">
          <cell r="B208">
            <v>0</v>
          </cell>
          <cell r="D208" t="str">
            <v/>
          </cell>
          <cell r="F208">
            <v>0</v>
          </cell>
        </row>
        <row r="209">
          <cell r="B209">
            <v>0</v>
          </cell>
          <cell r="D209" t="str">
            <v/>
          </cell>
          <cell r="F209">
            <v>0</v>
          </cell>
        </row>
        <row r="210">
          <cell r="B210">
            <v>0</v>
          </cell>
          <cell r="D210" t="str">
            <v/>
          </cell>
          <cell r="F210">
            <v>0</v>
          </cell>
        </row>
        <row r="211">
          <cell r="B211">
            <v>0</v>
          </cell>
          <cell r="D211" t="str">
            <v/>
          </cell>
          <cell r="F211">
            <v>0</v>
          </cell>
        </row>
        <row r="212">
          <cell r="B212">
            <v>0</v>
          </cell>
          <cell r="D212" t="str">
            <v/>
          </cell>
          <cell r="F212">
            <v>0</v>
          </cell>
        </row>
        <row r="213">
          <cell r="B213">
            <v>0</v>
          </cell>
          <cell r="D213" t="str">
            <v/>
          </cell>
          <cell r="F213">
            <v>0</v>
          </cell>
        </row>
        <row r="214">
          <cell r="B214">
            <v>0</v>
          </cell>
          <cell r="D214" t="str">
            <v/>
          </cell>
          <cell r="F214">
            <v>0</v>
          </cell>
        </row>
        <row r="215">
          <cell r="B215">
            <v>0</v>
          </cell>
          <cell r="D215" t="str">
            <v/>
          </cell>
          <cell r="F215">
            <v>0</v>
          </cell>
        </row>
        <row r="216">
          <cell r="B216">
            <v>0</v>
          </cell>
          <cell r="D216" t="str">
            <v/>
          </cell>
          <cell r="F216">
            <v>0</v>
          </cell>
        </row>
        <row r="217">
          <cell r="B217">
            <v>0</v>
          </cell>
          <cell r="D217" t="str">
            <v/>
          </cell>
          <cell r="F217">
            <v>0</v>
          </cell>
        </row>
        <row r="218">
          <cell r="B218">
            <v>0</v>
          </cell>
          <cell r="D218" t="str">
            <v/>
          </cell>
          <cell r="F218">
            <v>0</v>
          </cell>
        </row>
        <row r="219">
          <cell r="B219">
            <v>0</v>
          </cell>
          <cell r="D219" t="str">
            <v/>
          </cell>
          <cell r="F219">
            <v>0</v>
          </cell>
        </row>
        <row r="220">
          <cell r="B220">
            <v>0</v>
          </cell>
          <cell r="D220" t="str">
            <v/>
          </cell>
          <cell r="F220">
            <v>0</v>
          </cell>
        </row>
        <row r="221">
          <cell r="B221">
            <v>0</v>
          </cell>
          <cell r="D221" t="str">
            <v/>
          </cell>
          <cell r="F221">
            <v>0</v>
          </cell>
        </row>
        <row r="222">
          <cell r="B222">
            <v>0</v>
          </cell>
          <cell r="D222" t="str">
            <v/>
          </cell>
          <cell r="F222">
            <v>0</v>
          </cell>
        </row>
        <row r="223">
          <cell r="B223">
            <v>0</v>
          </cell>
          <cell r="D223" t="str">
            <v/>
          </cell>
          <cell r="F223">
            <v>0</v>
          </cell>
        </row>
        <row r="224">
          <cell r="B224">
            <v>0</v>
          </cell>
          <cell r="D224" t="str">
            <v/>
          </cell>
          <cell r="F224">
            <v>0</v>
          </cell>
        </row>
        <row r="225">
          <cell r="B225">
            <v>0</v>
          </cell>
          <cell r="D225" t="str">
            <v/>
          </cell>
          <cell r="F225">
            <v>0</v>
          </cell>
        </row>
        <row r="226">
          <cell r="B226">
            <v>0</v>
          </cell>
          <cell r="D226" t="str">
            <v/>
          </cell>
          <cell r="F226">
            <v>0</v>
          </cell>
        </row>
        <row r="227">
          <cell r="B227">
            <v>0</v>
          </cell>
          <cell r="D227" t="str">
            <v/>
          </cell>
          <cell r="F227">
            <v>0</v>
          </cell>
        </row>
        <row r="228">
          <cell r="B228">
            <v>0</v>
          </cell>
          <cell r="D228" t="str">
            <v/>
          </cell>
          <cell r="F228">
            <v>0</v>
          </cell>
        </row>
        <row r="229">
          <cell r="B229">
            <v>0</v>
          </cell>
          <cell r="D229" t="str">
            <v/>
          </cell>
          <cell r="F229">
            <v>0</v>
          </cell>
        </row>
        <row r="230">
          <cell r="B230">
            <v>0</v>
          </cell>
          <cell r="D230" t="str">
            <v/>
          </cell>
          <cell r="F230">
            <v>0</v>
          </cell>
        </row>
        <row r="231">
          <cell r="B231">
            <v>0</v>
          </cell>
          <cell r="D231" t="str">
            <v/>
          </cell>
          <cell r="F231">
            <v>0</v>
          </cell>
        </row>
        <row r="232">
          <cell r="B232">
            <v>0</v>
          </cell>
          <cell r="D232" t="str">
            <v/>
          </cell>
          <cell r="F232">
            <v>0</v>
          </cell>
        </row>
        <row r="233">
          <cell r="B233">
            <v>0</v>
          </cell>
          <cell r="D233" t="str">
            <v/>
          </cell>
          <cell r="F233">
            <v>0</v>
          </cell>
        </row>
        <row r="234">
          <cell r="B234">
            <v>0</v>
          </cell>
          <cell r="D234" t="str">
            <v/>
          </cell>
          <cell r="F234">
            <v>0</v>
          </cell>
        </row>
        <row r="235">
          <cell r="B235">
            <v>0</v>
          </cell>
          <cell r="D235" t="str">
            <v/>
          </cell>
          <cell r="F235">
            <v>0</v>
          </cell>
        </row>
        <row r="236">
          <cell r="B236">
            <v>0</v>
          </cell>
          <cell r="D236" t="str">
            <v/>
          </cell>
          <cell r="F236">
            <v>0</v>
          </cell>
        </row>
        <row r="237">
          <cell r="B237">
            <v>0</v>
          </cell>
          <cell r="D237" t="str">
            <v/>
          </cell>
          <cell r="F237">
            <v>0</v>
          </cell>
        </row>
        <row r="238">
          <cell r="B238">
            <v>0</v>
          </cell>
          <cell r="D238" t="str">
            <v/>
          </cell>
          <cell r="F238">
            <v>0</v>
          </cell>
        </row>
        <row r="239">
          <cell r="B239">
            <v>0</v>
          </cell>
          <cell r="D239" t="str">
            <v/>
          </cell>
          <cell r="F239">
            <v>0</v>
          </cell>
        </row>
        <row r="240">
          <cell r="B240">
            <v>0</v>
          </cell>
          <cell r="D240" t="str">
            <v/>
          </cell>
          <cell r="F240">
            <v>0</v>
          </cell>
        </row>
        <row r="241">
          <cell r="B241">
            <v>0</v>
          </cell>
          <cell r="D241" t="str">
            <v/>
          </cell>
          <cell r="F241">
            <v>0</v>
          </cell>
        </row>
        <row r="242">
          <cell r="B242">
            <v>0</v>
          </cell>
          <cell r="D242" t="str">
            <v/>
          </cell>
          <cell r="F242">
            <v>0</v>
          </cell>
        </row>
        <row r="243">
          <cell r="B243">
            <v>0</v>
          </cell>
          <cell r="D243" t="str">
            <v/>
          </cell>
          <cell r="F243">
            <v>0</v>
          </cell>
        </row>
        <row r="244">
          <cell r="B244">
            <v>0</v>
          </cell>
          <cell r="D244" t="str">
            <v/>
          </cell>
          <cell r="F244">
            <v>0</v>
          </cell>
        </row>
        <row r="245">
          <cell r="B245">
            <v>0</v>
          </cell>
          <cell r="D245" t="str">
            <v/>
          </cell>
          <cell r="F245">
            <v>0</v>
          </cell>
        </row>
        <row r="246">
          <cell r="B246">
            <v>0</v>
          </cell>
          <cell r="D246" t="str">
            <v/>
          </cell>
          <cell r="F246">
            <v>0</v>
          </cell>
        </row>
        <row r="247">
          <cell r="B247">
            <v>0</v>
          </cell>
          <cell r="D247" t="str">
            <v/>
          </cell>
          <cell r="F247">
            <v>0</v>
          </cell>
        </row>
        <row r="248">
          <cell r="B248">
            <v>0</v>
          </cell>
          <cell r="D248" t="str">
            <v/>
          </cell>
          <cell r="F248">
            <v>0</v>
          </cell>
        </row>
        <row r="249">
          <cell r="B249">
            <v>0</v>
          </cell>
          <cell r="D249" t="str">
            <v/>
          </cell>
          <cell r="F249">
            <v>0</v>
          </cell>
        </row>
        <row r="250">
          <cell r="B250">
            <v>0</v>
          </cell>
          <cell r="D250" t="str">
            <v/>
          </cell>
          <cell r="F250">
            <v>0</v>
          </cell>
        </row>
        <row r="251">
          <cell r="B251">
            <v>0</v>
          </cell>
          <cell r="D251" t="str">
            <v/>
          </cell>
          <cell r="F251">
            <v>0</v>
          </cell>
        </row>
        <row r="252">
          <cell r="B252">
            <v>0</v>
          </cell>
          <cell r="D252" t="str">
            <v/>
          </cell>
          <cell r="F252">
            <v>0</v>
          </cell>
        </row>
        <row r="253">
          <cell r="B253">
            <v>0</v>
          </cell>
          <cell r="D253" t="str">
            <v/>
          </cell>
          <cell r="F253">
            <v>0</v>
          </cell>
        </row>
        <row r="254">
          <cell r="B254">
            <v>0</v>
          </cell>
          <cell r="D254" t="str">
            <v/>
          </cell>
          <cell r="F254">
            <v>0</v>
          </cell>
        </row>
        <row r="255">
          <cell r="B255">
            <v>0</v>
          </cell>
          <cell r="D255" t="str">
            <v/>
          </cell>
          <cell r="F255">
            <v>0</v>
          </cell>
        </row>
        <row r="256">
          <cell r="B256">
            <v>0</v>
          </cell>
          <cell r="D256" t="str">
            <v/>
          </cell>
          <cell r="F256">
            <v>0</v>
          </cell>
        </row>
        <row r="257">
          <cell r="B257">
            <v>0</v>
          </cell>
          <cell r="D257" t="str">
            <v/>
          </cell>
          <cell r="F257">
            <v>0</v>
          </cell>
        </row>
        <row r="258">
          <cell r="B258">
            <v>0</v>
          </cell>
          <cell r="D258" t="str">
            <v/>
          </cell>
          <cell r="F258">
            <v>0</v>
          </cell>
        </row>
        <row r="259">
          <cell r="B259">
            <v>0</v>
          </cell>
          <cell r="D259" t="str">
            <v/>
          </cell>
          <cell r="F259">
            <v>0</v>
          </cell>
        </row>
        <row r="260">
          <cell r="B260">
            <v>0</v>
          </cell>
          <cell r="D260" t="str">
            <v/>
          </cell>
          <cell r="F260">
            <v>0</v>
          </cell>
        </row>
        <row r="261">
          <cell r="B261">
            <v>0</v>
          </cell>
          <cell r="D261" t="str">
            <v/>
          </cell>
          <cell r="F261">
            <v>0</v>
          </cell>
        </row>
        <row r="262">
          <cell r="B262">
            <v>0</v>
          </cell>
          <cell r="D262" t="str">
            <v/>
          </cell>
          <cell r="F262">
            <v>0</v>
          </cell>
        </row>
        <row r="263">
          <cell r="B263">
            <v>0</v>
          </cell>
          <cell r="D263" t="str">
            <v/>
          </cell>
          <cell r="F263">
            <v>0</v>
          </cell>
        </row>
        <row r="264">
          <cell r="B264">
            <v>0</v>
          </cell>
          <cell r="D264" t="str">
            <v/>
          </cell>
          <cell r="F264">
            <v>0</v>
          </cell>
        </row>
        <row r="265">
          <cell r="B265">
            <v>0</v>
          </cell>
          <cell r="D265" t="str">
            <v/>
          </cell>
          <cell r="F265">
            <v>0</v>
          </cell>
        </row>
        <row r="266">
          <cell r="B266">
            <v>0</v>
          </cell>
          <cell r="D266" t="str">
            <v/>
          </cell>
          <cell r="F266">
            <v>0</v>
          </cell>
        </row>
        <row r="267">
          <cell r="B267">
            <v>0</v>
          </cell>
          <cell r="D267" t="str">
            <v/>
          </cell>
          <cell r="F267">
            <v>0</v>
          </cell>
        </row>
        <row r="268">
          <cell r="B268">
            <v>0</v>
          </cell>
          <cell r="D268" t="str">
            <v/>
          </cell>
          <cell r="F268">
            <v>0</v>
          </cell>
        </row>
        <row r="269">
          <cell r="B269">
            <v>0</v>
          </cell>
          <cell r="D269" t="str">
            <v/>
          </cell>
          <cell r="F269">
            <v>0</v>
          </cell>
        </row>
        <row r="270">
          <cell r="B270">
            <v>0</v>
          </cell>
          <cell r="D270" t="str">
            <v/>
          </cell>
          <cell r="F270">
            <v>0</v>
          </cell>
        </row>
        <row r="271">
          <cell r="B271">
            <v>0</v>
          </cell>
          <cell r="D271" t="str">
            <v/>
          </cell>
          <cell r="F271">
            <v>0</v>
          </cell>
        </row>
        <row r="272">
          <cell r="B272">
            <v>0</v>
          </cell>
          <cell r="D272" t="str">
            <v/>
          </cell>
          <cell r="F272">
            <v>0</v>
          </cell>
        </row>
        <row r="273">
          <cell r="B273">
            <v>0</v>
          </cell>
          <cell r="D273" t="str">
            <v/>
          </cell>
          <cell r="F273">
            <v>0</v>
          </cell>
        </row>
        <row r="274">
          <cell r="B274">
            <v>0</v>
          </cell>
          <cell r="D274" t="str">
            <v/>
          </cell>
          <cell r="F274">
            <v>0</v>
          </cell>
        </row>
        <row r="275">
          <cell r="B275">
            <v>0</v>
          </cell>
          <cell r="D275" t="str">
            <v/>
          </cell>
          <cell r="F275">
            <v>0</v>
          </cell>
        </row>
        <row r="276">
          <cell r="B276">
            <v>0</v>
          </cell>
          <cell r="D276" t="str">
            <v/>
          </cell>
          <cell r="F276">
            <v>0</v>
          </cell>
        </row>
        <row r="277">
          <cell r="B277">
            <v>0</v>
          </cell>
          <cell r="D277" t="str">
            <v/>
          </cell>
          <cell r="F277">
            <v>0</v>
          </cell>
        </row>
        <row r="278">
          <cell r="B278">
            <v>0</v>
          </cell>
          <cell r="D278" t="str">
            <v/>
          </cell>
          <cell r="F278">
            <v>0</v>
          </cell>
        </row>
        <row r="279">
          <cell r="B279">
            <v>0</v>
          </cell>
          <cell r="D279" t="str">
            <v/>
          </cell>
          <cell r="F279">
            <v>0</v>
          </cell>
        </row>
        <row r="280">
          <cell r="B280">
            <v>0</v>
          </cell>
          <cell r="D280" t="str">
            <v/>
          </cell>
          <cell r="F280">
            <v>0</v>
          </cell>
        </row>
        <row r="281">
          <cell r="B281">
            <v>0</v>
          </cell>
          <cell r="D281" t="str">
            <v/>
          </cell>
          <cell r="F281">
            <v>0</v>
          </cell>
        </row>
        <row r="282">
          <cell r="B282">
            <v>0</v>
          </cell>
          <cell r="D282" t="str">
            <v/>
          </cell>
          <cell r="F282">
            <v>0</v>
          </cell>
        </row>
        <row r="283">
          <cell r="B283">
            <v>0</v>
          </cell>
          <cell r="D283" t="str">
            <v/>
          </cell>
          <cell r="F283">
            <v>0</v>
          </cell>
        </row>
        <row r="284">
          <cell r="B284">
            <v>0</v>
          </cell>
          <cell r="D284" t="str">
            <v/>
          </cell>
          <cell r="F284">
            <v>0</v>
          </cell>
        </row>
        <row r="285">
          <cell r="B285">
            <v>0</v>
          </cell>
          <cell r="D285" t="str">
            <v/>
          </cell>
          <cell r="F285">
            <v>0</v>
          </cell>
        </row>
        <row r="286">
          <cell r="B286">
            <v>0</v>
          </cell>
          <cell r="D286" t="str">
            <v/>
          </cell>
          <cell r="F286">
            <v>0</v>
          </cell>
        </row>
        <row r="287">
          <cell r="B287">
            <v>0</v>
          </cell>
          <cell r="D287" t="str">
            <v/>
          </cell>
          <cell r="F287">
            <v>0</v>
          </cell>
        </row>
        <row r="288">
          <cell r="B288">
            <v>0</v>
          </cell>
          <cell r="D288" t="str">
            <v/>
          </cell>
          <cell r="F288">
            <v>0</v>
          </cell>
        </row>
        <row r="289">
          <cell r="B289">
            <v>0</v>
          </cell>
          <cell r="D289" t="str">
            <v/>
          </cell>
          <cell r="F289">
            <v>0</v>
          </cell>
        </row>
        <row r="290">
          <cell r="B290">
            <v>0</v>
          </cell>
          <cell r="D290" t="str">
            <v/>
          </cell>
          <cell r="F290">
            <v>0</v>
          </cell>
        </row>
        <row r="291">
          <cell r="B291">
            <v>0</v>
          </cell>
          <cell r="D291" t="str">
            <v/>
          </cell>
          <cell r="F291">
            <v>0</v>
          </cell>
        </row>
        <row r="292">
          <cell r="B292">
            <v>0</v>
          </cell>
          <cell r="D292" t="str">
            <v/>
          </cell>
          <cell r="F292">
            <v>0</v>
          </cell>
        </row>
        <row r="293">
          <cell r="B293">
            <v>0</v>
          </cell>
          <cell r="D293" t="str">
            <v/>
          </cell>
          <cell r="F293">
            <v>0</v>
          </cell>
        </row>
        <row r="294">
          <cell r="B294">
            <v>0</v>
          </cell>
          <cell r="D294" t="str">
            <v/>
          </cell>
          <cell r="F294">
            <v>0</v>
          </cell>
        </row>
        <row r="295">
          <cell r="B295">
            <v>0</v>
          </cell>
          <cell r="D295" t="str">
            <v/>
          </cell>
          <cell r="F295">
            <v>0</v>
          </cell>
        </row>
        <row r="296">
          <cell r="B296">
            <v>0</v>
          </cell>
          <cell r="D296" t="str">
            <v/>
          </cell>
          <cell r="F296">
            <v>0</v>
          </cell>
        </row>
        <row r="297">
          <cell r="B297">
            <v>0</v>
          </cell>
          <cell r="D297" t="str">
            <v/>
          </cell>
          <cell r="F297">
            <v>0</v>
          </cell>
        </row>
        <row r="298">
          <cell r="B298">
            <v>0</v>
          </cell>
          <cell r="D298" t="str">
            <v/>
          </cell>
          <cell r="F298">
            <v>0</v>
          </cell>
        </row>
        <row r="299">
          <cell r="B299">
            <v>0</v>
          </cell>
          <cell r="D299" t="str">
            <v/>
          </cell>
          <cell r="F299">
            <v>0</v>
          </cell>
        </row>
        <row r="300">
          <cell r="B300">
            <v>0</v>
          </cell>
          <cell r="D300" t="str">
            <v/>
          </cell>
          <cell r="F300">
            <v>0</v>
          </cell>
        </row>
        <row r="301">
          <cell r="B301">
            <v>0</v>
          </cell>
          <cell r="D301" t="str">
            <v/>
          </cell>
          <cell r="F301">
            <v>0</v>
          </cell>
        </row>
        <row r="302">
          <cell r="B302">
            <v>0</v>
          </cell>
          <cell r="D302" t="str">
            <v/>
          </cell>
          <cell r="F302">
            <v>0</v>
          </cell>
        </row>
        <row r="303">
          <cell r="B303">
            <v>0</v>
          </cell>
          <cell r="D303" t="str">
            <v/>
          </cell>
          <cell r="F303">
            <v>0</v>
          </cell>
        </row>
        <row r="304">
          <cell r="B304">
            <v>0</v>
          </cell>
          <cell r="D304" t="str">
            <v/>
          </cell>
          <cell r="F304">
            <v>0</v>
          </cell>
        </row>
        <row r="305">
          <cell r="B305">
            <v>0</v>
          </cell>
          <cell r="D305" t="str">
            <v/>
          </cell>
          <cell r="F305">
            <v>0</v>
          </cell>
        </row>
        <row r="306">
          <cell r="B306">
            <v>0</v>
          </cell>
          <cell r="D306" t="str">
            <v/>
          </cell>
          <cell r="F306">
            <v>0</v>
          </cell>
        </row>
        <row r="307">
          <cell r="B307">
            <v>0</v>
          </cell>
          <cell r="D307" t="str">
            <v/>
          </cell>
          <cell r="F307">
            <v>0</v>
          </cell>
        </row>
        <row r="308">
          <cell r="B308">
            <v>0</v>
          </cell>
          <cell r="D308" t="str">
            <v/>
          </cell>
          <cell r="F308">
            <v>0</v>
          </cell>
        </row>
        <row r="309">
          <cell r="B309">
            <v>0</v>
          </cell>
          <cell r="D309" t="str">
            <v/>
          </cell>
          <cell r="F309">
            <v>0</v>
          </cell>
        </row>
        <row r="310">
          <cell r="B310">
            <v>0</v>
          </cell>
          <cell r="D310" t="str">
            <v/>
          </cell>
          <cell r="F310">
            <v>0</v>
          </cell>
        </row>
        <row r="311">
          <cell r="B311">
            <v>0</v>
          </cell>
          <cell r="D311" t="str">
            <v/>
          </cell>
          <cell r="F311">
            <v>0</v>
          </cell>
        </row>
        <row r="312">
          <cell r="B312">
            <v>0</v>
          </cell>
          <cell r="D312" t="str">
            <v/>
          </cell>
          <cell r="F312">
            <v>0</v>
          </cell>
        </row>
        <row r="313">
          <cell r="B313">
            <v>0</v>
          </cell>
          <cell r="D313" t="str">
            <v/>
          </cell>
          <cell r="F313">
            <v>0</v>
          </cell>
        </row>
        <row r="314">
          <cell r="B314">
            <v>0</v>
          </cell>
          <cell r="D314" t="str">
            <v/>
          </cell>
          <cell r="F314">
            <v>0</v>
          </cell>
        </row>
        <row r="315">
          <cell r="B315">
            <v>0</v>
          </cell>
          <cell r="D315" t="str">
            <v/>
          </cell>
          <cell r="F315">
            <v>0</v>
          </cell>
        </row>
        <row r="316">
          <cell r="B316">
            <v>0</v>
          </cell>
          <cell r="D316" t="str">
            <v/>
          </cell>
          <cell r="F316">
            <v>0</v>
          </cell>
        </row>
        <row r="317">
          <cell r="B317">
            <v>0</v>
          </cell>
          <cell r="D317" t="str">
            <v/>
          </cell>
          <cell r="F317">
            <v>0</v>
          </cell>
        </row>
        <row r="318">
          <cell r="B318">
            <v>0</v>
          </cell>
          <cell r="D318" t="str">
            <v/>
          </cell>
          <cell r="F318">
            <v>0</v>
          </cell>
        </row>
        <row r="319">
          <cell r="B319">
            <v>0</v>
          </cell>
          <cell r="D319" t="str">
            <v/>
          </cell>
          <cell r="F319">
            <v>0</v>
          </cell>
        </row>
        <row r="320">
          <cell r="B320">
            <v>0</v>
          </cell>
          <cell r="D320" t="str">
            <v/>
          </cell>
          <cell r="F320">
            <v>0</v>
          </cell>
        </row>
        <row r="321">
          <cell r="B321">
            <v>0</v>
          </cell>
          <cell r="D321" t="str">
            <v/>
          </cell>
          <cell r="F321">
            <v>0</v>
          </cell>
        </row>
        <row r="322">
          <cell r="B322">
            <v>0</v>
          </cell>
          <cell r="D322" t="str">
            <v/>
          </cell>
          <cell r="F322">
            <v>0</v>
          </cell>
        </row>
        <row r="323">
          <cell r="B323">
            <v>0</v>
          </cell>
          <cell r="D323" t="str">
            <v/>
          </cell>
          <cell r="F323">
            <v>0</v>
          </cell>
        </row>
        <row r="324">
          <cell r="B324">
            <v>0</v>
          </cell>
          <cell r="D324" t="str">
            <v/>
          </cell>
          <cell r="F324">
            <v>0</v>
          </cell>
        </row>
        <row r="325">
          <cell r="B325">
            <v>0</v>
          </cell>
          <cell r="D325" t="str">
            <v/>
          </cell>
          <cell r="F325">
            <v>0</v>
          </cell>
        </row>
        <row r="326">
          <cell r="B326">
            <v>0</v>
          </cell>
          <cell r="D326" t="str">
            <v/>
          </cell>
          <cell r="F326">
            <v>0</v>
          </cell>
        </row>
        <row r="327">
          <cell r="B327">
            <v>0</v>
          </cell>
          <cell r="D327" t="str">
            <v/>
          </cell>
          <cell r="F327">
            <v>0</v>
          </cell>
        </row>
        <row r="328">
          <cell r="B328">
            <v>0</v>
          </cell>
          <cell r="D328" t="str">
            <v/>
          </cell>
          <cell r="F328">
            <v>0</v>
          </cell>
        </row>
        <row r="329">
          <cell r="B329">
            <v>0</v>
          </cell>
          <cell r="D329" t="str">
            <v/>
          </cell>
          <cell r="F329">
            <v>0</v>
          </cell>
        </row>
        <row r="330">
          <cell r="B330">
            <v>0</v>
          </cell>
          <cell r="D330" t="str">
            <v/>
          </cell>
          <cell r="F330">
            <v>0</v>
          </cell>
        </row>
        <row r="331">
          <cell r="B331">
            <v>0</v>
          </cell>
          <cell r="D331" t="str">
            <v/>
          </cell>
          <cell r="F331">
            <v>0</v>
          </cell>
        </row>
        <row r="332">
          <cell r="B332">
            <v>0</v>
          </cell>
          <cell r="D332" t="str">
            <v/>
          </cell>
          <cell r="F332">
            <v>0</v>
          </cell>
        </row>
        <row r="333">
          <cell r="B333">
            <v>0</v>
          </cell>
          <cell r="D333" t="str">
            <v/>
          </cell>
          <cell r="F333">
            <v>0</v>
          </cell>
        </row>
        <row r="334">
          <cell r="B334">
            <v>0</v>
          </cell>
          <cell r="D334" t="str">
            <v/>
          </cell>
          <cell r="F334">
            <v>0</v>
          </cell>
        </row>
        <row r="335">
          <cell r="B335">
            <v>0</v>
          </cell>
          <cell r="D335" t="str">
            <v/>
          </cell>
          <cell r="F335">
            <v>0</v>
          </cell>
        </row>
        <row r="336">
          <cell r="B336">
            <v>0</v>
          </cell>
          <cell r="D336" t="str">
            <v/>
          </cell>
          <cell r="F336">
            <v>0</v>
          </cell>
        </row>
        <row r="337">
          <cell r="B337">
            <v>0</v>
          </cell>
          <cell r="D337" t="str">
            <v/>
          </cell>
          <cell r="F337">
            <v>0</v>
          </cell>
        </row>
        <row r="338">
          <cell r="B338">
            <v>0</v>
          </cell>
          <cell r="D338" t="str">
            <v/>
          </cell>
          <cell r="F338">
            <v>0</v>
          </cell>
        </row>
        <row r="339">
          <cell r="B339">
            <v>0</v>
          </cell>
          <cell r="D339" t="str">
            <v/>
          </cell>
          <cell r="F339">
            <v>0</v>
          </cell>
        </row>
        <row r="340">
          <cell r="B340">
            <v>0</v>
          </cell>
          <cell r="D340" t="str">
            <v/>
          </cell>
          <cell r="F340">
            <v>0</v>
          </cell>
        </row>
        <row r="341">
          <cell r="B341">
            <v>0</v>
          </cell>
          <cell r="D341" t="str">
            <v/>
          </cell>
          <cell r="F341">
            <v>0</v>
          </cell>
        </row>
        <row r="342">
          <cell r="B342">
            <v>0</v>
          </cell>
          <cell r="D342" t="str">
            <v/>
          </cell>
          <cell r="F342">
            <v>0</v>
          </cell>
        </row>
        <row r="343">
          <cell r="B343">
            <v>0</v>
          </cell>
          <cell r="D343" t="str">
            <v/>
          </cell>
          <cell r="F343">
            <v>0</v>
          </cell>
        </row>
        <row r="344">
          <cell r="B344">
            <v>0</v>
          </cell>
          <cell r="D344" t="str">
            <v/>
          </cell>
          <cell r="F344">
            <v>0</v>
          </cell>
        </row>
        <row r="345">
          <cell r="B345">
            <v>0</v>
          </cell>
          <cell r="D345" t="str">
            <v/>
          </cell>
          <cell r="F345">
            <v>0</v>
          </cell>
        </row>
        <row r="346">
          <cell r="B346">
            <v>0</v>
          </cell>
          <cell r="D346" t="str">
            <v/>
          </cell>
          <cell r="F346">
            <v>0</v>
          </cell>
        </row>
        <row r="347">
          <cell r="B347">
            <v>0</v>
          </cell>
          <cell r="D347" t="str">
            <v/>
          </cell>
          <cell r="F347">
            <v>0</v>
          </cell>
        </row>
        <row r="348">
          <cell r="B348">
            <v>0</v>
          </cell>
          <cell r="D348" t="str">
            <v/>
          </cell>
          <cell r="F348">
            <v>0</v>
          </cell>
        </row>
        <row r="349">
          <cell r="B349">
            <v>0</v>
          </cell>
          <cell r="D349" t="str">
            <v/>
          </cell>
          <cell r="F349">
            <v>0</v>
          </cell>
        </row>
        <row r="350">
          <cell r="B350">
            <v>0</v>
          </cell>
          <cell r="D350" t="str">
            <v/>
          </cell>
          <cell r="F350">
            <v>0</v>
          </cell>
        </row>
        <row r="351">
          <cell r="B351">
            <v>0</v>
          </cell>
          <cell r="D351" t="str">
            <v/>
          </cell>
          <cell r="F351">
            <v>0</v>
          </cell>
        </row>
        <row r="352">
          <cell r="B352">
            <v>0</v>
          </cell>
          <cell r="D352" t="str">
            <v/>
          </cell>
          <cell r="F352">
            <v>0</v>
          </cell>
        </row>
        <row r="353">
          <cell r="B353">
            <v>0</v>
          </cell>
          <cell r="D353" t="str">
            <v/>
          </cell>
          <cell r="F353">
            <v>0</v>
          </cell>
        </row>
        <row r="354">
          <cell r="B354">
            <v>0</v>
          </cell>
          <cell r="D354" t="str">
            <v/>
          </cell>
          <cell r="F354">
            <v>0</v>
          </cell>
        </row>
        <row r="355">
          <cell r="B355">
            <v>0</v>
          </cell>
          <cell r="D355" t="str">
            <v/>
          </cell>
          <cell r="F355">
            <v>0</v>
          </cell>
        </row>
        <row r="356">
          <cell r="B356">
            <v>0</v>
          </cell>
          <cell r="D356" t="str">
            <v/>
          </cell>
          <cell r="F356">
            <v>0</v>
          </cell>
        </row>
        <row r="357">
          <cell r="B357">
            <v>0</v>
          </cell>
          <cell r="D357" t="str">
            <v/>
          </cell>
          <cell r="F357">
            <v>0</v>
          </cell>
        </row>
        <row r="358">
          <cell r="B358">
            <v>0</v>
          </cell>
          <cell r="D358" t="str">
            <v/>
          </cell>
          <cell r="F358">
            <v>0</v>
          </cell>
        </row>
        <row r="359">
          <cell r="B359">
            <v>0</v>
          </cell>
          <cell r="D359" t="str">
            <v/>
          </cell>
          <cell r="F359">
            <v>0</v>
          </cell>
        </row>
        <row r="360">
          <cell r="B360">
            <v>0</v>
          </cell>
          <cell r="D360" t="str">
            <v/>
          </cell>
          <cell r="F360">
            <v>0</v>
          </cell>
        </row>
        <row r="361">
          <cell r="B361">
            <v>0</v>
          </cell>
          <cell r="D361" t="str">
            <v/>
          </cell>
          <cell r="F361">
            <v>0</v>
          </cell>
        </row>
        <row r="362">
          <cell r="B362">
            <v>0</v>
          </cell>
          <cell r="D362" t="str">
            <v/>
          </cell>
          <cell r="F362">
            <v>0</v>
          </cell>
        </row>
        <row r="363">
          <cell r="B363">
            <v>0</v>
          </cell>
          <cell r="D363" t="str">
            <v/>
          </cell>
          <cell r="F363">
            <v>0</v>
          </cell>
        </row>
        <row r="364">
          <cell r="B364">
            <v>0</v>
          </cell>
          <cell r="D364" t="str">
            <v/>
          </cell>
          <cell r="F364">
            <v>0</v>
          </cell>
        </row>
        <row r="365">
          <cell r="B365">
            <v>0</v>
          </cell>
          <cell r="D365" t="str">
            <v/>
          </cell>
          <cell r="F365">
            <v>0</v>
          </cell>
        </row>
        <row r="366">
          <cell r="B366">
            <v>0</v>
          </cell>
          <cell r="D366" t="str">
            <v/>
          </cell>
          <cell r="F366">
            <v>0</v>
          </cell>
        </row>
        <row r="367">
          <cell r="B367">
            <v>0</v>
          </cell>
          <cell r="D367" t="str">
            <v/>
          </cell>
          <cell r="F367">
            <v>0</v>
          </cell>
        </row>
        <row r="368">
          <cell r="B368">
            <v>0</v>
          </cell>
          <cell r="D368" t="str">
            <v/>
          </cell>
          <cell r="F368">
            <v>0</v>
          </cell>
        </row>
        <row r="369">
          <cell r="B369">
            <v>0</v>
          </cell>
          <cell r="D369" t="str">
            <v/>
          </cell>
          <cell r="F369">
            <v>0</v>
          </cell>
        </row>
        <row r="370">
          <cell r="B370">
            <v>0</v>
          </cell>
          <cell r="D370" t="str">
            <v/>
          </cell>
          <cell r="F370">
            <v>0</v>
          </cell>
        </row>
        <row r="371">
          <cell r="B371">
            <v>0</v>
          </cell>
          <cell r="D371" t="str">
            <v/>
          </cell>
          <cell r="F371">
            <v>0</v>
          </cell>
        </row>
        <row r="372">
          <cell r="B372">
            <v>0</v>
          </cell>
          <cell r="D372" t="str">
            <v/>
          </cell>
          <cell r="F372">
            <v>0</v>
          </cell>
        </row>
        <row r="373">
          <cell r="B373">
            <v>0</v>
          </cell>
          <cell r="D373" t="str">
            <v/>
          </cell>
          <cell r="F373">
            <v>0</v>
          </cell>
        </row>
        <row r="374">
          <cell r="B374">
            <v>0</v>
          </cell>
          <cell r="D374" t="str">
            <v/>
          </cell>
          <cell r="F374">
            <v>0</v>
          </cell>
        </row>
        <row r="375">
          <cell r="B375">
            <v>0</v>
          </cell>
          <cell r="D375" t="str">
            <v/>
          </cell>
          <cell r="F375">
            <v>0</v>
          </cell>
        </row>
        <row r="376">
          <cell r="B376">
            <v>0</v>
          </cell>
          <cell r="D376" t="str">
            <v/>
          </cell>
          <cell r="F376">
            <v>0</v>
          </cell>
        </row>
        <row r="377">
          <cell r="B377">
            <v>0</v>
          </cell>
          <cell r="D377" t="str">
            <v/>
          </cell>
          <cell r="F377">
            <v>0</v>
          </cell>
        </row>
        <row r="378">
          <cell r="B378">
            <v>0</v>
          </cell>
          <cell r="D378" t="str">
            <v/>
          </cell>
          <cell r="F378">
            <v>0</v>
          </cell>
        </row>
        <row r="379">
          <cell r="B379">
            <v>0</v>
          </cell>
          <cell r="D379" t="str">
            <v/>
          </cell>
          <cell r="F379">
            <v>0</v>
          </cell>
        </row>
        <row r="380">
          <cell r="B380">
            <v>0</v>
          </cell>
          <cell r="D380" t="str">
            <v/>
          </cell>
          <cell r="F380">
            <v>0</v>
          </cell>
        </row>
        <row r="381">
          <cell r="B381">
            <v>0</v>
          </cell>
          <cell r="D381" t="str">
            <v/>
          </cell>
          <cell r="F381">
            <v>0</v>
          </cell>
        </row>
        <row r="382">
          <cell r="B382">
            <v>0</v>
          </cell>
          <cell r="D382" t="str">
            <v/>
          </cell>
          <cell r="F382">
            <v>0</v>
          </cell>
        </row>
        <row r="383">
          <cell r="B383">
            <v>0</v>
          </cell>
          <cell r="D383" t="str">
            <v/>
          </cell>
          <cell r="F383">
            <v>0</v>
          </cell>
        </row>
        <row r="384">
          <cell r="B384">
            <v>0</v>
          </cell>
          <cell r="D384" t="str">
            <v/>
          </cell>
          <cell r="F384">
            <v>0</v>
          </cell>
        </row>
        <row r="385">
          <cell r="B385">
            <v>0</v>
          </cell>
          <cell r="D385" t="str">
            <v/>
          </cell>
          <cell r="F385">
            <v>0</v>
          </cell>
        </row>
        <row r="386">
          <cell r="B386">
            <v>0</v>
          </cell>
          <cell r="D386" t="str">
            <v/>
          </cell>
          <cell r="F386">
            <v>0</v>
          </cell>
        </row>
        <row r="387">
          <cell r="B387">
            <v>0</v>
          </cell>
          <cell r="D387" t="str">
            <v/>
          </cell>
          <cell r="F387">
            <v>0</v>
          </cell>
        </row>
        <row r="388">
          <cell r="B388">
            <v>0</v>
          </cell>
          <cell r="D388" t="str">
            <v/>
          </cell>
          <cell r="F388">
            <v>0</v>
          </cell>
        </row>
        <row r="389">
          <cell r="B389">
            <v>0</v>
          </cell>
          <cell r="D389" t="str">
            <v/>
          </cell>
          <cell r="F389">
            <v>0</v>
          </cell>
        </row>
        <row r="390">
          <cell r="B390">
            <v>0</v>
          </cell>
          <cell r="D390" t="str">
            <v/>
          </cell>
          <cell r="F390">
            <v>0</v>
          </cell>
        </row>
        <row r="391">
          <cell r="B391">
            <v>0</v>
          </cell>
          <cell r="D391" t="str">
            <v/>
          </cell>
          <cell r="F391">
            <v>0</v>
          </cell>
        </row>
        <row r="392">
          <cell r="B392">
            <v>0</v>
          </cell>
          <cell r="D392" t="str">
            <v/>
          </cell>
          <cell r="F392">
            <v>0</v>
          </cell>
        </row>
        <row r="393">
          <cell r="B393">
            <v>0</v>
          </cell>
          <cell r="D393" t="str">
            <v/>
          </cell>
          <cell r="F393">
            <v>0</v>
          </cell>
        </row>
        <row r="394">
          <cell r="B394">
            <v>0</v>
          </cell>
          <cell r="D394" t="str">
            <v/>
          </cell>
          <cell r="F394">
            <v>0</v>
          </cell>
        </row>
        <row r="395">
          <cell r="B395">
            <v>0</v>
          </cell>
          <cell r="D395" t="str">
            <v/>
          </cell>
          <cell r="F395">
            <v>0</v>
          </cell>
        </row>
        <row r="396">
          <cell r="B396">
            <v>0</v>
          </cell>
          <cell r="D396" t="str">
            <v/>
          </cell>
          <cell r="F396">
            <v>0</v>
          </cell>
        </row>
        <row r="397">
          <cell r="B397">
            <v>0</v>
          </cell>
          <cell r="D397" t="str">
            <v/>
          </cell>
          <cell r="F397">
            <v>0</v>
          </cell>
        </row>
        <row r="398">
          <cell r="B398">
            <v>0</v>
          </cell>
          <cell r="D398" t="str">
            <v/>
          </cell>
          <cell r="F398">
            <v>0</v>
          </cell>
        </row>
        <row r="399">
          <cell r="B399">
            <v>0</v>
          </cell>
          <cell r="D399" t="str">
            <v/>
          </cell>
          <cell r="F399">
            <v>0</v>
          </cell>
        </row>
        <row r="400">
          <cell r="B400">
            <v>0</v>
          </cell>
          <cell r="D400" t="str">
            <v/>
          </cell>
          <cell r="F400">
            <v>0</v>
          </cell>
        </row>
        <row r="401">
          <cell r="B401">
            <v>0</v>
          </cell>
          <cell r="D401" t="str">
            <v/>
          </cell>
          <cell r="F401">
            <v>0</v>
          </cell>
        </row>
        <row r="402">
          <cell r="B402">
            <v>0</v>
          </cell>
          <cell r="D402" t="str">
            <v/>
          </cell>
          <cell r="F402">
            <v>0</v>
          </cell>
        </row>
        <row r="403">
          <cell r="B403">
            <v>0</v>
          </cell>
          <cell r="D403" t="str">
            <v/>
          </cell>
          <cell r="F403">
            <v>0</v>
          </cell>
        </row>
        <row r="404">
          <cell r="B404">
            <v>0</v>
          </cell>
          <cell r="D404" t="str">
            <v/>
          </cell>
          <cell r="F404">
            <v>0</v>
          </cell>
        </row>
        <row r="405">
          <cell r="B405">
            <v>0</v>
          </cell>
          <cell r="D405" t="str">
            <v/>
          </cell>
          <cell r="F405">
            <v>0</v>
          </cell>
        </row>
        <row r="406">
          <cell r="B406">
            <v>0</v>
          </cell>
          <cell r="D406" t="str">
            <v/>
          </cell>
          <cell r="F406">
            <v>0</v>
          </cell>
        </row>
        <row r="407">
          <cell r="B407">
            <v>0</v>
          </cell>
          <cell r="D407" t="str">
            <v/>
          </cell>
          <cell r="F407">
            <v>0</v>
          </cell>
        </row>
        <row r="408">
          <cell r="B408">
            <v>0</v>
          </cell>
          <cell r="D408" t="str">
            <v/>
          </cell>
          <cell r="F408">
            <v>0</v>
          </cell>
        </row>
        <row r="409">
          <cell r="B409">
            <v>0</v>
          </cell>
          <cell r="D409" t="str">
            <v/>
          </cell>
          <cell r="F409">
            <v>0</v>
          </cell>
        </row>
        <row r="410">
          <cell r="B410">
            <v>0</v>
          </cell>
          <cell r="D410" t="str">
            <v/>
          </cell>
          <cell r="F410">
            <v>0</v>
          </cell>
        </row>
        <row r="411">
          <cell r="B411">
            <v>0</v>
          </cell>
          <cell r="D411" t="str">
            <v/>
          </cell>
          <cell r="F411">
            <v>0</v>
          </cell>
        </row>
        <row r="412">
          <cell r="B412">
            <v>0</v>
          </cell>
          <cell r="D412" t="str">
            <v/>
          </cell>
          <cell r="F412">
            <v>0</v>
          </cell>
        </row>
        <row r="413">
          <cell r="B413">
            <v>0</v>
          </cell>
          <cell r="D413" t="str">
            <v/>
          </cell>
          <cell r="F413">
            <v>0</v>
          </cell>
        </row>
        <row r="414">
          <cell r="B414">
            <v>0</v>
          </cell>
          <cell r="D414" t="str">
            <v/>
          </cell>
          <cell r="F414">
            <v>0</v>
          </cell>
        </row>
        <row r="415">
          <cell r="B415">
            <v>0</v>
          </cell>
          <cell r="D415" t="str">
            <v/>
          </cell>
          <cell r="F415">
            <v>0</v>
          </cell>
        </row>
        <row r="416">
          <cell r="B416">
            <v>0</v>
          </cell>
          <cell r="D416" t="str">
            <v/>
          </cell>
          <cell r="F416">
            <v>0</v>
          </cell>
        </row>
        <row r="417">
          <cell r="B417">
            <v>0</v>
          </cell>
          <cell r="D417" t="str">
            <v/>
          </cell>
          <cell r="F417">
            <v>0</v>
          </cell>
        </row>
        <row r="418">
          <cell r="B418">
            <v>0</v>
          </cell>
          <cell r="D418" t="str">
            <v/>
          </cell>
          <cell r="F418">
            <v>0</v>
          </cell>
        </row>
        <row r="419">
          <cell r="B419">
            <v>0</v>
          </cell>
          <cell r="D419" t="str">
            <v/>
          </cell>
          <cell r="F419">
            <v>0</v>
          </cell>
        </row>
        <row r="420">
          <cell r="B420">
            <v>0</v>
          </cell>
          <cell r="D420" t="str">
            <v/>
          </cell>
          <cell r="F420">
            <v>0</v>
          </cell>
        </row>
        <row r="421">
          <cell r="B421">
            <v>0</v>
          </cell>
          <cell r="D421" t="str">
            <v/>
          </cell>
          <cell r="F421">
            <v>0</v>
          </cell>
        </row>
        <row r="422">
          <cell r="B422">
            <v>0</v>
          </cell>
          <cell r="D422" t="str">
            <v/>
          </cell>
          <cell r="F422">
            <v>0</v>
          </cell>
        </row>
        <row r="423">
          <cell r="B423">
            <v>0</v>
          </cell>
          <cell r="D423" t="str">
            <v/>
          </cell>
          <cell r="F423">
            <v>0</v>
          </cell>
        </row>
        <row r="424">
          <cell r="B424">
            <v>0</v>
          </cell>
          <cell r="D424" t="str">
            <v/>
          </cell>
          <cell r="F424">
            <v>0</v>
          </cell>
        </row>
        <row r="425">
          <cell r="B425">
            <v>0</v>
          </cell>
          <cell r="D425" t="str">
            <v/>
          </cell>
          <cell r="F425">
            <v>0</v>
          </cell>
        </row>
        <row r="426">
          <cell r="B426">
            <v>0</v>
          </cell>
          <cell r="D426" t="str">
            <v/>
          </cell>
          <cell r="F426">
            <v>0</v>
          </cell>
        </row>
        <row r="427">
          <cell r="B427">
            <v>0</v>
          </cell>
          <cell r="D427" t="str">
            <v/>
          </cell>
          <cell r="F427">
            <v>0</v>
          </cell>
        </row>
        <row r="428">
          <cell r="B428">
            <v>0</v>
          </cell>
          <cell r="D428" t="str">
            <v/>
          </cell>
          <cell r="F428">
            <v>0</v>
          </cell>
        </row>
        <row r="429">
          <cell r="B429">
            <v>0</v>
          </cell>
          <cell r="D429" t="str">
            <v/>
          </cell>
          <cell r="F429">
            <v>0</v>
          </cell>
        </row>
        <row r="430">
          <cell r="B430">
            <v>0</v>
          </cell>
          <cell r="D430" t="str">
            <v/>
          </cell>
          <cell r="F430">
            <v>0</v>
          </cell>
        </row>
        <row r="431">
          <cell r="B431">
            <v>0</v>
          </cell>
          <cell r="D431" t="str">
            <v/>
          </cell>
          <cell r="F431">
            <v>0</v>
          </cell>
        </row>
        <row r="432">
          <cell r="B432">
            <v>0</v>
          </cell>
          <cell r="D432" t="str">
            <v/>
          </cell>
          <cell r="F432">
            <v>0</v>
          </cell>
        </row>
        <row r="433">
          <cell r="B433">
            <v>0</v>
          </cell>
          <cell r="D433" t="str">
            <v/>
          </cell>
          <cell r="F433">
            <v>0</v>
          </cell>
        </row>
        <row r="434">
          <cell r="B434">
            <v>0</v>
          </cell>
          <cell r="D434" t="str">
            <v/>
          </cell>
          <cell r="F434">
            <v>0</v>
          </cell>
        </row>
        <row r="435">
          <cell r="B435">
            <v>0</v>
          </cell>
          <cell r="D435" t="str">
            <v/>
          </cell>
          <cell r="F435">
            <v>0</v>
          </cell>
        </row>
        <row r="436">
          <cell r="B436">
            <v>0</v>
          </cell>
          <cell r="D436" t="str">
            <v/>
          </cell>
          <cell r="F436">
            <v>0</v>
          </cell>
        </row>
        <row r="437">
          <cell r="B437">
            <v>0</v>
          </cell>
          <cell r="D437" t="str">
            <v/>
          </cell>
          <cell r="F437">
            <v>0</v>
          </cell>
        </row>
        <row r="438">
          <cell r="B438">
            <v>0</v>
          </cell>
          <cell r="D438" t="str">
            <v/>
          </cell>
          <cell r="F438">
            <v>0</v>
          </cell>
        </row>
        <row r="439">
          <cell r="B439">
            <v>0</v>
          </cell>
          <cell r="D439" t="str">
            <v/>
          </cell>
          <cell r="F439">
            <v>0</v>
          </cell>
        </row>
        <row r="440">
          <cell r="B440">
            <v>0</v>
          </cell>
          <cell r="D440" t="str">
            <v/>
          </cell>
          <cell r="F440">
            <v>0</v>
          </cell>
        </row>
        <row r="441">
          <cell r="B441">
            <v>0</v>
          </cell>
          <cell r="D441" t="str">
            <v/>
          </cell>
          <cell r="F441">
            <v>0</v>
          </cell>
        </row>
        <row r="442">
          <cell r="B442">
            <v>0</v>
          </cell>
          <cell r="D442" t="str">
            <v/>
          </cell>
          <cell r="F442">
            <v>0</v>
          </cell>
        </row>
        <row r="443">
          <cell r="B443">
            <v>0</v>
          </cell>
          <cell r="D443" t="str">
            <v/>
          </cell>
          <cell r="F443">
            <v>0</v>
          </cell>
        </row>
        <row r="444">
          <cell r="B444">
            <v>0</v>
          </cell>
          <cell r="D444" t="str">
            <v/>
          </cell>
          <cell r="F444">
            <v>0</v>
          </cell>
        </row>
        <row r="445">
          <cell r="B445">
            <v>0</v>
          </cell>
          <cell r="D445" t="str">
            <v/>
          </cell>
          <cell r="F445">
            <v>0</v>
          </cell>
        </row>
        <row r="446">
          <cell r="B446">
            <v>0</v>
          </cell>
          <cell r="D446" t="str">
            <v/>
          </cell>
          <cell r="F446">
            <v>0</v>
          </cell>
        </row>
        <row r="447">
          <cell r="B447">
            <v>0</v>
          </cell>
          <cell r="D447" t="str">
            <v/>
          </cell>
          <cell r="F447">
            <v>0</v>
          </cell>
        </row>
        <row r="448">
          <cell r="B448">
            <v>0</v>
          </cell>
          <cell r="D448" t="str">
            <v/>
          </cell>
          <cell r="F448">
            <v>0</v>
          </cell>
        </row>
        <row r="449">
          <cell r="B449">
            <v>0</v>
          </cell>
          <cell r="D449" t="str">
            <v/>
          </cell>
          <cell r="F449">
            <v>0</v>
          </cell>
        </row>
        <row r="450">
          <cell r="B450">
            <v>0</v>
          </cell>
          <cell r="D450" t="str">
            <v/>
          </cell>
          <cell r="F450">
            <v>0</v>
          </cell>
        </row>
        <row r="451">
          <cell r="B451">
            <v>0</v>
          </cell>
          <cell r="D451" t="str">
            <v/>
          </cell>
          <cell r="F451">
            <v>0</v>
          </cell>
        </row>
        <row r="452">
          <cell r="B452">
            <v>0</v>
          </cell>
          <cell r="D452" t="str">
            <v/>
          </cell>
          <cell r="F452">
            <v>0</v>
          </cell>
        </row>
        <row r="453">
          <cell r="B453">
            <v>0</v>
          </cell>
          <cell r="D453" t="str">
            <v/>
          </cell>
          <cell r="F453">
            <v>0</v>
          </cell>
        </row>
        <row r="454">
          <cell r="B454">
            <v>0</v>
          </cell>
          <cell r="D454" t="str">
            <v/>
          </cell>
          <cell r="F454">
            <v>0</v>
          </cell>
        </row>
        <row r="455">
          <cell r="B455">
            <v>0</v>
          </cell>
          <cell r="D455" t="str">
            <v/>
          </cell>
          <cell r="F455">
            <v>0</v>
          </cell>
        </row>
        <row r="456">
          <cell r="B456">
            <v>0</v>
          </cell>
          <cell r="D456" t="str">
            <v/>
          </cell>
          <cell r="F456">
            <v>0</v>
          </cell>
        </row>
        <row r="457">
          <cell r="B457">
            <v>0</v>
          </cell>
          <cell r="D457" t="str">
            <v/>
          </cell>
          <cell r="F457">
            <v>0</v>
          </cell>
        </row>
        <row r="458">
          <cell r="B458">
            <v>0</v>
          </cell>
          <cell r="D458" t="str">
            <v/>
          </cell>
          <cell r="F458">
            <v>0</v>
          </cell>
        </row>
        <row r="459">
          <cell r="B459">
            <v>0</v>
          </cell>
          <cell r="D459" t="str">
            <v/>
          </cell>
          <cell r="F459">
            <v>0</v>
          </cell>
        </row>
        <row r="460">
          <cell r="B460">
            <v>0</v>
          </cell>
          <cell r="D460" t="str">
            <v/>
          </cell>
          <cell r="F460">
            <v>0</v>
          </cell>
        </row>
        <row r="461">
          <cell r="B461">
            <v>0</v>
          </cell>
          <cell r="D461" t="str">
            <v/>
          </cell>
          <cell r="F461">
            <v>0</v>
          </cell>
        </row>
        <row r="462">
          <cell r="B462">
            <v>0</v>
          </cell>
          <cell r="D462" t="str">
            <v/>
          </cell>
          <cell r="F462">
            <v>0</v>
          </cell>
        </row>
        <row r="463">
          <cell r="B463">
            <v>0</v>
          </cell>
          <cell r="D463" t="str">
            <v/>
          </cell>
          <cell r="F463">
            <v>0</v>
          </cell>
        </row>
        <row r="464">
          <cell r="B464">
            <v>0</v>
          </cell>
          <cell r="D464" t="str">
            <v/>
          </cell>
          <cell r="F464">
            <v>0</v>
          </cell>
        </row>
        <row r="465">
          <cell r="B465">
            <v>0</v>
          </cell>
          <cell r="D465" t="str">
            <v/>
          </cell>
          <cell r="F465">
            <v>0</v>
          </cell>
        </row>
        <row r="466">
          <cell r="B466">
            <v>0</v>
          </cell>
          <cell r="D466" t="str">
            <v/>
          </cell>
          <cell r="F466">
            <v>0</v>
          </cell>
        </row>
        <row r="467">
          <cell r="B467">
            <v>0</v>
          </cell>
          <cell r="D467" t="str">
            <v/>
          </cell>
          <cell r="F467">
            <v>0</v>
          </cell>
        </row>
        <row r="468">
          <cell r="B468">
            <v>0</v>
          </cell>
          <cell r="D468" t="str">
            <v/>
          </cell>
          <cell r="F468">
            <v>0</v>
          </cell>
        </row>
        <row r="469">
          <cell r="B469">
            <v>0</v>
          </cell>
          <cell r="D469" t="str">
            <v/>
          </cell>
          <cell r="F469">
            <v>0</v>
          </cell>
        </row>
        <row r="470">
          <cell r="B470">
            <v>0</v>
          </cell>
          <cell r="D470" t="str">
            <v/>
          </cell>
          <cell r="F470">
            <v>0</v>
          </cell>
        </row>
        <row r="471">
          <cell r="B471">
            <v>0</v>
          </cell>
          <cell r="D471" t="str">
            <v/>
          </cell>
          <cell r="F471">
            <v>0</v>
          </cell>
        </row>
        <row r="472">
          <cell r="B472">
            <v>0</v>
          </cell>
          <cell r="D472" t="str">
            <v/>
          </cell>
          <cell r="F472">
            <v>0</v>
          </cell>
        </row>
        <row r="473">
          <cell r="B473">
            <v>0</v>
          </cell>
          <cell r="D473" t="str">
            <v/>
          </cell>
          <cell r="F473">
            <v>0</v>
          </cell>
        </row>
        <row r="474">
          <cell r="B474">
            <v>0</v>
          </cell>
          <cell r="D474" t="str">
            <v/>
          </cell>
          <cell r="F474">
            <v>0</v>
          </cell>
        </row>
        <row r="475">
          <cell r="B475">
            <v>0</v>
          </cell>
          <cell r="D475" t="str">
            <v/>
          </cell>
          <cell r="F475">
            <v>0</v>
          </cell>
        </row>
        <row r="476">
          <cell r="B476">
            <v>0</v>
          </cell>
          <cell r="D476" t="str">
            <v/>
          </cell>
          <cell r="F476">
            <v>0</v>
          </cell>
        </row>
        <row r="477">
          <cell r="B477">
            <v>0</v>
          </cell>
          <cell r="D477" t="str">
            <v/>
          </cell>
          <cell r="F477">
            <v>0</v>
          </cell>
        </row>
        <row r="478">
          <cell r="B478">
            <v>0</v>
          </cell>
          <cell r="D478" t="str">
            <v/>
          </cell>
          <cell r="F478">
            <v>0</v>
          </cell>
        </row>
        <row r="479">
          <cell r="B479">
            <v>0</v>
          </cell>
          <cell r="D479" t="str">
            <v/>
          </cell>
          <cell r="F479">
            <v>0</v>
          </cell>
        </row>
        <row r="480">
          <cell r="B480">
            <v>0</v>
          </cell>
          <cell r="D480" t="str">
            <v/>
          </cell>
          <cell r="F480">
            <v>0</v>
          </cell>
        </row>
        <row r="481">
          <cell r="B481">
            <v>0</v>
          </cell>
          <cell r="D481" t="str">
            <v/>
          </cell>
          <cell r="F481">
            <v>0</v>
          </cell>
        </row>
        <row r="482">
          <cell r="B482">
            <v>0</v>
          </cell>
          <cell r="D482" t="str">
            <v/>
          </cell>
          <cell r="F482">
            <v>0</v>
          </cell>
        </row>
        <row r="483">
          <cell r="B483">
            <v>0</v>
          </cell>
          <cell r="D483" t="str">
            <v/>
          </cell>
          <cell r="F483">
            <v>0</v>
          </cell>
        </row>
        <row r="484">
          <cell r="B484">
            <v>0</v>
          </cell>
          <cell r="D484" t="str">
            <v/>
          </cell>
          <cell r="F484">
            <v>0</v>
          </cell>
        </row>
        <row r="485">
          <cell r="B485">
            <v>0</v>
          </cell>
          <cell r="D485" t="str">
            <v/>
          </cell>
          <cell r="F485">
            <v>0</v>
          </cell>
        </row>
        <row r="486">
          <cell r="B486">
            <v>0</v>
          </cell>
          <cell r="D486" t="str">
            <v/>
          </cell>
          <cell r="F486">
            <v>0</v>
          </cell>
        </row>
        <row r="487">
          <cell r="B487">
            <v>0</v>
          </cell>
          <cell r="D487" t="str">
            <v/>
          </cell>
          <cell r="F487">
            <v>0</v>
          </cell>
        </row>
        <row r="488">
          <cell r="B488">
            <v>0</v>
          </cell>
          <cell r="D488" t="str">
            <v/>
          </cell>
          <cell r="F488">
            <v>0</v>
          </cell>
        </row>
        <row r="489">
          <cell r="B489">
            <v>0</v>
          </cell>
          <cell r="D489" t="str">
            <v/>
          </cell>
          <cell r="F489">
            <v>0</v>
          </cell>
        </row>
        <row r="490">
          <cell r="B490">
            <v>0</v>
          </cell>
          <cell r="D490" t="str">
            <v/>
          </cell>
          <cell r="F490">
            <v>0</v>
          </cell>
        </row>
        <row r="491">
          <cell r="B491">
            <v>0</v>
          </cell>
          <cell r="D491" t="str">
            <v/>
          </cell>
          <cell r="F491">
            <v>0</v>
          </cell>
        </row>
        <row r="492">
          <cell r="B492">
            <v>0</v>
          </cell>
          <cell r="D492" t="str">
            <v/>
          </cell>
          <cell r="F492">
            <v>0</v>
          </cell>
        </row>
        <row r="493">
          <cell r="B493">
            <v>0</v>
          </cell>
          <cell r="D493" t="str">
            <v/>
          </cell>
          <cell r="F493">
            <v>0</v>
          </cell>
        </row>
        <row r="494">
          <cell r="B494">
            <v>0</v>
          </cell>
          <cell r="D494" t="str">
            <v/>
          </cell>
          <cell r="F494">
            <v>0</v>
          </cell>
        </row>
        <row r="495">
          <cell r="B495">
            <v>0</v>
          </cell>
          <cell r="D495" t="str">
            <v/>
          </cell>
          <cell r="F495">
            <v>0</v>
          </cell>
        </row>
        <row r="496">
          <cell r="B496">
            <v>0</v>
          </cell>
          <cell r="D496" t="str">
            <v/>
          </cell>
          <cell r="F496">
            <v>0</v>
          </cell>
        </row>
        <row r="497">
          <cell r="B497">
            <v>0</v>
          </cell>
          <cell r="D497" t="str">
            <v/>
          </cell>
          <cell r="F497">
            <v>0</v>
          </cell>
        </row>
        <row r="498">
          <cell r="B498">
            <v>0</v>
          </cell>
          <cell r="D498" t="str">
            <v/>
          </cell>
          <cell r="F498">
            <v>0</v>
          </cell>
        </row>
        <row r="499">
          <cell r="B499">
            <v>0</v>
          </cell>
          <cell r="D499" t="str">
            <v/>
          </cell>
          <cell r="F499">
            <v>0</v>
          </cell>
        </row>
        <row r="500">
          <cell r="B500">
            <v>0</v>
          </cell>
          <cell r="D500" t="str">
            <v/>
          </cell>
          <cell r="F500">
            <v>0</v>
          </cell>
        </row>
        <row r="501">
          <cell r="B501">
            <v>0</v>
          </cell>
          <cell r="D501" t="str">
            <v/>
          </cell>
          <cell r="F501">
            <v>0</v>
          </cell>
        </row>
        <row r="502">
          <cell r="B502">
            <v>0</v>
          </cell>
          <cell r="D502" t="str">
            <v/>
          </cell>
          <cell r="F502">
            <v>0</v>
          </cell>
        </row>
        <row r="503">
          <cell r="B503">
            <v>0</v>
          </cell>
          <cell r="D503" t="str">
            <v/>
          </cell>
          <cell r="F503">
            <v>0</v>
          </cell>
        </row>
        <row r="504">
          <cell r="B504">
            <v>0</v>
          </cell>
          <cell r="D504" t="str">
            <v/>
          </cell>
          <cell r="F504">
            <v>0</v>
          </cell>
        </row>
        <row r="505">
          <cell r="B505">
            <v>0</v>
          </cell>
          <cell r="D505" t="str">
            <v/>
          </cell>
          <cell r="F505">
            <v>0</v>
          </cell>
        </row>
        <row r="506">
          <cell r="B506">
            <v>0</v>
          </cell>
          <cell r="D506" t="str">
            <v/>
          </cell>
          <cell r="F506">
            <v>0</v>
          </cell>
        </row>
        <row r="507">
          <cell r="B507">
            <v>0</v>
          </cell>
          <cell r="D507" t="str">
            <v/>
          </cell>
          <cell r="F507">
            <v>0</v>
          </cell>
        </row>
        <row r="508">
          <cell r="B508">
            <v>0</v>
          </cell>
          <cell r="D508" t="str">
            <v/>
          </cell>
          <cell r="F508">
            <v>0</v>
          </cell>
        </row>
        <row r="509">
          <cell r="B509">
            <v>0</v>
          </cell>
          <cell r="D509" t="str">
            <v/>
          </cell>
          <cell r="F509">
            <v>0</v>
          </cell>
        </row>
        <row r="510">
          <cell r="B510">
            <v>0</v>
          </cell>
          <cell r="D510" t="str">
            <v/>
          </cell>
          <cell r="F510">
            <v>0</v>
          </cell>
        </row>
        <row r="511">
          <cell r="B511">
            <v>0</v>
          </cell>
          <cell r="D511" t="str">
            <v/>
          </cell>
          <cell r="F511">
            <v>0</v>
          </cell>
        </row>
        <row r="512">
          <cell r="B512">
            <v>0</v>
          </cell>
          <cell r="D512" t="str">
            <v/>
          </cell>
          <cell r="F512">
            <v>0</v>
          </cell>
        </row>
        <row r="513">
          <cell r="B513">
            <v>0</v>
          </cell>
          <cell r="D513" t="str">
            <v/>
          </cell>
          <cell r="F513">
            <v>0</v>
          </cell>
        </row>
        <row r="514">
          <cell r="B514">
            <v>0</v>
          </cell>
          <cell r="D514" t="str">
            <v/>
          </cell>
          <cell r="F514">
            <v>0</v>
          </cell>
        </row>
        <row r="515">
          <cell r="B515">
            <v>0</v>
          </cell>
          <cell r="D515" t="str">
            <v/>
          </cell>
          <cell r="F515">
            <v>0</v>
          </cell>
        </row>
        <row r="516">
          <cell r="B516">
            <v>0</v>
          </cell>
          <cell r="D516" t="str">
            <v/>
          </cell>
          <cell r="F516">
            <v>0</v>
          </cell>
        </row>
        <row r="517">
          <cell r="B517">
            <v>0</v>
          </cell>
          <cell r="D517" t="str">
            <v/>
          </cell>
          <cell r="F517">
            <v>0</v>
          </cell>
        </row>
        <row r="518">
          <cell r="B518">
            <v>0</v>
          </cell>
          <cell r="D518" t="str">
            <v/>
          </cell>
          <cell r="F518">
            <v>0</v>
          </cell>
        </row>
        <row r="519">
          <cell r="B519">
            <v>0</v>
          </cell>
          <cell r="D519" t="str">
            <v/>
          </cell>
          <cell r="F519">
            <v>0</v>
          </cell>
        </row>
        <row r="520">
          <cell r="B520">
            <v>0</v>
          </cell>
          <cell r="D520" t="str">
            <v/>
          </cell>
          <cell r="F520">
            <v>0</v>
          </cell>
        </row>
        <row r="521">
          <cell r="B521">
            <v>0</v>
          </cell>
          <cell r="D521" t="str">
            <v/>
          </cell>
          <cell r="F521">
            <v>0</v>
          </cell>
        </row>
        <row r="522">
          <cell r="B522">
            <v>0</v>
          </cell>
          <cell r="D522" t="str">
            <v/>
          </cell>
          <cell r="F522">
            <v>0</v>
          </cell>
        </row>
        <row r="523">
          <cell r="B523">
            <v>0</v>
          </cell>
          <cell r="D523" t="str">
            <v/>
          </cell>
          <cell r="F523">
            <v>0</v>
          </cell>
        </row>
        <row r="524">
          <cell r="B524">
            <v>0</v>
          </cell>
          <cell r="D524" t="str">
            <v/>
          </cell>
          <cell r="F524">
            <v>0</v>
          </cell>
        </row>
        <row r="525">
          <cell r="B525">
            <v>0</v>
          </cell>
          <cell r="D525" t="str">
            <v/>
          </cell>
          <cell r="F525">
            <v>0</v>
          </cell>
        </row>
        <row r="526">
          <cell r="B526">
            <v>0</v>
          </cell>
          <cell r="D526" t="str">
            <v/>
          </cell>
          <cell r="F526">
            <v>0</v>
          </cell>
        </row>
        <row r="527">
          <cell r="B527">
            <v>0</v>
          </cell>
          <cell r="D527" t="str">
            <v/>
          </cell>
          <cell r="F527">
            <v>0</v>
          </cell>
        </row>
        <row r="528">
          <cell r="B528">
            <v>0</v>
          </cell>
          <cell r="D528" t="str">
            <v/>
          </cell>
          <cell r="F528">
            <v>0</v>
          </cell>
        </row>
        <row r="529">
          <cell r="B529">
            <v>0</v>
          </cell>
          <cell r="D529" t="str">
            <v/>
          </cell>
          <cell r="F529">
            <v>0</v>
          </cell>
        </row>
        <row r="530">
          <cell r="B530">
            <v>0</v>
          </cell>
          <cell r="D530" t="str">
            <v/>
          </cell>
          <cell r="F530">
            <v>0</v>
          </cell>
        </row>
        <row r="531">
          <cell r="B531">
            <v>0</v>
          </cell>
          <cell r="D531" t="str">
            <v/>
          </cell>
          <cell r="F531">
            <v>0</v>
          </cell>
        </row>
        <row r="532">
          <cell r="B532">
            <v>0</v>
          </cell>
          <cell r="D532" t="str">
            <v/>
          </cell>
          <cell r="F532">
            <v>0</v>
          </cell>
        </row>
        <row r="533">
          <cell r="B533">
            <v>0</v>
          </cell>
          <cell r="D533" t="str">
            <v/>
          </cell>
          <cell r="F533">
            <v>0</v>
          </cell>
        </row>
        <row r="534">
          <cell r="B534">
            <v>0</v>
          </cell>
          <cell r="D534" t="str">
            <v/>
          </cell>
          <cell r="F534">
            <v>0</v>
          </cell>
        </row>
        <row r="535">
          <cell r="B535">
            <v>0</v>
          </cell>
          <cell r="D535" t="str">
            <v/>
          </cell>
          <cell r="F535">
            <v>0</v>
          </cell>
        </row>
        <row r="536">
          <cell r="B536">
            <v>0</v>
          </cell>
          <cell r="D536" t="str">
            <v/>
          </cell>
          <cell r="F536">
            <v>0</v>
          </cell>
        </row>
        <row r="537">
          <cell r="B537">
            <v>0</v>
          </cell>
          <cell r="D537" t="str">
            <v/>
          </cell>
          <cell r="F537">
            <v>0</v>
          </cell>
        </row>
        <row r="538">
          <cell r="B538">
            <v>0</v>
          </cell>
          <cell r="D538" t="str">
            <v/>
          </cell>
          <cell r="F538">
            <v>0</v>
          </cell>
        </row>
        <row r="539">
          <cell r="B539">
            <v>0</v>
          </cell>
          <cell r="D539" t="str">
            <v/>
          </cell>
          <cell r="F539">
            <v>0</v>
          </cell>
        </row>
        <row r="540">
          <cell r="B540">
            <v>0</v>
          </cell>
          <cell r="D540" t="str">
            <v/>
          </cell>
          <cell r="F540">
            <v>0</v>
          </cell>
        </row>
        <row r="541">
          <cell r="B541">
            <v>0</v>
          </cell>
          <cell r="D541" t="str">
            <v/>
          </cell>
          <cell r="F541">
            <v>0</v>
          </cell>
        </row>
        <row r="542">
          <cell r="B542">
            <v>0</v>
          </cell>
          <cell r="D542" t="str">
            <v/>
          </cell>
          <cell r="F542">
            <v>0</v>
          </cell>
        </row>
        <row r="543">
          <cell r="B543">
            <v>0</v>
          </cell>
          <cell r="D543" t="str">
            <v/>
          </cell>
          <cell r="F543">
            <v>0</v>
          </cell>
        </row>
        <row r="544">
          <cell r="B544">
            <v>0</v>
          </cell>
          <cell r="D544" t="str">
            <v/>
          </cell>
          <cell r="F544">
            <v>0</v>
          </cell>
        </row>
        <row r="545">
          <cell r="B545">
            <v>0</v>
          </cell>
          <cell r="D545" t="str">
            <v/>
          </cell>
          <cell r="F545">
            <v>0</v>
          </cell>
        </row>
        <row r="546">
          <cell r="B546">
            <v>0</v>
          </cell>
          <cell r="D546" t="str">
            <v/>
          </cell>
          <cell r="F546">
            <v>0</v>
          </cell>
        </row>
        <row r="547">
          <cell r="B547">
            <v>0</v>
          </cell>
          <cell r="D547" t="str">
            <v/>
          </cell>
          <cell r="F547">
            <v>0</v>
          </cell>
        </row>
        <row r="548">
          <cell r="B548">
            <v>0</v>
          </cell>
          <cell r="D548" t="str">
            <v/>
          </cell>
          <cell r="F548">
            <v>0</v>
          </cell>
        </row>
        <row r="549">
          <cell r="B549">
            <v>0</v>
          </cell>
          <cell r="D549" t="str">
            <v/>
          </cell>
          <cell r="F549">
            <v>0</v>
          </cell>
        </row>
        <row r="550">
          <cell r="B550">
            <v>0</v>
          </cell>
          <cell r="D550" t="str">
            <v/>
          </cell>
          <cell r="F550">
            <v>0</v>
          </cell>
        </row>
        <row r="551">
          <cell r="B551">
            <v>0</v>
          </cell>
          <cell r="D551" t="str">
            <v/>
          </cell>
          <cell r="F551">
            <v>0</v>
          </cell>
        </row>
        <row r="552">
          <cell r="B552">
            <v>0</v>
          </cell>
          <cell r="D552" t="str">
            <v/>
          </cell>
          <cell r="F552">
            <v>0</v>
          </cell>
        </row>
        <row r="553">
          <cell r="B553">
            <v>0</v>
          </cell>
          <cell r="D553" t="str">
            <v/>
          </cell>
          <cell r="F553">
            <v>0</v>
          </cell>
        </row>
        <row r="554">
          <cell r="B554">
            <v>0</v>
          </cell>
          <cell r="D554" t="str">
            <v/>
          </cell>
          <cell r="F554">
            <v>0</v>
          </cell>
        </row>
        <row r="555">
          <cell r="B555">
            <v>0</v>
          </cell>
          <cell r="D555" t="str">
            <v/>
          </cell>
          <cell r="F555">
            <v>0</v>
          </cell>
        </row>
        <row r="556">
          <cell r="B556">
            <v>0</v>
          </cell>
          <cell r="D556" t="str">
            <v/>
          </cell>
          <cell r="F556">
            <v>0</v>
          </cell>
        </row>
        <row r="557">
          <cell r="B557">
            <v>0</v>
          </cell>
          <cell r="D557" t="str">
            <v/>
          </cell>
          <cell r="F557">
            <v>0</v>
          </cell>
        </row>
        <row r="558">
          <cell r="B558">
            <v>0</v>
          </cell>
          <cell r="D558" t="str">
            <v/>
          </cell>
          <cell r="F558">
            <v>0</v>
          </cell>
        </row>
        <row r="559">
          <cell r="B559">
            <v>0</v>
          </cell>
          <cell r="D559" t="str">
            <v/>
          </cell>
          <cell r="F559">
            <v>0</v>
          </cell>
        </row>
        <row r="560">
          <cell r="B560">
            <v>0</v>
          </cell>
          <cell r="D560" t="str">
            <v/>
          </cell>
          <cell r="F560">
            <v>0</v>
          </cell>
        </row>
        <row r="561">
          <cell r="B561">
            <v>0</v>
          </cell>
          <cell r="D561" t="str">
            <v/>
          </cell>
          <cell r="F561">
            <v>0</v>
          </cell>
        </row>
        <row r="562">
          <cell r="B562">
            <v>0</v>
          </cell>
          <cell r="D562" t="str">
            <v/>
          </cell>
          <cell r="F562">
            <v>0</v>
          </cell>
        </row>
        <row r="563">
          <cell r="B563">
            <v>0</v>
          </cell>
          <cell r="D563" t="str">
            <v/>
          </cell>
          <cell r="F563">
            <v>0</v>
          </cell>
        </row>
        <row r="564">
          <cell r="B564">
            <v>0</v>
          </cell>
          <cell r="D564" t="str">
            <v/>
          </cell>
          <cell r="F564">
            <v>0</v>
          </cell>
        </row>
        <row r="565">
          <cell r="B565">
            <v>0</v>
          </cell>
          <cell r="D565" t="str">
            <v/>
          </cell>
          <cell r="F565">
            <v>0</v>
          </cell>
        </row>
        <row r="566">
          <cell r="B566">
            <v>0</v>
          </cell>
          <cell r="D566" t="str">
            <v/>
          </cell>
          <cell r="F566">
            <v>0</v>
          </cell>
        </row>
        <row r="567">
          <cell r="B567">
            <v>0</v>
          </cell>
          <cell r="D567" t="str">
            <v/>
          </cell>
          <cell r="F567">
            <v>0</v>
          </cell>
        </row>
        <row r="568">
          <cell r="B568">
            <v>0</v>
          </cell>
          <cell r="D568" t="str">
            <v/>
          </cell>
          <cell r="F568">
            <v>0</v>
          </cell>
        </row>
        <row r="569">
          <cell r="B569">
            <v>0</v>
          </cell>
          <cell r="D569" t="str">
            <v/>
          </cell>
          <cell r="F569">
            <v>0</v>
          </cell>
        </row>
        <row r="570">
          <cell r="B570">
            <v>0</v>
          </cell>
          <cell r="D570" t="str">
            <v/>
          </cell>
          <cell r="F570">
            <v>0</v>
          </cell>
        </row>
        <row r="571">
          <cell r="B571">
            <v>0</v>
          </cell>
          <cell r="D571" t="str">
            <v/>
          </cell>
          <cell r="F571">
            <v>0</v>
          </cell>
        </row>
        <row r="572">
          <cell r="B572">
            <v>0</v>
          </cell>
          <cell r="D572" t="str">
            <v/>
          </cell>
          <cell r="F572">
            <v>0</v>
          </cell>
        </row>
        <row r="573">
          <cell r="B573">
            <v>0</v>
          </cell>
          <cell r="D573" t="str">
            <v/>
          </cell>
          <cell r="F573">
            <v>0</v>
          </cell>
        </row>
        <row r="574">
          <cell r="B574">
            <v>0</v>
          </cell>
          <cell r="D574" t="str">
            <v/>
          </cell>
          <cell r="F574">
            <v>0</v>
          </cell>
        </row>
        <row r="575">
          <cell r="B575">
            <v>0</v>
          </cell>
          <cell r="D575" t="str">
            <v/>
          </cell>
          <cell r="F575">
            <v>0</v>
          </cell>
        </row>
        <row r="576">
          <cell r="B576">
            <v>0</v>
          </cell>
          <cell r="D576" t="str">
            <v/>
          </cell>
          <cell r="F576">
            <v>0</v>
          </cell>
        </row>
        <row r="577">
          <cell r="B577">
            <v>0</v>
          </cell>
          <cell r="D577" t="str">
            <v/>
          </cell>
          <cell r="F577">
            <v>0</v>
          </cell>
        </row>
        <row r="578">
          <cell r="B578">
            <v>0</v>
          </cell>
          <cell r="D578" t="str">
            <v/>
          </cell>
          <cell r="F578">
            <v>0</v>
          </cell>
        </row>
        <row r="579">
          <cell r="B579">
            <v>0</v>
          </cell>
          <cell r="D579" t="str">
            <v/>
          </cell>
          <cell r="F579">
            <v>0</v>
          </cell>
        </row>
        <row r="580">
          <cell r="B580">
            <v>0</v>
          </cell>
          <cell r="D580" t="str">
            <v/>
          </cell>
          <cell r="F580">
            <v>0</v>
          </cell>
        </row>
        <row r="581">
          <cell r="B581">
            <v>0</v>
          </cell>
          <cell r="D581" t="str">
            <v/>
          </cell>
          <cell r="F581">
            <v>0</v>
          </cell>
        </row>
        <row r="582">
          <cell r="B582">
            <v>0</v>
          </cell>
          <cell r="D582" t="str">
            <v/>
          </cell>
          <cell r="F582">
            <v>0</v>
          </cell>
        </row>
        <row r="583">
          <cell r="B583">
            <v>0</v>
          </cell>
          <cell r="D583" t="str">
            <v/>
          </cell>
          <cell r="F583">
            <v>0</v>
          </cell>
        </row>
        <row r="584">
          <cell r="B584">
            <v>0</v>
          </cell>
          <cell r="D584" t="str">
            <v/>
          </cell>
          <cell r="F584">
            <v>0</v>
          </cell>
        </row>
        <row r="585">
          <cell r="B585">
            <v>0</v>
          </cell>
          <cell r="D585" t="str">
            <v/>
          </cell>
          <cell r="F585">
            <v>0</v>
          </cell>
        </row>
        <row r="586">
          <cell r="B586">
            <v>0</v>
          </cell>
          <cell r="D586" t="str">
            <v/>
          </cell>
          <cell r="F586">
            <v>0</v>
          </cell>
        </row>
        <row r="587">
          <cell r="B587">
            <v>0</v>
          </cell>
          <cell r="D587" t="str">
            <v/>
          </cell>
          <cell r="F587">
            <v>0</v>
          </cell>
        </row>
        <row r="588">
          <cell r="B588">
            <v>0</v>
          </cell>
          <cell r="D588" t="str">
            <v/>
          </cell>
          <cell r="F588">
            <v>0</v>
          </cell>
        </row>
        <row r="589">
          <cell r="B589">
            <v>0</v>
          </cell>
          <cell r="D589" t="str">
            <v/>
          </cell>
          <cell r="F589">
            <v>0</v>
          </cell>
        </row>
        <row r="590">
          <cell r="B590">
            <v>0</v>
          </cell>
          <cell r="D590" t="str">
            <v/>
          </cell>
          <cell r="F590">
            <v>0</v>
          </cell>
        </row>
        <row r="591">
          <cell r="B591">
            <v>0</v>
          </cell>
          <cell r="D591" t="str">
            <v/>
          </cell>
          <cell r="F591">
            <v>0</v>
          </cell>
        </row>
        <row r="592">
          <cell r="B592">
            <v>0</v>
          </cell>
          <cell r="D592" t="str">
            <v/>
          </cell>
          <cell r="F592">
            <v>0</v>
          </cell>
        </row>
        <row r="593">
          <cell r="B593">
            <v>0</v>
          </cell>
          <cell r="D593" t="str">
            <v/>
          </cell>
          <cell r="F593">
            <v>0</v>
          </cell>
        </row>
        <row r="594">
          <cell r="B594">
            <v>0</v>
          </cell>
          <cell r="D594" t="str">
            <v/>
          </cell>
          <cell r="F594">
            <v>0</v>
          </cell>
        </row>
        <row r="595">
          <cell r="B595">
            <v>0</v>
          </cell>
          <cell r="D595" t="str">
            <v/>
          </cell>
          <cell r="F595">
            <v>0</v>
          </cell>
        </row>
        <row r="596">
          <cell r="B596">
            <v>0</v>
          </cell>
          <cell r="D596" t="str">
            <v/>
          </cell>
          <cell r="F596">
            <v>0</v>
          </cell>
        </row>
        <row r="597">
          <cell r="B597">
            <v>0</v>
          </cell>
          <cell r="D597" t="str">
            <v/>
          </cell>
          <cell r="F597">
            <v>0</v>
          </cell>
        </row>
        <row r="598">
          <cell r="B598">
            <v>0</v>
          </cell>
          <cell r="D598" t="str">
            <v/>
          </cell>
          <cell r="F598">
            <v>0</v>
          </cell>
        </row>
        <row r="599">
          <cell r="B599">
            <v>0</v>
          </cell>
          <cell r="D599" t="str">
            <v/>
          </cell>
          <cell r="F599">
            <v>0</v>
          </cell>
        </row>
        <row r="600">
          <cell r="B600">
            <v>0</v>
          </cell>
          <cell r="D600" t="str">
            <v/>
          </cell>
          <cell r="F600">
            <v>0</v>
          </cell>
        </row>
        <row r="601">
          <cell r="B601">
            <v>0</v>
          </cell>
          <cell r="D601" t="str">
            <v/>
          </cell>
          <cell r="F601">
            <v>0</v>
          </cell>
        </row>
        <row r="602">
          <cell r="B602">
            <v>0</v>
          </cell>
          <cell r="D602" t="str">
            <v/>
          </cell>
          <cell r="F602">
            <v>0</v>
          </cell>
        </row>
        <row r="603">
          <cell r="B603">
            <v>0</v>
          </cell>
          <cell r="D603" t="str">
            <v/>
          </cell>
          <cell r="F603">
            <v>0</v>
          </cell>
        </row>
        <row r="604">
          <cell r="B604">
            <v>0</v>
          </cell>
          <cell r="D604" t="str">
            <v/>
          </cell>
          <cell r="F604">
            <v>0</v>
          </cell>
        </row>
        <row r="605">
          <cell r="B605">
            <v>0</v>
          </cell>
          <cell r="D605" t="str">
            <v/>
          </cell>
          <cell r="F605">
            <v>0</v>
          </cell>
        </row>
        <row r="606">
          <cell r="B606">
            <v>0</v>
          </cell>
          <cell r="D606" t="str">
            <v/>
          </cell>
          <cell r="F606">
            <v>0</v>
          </cell>
        </row>
        <row r="607">
          <cell r="B607">
            <v>0</v>
          </cell>
          <cell r="D607" t="str">
            <v/>
          </cell>
          <cell r="F607">
            <v>0</v>
          </cell>
        </row>
        <row r="608">
          <cell r="B608">
            <v>0</v>
          </cell>
          <cell r="D608" t="str">
            <v/>
          </cell>
          <cell r="F608">
            <v>0</v>
          </cell>
        </row>
        <row r="609">
          <cell r="B609">
            <v>0</v>
          </cell>
          <cell r="D609" t="str">
            <v/>
          </cell>
          <cell r="F609">
            <v>0</v>
          </cell>
        </row>
        <row r="610">
          <cell r="B610">
            <v>0</v>
          </cell>
          <cell r="D610" t="str">
            <v/>
          </cell>
          <cell r="F610">
            <v>0</v>
          </cell>
        </row>
        <row r="611">
          <cell r="B611">
            <v>0</v>
          </cell>
          <cell r="D611" t="str">
            <v/>
          </cell>
          <cell r="F611">
            <v>0</v>
          </cell>
        </row>
        <row r="612">
          <cell r="B612">
            <v>0</v>
          </cell>
          <cell r="D612" t="str">
            <v/>
          </cell>
          <cell r="F612">
            <v>0</v>
          </cell>
        </row>
        <row r="613">
          <cell r="B613">
            <v>0</v>
          </cell>
          <cell r="D613" t="str">
            <v/>
          </cell>
          <cell r="F613">
            <v>0</v>
          </cell>
        </row>
        <row r="614">
          <cell r="B614">
            <v>0</v>
          </cell>
          <cell r="D614" t="str">
            <v/>
          </cell>
          <cell r="F614">
            <v>0</v>
          </cell>
        </row>
        <row r="615">
          <cell r="B615">
            <v>0</v>
          </cell>
          <cell r="D615" t="str">
            <v/>
          </cell>
          <cell r="F615">
            <v>0</v>
          </cell>
        </row>
        <row r="616">
          <cell r="B616">
            <v>0</v>
          </cell>
          <cell r="D616" t="str">
            <v/>
          </cell>
          <cell r="F616">
            <v>0</v>
          </cell>
        </row>
        <row r="617">
          <cell r="B617">
            <v>0</v>
          </cell>
          <cell r="D617" t="str">
            <v/>
          </cell>
          <cell r="F617">
            <v>0</v>
          </cell>
        </row>
        <row r="618">
          <cell r="B618">
            <v>0</v>
          </cell>
          <cell r="D618" t="str">
            <v/>
          </cell>
          <cell r="F618">
            <v>0</v>
          </cell>
        </row>
        <row r="619">
          <cell r="B619">
            <v>0</v>
          </cell>
          <cell r="D619" t="str">
            <v/>
          </cell>
          <cell r="F619">
            <v>0</v>
          </cell>
        </row>
        <row r="620">
          <cell r="B620">
            <v>0</v>
          </cell>
          <cell r="D620" t="str">
            <v/>
          </cell>
          <cell r="F620">
            <v>0</v>
          </cell>
        </row>
        <row r="621">
          <cell r="B621">
            <v>0</v>
          </cell>
          <cell r="D621" t="str">
            <v/>
          </cell>
          <cell r="F621">
            <v>0</v>
          </cell>
        </row>
        <row r="622">
          <cell r="B622">
            <v>0</v>
          </cell>
          <cell r="D622" t="str">
            <v/>
          </cell>
          <cell r="F622">
            <v>0</v>
          </cell>
        </row>
        <row r="623">
          <cell r="B623">
            <v>0</v>
          </cell>
          <cell r="D623" t="str">
            <v/>
          </cell>
          <cell r="F623">
            <v>0</v>
          </cell>
        </row>
        <row r="624">
          <cell r="B624">
            <v>0</v>
          </cell>
          <cell r="D624" t="str">
            <v/>
          </cell>
          <cell r="F624">
            <v>0</v>
          </cell>
        </row>
        <row r="625">
          <cell r="B625">
            <v>0</v>
          </cell>
          <cell r="D625" t="str">
            <v/>
          </cell>
          <cell r="F625">
            <v>0</v>
          </cell>
        </row>
        <row r="626">
          <cell r="B626">
            <v>0</v>
          </cell>
          <cell r="D626" t="str">
            <v/>
          </cell>
          <cell r="F626">
            <v>0</v>
          </cell>
        </row>
        <row r="627">
          <cell r="B627">
            <v>0</v>
          </cell>
          <cell r="D627" t="str">
            <v/>
          </cell>
          <cell r="F627">
            <v>0</v>
          </cell>
        </row>
        <row r="628">
          <cell r="B628">
            <v>0</v>
          </cell>
          <cell r="D628" t="str">
            <v/>
          </cell>
          <cell r="F628">
            <v>0</v>
          </cell>
        </row>
        <row r="629">
          <cell r="B629">
            <v>0</v>
          </cell>
          <cell r="D629" t="str">
            <v/>
          </cell>
          <cell r="F629">
            <v>0</v>
          </cell>
        </row>
        <row r="630">
          <cell r="B630">
            <v>0</v>
          </cell>
          <cell r="D630" t="str">
            <v/>
          </cell>
          <cell r="F630">
            <v>0</v>
          </cell>
        </row>
        <row r="631">
          <cell r="B631">
            <v>0</v>
          </cell>
          <cell r="D631" t="str">
            <v/>
          </cell>
          <cell r="F631">
            <v>0</v>
          </cell>
        </row>
        <row r="632">
          <cell r="B632">
            <v>0</v>
          </cell>
          <cell r="D632" t="str">
            <v/>
          </cell>
          <cell r="F632">
            <v>0</v>
          </cell>
        </row>
        <row r="633">
          <cell r="B633">
            <v>0</v>
          </cell>
          <cell r="D633" t="str">
            <v/>
          </cell>
          <cell r="F633">
            <v>0</v>
          </cell>
        </row>
        <row r="634">
          <cell r="B634">
            <v>0</v>
          </cell>
          <cell r="D634" t="str">
            <v/>
          </cell>
          <cell r="F634">
            <v>0</v>
          </cell>
        </row>
        <row r="635">
          <cell r="B635">
            <v>0</v>
          </cell>
          <cell r="D635" t="str">
            <v/>
          </cell>
          <cell r="F635">
            <v>0</v>
          </cell>
        </row>
        <row r="636">
          <cell r="B636">
            <v>0</v>
          </cell>
          <cell r="D636" t="str">
            <v/>
          </cell>
          <cell r="F636">
            <v>0</v>
          </cell>
        </row>
        <row r="637">
          <cell r="B637">
            <v>0</v>
          </cell>
          <cell r="D637" t="str">
            <v/>
          </cell>
          <cell r="F637">
            <v>0</v>
          </cell>
        </row>
        <row r="638">
          <cell r="B638">
            <v>0</v>
          </cell>
          <cell r="D638" t="str">
            <v/>
          </cell>
          <cell r="F638">
            <v>0</v>
          </cell>
        </row>
        <row r="639">
          <cell r="B639">
            <v>0</v>
          </cell>
          <cell r="D639" t="str">
            <v/>
          </cell>
          <cell r="F639">
            <v>0</v>
          </cell>
        </row>
        <row r="640">
          <cell r="B640">
            <v>0</v>
          </cell>
          <cell r="D640" t="str">
            <v/>
          </cell>
          <cell r="F640">
            <v>0</v>
          </cell>
        </row>
        <row r="641">
          <cell r="B641">
            <v>0</v>
          </cell>
          <cell r="D641" t="str">
            <v/>
          </cell>
          <cell r="F641">
            <v>0</v>
          </cell>
        </row>
        <row r="642">
          <cell r="B642">
            <v>0</v>
          </cell>
          <cell r="D642" t="str">
            <v/>
          </cell>
          <cell r="F642">
            <v>0</v>
          </cell>
        </row>
        <row r="643">
          <cell r="B643">
            <v>0</v>
          </cell>
          <cell r="D643" t="str">
            <v/>
          </cell>
          <cell r="F643">
            <v>0</v>
          </cell>
        </row>
        <row r="644">
          <cell r="B644">
            <v>0</v>
          </cell>
          <cell r="D644" t="str">
            <v/>
          </cell>
          <cell r="F644">
            <v>0</v>
          </cell>
        </row>
        <row r="645">
          <cell r="B645">
            <v>0</v>
          </cell>
          <cell r="D645" t="str">
            <v/>
          </cell>
          <cell r="F645">
            <v>0</v>
          </cell>
        </row>
        <row r="646">
          <cell r="B646">
            <v>0</v>
          </cell>
          <cell r="D646" t="str">
            <v/>
          </cell>
          <cell r="F646">
            <v>0</v>
          </cell>
        </row>
        <row r="647">
          <cell r="B647">
            <v>0</v>
          </cell>
          <cell r="D647" t="str">
            <v/>
          </cell>
          <cell r="F647">
            <v>0</v>
          </cell>
        </row>
        <row r="648">
          <cell r="B648">
            <v>0</v>
          </cell>
          <cell r="D648" t="str">
            <v/>
          </cell>
          <cell r="F648">
            <v>0</v>
          </cell>
        </row>
        <row r="649">
          <cell r="B649">
            <v>0</v>
          </cell>
          <cell r="D649" t="str">
            <v/>
          </cell>
          <cell r="F649">
            <v>0</v>
          </cell>
        </row>
        <row r="650">
          <cell r="B650">
            <v>0</v>
          </cell>
          <cell r="D650" t="str">
            <v/>
          </cell>
          <cell r="F650">
            <v>0</v>
          </cell>
        </row>
        <row r="651">
          <cell r="B651">
            <v>0</v>
          </cell>
          <cell r="D651" t="str">
            <v/>
          </cell>
          <cell r="F651">
            <v>0</v>
          </cell>
        </row>
        <row r="652">
          <cell r="B652">
            <v>0</v>
          </cell>
          <cell r="D652" t="str">
            <v/>
          </cell>
          <cell r="F652">
            <v>0</v>
          </cell>
        </row>
        <row r="653">
          <cell r="B653">
            <v>0</v>
          </cell>
          <cell r="D653" t="str">
            <v/>
          </cell>
          <cell r="F653">
            <v>0</v>
          </cell>
        </row>
        <row r="654">
          <cell r="B654">
            <v>0</v>
          </cell>
          <cell r="D654" t="str">
            <v/>
          </cell>
          <cell r="F654">
            <v>0</v>
          </cell>
        </row>
        <row r="655">
          <cell r="B655">
            <v>0</v>
          </cell>
          <cell r="D655" t="str">
            <v/>
          </cell>
          <cell r="F655">
            <v>0</v>
          </cell>
        </row>
        <row r="656">
          <cell r="B656">
            <v>0</v>
          </cell>
          <cell r="D656" t="str">
            <v/>
          </cell>
          <cell r="F656">
            <v>0</v>
          </cell>
        </row>
        <row r="657">
          <cell r="B657">
            <v>0</v>
          </cell>
          <cell r="D657" t="str">
            <v/>
          </cell>
          <cell r="F657">
            <v>0</v>
          </cell>
        </row>
        <row r="658">
          <cell r="B658">
            <v>0</v>
          </cell>
          <cell r="D658" t="str">
            <v/>
          </cell>
          <cell r="F658">
            <v>0</v>
          </cell>
        </row>
        <row r="659">
          <cell r="B659">
            <v>0</v>
          </cell>
          <cell r="D659" t="str">
            <v/>
          </cell>
          <cell r="F659">
            <v>0</v>
          </cell>
        </row>
        <row r="660">
          <cell r="B660">
            <v>0</v>
          </cell>
          <cell r="D660" t="str">
            <v/>
          </cell>
          <cell r="F660">
            <v>0</v>
          </cell>
        </row>
        <row r="661">
          <cell r="B661">
            <v>0</v>
          </cell>
          <cell r="D661" t="str">
            <v/>
          </cell>
          <cell r="F661">
            <v>0</v>
          </cell>
        </row>
        <row r="662">
          <cell r="B662">
            <v>0</v>
          </cell>
          <cell r="D662" t="str">
            <v/>
          </cell>
          <cell r="F662">
            <v>0</v>
          </cell>
        </row>
        <row r="663">
          <cell r="B663">
            <v>0</v>
          </cell>
          <cell r="D663" t="str">
            <v/>
          </cell>
          <cell r="F663">
            <v>0</v>
          </cell>
        </row>
        <row r="664">
          <cell r="B664">
            <v>0</v>
          </cell>
          <cell r="D664" t="str">
            <v/>
          </cell>
          <cell r="F664">
            <v>0</v>
          </cell>
        </row>
        <row r="665">
          <cell r="B665">
            <v>0</v>
          </cell>
          <cell r="D665" t="str">
            <v/>
          </cell>
          <cell r="F665">
            <v>0</v>
          </cell>
        </row>
        <row r="666">
          <cell r="B666">
            <v>0</v>
          </cell>
          <cell r="D666" t="str">
            <v/>
          </cell>
          <cell r="F666">
            <v>0</v>
          </cell>
        </row>
        <row r="667">
          <cell r="B667">
            <v>0</v>
          </cell>
          <cell r="D667" t="str">
            <v/>
          </cell>
          <cell r="F667">
            <v>0</v>
          </cell>
        </row>
        <row r="668">
          <cell r="B668">
            <v>0</v>
          </cell>
          <cell r="D668" t="str">
            <v/>
          </cell>
          <cell r="F668">
            <v>0</v>
          </cell>
        </row>
        <row r="669">
          <cell r="B669">
            <v>0</v>
          </cell>
          <cell r="D669" t="str">
            <v/>
          </cell>
          <cell r="F669">
            <v>0</v>
          </cell>
        </row>
        <row r="670">
          <cell r="B670">
            <v>0</v>
          </cell>
          <cell r="D670" t="str">
            <v/>
          </cell>
          <cell r="F670">
            <v>0</v>
          </cell>
        </row>
        <row r="671">
          <cell r="B671">
            <v>0</v>
          </cell>
          <cell r="D671" t="str">
            <v/>
          </cell>
          <cell r="F671">
            <v>0</v>
          </cell>
        </row>
        <row r="672">
          <cell r="B672">
            <v>0</v>
          </cell>
          <cell r="D672" t="str">
            <v/>
          </cell>
          <cell r="F672">
            <v>0</v>
          </cell>
        </row>
        <row r="673">
          <cell r="B673">
            <v>0</v>
          </cell>
          <cell r="D673" t="str">
            <v/>
          </cell>
          <cell r="F673">
            <v>0</v>
          </cell>
        </row>
        <row r="674">
          <cell r="B674">
            <v>0</v>
          </cell>
          <cell r="D674" t="str">
            <v/>
          </cell>
          <cell r="F674">
            <v>0</v>
          </cell>
        </row>
        <row r="675">
          <cell r="B675">
            <v>0</v>
          </cell>
          <cell r="D675" t="str">
            <v/>
          </cell>
          <cell r="F675">
            <v>0</v>
          </cell>
        </row>
        <row r="676">
          <cell r="B676">
            <v>0</v>
          </cell>
          <cell r="D676" t="str">
            <v/>
          </cell>
          <cell r="F676">
            <v>0</v>
          </cell>
        </row>
        <row r="677">
          <cell r="B677">
            <v>0</v>
          </cell>
          <cell r="D677" t="str">
            <v/>
          </cell>
          <cell r="F677">
            <v>0</v>
          </cell>
        </row>
        <row r="678">
          <cell r="B678">
            <v>0</v>
          </cell>
          <cell r="D678" t="str">
            <v/>
          </cell>
          <cell r="F678">
            <v>0</v>
          </cell>
        </row>
        <row r="679">
          <cell r="B679">
            <v>0</v>
          </cell>
          <cell r="D679" t="str">
            <v/>
          </cell>
          <cell r="F679">
            <v>0</v>
          </cell>
        </row>
        <row r="680">
          <cell r="B680">
            <v>0</v>
          </cell>
          <cell r="D680" t="str">
            <v/>
          </cell>
          <cell r="F680">
            <v>0</v>
          </cell>
        </row>
        <row r="681">
          <cell r="B681">
            <v>0</v>
          </cell>
          <cell r="D681" t="str">
            <v/>
          </cell>
          <cell r="F681">
            <v>0</v>
          </cell>
        </row>
        <row r="682">
          <cell r="B682">
            <v>0</v>
          </cell>
          <cell r="D682" t="str">
            <v/>
          </cell>
          <cell r="F682">
            <v>0</v>
          </cell>
        </row>
        <row r="683">
          <cell r="B683">
            <v>0</v>
          </cell>
          <cell r="D683" t="str">
            <v/>
          </cell>
          <cell r="F683">
            <v>0</v>
          </cell>
        </row>
        <row r="684">
          <cell r="B684">
            <v>0</v>
          </cell>
          <cell r="D684" t="str">
            <v/>
          </cell>
          <cell r="F684">
            <v>0</v>
          </cell>
        </row>
        <row r="685">
          <cell r="B685">
            <v>0</v>
          </cell>
          <cell r="D685" t="str">
            <v/>
          </cell>
          <cell r="F685">
            <v>0</v>
          </cell>
        </row>
        <row r="686">
          <cell r="B686">
            <v>0</v>
          </cell>
          <cell r="D686" t="str">
            <v/>
          </cell>
          <cell r="F686">
            <v>0</v>
          </cell>
        </row>
        <row r="687">
          <cell r="B687">
            <v>0</v>
          </cell>
          <cell r="D687" t="str">
            <v/>
          </cell>
          <cell r="F687">
            <v>0</v>
          </cell>
        </row>
        <row r="688">
          <cell r="B688">
            <v>0</v>
          </cell>
          <cell r="D688" t="str">
            <v/>
          </cell>
          <cell r="F688">
            <v>0</v>
          </cell>
        </row>
        <row r="689">
          <cell r="B689">
            <v>0</v>
          </cell>
          <cell r="D689" t="str">
            <v/>
          </cell>
          <cell r="F689">
            <v>0</v>
          </cell>
        </row>
        <row r="690">
          <cell r="B690">
            <v>0</v>
          </cell>
          <cell r="D690" t="str">
            <v/>
          </cell>
          <cell r="F690">
            <v>0</v>
          </cell>
        </row>
        <row r="691">
          <cell r="B691">
            <v>0</v>
          </cell>
          <cell r="D691" t="str">
            <v/>
          </cell>
          <cell r="F691">
            <v>0</v>
          </cell>
        </row>
        <row r="692">
          <cell r="B692">
            <v>0</v>
          </cell>
          <cell r="D692" t="str">
            <v/>
          </cell>
          <cell r="F692">
            <v>0</v>
          </cell>
        </row>
        <row r="693">
          <cell r="B693">
            <v>0</v>
          </cell>
          <cell r="D693" t="str">
            <v/>
          </cell>
          <cell r="F693">
            <v>0</v>
          </cell>
        </row>
        <row r="694">
          <cell r="B694">
            <v>0</v>
          </cell>
          <cell r="D694" t="str">
            <v/>
          </cell>
          <cell r="F694">
            <v>0</v>
          </cell>
        </row>
        <row r="695">
          <cell r="B695">
            <v>0</v>
          </cell>
          <cell r="D695" t="str">
            <v/>
          </cell>
          <cell r="F695">
            <v>0</v>
          </cell>
        </row>
        <row r="696">
          <cell r="B696">
            <v>0</v>
          </cell>
          <cell r="D696" t="str">
            <v/>
          </cell>
          <cell r="F696">
            <v>0</v>
          </cell>
        </row>
        <row r="697">
          <cell r="B697">
            <v>0</v>
          </cell>
          <cell r="D697" t="str">
            <v/>
          </cell>
          <cell r="F697">
            <v>0</v>
          </cell>
        </row>
        <row r="698">
          <cell r="B698">
            <v>0</v>
          </cell>
          <cell r="D698" t="str">
            <v/>
          </cell>
          <cell r="F698">
            <v>0</v>
          </cell>
        </row>
        <row r="699">
          <cell r="B699">
            <v>0</v>
          </cell>
          <cell r="D699" t="str">
            <v/>
          </cell>
          <cell r="F699">
            <v>0</v>
          </cell>
        </row>
        <row r="700">
          <cell r="B700">
            <v>0</v>
          </cell>
          <cell r="D700" t="str">
            <v/>
          </cell>
          <cell r="F700">
            <v>0</v>
          </cell>
        </row>
        <row r="701">
          <cell r="B701">
            <v>0</v>
          </cell>
          <cell r="D701" t="str">
            <v/>
          </cell>
          <cell r="F701">
            <v>0</v>
          </cell>
        </row>
        <row r="702">
          <cell r="B702">
            <v>0</v>
          </cell>
          <cell r="D702" t="str">
            <v/>
          </cell>
          <cell r="F702">
            <v>0</v>
          </cell>
        </row>
        <row r="703">
          <cell r="B703">
            <v>0</v>
          </cell>
          <cell r="D703" t="str">
            <v/>
          </cell>
          <cell r="F703">
            <v>0</v>
          </cell>
        </row>
        <row r="704">
          <cell r="B704">
            <v>0</v>
          </cell>
          <cell r="D704" t="str">
            <v/>
          </cell>
          <cell r="F704">
            <v>0</v>
          </cell>
        </row>
        <row r="705">
          <cell r="B705">
            <v>0</v>
          </cell>
          <cell r="D705" t="str">
            <v/>
          </cell>
          <cell r="F705">
            <v>0</v>
          </cell>
        </row>
        <row r="706">
          <cell r="B706">
            <v>0</v>
          </cell>
          <cell r="D706" t="str">
            <v/>
          </cell>
          <cell r="F706">
            <v>0</v>
          </cell>
        </row>
        <row r="707">
          <cell r="B707">
            <v>0</v>
          </cell>
          <cell r="D707" t="str">
            <v/>
          </cell>
          <cell r="F707">
            <v>0</v>
          </cell>
        </row>
        <row r="708">
          <cell r="B708">
            <v>0</v>
          </cell>
          <cell r="D708" t="str">
            <v/>
          </cell>
          <cell r="F708">
            <v>0</v>
          </cell>
        </row>
        <row r="709">
          <cell r="B709">
            <v>0</v>
          </cell>
          <cell r="D709" t="str">
            <v/>
          </cell>
          <cell r="F709">
            <v>0</v>
          </cell>
        </row>
        <row r="710">
          <cell r="B710">
            <v>0</v>
          </cell>
          <cell r="D710" t="str">
            <v/>
          </cell>
          <cell r="F710">
            <v>0</v>
          </cell>
        </row>
        <row r="711">
          <cell r="B711">
            <v>0</v>
          </cell>
          <cell r="D711" t="str">
            <v/>
          </cell>
          <cell r="F711">
            <v>0</v>
          </cell>
        </row>
        <row r="712">
          <cell r="B712">
            <v>0</v>
          </cell>
          <cell r="D712" t="str">
            <v/>
          </cell>
          <cell r="F712">
            <v>0</v>
          </cell>
        </row>
        <row r="713">
          <cell r="B713">
            <v>0</v>
          </cell>
          <cell r="D713" t="str">
            <v/>
          </cell>
          <cell r="F713">
            <v>0</v>
          </cell>
        </row>
        <row r="714">
          <cell r="B714">
            <v>0</v>
          </cell>
          <cell r="D714" t="str">
            <v/>
          </cell>
          <cell r="F714">
            <v>0</v>
          </cell>
        </row>
        <row r="715">
          <cell r="B715">
            <v>0</v>
          </cell>
          <cell r="D715" t="str">
            <v/>
          </cell>
          <cell r="F715">
            <v>0</v>
          </cell>
        </row>
        <row r="716">
          <cell r="B716">
            <v>0</v>
          </cell>
          <cell r="D716" t="str">
            <v/>
          </cell>
          <cell r="F716">
            <v>0</v>
          </cell>
        </row>
        <row r="717">
          <cell r="B717">
            <v>0</v>
          </cell>
          <cell r="D717" t="str">
            <v/>
          </cell>
          <cell r="F717">
            <v>0</v>
          </cell>
        </row>
        <row r="718">
          <cell r="B718">
            <v>0</v>
          </cell>
          <cell r="D718" t="str">
            <v/>
          </cell>
          <cell r="F718">
            <v>0</v>
          </cell>
        </row>
        <row r="719">
          <cell r="B719">
            <v>0</v>
          </cell>
          <cell r="D719" t="str">
            <v/>
          </cell>
          <cell r="F719">
            <v>0</v>
          </cell>
        </row>
        <row r="720">
          <cell r="B720">
            <v>0</v>
          </cell>
          <cell r="D720" t="str">
            <v/>
          </cell>
          <cell r="F720">
            <v>0</v>
          </cell>
        </row>
        <row r="721">
          <cell r="B721">
            <v>0</v>
          </cell>
          <cell r="D721" t="str">
            <v/>
          </cell>
          <cell r="F721">
            <v>0</v>
          </cell>
        </row>
        <row r="722">
          <cell r="B722">
            <v>0</v>
          </cell>
          <cell r="D722" t="str">
            <v/>
          </cell>
          <cell r="F722">
            <v>0</v>
          </cell>
        </row>
        <row r="723">
          <cell r="B723">
            <v>0</v>
          </cell>
          <cell r="D723" t="str">
            <v/>
          </cell>
          <cell r="F723">
            <v>0</v>
          </cell>
        </row>
        <row r="724">
          <cell r="B724">
            <v>0</v>
          </cell>
          <cell r="D724" t="str">
            <v/>
          </cell>
          <cell r="F724">
            <v>0</v>
          </cell>
        </row>
        <row r="725">
          <cell r="B725">
            <v>0</v>
          </cell>
          <cell r="D725" t="str">
            <v/>
          </cell>
          <cell r="F725">
            <v>0</v>
          </cell>
        </row>
        <row r="726">
          <cell r="B726">
            <v>0</v>
          </cell>
          <cell r="D726" t="str">
            <v/>
          </cell>
          <cell r="F726">
            <v>0</v>
          </cell>
        </row>
        <row r="727">
          <cell r="B727">
            <v>0</v>
          </cell>
          <cell r="D727" t="str">
            <v/>
          </cell>
          <cell r="F727">
            <v>0</v>
          </cell>
        </row>
        <row r="728">
          <cell r="B728">
            <v>0</v>
          </cell>
          <cell r="D728" t="str">
            <v/>
          </cell>
          <cell r="F728">
            <v>0</v>
          </cell>
        </row>
        <row r="729">
          <cell r="B729">
            <v>0</v>
          </cell>
          <cell r="D729" t="str">
            <v/>
          </cell>
          <cell r="F729">
            <v>0</v>
          </cell>
        </row>
        <row r="730">
          <cell r="B730">
            <v>0</v>
          </cell>
          <cell r="D730" t="str">
            <v/>
          </cell>
          <cell r="F730">
            <v>0</v>
          </cell>
        </row>
        <row r="731">
          <cell r="B731">
            <v>0</v>
          </cell>
          <cell r="D731" t="str">
            <v/>
          </cell>
          <cell r="F731">
            <v>0</v>
          </cell>
        </row>
        <row r="732">
          <cell r="B732">
            <v>0</v>
          </cell>
          <cell r="D732" t="str">
            <v/>
          </cell>
          <cell r="F732">
            <v>0</v>
          </cell>
        </row>
        <row r="733">
          <cell r="B733">
            <v>0</v>
          </cell>
          <cell r="D733" t="str">
            <v/>
          </cell>
          <cell r="F733">
            <v>0</v>
          </cell>
        </row>
        <row r="734">
          <cell r="B734">
            <v>0</v>
          </cell>
          <cell r="D734" t="str">
            <v/>
          </cell>
          <cell r="F734">
            <v>0</v>
          </cell>
        </row>
        <row r="735">
          <cell r="B735">
            <v>0</v>
          </cell>
          <cell r="D735" t="str">
            <v/>
          </cell>
          <cell r="F735">
            <v>0</v>
          </cell>
        </row>
        <row r="736">
          <cell r="B736">
            <v>0</v>
          </cell>
          <cell r="D736" t="str">
            <v/>
          </cell>
          <cell r="F736">
            <v>0</v>
          </cell>
        </row>
        <row r="737">
          <cell r="B737">
            <v>0</v>
          </cell>
          <cell r="D737" t="str">
            <v/>
          </cell>
          <cell r="F737">
            <v>0</v>
          </cell>
        </row>
        <row r="738">
          <cell r="B738">
            <v>0</v>
          </cell>
          <cell r="D738" t="str">
            <v/>
          </cell>
          <cell r="F738">
            <v>0</v>
          </cell>
        </row>
        <row r="739">
          <cell r="B739">
            <v>0</v>
          </cell>
          <cell r="D739" t="str">
            <v/>
          </cell>
          <cell r="F739">
            <v>0</v>
          </cell>
        </row>
        <row r="740">
          <cell r="B740">
            <v>0</v>
          </cell>
          <cell r="D740" t="str">
            <v/>
          </cell>
          <cell r="F740">
            <v>0</v>
          </cell>
        </row>
        <row r="741">
          <cell r="B741">
            <v>0</v>
          </cell>
          <cell r="D741" t="str">
            <v/>
          </cell>
          <cell r="F741">
            <v>0</v>
          </cell>
        </row>
        <row r="742">
          <cell r="B742">
            <v>0</v>
          </cell>
          <cell r="D742" t="str">
            <v/>
          </cell>
          <cell r="F742">
            <v>0</v>
          </cell>
        </row>
        <row r="743">
          <cell r="B743">
            <v>0</v>
          </cell>
          <cell r="D743" t="str">
            <v/>
          </cell>
          <cell r="F743">
            <v>0</v>
          </cell>
        </row>
        <row r="744">
          <cell r="B744">
            <v>0</v>
          </cell>
          <cell r="D744" t="str">
            <v/>
          </cell>
          <cell r="F744">
            <v>0</v>
          </cell>
        </row>
        <row r="745">
          <cell r="B745">
            <v>0</v>
          </cell>
          <cell r="D745" t="str">
            <v/>
          </cell>
          <cell r="F745">
            <v>0</v>
          </cell>
        </row>
        <row r="746">
          <cell r="B746">
            <v>0</v>
          </cell>
          <cell r="D746" t="str">
            <v/>
          </cell>
          <cell r="F746">
            <v>0</v>
          </cell>
        </row>
        <row r="747">
          <cell r="B747">
            <v>0</v>
          </cell>
          <cell r="D747" t="str">
            <v/>
          </cell>
          <cell r="F747">
            <v>0</v>
          </cell>
        </row>
        <row r="748">
          <cell r="B748">
            <v>0</v>
          </cell>
          <cell r="D748" t="str">
            <v/>
          </cell>
          <cell r="F748">
            <v>0</v>
          </cell>
        </row>
        <row r="749">
          <cell r="B749">
            <v>0</v>
          </cell>
          <cell r="D749" t="str">
            <v/>
          </cell>
          <cell r="F749">
            <v>0</v>
          </cell>
        </row>
        <row r="750">
          <cell r="B750">
            <v>0</v>
          </cell>
          <cell r="D750" t="str">
            <v/>
          </cell>
          <cell r="F750">
            <v>0</v>
          </cell>
        </row>
        <row r="751">
          <cell r="B751">
            <v>0</v>
          </cell>
          <cell r="D751" t="str">
            <v/>
          </cell>
          <cell r="F751">
            <v>0</v>
          </cell>
        </row>
        <row r="752">
          <cell r="B752">
            <v>0</v>
          </cell>
          <cell r="D752" t="str">
            <v/>
          </cell>
          <cell r="F752">
            <v>0</v>
          </cell>
        </row>
        <row r="753">
          <cell r="B753">
            <v>0</v>
          </cell>
          <cell r="D753" t="str">
            <v/>
          </cell>
          <cell r="F753">
            <v>0</v>
          </cell>
        </row>
        <row r="754">
          <cell r="B754">
            <v>0</v>
          </cell>
          <cell r="D754" t="str">
            <v/>
          </cell>
          <cell r="F754">
            <v>0</v>
          </cell>
        </row>
        <row r="755">
          <cell r="B755">
            <v>0</v>
          </cell>
          <cell r="D755" t="str">
            <v/>
          </cell>
          <cell r="F755">
            <v>0</v>
          </cell>
        </row>
        <row r="756">
          <cell r="B756">
            <v>0</v>
          </cell>
          <cell r="D756" t="str">
            <v/>
          </cell>
          <cell r="F756">
            <v>0</v>
          </cell>
        </row>
        <row r="757">
          <cell r="B757">
            <v>0</v>
          </cell>
          <cell r="D757" t="str">
            <v/>
          </cell>
          <cell r="F757">
            <v>0</v>
          </cell>
        </row>
        <row r="758">
          <cell r="B758">
            <v>0</v>
          </cell>
          <cell r="D758" t="str">
            <v/>
          </cell>
          <cell r="F758">
            <v>0</v>
          </cell>
        </row>
        <row r="759">
          <cell r="B759">
            <v>0</v>
          </cell>
          <cell r="D759" t="str">
            <v/>
          </cell>
          <cell r="F759">
            <v>0</v>
          </cell>
        </row>
        <row r="760">
          <cell r="B760">
            <v>0</v>
          </cell>
          <cell r="D760" t="str">
            <v/>
          </cell>
          <cell r="F760">
            <v>0</v>
          </cell>
        </row>
        <row r="761">
          <cell r="B761">
            <v>0</v>
          </cell>
          <cell r="D761" t="str">
            <v/>
          </cell>
          <cell r="F761">
            <v>0</v>
          </cell>
        </row>
        <row r="762">
          <cell r="B762">
            <v>0</v>
          </cell>
          <cell r="D762" t="str">
            <v/>
          </cell>
          <cell r="F762">
            <v>0</v>
          </cell>
        </row>
        <row r="763">
          <cell r="B763">
            <v>0</v>
          </cell>
          <cell r="D763" t="str">
            <v/>
          </cell>
          <cell r="F763">
            <v>0</v>
          </cell>
        </row>
        <row r="764">
          <cell r="B764">
            <v>0</v>
          </cell>
          <cell r="D764" t="str">
            <v/>
          </cell>
          <cell r="F764">
            <v>0</v>
          </cell>
        </row>
        <row r="765">
          <cell r="B765">
            <v>0</v>
          </cell>
          <cell r="D765" t="str">
            <v/>
          </cell>
          <cell r="F765">
            <v>0</v>
          </cell>
        </row>
        <row r="766">
          <cell r="B766">
            <v>0</v>
          </cell>
          <cell r="D766" t="str">
            <v/>
          </cell>
          <cell r="F766">
            <v>0</v>
          </cell>
        </row>
        <row r="767">
          <cell r="B767">
            <v>0</v>
          </cell>
          <cell r="D767" t="str">
            <v/>
          </cell>
          <cell r="F767">
            <v>0</v>
          </cell>
        </row>
        <row r="768">
          <cell r="B768">
            <v>0</v>
          </cell>
          <cell r="D768" t="str">
            <v/>
          </cell>
          <cell r="F768">
            <v>0</v>
          </cell>
        </row>
        <row r="769">
          <cell r="B769">
            <v>0</v>
          </cell>
          <cell r="D769" t="str">
            <v/>
          </cell>
          <cell r="F769">
            <v>0</v>
          </cell>
        </row>
        <row r="770">
          <cell r="B770">
            <v>0</v>
          </cell>
          <cell r="D770" t="str">
            <v/>
          </cell>
          <cell r="F770">
            <v>0</v>
          </cell>
        </row>
        <row r="771">
          <cell r="B771">
            <v>0</v>
          </cell>
          <cell r="D771" t="str">
            <v/>
          </cell>
          <cell r="F771">
            <v>0</v>
          </cell>
        </row>
        <row r="772">
          <cell r="B772">
            <v>0</v>
          </cell>
          <cell r="D772" t="str">
            <v/>
          </cell>
          <cell r="F772">
            <v>0</v>
          </cell>
        </row>
        <row r="773">
          <cell r="B773">
            <v>0</v>
          </cell>
          <cell r="D773" t="str">
            <v/>
          </cell>
          <cell r="F773">
            <v>0</v>
          </cell>
        </row>
        <row r="774">
          <cell r="B774">
            <v>0</v>
          </cell>
          <cell r="D774" t="str">
            <v/>
          </cell>
          <cell r="F774">
            <v>0</v>
          </cell>
        </row>
        <row r="775">
          <cell r="B775">
            <v>0</v>
          </cell>
          <cell r="D775" t="str">
            <v/>
          </cell>
          <cell r="F775">
            <v>0</v>
          </cell>
        </row>
        <row r="776">
          <cell r="B776">
            <v>0</v>
          </cell>
          <cell r="D776" t="str">
            <v/>
          </cell>
          <cell r="F776">
            <v>0</v>
          </cell>
        </row>
        <row r="777">
          <cell r="B777">
            <v>0</v>
          </cell>
          <cell r="D777" t="str">
            <v/>
          </cell>
          <cell r="F777">
            <v>0</v>
          </cell>
        </row>
        <row r="778">
          <cell r="B778">
            <v>0</v>
          </cell>
          <cell r="D778" t="str">
            <v/>
          </cell>
          <cell r="F778">
            <v>0</v>
          </cell>
        </row>
        <row r="779">
          <cell r="B779">
            <v>0</v>
          </cell>
          <cell r="D779" t="str">
            <v/>
          </cell>
          <cell r="F779">
            <v>0</v>
          </cell>
        </row>
        <row r="780">
          <cell r="B780">
            <v>0</v>
          </cell>
          <cell r="D780" t="str">
            <v/>
          </cell>
          <cell r="F780">
            <v>0</v>
          </cell>
        </row>
        <row r="781">
          <cell r="B781">
            <v>0</v>
          </cell>
          <cell r="D781" t="str">
            <v/>
          </cell>
          <cell r="F781">
            <v>0</v>
          </cell>
        </row>
        <row r="782">
          <cell r="B782">
            <v>0</v>
          </cell>
          <cell r="D782" t="str">
            <v/>
          </cell>
          <cell r="F782">
            <v>0</v>
          </cell>
        </row>
        <row r="783">
          <cell r="B783">
            <v>0</v>
          </cell>
          <cell r="D783" t="str">
            <v/>
          </cell>
          <cell r="F783">
            <v>0</v>
          </cell>
        </row>
        <row r="784">
          <cell r="B784">
            <v>0</v>
          </cell>
          <cell r="D784" t="str">
            <v/>
          </cell>
          <cell r="F784">
            <v>0</v>
          </cell>
        </row>
        <row r="785">
          <cell r="B785">
            <v>0</v>
          </cell>
          <cell r="D785" t="str">
            <v/>
          </cell>
          <cell r="F785">
            <v>0</v>
          </cell>
        </row>
        <row r="786">
          <cell r="B786">
            <v>0</v>
          </cell>
          <cell r="D786" t="str">
            <v/>
          </cell>
          <cell r="F786">
            <v>0</v>
          </cell>
        </row>
        <row r="787">
          <cell r="B787">
            <v>0</v>
          </cell>
          <cell r="D787" t="str">
            <v/>
          </cell>
          <cell r="F787">
            <v>0</v>
          </cell>
        </row>
        <row r="788">
          <cell r="B788">
            <v>0</v>
          </cell>
          <cell r="D788" t="str">
            <v/>
          </cell>
          <cell r="F788">
            <v>0</v>
          </cell>
        </row>
        <row r="789">
          <cell r="B789">
            <v>0</v>
          </cell>
          <cell r="D789" t="str">
            <v/>
          </cell>
          <cell r="F789">
            <v>0</v>
          </cell>
        </row>
        <row r="790">
          <cell r="B790">
            <v>0</v>
          </cell>
          <cell r="D790" t="str">
            <v/>
          </cell>
          <cell r="F790">
            <v>0</v>
          </cell>
        </row>
        <row r="791">
          <cell r="B791">
            <v>0</v>
          </cell>
          <cell r="D791" t="str">
            <v/>
          </cell>
          <cell r="F791">
            <v>0</v>
          </cell>
        </row>
        <row r="792">
          <cell r="B792">
            <v>0</v>
          </cell>
          <cell r="D792" t="str">
            <v/>
          </cell>
          <cell r="F792">
            <v>0</v>
          </cell>
        </row>
        <row r="793">
          <cell r="B793">
            <v>0</v>
          </cell>
          <cell r="D793" t="str">
            <v/>
          </cell>
          <cell r="F793">
            <v>0</v>
          </cell>
        </row>
        <row r="794">
          <cell r="B794">
            <v>0</v>
          </cell>
          <cell r="D794" t="str">
            <v/>
          </cell>
          <cell r="F794">
            <v>0</v>
          </cell>
        </row>
        <row r="795">
          <cell r="B795">
            <v>0</v>
          </cell>
          <cell r="D795" t="str">
            <v/>
          </cell>
          <cell r="F795">
            <v>0</v>
          </cell>
        </row>
        <row r="796">
          <cell r="B796">
            <v>0</v>
          </cell>
          <cell r="D796" t="str">
            <v/>
          </cell>
          <cell r="F796">
            <v>0</v>
          </cell>
        </row>
        <row r="797">
          <cell r="B797">
            <v>0</v>
          </cell>
          <cell r="D797" t="str">
            <v/>
          </cell>
          <cell r="F797">
            <v>0</v>
          </cell>
        </row>
        <row r="798">
          <cell r="B798">
            <v>0</v>
          </cell>
          <cell r="D798" t="str">
            <v/>
          </cell>
          <cell r="F798">
            <v>0</v>
          </cell>
        </row>
        <row r="799">
          <cell r="B799">
            <v>0</v>
          </cell>
          <cell r="D799" t="str">
            <v/>
          </cell>
          <cell r="F799">
            <v>0</v>
          </cell>
        </row>
        <row r="800">
          <cell r="B800">
            <v>0</v>
          </cell>
          <cell r="D800" t="str">
            <v/>
          </cell>
          <cell r="F800">
            <v>0</v>
          </cell>
        </row>
        <row r="801">
          <cell r="B801">
            <v>0</v>
          </cell>
          <cell r="D801" t="str">
            <v/>
          </cell>
          <cell r="F801">
            <v>0</v>
          </cell>
        </row>
        <row r="802">
          <cell r="B802">
            <v>0</v>
          </cell>
          <cell r="D802" t="str">
            <v/>
          </cell>
          <cell r="F802">
            <v>0</v>
          </cell>
        </row>
        <row r="803">
          <cell r="B803">
            <v>0</v>
          </cell>
          <cell r="D803" t="str">
            <v/>
          </cell>
          <cell r="F803">
            <v>0</v>
          </cell>
        </row>
        <row r="804">
          <cell r="B804">
            <v>0</v>
          </cell>
          <cell r="D804" t="str">
            <v/>
          </cell>
          <cell r="F804">
            <v>0</v>
          </cell>
        </row>
        <row r="805">
          <cell r="B805">
            <v>0</v>
          </cell>
          <cell r="D805" t="str">
            <v/>
          </cell>
          <cell r="F805">
            <v>0</v>
          </cell>
        </row>
        <row r="806">
          <cell r="B806">
            <v>0</v>
          </cell>
          <cell r="D806" t="str">
            <v/>
          </cell>
          <cell r="F806">
            <v>0</v>
          </cell>
        </row>
      </sheetData>
      <sheetData sheetId="1">
        <row r="2">
          <cell r="B2">
            <v>0</v>
          </cell>
          <cell r="E2">
            <v>0</v>
          </cell>
          <cell r="G2">
            <v>0</v>
          </cell>
        </row>
        <row r="4">
          <cell r="B4" t="str">
            <v>NGÀY</v>
          </cell>
          <cell r="E4" t="str">
            <v>TÊN HÀNG</v>
          </cell>
          <cell r="G4" t="str">
            <v xml:space="preserve">SL </v>
          </cell>
        </row>
        <row r="5">
          <cell r="B5">
            <v>44858</v>
          </cell>
          <cell r="E5" t="str">
            <v>HK 20 20 15 3M BAO TÍM</v>
          </cell>
          <cell r="G5">
            <v>300</v>
          </cell>
        </row>
        <row r="6">
          <cell r="B6">
            <v>0</v>
          </cell>
          <cell r="E6" t="str">
            <v/>
          </cell>
          <cell r="G6">
            <v>0</v>
          </cell>
        </row>
        <row r="7">
          <cell r="B7">
            <v>0</v>
          </cell>
          <cell r="E7" t="str">
            <v/>
          </cell>
          <cell r="G7">
            <v>0</v>
          </cell>
        </row>
        <row r="8">
          <cell r="B8">
            <v>0</v>
          </cell>
          <cell r="E8" t="str">
            <v/>
          </cell>
          <cell r="G8">
            <v>0</v>
          </cell>
        </row>
        <row r="9">
          <cell r="B9">
            <v>0</v>
          </cell>
          <cell r="E9" t="str">
            <v/>
          </cell>
          <cell r="G9">
            <v>0</v>
          </cell>
        </row>
        <row r="10">
          <cell r="B10">
            <v>0</v>
          </cell>
          <cell r="E10" t="str">
            <v/>
          </cell>
          <cell r="G10">
            <v>0</v>
          </cell>
        </row>
        <row r="11">
          <cell r="B11">
            <v>0</v>
          </cell>
          <cell r="E11" t="str">
            <v/>
          </cell>
          <cell r="G11">
            <v>0</v>
          </cell>
        </row>
        <row r="12">
          <cell r="B12">
            <v>0</v>
          </cell>
          <cell r="E12" t="str">
            <v/>
          </cell>
          <cell r="G12">
            <v>0</v>
          </cell>
        </row>
        <row r="13">
          <cell r="B13">
            <v>0</v>
          </cell>
          <cell r="E13" t="str">
            <v/>
          </cell>
          <cell r="G13">
            <v>0</v>
          </cell>
        </row>
        <row r="14">
          <cell r="B14">
            <v>0</v>
          </cell>
          <cell r="E14" t="str">
            <v/>
          </cell>
          <cell r="G14">
            <v>0</v>
          </cell>
        </row>
        <row r="15">
          <cell r="B15">
            <v>0</v>
          </cell>
          <cell r="E15" t="str">
            <v/>
          </cell>
          <cell r="G15">
            <v>0</v>
          </cell>
        </row>
        <row r="16">
          <cell r="B16">
            <v>0</v>
          </cell>
          <cell r="E16" t="str">
            <v/>
          </cell>
          <cell r="G16">
            <v>0</v>
          </cell>
        </row>
        <row r="17">
          <cell r="B17">
            <v>0</v>
          </cell>
          <cell r="E17" t="str">
            <v/>
          </cell>
          <cell r="G17">
            <v>0</v>
          </cell>
        </row>
        <row r="18">
          <cell r="B18">
            <v>0</v>
          </cell>
          <cell r="E18" t="str">
            <v/>
          </cell>
          <cell r="G18">
            <v>0</v>
          </cell>
        </row>
        <row r="19">
          <cell r="B19">
            <v>0</v>
          </cell>
          <cell r="E19" t="str">
            <v/>
          </cell>
          <cell r="G19">
            <v>0</v>
          </cell>
        </row>
        <row r="20">
          <cell r="B20">
            <v>0</v>
          </cell>
          <cell r="E20" t="str">
            <v/>
          </cell>
          <cell r="G20">
            <v>0</v>
          </cell>
        </row>
        <row r="21">
          <cell r="B21">
            <v>0</v>
          </cell>
          <cell r="E21" t="str">
            <v/>
          </cell>
          <cell r="G21">
            <v>0</v>
          </cell>
        </row>
        <row r="22">
          <cell r="B22">
            <v>0</v>
          </cell>
          <cell r="E22" t="str">
            <v/>
          </cell>
          <cell r="G22">
            <v>0</v>
          </cell>
        </row>
        <row r="23">
          <cell r="B23">
            <v>0</v>
          </cell>
          <cell r="E23" t="str">
            <v/>
          </cell>
          <cell r="G23">
            <v>0</v>
          </cell>
        </row>
        <row r="24">
          <cell r="B24">
            <v>0</v>
          </cell>
          <cell r="E24" t="str">
            <v/>
          </cell>
          <cell r="G24">
            <v>0</v>
          </cell>
        </row>
        <row r="25">
          <cell r="B25">
            <v>0</v>
          </cell>
          <cell r="E25" t="str">
            <v/>
          </cell>
          <cell r="G25">
            <v>0</v>
          </cell>
        </row>
        <row r="26">
          <cell r="B26">
            <v>0</v>
          </cell>
          <cell r="E26" t="str">
            <v/>
          </cell>
          <cell r="G26">
            <v>0</v>
          </cell>
        </row>
        <row r="27">
          <cell r="B27">
            <v>0</v>
          </cell>
          <cell r="E27" t="str">
            <v/>
          </cell>
          <cell r="G27">
            <v>0</v>
          </cell>
        </row>
        <row r="28">
          <cell r="B28">
            <v>0</v>
          </cell>
          <cell r="E28" t="str">
            <v/>
          </cell>
          <cell r="G28">
            <v>0</v>
          </cell>
        </row>
        <row r="29">
          <cell r="B29">
            <v>0</v>
          </cell>
          <cell r="E29" t="str">
            <v/>
          </cell>
          <cell r="G29">
            <v>0</v>
          </cell>
        </row>
        <row r="30">
          <cell r="B30">
            <v>0</v>
          </cell>
          <cell r="E30" t="str">
            <v/>
          </cell>
          <cell r="G30">
            <v>0</v>
          </cell>
        </row>
        <row r="31">
          <cell r="B31">
            <v>0</v>
          </cell>
          <cell r="E31" t="str">
            <v/>
          </cell>
          <cell r="G31">
            <v>0</v>
          </cell>
        </row>
        <row r="32">
          <cell r="B32">
            <v>0</v>
          </cell>
          <cell r="E32" t="str">
            <v/>
          </cell>
          <cell r="G32">
            <v>0</v>
          </cell>
        </row>
        <row r="33">
          <cell r="B33">
            <v>0</v>
          </cell>
          <cell r="E33" t="str">
            <v/>
          </cell>
          <cell r="G33">
            <v>0</v>
          </cell>
        </row>
        <row r="34">
          <cell r="B34">
            <v>0</v>
          </cell>
          <cell r="E34" t="str">
            <v/>
          </cell>
          <cell r="G34">
            <v>0</v>
          </cell>
        </row>
        <row r="35">
          <cell r="B35">
            <v>0</v>
          </cell>
          <cell r="E35" t="str">
            <v/>
          </cell>
          <cell r="G35">
            <v>0</v>
          </cell>
        </row>
        <row r="36">
          <cell r="B36">
            <v>0</v>
          </cell>
          <cell r="E36" t="str">
            <v/>
          </cell>
          <cell r="G36">
            <v>0</v>
          </cell>
        </row>
        <row r="37">
          <cell r="B37">
            <v>0</v>
          </cell>
          <cell r="E37" t="str">
            <v/>
          </cell>
          <cell r="G37">
            <v>0</v>
          </cell>
        </row>
        <row r="38">
          <cell r="B38">
            <v>0</v>
          </cell>
          <cell r="E38" t="str">
            <v/>
          </cell>
          <cell r="G38">
            <v>0</v>
          </cell>
        </row>
        <row r="39">
          <cell r="B39">
            <v>0</v>
          </cell>
          <cell r="E39" t="str">
            <v/>
          </cell>
          <cell r="G39">
            <v>0</v>
          </cell>
        </row>
        <row r="40">
          <cell r="B40">
            <v>0</v>
          </cell>
          <cell r="E40" t="str">
            <v/>
          </cell>
          <cell r="G40">
            <v>0</v>
          </cell>
        </row>
        <row r="41">
          <cell r="B41">
            <v>0</v>
          </cell>
          <cell r="E41" t="str">
            <v/>
          </cell>
          <cell r="G41">
            <v>0</v>
          </cell>
        </row>
        <row r="42">
          <cell r="B42">
            <v>0</v>
          </cell>
          <cell r="E42" t="str">
            <v/>
          </cell>
          <cell r="G42">
            <v>0</v>
          </cell>
        </row>
        <row r="43">
          <cell r="B43">
            <v>0</v>
          </cell>
          <cell r="E43" t="str">
            <v/>
          </cell>
          <cell r="G43">
            <v>0</v>
          </cell>
        </row>
        <row r="44">
          <cell r="B44">
            <v>0</v>
          </cell>
          <cell r="E44" t="str">
            <v/>
          </cell>
          <cell r="G44">
            <v>0</v>
          </cell>
        </row>
        <row r="45">
          <cell r="B45">
            <v>0</v>
          </cell>
          <cell r="E45" t="str">
            <v/>
          </cell>
          <cell r="G45">
            <v>0</v>
          </cell>
        </row>
        <row r="46">
          <cell r="B46">
            <v>0</v>
          </cell>
          <cell r="E46" t="str">
            <v/>
          </cell>
          <cell r="G46">
            <v>0</v>
          </cell>
        </row>
        <row r="47">
          <cell r="B47">
            <v>0</v>
          </cell>
          <cell r="E47" t="str">
            <v/>
          </cell>
          <cell r="G47">
            <v>0</v>
          </cell>
        </row>
        <row r="48">
          <cell r="B48">
            <v>0</v>
          </cell>
          <cell r="E48" t="str">
            <v/>
          </cell>
          <cell r="G48">
            <v>0</v>
          </cell>
        </row>
        <row r="49">
          <cell r="B49">
            <v>0</v>
          </cell>
          <cell r="E49" t="str">
            <v/>
          </cell>
          <cell r="G49">
            <v>0</v>
          </cell>
        </row>
        <row r="50">
          <cell r="B50">
            <v>0</v>
          </cell>
          <cell r="E50" t="str">
            <v/>
          </cell>
          <cell r="G50">
            <v>0</v>
          </cell>
        </row>
        <row r="51">
          <cell r="B51">
            <v>0</v>
          </cell>
          <cell r="E51" t="str">
            <v/>
          </cell>
          <cell r="G51">
            <v>0</v>
          </cell>
        </row>
        <row r="52">
          <cell r="B52">
            <v>0</v>
          </cell>
          <cell r="E52" t="str">
            <v/>
          </cell>
          <cell r="G52">
            <v>0</v>
          </cell>
        </row>
        <row r="53">
          <cell r="B53">
            <v>0</v>
          </cell>
          <cell r="E53" t="str">
            <v/>
          </cell>
          <cell r="G53">
            <v>0</v>
          </cell>
        </row>
        <row r="54">
          <cell r="B54">
            <v>0</v>
          </cell>
          <cell r="E54" t="str">
            <v/>
          </cell>
          <cell r="G54">
            <v>0</v>
          </cell>
        </row>
        <row r="55">
          <cell r="B55">
            <v>0</v>
          </cell>
          <cell r="E55" t="str">
            <v/>
          </cell>
          <cell r="G55">
            <v>0</v>
          </cell>
        </row>
        <row r="56">
          <cell r="B56">
            <v>0</v>
          </cell>
          <cell r="E56" t="str">
            <v/>
          </cell>
          <cell r="G56">
            <v>0</v>
          </cell>
        </row>
        <row r="57">
          <cell r="B57">
            <v>0</v>
          </cell>
          <cell r="E57" t="str">
            <v/>
          </cell>
          <cell r="G57">
            <v>0</v>
          </cell>
        </row>
        <row r="58">
          <cell r="B58">
            <v>0</v>
          </cell>
          <cell r="E58" t="str">
            <v/>
          </cell>
          <cell r="G58">
            <v>0</v>
          </cell>
        </row>
        <row r="59">
          <cell r="B59">
            <v>0</v>
          </cell>
          <cell r="E59" t="str">
            <v/>
          </cell>
          <cell r="G59">
            <v>0</v>
          </cell>
        </row>
        <row r="60">
          <cell r="B60">
            <v>0</v>
          </cell>
          <cell r="E60" t="str">
            <v/>
          </cell>
          <cell r="G60">
            <v>0</v>
          </cell>
        </row>
        <row r="61">
          <cell r="B61">
            <v>0</v>
          </cell>
          <cell r="E61" t="str">
            <v/>
          </cell>
          <cell r="G61">
            <v>0</v>
          </cell>
        </row>
        <row r="62">
          <cell r="B62">
            <v>0</v>
          </cell>
          <cell r="E62" t="str">
            <v/>
          </cell>
          <cell r="G62">
            <v>0</v>
          </cell>
        </row>
        <row r="63">
          <cell r="B63">
            <v>0</v>
          </cell>
          <cell r="E63" t="str">
            <v/>
          </cell>
          <cell r="G63">
            <v>0</v>
          </cell>
        </row>
        <row r="64">
          <cell r="B64">
            <v>0</v>
          </cell>
          <cell r="E64" t="str">
            <v/>
          </cell>
          <cell r="G64">
            <v>0</v>
          </cell>
        </row>
        <row r="65">
          <cell r="B65">
            <v>0</v>
          </cell>
          <cell r="E65" t="str">
            <v/>
          </cell>
          <cell r="G65">
            <v>0</v>
          </cell>
        </row>
        <row r="66">
          <cell r="B66">
            <v>0</v>
          </cell>
          <cell r="E66" t="str">
            <v/>
          </cell>
          <cell r="G66">
            <v>0</v>
          </cell>
        </row>
        <row r="67">
          <cell r="B67">
            <v>0</v>
          </cell>
          <cell r="E67" t="str">
            <v/>
          </cell>
          <cell r="G67">
            <v>0</v>
          </cell>
        </row>
        <row r="68">
          <cell r="B68">
            <v>0</v>
          </cell>
          <cell r="E68" t="str">
            <v/>
          </cell>
          <cell r="G68">
            <v>0</v>
          </cell>
        </row>
        <row r="69">
          <cell r="B69">
            <v>0</v>
          </cell>
          <cell r="E69" t="str">
            <v/>
          </cell>
          <cell r="G69">
            <v>0</v>
          </cell>
        </row>
        <row r="70">
          <cell r="B70">
            <v>0</v>
          </cell>
          <cell r="E70" t="str">
            <v/>
          </cell>
          <cell r="G70">
            <v>0</v>
          </cell>
        </row>
        <row r="71">
          <cell r="B71">
            <v>0</v>
          </cell>
          <cell r="E71" t="str">
            <v/>
          </cell>
          <cell r="G71">
            <v>0</v>
          </cell>
        </row>
        <row r="72">
          <cell r="B72">
            <v>0</v>
          </cell>
          <cell r="E72" t="str">
            <v/>
          </cell>
          <cell r="G72">
            <v>0</v>
          </cell>
        </row>
        <row r="73">
          <cell r="B73">
            <v>0</v>
          </cell>
          <cell r="E73" t="str">
            <v/>
          </cell>
          <cell r="G73">
            <v>0</v>
          </cell>
        </row>
        <row r="74">
          <cell r="B74">
            <v>0</v>
          </cell>
          <cell r="E74" t="str">
            <v/>
          </cell>
          <cell r="G74">
            <v>0</v>
          </cell>
        </row>
        <row r="75">
          <cell r="B75">
            <v>0</v>
          </cell>
          <cell r="E75" t="str">
            <v/>
          </cell>
          <cell r="G75">
            <v>0</v>
          </cell>
        </row>
        <row r="76">
          <cell r="B76">
            <v>0</v>
          </cell>
          <cell r="E76" t="str">
            <v/>
          </cell>
          <cell r="G76">
            <v>0</v>
          </cell>
        </row>
        <row r="77">
          <cell r="B77">
            <v>0</v>
          </cell>
          <cell r="E77" t="str">
            <v/>
          </cell>
          <cell r="G77">
            <v>0</v>
          </cell>
        </row>
        <row r="78">
          <cell r="B78">
            <v>0</v>
          </cell>
          <cell r="E78" t="str">
            <v/>
          </cell>
          <cell r="G78">
            <v>0</v>
          </cell>
        </row>
        <row r="79">
          <cell r="B79">
            <v>0</v>
          </cell>
          <cell r="E79" t="str">
            <v/>
          </cell>
          <cell r="G79">
            <v>0</v>
          </cell>
        </row>
        <row r="80">
          <cell r="B80">
            <v>0</v>
          </cell>
          <cell r="E80" t="str">
            <v/>
          </cell>
          <cell r="G80">
            <v>0</v>
          </cell>
        </row>
        <row r="81">
          <cell r="B81">
            <v>0</v>
          </cell>
          <cell r="E81" t="str">
            <v/>
          </cell>
          <cell r="G81">
            <v>0</v>
          </cell>
        </row>
        <row r="82">
          <cell r="B82">
            <v>0</v>
          </cell>
          <cell r="E82" t="str">
            <v/>
          </cell>
          <cell r="G82">
            <v>0</v>
          </cell>
        </row>
        <row r="83">
          <cell r="B83">
            <v>0</v>
          </cell>
          <cell r="E83" t="str">
            <v/>
          </cell>
          <cell r="G83">
            <v>0</v>
          </cell>
        </row>
        <row r="84">
          <cell r="B84">
            <v>0</v>
          </cell>
          <cell r="E84" t="str">
            <v/>
          </cell>
          <cell r="G84">
            <v>0</v>
          </cell>
        </row>
        <row r="85">
          <cell r="B85">
            <v>0</v>
          </cell>
          <cell r="E85" t="str">
            <v/>
          </cell>
          <cell r="G85">
            <v>0</v>
          </cell>
        </row>
        <row r="86">
          <cell r="B86">
            <v>0</v>
          </cell>
          <cell r="E86" t="str">
            <v/>
          </cell>
          <cell r="G86">
            <v>0</v>
          </cell>
        </row>
        <row r="87">
          <cell r="B87">
            <v>0</v>
          </cell>
          <cell r="E87" t="str">
            <v/>
          </cell>
          <cell r="G87">
            <v>0</v>
          </cell>
        </row>
        <row r="88">
          <cell r="B88">
            <v>0</v>
          </cell>
          <cell r="E88" t="str">
            <v/>
          </cell>
          <cell r="G88">
            <v>0</v>
          </cell>
        </row>
        <row r="89">
          <cell r="B89">
            <v>0</v>
          </cell>
          <cell r="E89" t="str">
            <v/>
          </cell>
          <cell r="G89">
            <v>0</v>
          </cell>
        </row>
        <row r="90">
          <cell r="B90">
            <v>0</v>
          </cell>
          <cell r="E90" t="str">
            <v/>
          </cell>
          <cell r="G90">
            <v>0</v>
          </cell>
        </row>
        <row r="91">
          <cell r="B91">
            <v>0</v>
          </cell>
          <cell r="E91" t="str">
            <v/>
          </cell>
          <cell r="G91">
            <v>0</v>
          </cell>
        </row>
        <row r="92">
          <cell r="B92">
            <v>0</v>
          </cell>
          <cell r="E92" t="str">
            <v/>
          </cell>
          <cell r="G92">
            <v>0</v>
          </cell>
        </row>
        <row r="93">
          <cell r="B93">
            <v>0</v>
          </cell>
          <cell r="E93" t="str">
            <v/>
          </cell>
          <cell r="G93">
            <v>0</v>
          </cell>
        </row>
        <row r="94">
          <cell r="B94">
            <v>0</v>
          </cell>
          <cell r="E94" t="str">
            <v/>
          </cell>
          <cell r="G94">
            <v>0</v>
          </cell>
        </row>
        <row r="95">
          <cell r="B95">
            <v>0</v>
          </cell>
          <cell r="E95" t="str">
            <v/>
          </cell>
          <cell r="G95">
            <v>0</v>
          </cell>
        </row>
        <row r="96">
          <cell r="B96">
            <v>0</v>
          </cell>
          <cell r="E96" t="str">
            <v/>
          </cell>
          <cell r="G96">
            <v>0</v>
          </cell>
        </row>
        <row r="97">
          <cell r="B97">
            <v>0</v>
          </cell>
          <cell r="E97" t="str">
            <v/>
          </cell>
          <cell r="G97">
            <v>0</v>
          </cell>
        </row>
        <row r="98">
          <cell r="B98">
            <v>0</v>
          </cell>
          <cell r="E98" t="str">
            <v/>
          </cell>
          <cell r="G98">
            <v>0</v>
          </cell>
        </row>
        <row r="99">
          <cell r="B99">
            <v>0</v>
          </cell>
          <cell r="E99" t="str">
            <v/>
          </cell>
          <cell r="G99">
            <v>0</v>
          </cell>
        </row>
        <row r="100">
          <cell r="B100">
            <v>0</v>
          </cell>
          <cell r="E100" t="str">
            <v/>
          </cell>
          <cell r="G100">
            <v>0</v>
          </cell>
        </row>
        <row r="101">
          <cell r="B101">
            <v>0</v>
          </cell>
          <cell r="E101" t="str">
            <v/>
          </cell>
          <cell r="G101">
            <v>0</v>
          </cell>
        </row>
        <row r="102">
          <cell r="B102">
            <v>0</v>
          </cell>
          <cell r="E102" t="str">
            <v/>
          </cell>
          <cell r="G102">
            <v>0</v>
          </cell>
        </row>
        <row r="103">
          <cell r="B103">
            <v>0</v>
          </cell>
          <cell r="E103" t="str">
            <v/>
          </cell>
          <cell r="G103">
            <v>0</v>
          </cell>
        </row>
        <row r="104">
          <cell r="B104">
            <v>0</v>
          </cell>
          <cell r="E104" t="str">
            <v/>
          </cell>
          <cell r="G104">
            <v>0</v>
          </cell>
        </row>
        <row r="105">
          <cell r="B105">
            <v>0</v>
          </cell>
          <cell r="E105" t="str">
            <v/>
          </cell>
          <cell r="G105">
            <v>0</v>
          </cell>
        </row>
        <row r="106">
          <cell r="B106">
            <v>0</v>
          </cell>
          <cell r="E106" t="str">
            <v/>
          </cell>
          <cell r="G106">
            <v>0</v>
          </cell>
        </row>
        <row r="107">
          <cell r="B107">
            <v>0</v>
          </cell>
          <cell r="E107" t="str">
            <v/>
          </cell>
          <cell r="G107">
            <v>0</v>
          </cell>
        </row>
        <row r="108">
          <cell r="B108">
            <v>0</v>
          </cell>
          <cell r="E108" t="str">
            <v/>
          </cell>
          <cell r="G108">
            <v>0</v>
          </cell>
        </row>
        <row r="109">
          <cell r="B109">
            <v>0</v>
          </cell>
          <cell r="E109" t="str">
            <v/>
          </cell>
          <cell r="G109">
            <v>0</v>
          </cell>
        </row>
        <row r="110">
          <cell r="B110">
            <v>0</v>
          </cell>
          <cell r="E110" t="str">
            <v/>
          </cell>
          <cell r="G110">
            <v>0</v>
          </cell>
        </row>
        <row r="111">
          <cell r="B111">
            <v>0</v>
          </cell>
          <cell r="E111" t="str">
            <v/>
          </cell>
          <cell r="G111">
            <v>0</v>
          </cell>
        </row>
        <row r="112">
          <cell r="B112">
            <v>0</v>
          </cell>
          <cell r="E112" t="str">
            <v/>
          </cell>
          <cell r="G112">
            <v>0</v>
          </cell>
        </row>
        <row r="113">
          <cell r="B113">
            <v>0</v>
          </cell>
          <cell r="E113" t="str">
            <v/>
          </cell>
          <cell r="G113">
            <v>0</v>
          </cell>
        </row>
        <row r="114">
          <cell r="B114">
            <v>0</v>
          </cell>
          <cell r="E114" t="str">
            <v/>
          </cell>
          <cell r="G114">
            <v>0</v>
          </cell>
        </row>
        <row r="115">
          <cell r="B115">
            <v>0</v>
          </cell>
          <cell r="E115" t="str">
            <v/>
          </cell>
          <cell r="G115">
            <v>0</v>
          </cell>
        </row>
        <row r="116">
          <cell r="B116">
            <v>0</v>
          </cell>
          <cell r="E116" t="str">
            <v/>
          </cell>
          <cell r="G116">
            <v>0</v>
          </cell>
        </row>
        <row r="117">
          <cell r="B117">
            <v>0</v>
          </cell>
          <cell r="E117" t="str">
            <v/>
          </cell>
          <cell r="G117">
            <v>0</v>
          </cell>
        </row>
        <row r="118">
          <cell r="B118">
            <v>0</v>
          </cell>
          <cell r="E118" t="str">
            <v/>
          </cell>
          <cell r="G118">
            <v>0</v>
          </cell>
        </row>
        <row r="119">
          <cell r="B119">
            <v>0</v>
          </cell>
          <cell r="E119" t="str">
            <v/>
          </cell>
          <cell r="G119">
            <v>0</v>
          </cell>
        </row>
        <row r="120">
          <cell r="B120">
            <v>0</v>
          </cell>
          <cell r="E120" t="str">
            <v/>
          </cell>
          <cell r="G120">
            <v>0</v>
          </cell>
        </row>
        <row r="121">
          <cell r="B121">
            <v>0</v>
          </cell>
          <cell r="E121" t="str">
            <v/>
          </cell>
          <cell r="G121">
            <v>0</v>
          </cell>
        </row>
        <row r="122">
          <cell r="B122">
            <v>0</v>
          </cell>
          <cell r="E122" t="str">
            <v/>
          </cell>
          <cell r="G122">
            <v>0</v>
          </cell>
        </row>
        <row r="123">
          <cell r="B123">
            <v>0</v>
          </cell>
          <cell r="E123" t="str">
            <v/>
          </cell>
          <cell r="G123">
            <v>0</v>
          </cell>
        </row>
        <row r="124">
          <cell r="B124">
            <v>0</v>
          </cell>
          <cell r="E124" t="str">
            <v/>
          </cell>
          <cell r="G124">
            <v>0</v>
          </cell>
        </row>
        <row r="125">
          <cell r="B125">
            <v>0</v>
          </cell>
          <cell r="E125" t="str">
            <v/>
          </cell>
          <cell r="G125">
            <v>0</v>
          </cell>
        </row>
        <row r="126">
          <cell r="B126">
            <v>0</v>
          </cell>
          <cell r="E126" t="str">
            <v/>
          </cell>
          <cell r="G126">
            <v>0</v>
          </cell>
        </row>
        <row r="127">
          <cell r="B127">
            <v>0</v>
          </cell>
          <cell r="E127" t="str">
            <v/>
          </cell>
          <cell r="G127">
            <v>0</v>
          </cell>
        </row>
        <row r="128">
          <cell r="B128">
            <v>0</v>
          </cell>
          <cell r="E128" t="str">
            <v/>
          </cell>
          <cell r="G128">
            <v>0</v>
          </cell>
        </row>
        <row r="129">
          <cell r="B129">
            <v>0</v>
          </cell>
          <cell r="E129" t="str">
            <v/>
          </cell>
          <cell r="G129">
            <v>0</v>
          </cell>
        </row>
        <row r="130">
          <cell r="B130">
            <v>0</v>
          </cell>
          <cell r="E130" t="str">
            <v/>
          </cell>
          <cell r="G130">
            <v>0</v>
          </cell>
        </row>
        <row r="131">
          <cell r="B131">
            <v>0</v>
          </cell>
          <cell r="E131" t="str">
            <v/>
          </cell>
          <cell r="G131">
            <v>0</v>
          </cell>
        </row>
        <row r="132">
          <cell r="B132">
            <v>0</v>
          </cell>
          <cell r="E132" t="str">
            <v/>
          </cell>
          <cell r="G132">
            <v>0</v>
          </cell>
        </row>
        <row r="133">
          <cell r="B133">
            <v>0</v>
          </cell>
          <cell r="E133" t="str">
            <v/>
          </cell>
          <cell r="G133">
            <v>0</v>
          </cell>
        </row>
        <row r="134">
          <cell r="B134">
            <v>0</v>
          </cell>
          <cell r="E134" t="str">
            <v/>
          </cell>
          <cell r="G134">
            <v>0</v>
          </cell>
        </row>
        <row r="135">
          <cell r="B135">
            <v>0</v>
          </cell>
          <cell r="E135" t="str">
            <v/>
          </cell>
          <cell r="G135">
            <v>0</v>
          </cell>
        </row>
        <row r="136">
          <cell r="B136">
            <v>0</v>
          </cell>
          <cell r="E136" t="str">
            <v/>
          </cell>
          <cell r="G136">
            <v>0</v>
          </cell>
        </row>
        <row r="137">
          <cell r="B137">
            <v>0</v>
          </cell>
          <cell r="E137" t="str">
            <v/>
          </cell>
          <cell r="G137">
            <v>0</v>
          </cell>
        </row>
        <row r="138">
          <cell r="B138">
            <v>0</v>
          </cell>
          <cell r="E138" t="str">
            <v/>
          </cell>
          <cell r="G138">
            <v>0</v>
          </cell>
        </row>
        <row r="139">
          <cell r="B139">
            <v>0</v>
          </cell>
          <cell r="E139" t="str">
            <v/>
          </cell>
          <cell r="G139">
            <v>0</v>
          </cell>
        </row>
        <row r="140">
          <cell r="B140">
            <v>0</v>
          </cell>
          <cell r="E140" t="str">
            <v/>
          </cell>
          <cell r="G140">
            <v>0</v>
          </cell>
        </row>
        <row r="141">
          <cell r="B141">
            <v>0</v>
          </cell>
          <cell r="E141" t="str">
            <v/>
          </cell>
          <cell r="G141">
            <v>0</v>
          </cell>
        </row>
        <row r="142">
          <cell r="B142">
            <v>0</v>
          </cell>
          <cell r="E142" t="str">
            <v/>
          </cell>
          <cell r="G142">
            <v>0</v>
          </cell>
        </row>
        <row r="143">
          <cell r="B143">
            <v>0</v>
          </cell>
          <cell r="E143" t="str">
            <v/>
          </cell>
          <cell r="G143">
            <v>0</v>
          </cell>
        </row>
        <row r="144">
          <cell r="B144">
            <v>0</v>
          </cell>
          <cell r="E144" t="str">
            <v/>
          </cell>
          <cell r="G144">
            <v>0</v>
          </cell>
        </row>
        <row r="145">
          <cell r="B145">
            <v>0</v>
          </cell>
          <cell r="E145" t="str">
            <v/>
          </cell>
          <cell r="G145">
            <v>0</v>
          </cell>
        </row>
        <row r="146">
          <cell r="B146">
            <v>0</v>
          </cell>
          <cell r="E146" t="str">
            <v/>
          </cell>
          <cell r="G146">
            <v>0</v>
          </cell>
        </row>
        <row r="147">
          <cell r="B147">
            <v>0</v>
          </cell>
          <cell r="E147" t="str">
            <v/>
          </cell>
          <cell r="G147">
            <v>0</v>
          </cell>
        </row>
        <row r="148">
          <cell r="B148">
            <v>0</v>
          </cell>
          <cell r="E148" t="str">
            <v/>
          </cell>
          <cell r="G148">
            <v>0</v>
          </cell>
        </row>
        <row r="149">
          <cell r="B149">
            <v>0</v>
          </cell>
          <cell r="E149" t="str">
            <v/>
          </cell>
          <cell r="G149">
            <v>0</v>
          </cell>
        </row>
        <row r="150">
          <cell r="B150">
            <v>0</v>
          </cell>
          <cell r="E150" t="str">
            <v/>
          </cell>
          <cell r="G150">
            <v>0</v>
          </cell>
        </row>
        <row r="151">
          <cell r="B151">
            <v>0</v>
          </cell>
          <cell r="E151" t="str">
            <v/>
          </cell>
          <cell r="G151">
            <v>0</v>
          </cell>
        </row>
        <row r="152">
          <cell r="B152">
            <v>0</v>
          </cell>
          <cell r="E152" t="str">
            <v/>
          </cell>
          <cell r="G152">
            <v>0</v>
          </cell>
        </row>
        <row r="153">
          <cell r="B153">
            <v>0</v>
          </cell>
          <cell r="E153" t="str">
            <v/>
          </cell>
          <cell r="G153">
            <v>0</v>
          </cell>
        </row>
        <row r="154">
          <cell r="B154">
            <v>0</v>
          </cell>
          <cell r="E154" t="str">
            <v/>
          </cell>
          <cell r="G154">
            <v>0</v>
          </cell>
        </row>
        <row r="155">
          <cell r="B155">
            <v>0</v>
          </cell>
          <cell r="E155" t="str">
            <v/>
          </cell>
          <cell r="G155">
            <v>0</v>
          </cell>
        </row>
        <row r="156">
          <cell r="B156">
            <v>0</v>
          </cell>
          <cell r="E156" t="str">
            <v/>
          </cell>
          <cell r="G156">
            <v>0</v>
          </cell>
        </row>
        <row r="157">
          <cell r="B157">
            <v>0</v>
          </cell>
          <cell r="E157" t="str">
            <v/>
          </cell>
          <cell r="G157">
            <v>0</v>
          </cell>
        </row>
        <row r="158">
          <cell r="B158">
            <v>0</v>
          </cell>
          <cell r="E158" t="str">
            <v/>
          </cell>
          <cell r="G158">
            <v>0</v>
          </cell>
        </row>
        <row r="159">
          <cell r="B159">
            <v>0</v>
          </cell>
          <cell r="E159" t="str">
            <v/>
          </cell>
          <cell r="G159">
            <v>0</v>
          </cell>
        </row>
        <row r="160">
          <cell r="B160">
            <v>0</v>
          </cell>
          <cell r="E160" t="str">
            <v/>
          </cell>
          <cell r="G160">
            <v>0</v>
          </cell>
        </row>
        <row r="161">
          <cell r="B161">
            <v>0</v>
          </cell>
          <cell r="E161" t="str">
            <v/>
          </cell>
          <cell r="G161">
            <v>0</v>
          </cell>
        </row>
        <row r="162">
          <cell r="B162">
            <v>0</v>
          </cell>
          <cell r="E162" t="str">
            <v/>
          </cell>
          <cell r="G162">
            <v>0</v>
          </cell>
        </row>
        <row r="163">
          <cell r="B163">
            <v>0</v>
          </cell>
          <cell r="E163" t="str">
            <v/>
          </cell>
          <cell r="G163">
            <v>0</v>
          </cell>
        </row>
        <row r="164">
          <cell r="B164">
            <v>0</v>
          </cell>
          <cell r="E164" t="str">
            <v/>
          </cell>
          <cell r="G164">
            <v>0</v>
          </cell>
        </row>
        <row r="165">
          <cell r="B165">
            <v>0</v>
          </cell>
          <cell r="E165" t="str">
            <v/>
          </cell>
          <cell r="G165">
            <v>0</v>
          </cell>
        </row>
        <row r="166">
          <cell r="B166">
            <v>0</v>
          </cell>
          <cell r="E166" t="str">
            <v/>
          </cell>
          <cell r="G166">
            <v>0</v>
          </cell>
        </row>
        <row r="167">
          <cell r="B167">
            <v>0</v>
          </cell>
          <cell r="E167" t="str">
            <v/>
          </cell>
          <cell r="G167">
            <v>0</v>
          </cell>
        </row>
        <row r="168">
          <cell r="B168">
            <v>0</v>
          </cell>
          <cell r="E168" t="str">
            <v/>
          </cell>
          <cell r="G168">
            <v>0</v>
          </cell>
        </row>
        <row r="169">
          <cell r="B169">
            <v>0</v>
          </cell>
          <cell r="E169" t="str">
            <v/>
          </cell>
          <cell r="G169">
            <v>0</v>
          </cell>
        </row>
        <row r="170">
          <cell r="B170">
            <v>0</v>
          </cell>
          <cell r="E170" t="str">
            <v/>
          </cell>
          <cell r="G170">
            <v>0</v>
          </cell>
        </row>
        <row r="171">
          <cell r="B171">
            <v>0</v>
          </cell>
          <cell r="E171" t="str">
            <v/>
          </cell>
          <cell r="G171">
            <v>0</v>
          </cell>
        </row>
        <row r="172">
          <cell r="B172">
            <v>0</v>
          </cell>
          <cell r="E172" t="str">
            <v/>
          </cell>
          <cell r="G172">
            <v>0</v>
          </cell>
        </row>
        <row r="173">
          <cell r="B173">
            <v>0</v>
          </cell>
          <cell r="E173" t="str">
            <v/>
          </cell>
          <cell r="G173">
            <v>0</v>
          </cell>
        </row>
        <row r="174">
          <cell r="B174">
            <v>0</v>
          </cell>
          <cell r="E174" t="str">
            <v/>
          </cell>
          <cell r="G174">
            <v>0</v>
          </cell>
        </row>
        <row r="175">
          <cell r="B175">
            <v>0</v>
          </cell>
          <cell r="E175" t="str">
            <v/>
          </cell>
          <cell r="G175">
            <v>0</v>
          </cell>
        </row>
        <row r="176">
          <cell r="B176">
            <v>0</v>
          </cell>
          <cell r="E176" t="str">
            <v/>
          </cell>
          <cell r="G176">
            <v>0</v>
          </cell>
        </row>
        <row r="177">
          <cell r="B177">
            <v>0</v>
          </cell>
          <cell r="E177" t="str">
            <v/>
          </cell>
          <cell r="G177">
            <v>0</v>
          </cell>
        </row>
        <row r="178">
          <cell r="B178">
            <v>0</v>
          </cell>
          <cell r="E178" t="str">
            <v/>
          </cell>
          <cell r="G178">
            <v>0</v>
          </cell>
        </row>
        <row r="179">
          <cell r="B179">
            <v>0</v>
          </cell>
          <cell r="E179" t="str">
            <v/>
          </cell>
          <cell r="G179">
            <v>0</v>
          </cell>
        </row>
        <row r="180">
          <cell r="B180">
            <v>0</v>
          </cell>
          <cell r="E180" t="str">
            <v/>
          </cell>
          <cell r="G180">
            <v>0</v>
          </cell>
        </row>
        <row r="181">
          <cell r="B181">
            <v>0</v>
          </cell>
          <cell r="E181" t="str">
            <v/>
          </cell>
          <cell r="G181">
            <v>0</v>
          </cell>
        </row>
        <row r="182">
          <cell r="B182">
            <v>0</v>
          </cell>
          <cell r="E182" t="str">
            <v/>
          </cell>
          <cell r="G182">
            <v>0</v>
          </cell>
        </row>
        <row r="183">
          <cell r="B183">
            <v>0</v>
          </cell>
          <cell r="E183" t="str">
            <v/>
          </cell>
          <cell r="G183">
            <v>0</v>
          </cell>
        </row>
        <row r="184">
          <cell r="B184">
            <v>0</v>
          </cell>
          <cell r="E184" t="str">
            <v/>
          </cell>
          <cell r="G184">
            <v>0</v>
          </cell>
        </row>
        <row r="185">
          <cell r="B185">
            <v>0</v>
          </cell>
          <cell r="E185" t="str">
            <v/>
          </cell>
          <cell r="G185">
            <v>0</v>
          </cell>
        </row>
        <row r="186">
          <cell r="B186">
            <v>0</v>
          </cell>
          <cell r="E186" t="str">
            <v/>
          </cell>
          <cell r="G186">
            <v>0</v>
          </cell>
        </row>
        <row r="187">
          <cell r="B187">
            <v>0</v>
          </cell>
          <cell r="E187" t="str">
            <v/>
          </cell>
          <cell r="G187">
            <v>0</v>
          </cell>
        </row>
        <row r="188">
          <cell r="B188">
            <v>0</v>
          </cell>
          <cell r="E188" t="str">
            <v/>
          </cell>
          <cell r="G188">
            <v>0</v>
          </cell>
        </row>
        <row r="189">
          <cell r="B189">
            <v>0</v>
          </cell>
          <cell r="E189" t="str">
            <v/>
          </cell>
          <cell r="G189">
            <v>0</v>
          </cell>
        </row>
        <row r="190">
          <cell r="B190">
            <v>0</v>
          </cell>
          <cell r="E190" t="str">
            <v/>
          </cell>
          <cell r="G190">
            <v>0</v>
          </cell>
        </row>
        <row r="191">
          <cell r="B191">
            <v>0</v>
          </cell>
          <cell r="E191" t="str">
            <v/>
          </cell>
          <cell r="G191">
            <v>0</v>
          </cell>
        </row>
        <row r="192">
          <cell r="B192">
            <v>0</v>
          </cell>
          <cell r="E192" t="str">
            <v/>
          </cell>
          <cell r="G192">
            <v>0</v>
          </cell>
        </row>
        <row r="193">
          <cell r="B193">
            <v>0</v>
          </cell>
          <cell r="E193" t="str">
            <v/>
          </cell>
          <cell r="G193">
            <v>0</v>
          </cell>
        </row>
        <row r="194">
          <cell r="B194">
            <v>0</v>
          </cell>
          <cell r="E194" t="str">
            <v/>
          </cell>
          <cell r="G194">
            <v>0</v>
          </cell>
        </row>
        <row r="195">
          <cell r="B195">
            <v>0</v>
          </cell>
          <cell r="E195" t="str">
            <v/>
          </cell>
          <cell r="G195">
            <v>0</v>
          </cell>
        </row>
        <row r="196">
          <cell r="B196">
            <v>0</v>
          </cell>
          <cell r="E196" t="str">
            <v/>
          </cell>
          <cell r="G196">
            <v>0</v>
          </cell>
        </row>
        <row r="197">
          <cell r="B197">
            <v>0</v>
          </cell>
          <cell r="E197" t="str">
            <v/>
          </cell>
          <cell r="G197">
            <v>0</v>
          </cell>
        </row>
        <row r="198">
          <cell r="B198">
            <v>0</v>
          </cell>
          <cell r="E198" t="str">
            <v/>
          </cell>
          <cell r="G198">
            <v>0</v>
          </cell>
        </row>
        <row r="199">
          <cell r="B199">
            <v>0</v>
          </cell>
          <cell r="E199" t="str">
            <v/>
          </cell>
          <cell r="G199">
            <v>0</v>
          </cell>
        </row>
        <row r="200">
          <cell r="B200">
            <v>0</v>
          </cell>
          <cell r="E200" t="str">
            <v/>
          </cell>
          <cell r="G200">
            <v>0</v>
          </cell>
        </row>
        <row r="201">
          <cell r="B201">
            <v>0</v>
          </cell>
          <cell r="E201" t="str">
            <v/>
          </cell>
          <cell r="G201">
            <v>0</v>
          </cell>
        </row>
        <row r="202">
          <cell r="B202">
            <v>0</v>
          </cell>
          <cell r="E202" t="str">
            <v/>
          </cell>
          <cell r="G202">
            <v>0</v>
          </cell>
        </row>
        <row r="203">
          <cell r="B203">
            <v>0</v>
          </cell>
          <cell r="E203" t="str">
            <v/>
          </cell>
          <cell r="G203">
            <v>0</v>
          </cell>
        </row>
        <row r="204">
          <cell r="B204">
            <v>0</v>
          </cell>
          <cell r="E204" t="str">
            <v/>
          </cell>
          <cell r="G204">
            <v>0</v>
          </cell>
        </row>
        <row r="205">
          <cell r="B205">
            <v>0</v>
          </cell>
          <cell r="E205" t="str">
            <v/>
          </cell>
          <cell r="G205">
            <v>0</v>
          </cell>
        </row>
        <row r="206">
          <cell r="B206">
            <v>0</v>
          </cell>
          <cell r="E206" t="str">
            <v/>
          </cell>
          <cell r="G206">
            <v>0</v>
          </cell>
        </row>
        <row r="207">
          <cell r="B207">
            <v>0</v>
          </cell>
          <cell r="E207" t="str">
            <v/>
          </cell>
          <cell r="G207">
            <v>0</v>
          </cell>
        </row>
        <row r="208">
          <cell r="B208">
            <v>0</v>
          </cell>
          <cell r="E208" t="str">
            <v/>
          </cell>
          <cell r="G208">
            <v>0</v>
          </cell>
        </row>
        <row r="209">
          <cell r="B209">
            <v>0</v>
          </cell>
          <cell r="E209" t="str">
            <v/>
          </cell>
          <cell r="G209">
            <v>0</v>
          </cell>
        </row>
        <row r="210">
          <cell r="B210">
            <v>0</v>
          </cell>
          <cell r="E210" t="str">
            <v/>
          </cell>
          <cell r="G210">
            <v>0</v>
          </cell>
        </row>
        <row r="211">
          <cell r="B211">
            <v>0</v>
          </cell>
          <cell r="E211" t="str">
            <v/>
          </cell>
          <cell r="G211">
            <v>0</v>
          </cell>
        </row>
        <row r="212">
          <cell r="B212">
            <v>0</v>
          </cell>
          <cell r="E212" t="str">
            <v/>
          </cell>
          <cell r="G212">
            <v>0</v>
          </cell>
        </row>
        <row r="213">
          <cell r="B213">
            <v>0</v>
          </cell>
          <cell r="E213" t="str">
            <v/>
          </cell>
          <cell r="G213">
            <v>0</v>
          </cell>
        </row>
        <row r="214">
          <cell r="B214">
            <v>0</v>
          </cell>
          <cell r="E214" t="str">
            <v/>
          </cell>
          <cell r="G214">
            <v>0</v>
          </cell>
        </row>
        <row r="215">
          <cell r="B215">
            <v>0</v>
          </cell>
          <cell r="E215" t="str">
            <v/>
          </cell>
          <cell r="G215">
            <v>0</v>
          </cell>
        </row>
        <row r="216">
          <cell r="B216">
            <v>0</v>
          </cell>
          <cell r="E216" t="str">
            <v/>
          </cell>
          <cell r="G216">
            <v>0</v>
          </cell>
        </row>
        <row r="217">
          <cell r="B217">
            <v>0</v>
          </cell>
          <cell r="E217" t="str">
            <v/>
          </cell>
          <cell r="G217">
            <v>0</v>
          </cell>
        </row>
        <row r="218">
          <cell r="B218">
            <v>0</v>
          </cell>
          <cell r="E218" t="str">
            <v/>
          </cell>
          <cell r="G218">
            <v>0</v>
          </cell>
        </row>
        <row r="219">
          <cell r="B219">
            <v>0</v>
          </cell>
          <cell r="E219" t="str">
            <v/>
          </cell>
          <cell r="G219">
            <v>0</v>
          </cell>
        </row>
        <row r="220">
          <cell r="B220">
            <v>0</v>
          </cell>
          <cell r="E220" t="str">
            <v/>
          </cell>
          <cell r="G220">
            <v>0</v>
          </cell>
        </row>
        <row r="221">
          <cell r="B221">
            <v>0</v>
          </cell>
          <cell r="E221" t="str">
            <v/>
          </cell>
          <cell r="G221">
            <v>0</v>
          </cell>
        </row>
        <row r="222">
          <cell r="B222">
            <v>0</v>
          </cell>
          <cell r="E222" t="str">
            <v/>
          </cell>
          <cell r="G222">
            <v>0</v>
          </cell>
        </row>
        <row r="223">
          <cell r="B223">
            <v>0</v>
          </cell>
          <cell r="E223" t="str">
            <v/>
          </cell>
          <cell r="G223">
            <v>0</v>
          </cell>
        </row>
        <row r="224">
          <cell r="B224">
            <v>0</v>
          </cell>
          <cell r="E224" t="str">
            <v/>
          </cell>
          <cell r="G224">
            <v>0</v>
          </cell>
        </row>
        <row r="225">
          <cell r="B225">
            <v>0</v>
          </cell>
          <cell r="E225" t="str">
            <v/>
          </cell>
          <cell r="G225">
            <v>0</v>
          </cell>
        </row>
        <row r="226">
          <cell r="B226">
            <v>0</v>
          </cell>
          <cell r="E226" t="str">
            <v/>
          </cell>
          <cell r="G226">
            <v>0</v>
          </cell>
        </row>
        <row r="227">
          <cell r="B227">
            <v>0</v>
          </cell>
          <cell r="E227" t="str">
            <v/>
          </cell>
          <cell r="G227">
            <v>0</v>
          </cell>
        </row>
        <row r="228">
          <cell r="B228">
            <v>0</v>
          </cell>
          <cell r="E228" t="str">
            <v/>
          </cell>
          <cell r="G228">
            <v>0</v>
          </cell>
        </row>
        <row r="229">
          <cell r="B229">
            <v>0</v>
          </cell>
          <cell r="E229" t="str">
            <v/>
          </cell>
          <cell r="G229">
            <v>0</v>
          </cell>
        </row>
        <row r="230">
          <cell r="B230">
            <v>0</v>
          </cell>
          <cell r="E230" t="str">
            <v/>
          </cell>
          <cell r="G230">
            <v>0</v>
          </cell>
        </row>
        <row r="231">
          <cell r="B231">
            <v>0</v>
          </cell>
          <cell r="E231" t="str">
            <v/>
          </cell>
          <cell r="G231">
            <v>0</v>
          </cell>
        </row>
        <row r="232">
          <cell r="B232">
            <v>0</v>
          </cell>
          <cell r="E232" t="str">
            <v/>
          </cell>
          <cell r="G232">
            <v>0</v>
          </cell>
        </row>
        <row r="233">
          <cell r="B233">
            <v>0</v>
          </cell>
          <cell r="E233" t="str">
            <v/>
          </cell>
          <cell r="G233">
            <v>0</v>
          </cell>
        </row>
        <row r="234">
          <cell r="B234">
            <v>0</v>
          </cell>
          <cell r="E234" t="str">
            <v/>
          </cell>
          <cell r="G234">
            <v>0</v>
          </cell>
        </row>
        <row r="235">
          <cell r="B235">
            <v>0</v>
          </cell>
          <cell r="E235" t="str">
            <v/>
          </cell>
          <cell r="G235">
            <v>0</v>
          </cell>
        </row>
        <row r="236">
          <cell r="B236">
            <v>0</v>
          </cell>
          <cell r="E236" t="str">
            <v/>
          </cell>
          <cell r="G236">
            <v>0</v>
          </cell>
        </row>
        <row r="237">
          <cell r="B237">
            <v>0</v>
          </cell>
          <cell r="E237" t="str">
            <v/>
          </cell>
          <cell r="G237">
            <v>0</v>
          </cell>
        </row>
        <row r="238">
          <cell r="B238">
            <v>0</v>
          </cell>
          <cell r="E238" t="str">
            <v/>
          </cell>
          <cell r="G238">
            <v>0</v>
          </cell>
        </row>
        <row r="239">
          <cell r="B239">
            <v>0</v>
          </cell>
          <cell r="E239" t="str">
            <v/>
          </cell>
          <cell r="G239">
            <v>0</v>
          </cell>
        </row>
        <row r="240">
          <cell r="B240">
            <v>0</v>
          </cell>
          <cell r="E240" t="str">
            <v/>
          </cell>
          <cell r="G240">
            <v>0</v>
          </cell>
        </row>
        <row r="241">
          <cell r="B241">
            <v>0</v>
          </cell>
          <cell r="E241" t="str">
            <v/>
          </cell>
          <cell r="G241">
            <v>0</v>
          </cell>
        </row>
        <row r="242">
          <cell r="B242">
            <v>0</v>
          </cell>
          <cell r="E242" t="str">
            <v/>
          </cell>
          <cell r="G242">
            <v>0</v>
          </cell>
        </row>
        <row r="243">
          <cell r="B243">
            <v>0</v>
          </cell>
          <cell r="E243" t="str">
            <v/>
          </cell>
          <cell r="G243">
            <v>0</v>
          </cell>
        </row>
        <row r="244">
          <cell r="B244">
            <v>0</v>
          </cell>
          <cell r="E244" t="str">
            <v/>
          </cell>
          <cell r="G244">
            <v>0</v>
          </cell>
        </row>
        <row r="245">
          <cell r="B245">
            <v>0</v>
          </cell>
          <cell r="E245" t="str">
            <v/>
          </cell>
          <cell r="G245">
            <v>0</v>
          </cell>
        </row>
        <row r="246">
          <cell r="B246">
            <v>0</v>
          </cell>
          <cell r="E246" t="str">
            <v/>
          </cell>
          <cell r="G246">
            <v>0</v>
          </cell>
        </row>
        <row r="247">
          <cell r="B247">
            <v>0</v>
          </cell>
          <cell r="E247" t="str">
            <v/>
          </cell>
          <cell r="G247">
            <v>0</v>
          </cell>
        </row>
        <row r="248">
          <cell r="B248">
            <v>0</v>
          </cell>
          <cell r="E248" t="str">
            <v/>
          </cell>
          <cell r="G248">
            <v>0</v>
          </cell>
        </row>
        <row r="249">
          <cell r="B249">
            <v>0</v>
          </cell>
          <cell r="E249" t="str">
            <v/>
          </cell>
          <cell r="G249">
            <v>0</v>
          </cell>
        </row>
        <row r="250">
          <cell r="B250">
            <v>0</v>
          </cell>
          <cell r="E250" t="str">
            <v/>
          </cell>
          <cell r="G250">
            <v>0</v>
          </cell>
        </row>
        <row r="251">
          <cell r="B251">
            <v>0</v>
          </cell>
          <cell r="E251" t="str">
            <v/>
          </cell>
          <cell r="G251">
            <v>0</v>
          </cell>
        </row>
        <row r="252">
          <cell r="B252">
            <v>0</v>
          </cell>
          <cell r="E252" t="str">
            <v/>
          </cell>
          <cell r="G252">
            <v>0</v>
          </cell>
        </row>
        <row r="253">
          <cell r="B253">
            <v>0</v>
          </cell>
          <cell r="E253" t="str">
            <v/>
          </cell>
          <cell r="G253">
            <v>0</v>
          </cell>
        </row>
        <row r="254">
          <cell r="B254">
            <v>0</v>
          </cell>
          <cell r="E254" t="str">
            <v/>
          </cell>
          <cell r="G254">
            <v>0</v>
          </cell>
        </row>
        <row r="255">
          <cell r="B255">
            <v>0</v>
          </cell>
          <cell r="E255" t="str">
            <v/>
          </cell>
          <cell r="G255">
            <v>0</v>
          </cell>
        </row>
        <row r="256">
          <cell r="B256">
            <v>0</v>
          </cell>
          <cell r="E256" t="str">
            <v/>
          </cell>
          <cell r="G256">
            <v>0</v>
          </cell>
        </row>
        <row r="257">
          <cell r="B257">
            <v>0</v>
          </cell>
          <cell r="E257" t="str">
            <v/>
          </cell>
          <cell r="G257">
            <v>0</v>
          </cell>
        </row>
        <row r="258">
          <cell r="B258">
            <v>0</v>
          </cell>
          <cell r="E258" t="str">
            <v/>
          </cell>
          <cell r="G258">
            <v>0</v>
          </cell>
        </row>
        <row r="259">
          <cell r="B259">
            <v>0</v>
          </cell>
          <cell r="E259" t="str">
            <v/>
          </cell>
          <cell r="G259">
            <v>0</v>
          </cell>
        </row>
        <row r="260">
          <cell r="B260">
            <v>0</v>
          </cell>
          <cell r="E260" t="str">
            <v/>
          </cell>
          <cell r="G260">
            <v>0</v>
          </cell>
        </row>
        <row r="261">
          <cell r="B261">
            <v>0</v>
          </cell>
          <cell r="E261" t="str">
            <v/>
          </cell>
          <cell r="G261">
            <v>0</v>
          </cell>
        </row>
        <row r="262">
          <cell r="B262">
            <v>0</v>
          </cell>
          <cell r="E262" t="str">
            <v/>
          </cell>
          <cell r="G262">
            <v>0</v>
          </cell>
        </row>
        <row r="263">
          <cell r="B263">
            <v>0</v>
          </cell>
          <cell r="E263" t="str">
            <v/>
          </cell>
          <cell r="G263">
            <v>0</v>
          </cell>
        </row>
        <row r="264">
          <cell r="B264">
            <v>0</v>
          </cell>
          <cell r="E264" t="str">
            <v/>
          </cell>
          <cell r="G264">
            <v>0</v>
          </cell>
        </row>
        <row r="265">
          <cell r="B265">
            <v>0</v>
          </cell>
          <cell r="E265" t="str">
            <v/>
          </cell>
          <cell r="G265">
            <v>0</v>
          </cell>
        </row>
        <row r="266">
          <cell r="B266">
            <v>0</v>
          </cell>
          <cell r="E266" t="str">
            <v/>
          </cell>
          <cell r="G266">
            <v>0</v>
          </cell>
        </row>
        <row r="267">
          <cell r="B267">
            <v>0</v>
          </cell>
          <cell r="E267" t="str">
            <v/>
          </cell>
          <cell r="G267">
            <v>0</v>
          </cell>
        </row>
        <row r="268">
          <cell r="B268">
            <v>0</v>
          </cell>
          <cell r="E268" t="str">
            <v/>
          </cell>
          <cell r="G268">
            <v>0</v>
          </cell>
        </row>
        <row r="269">
          <cell r="B269">
            <v>0</v>
          </cell>
          <cell r="E269" t="str">
            <v/>
          </cell>
          <cell r="G269">
            <v>0</v>
          </cell>
        </row>
        <row r="270">
          <cell r="B270">
            <v>0</v>
          </cell>
          <cell r="E270" t="str">
            <v/>
          </cell>
          <cell r="G270">
            <v>0</v>
          </cell>
        </row>
        <row r="271">
          <cell r="B271">
            <v>0</v>
          </cell>
          <cell r="E271" t="str">
            <v/>
          </cell>
          <cell r="G271">
            <v>0</v>
          </cell>
        </row>
        <row r="272">
          <cell r="B272">
            <v>0</v>
          </cell>
          <cell r="E272" t="str">
            <v/>
          </cell>
          <cell r="G272">
            <v>0</v>
          </cell>
        </row>
        <row r="273">
          <cell r="B273">
            <v>0</v>
          </cell>
          <cell r="E273" t="str">
            <v/>
          </cell>
          <cell r="G273">
            <v>0</v>
          </cell>
        </row>
        <row r="274">
          <cell r="B274">
            <v>0</v>
          </cell>
          <cell r="E274" t="str">
            <v/>
          </cell>
          <cell r="G274">
            <v>0</v>
          </cell>
        </row>
        <row r="275">
          <cell r="B275">
            <v>0</v>
          </cell>
          <cell r="E275" t="str">
            <v/>
          </cell>
          <cell r="G275">
            <v>0</v>
          </cell>
        </row>
        <row r="276">
          <cell r="B276">
            <v>0</v>
          </cell>
          <cell r="E276" t="str">
            <v/>
          </cell>
          <cell r="G276">
            <v>0</v>
          </cell>
        </row>
        <row r="277">
          <cell r="B277">
            <v>0</v>
          </cell>
          <cell r="E277" t="str">
            <v/>
          </cell>
          <cell r="G277">
            <v>0</v>
          </cell>
        </row>
        <row r="278">
          <cell r="B278">
            <v>0</v>
          </cell>
          <cell r="E278" t="str">
            <v/>
          </cell>
          <cell r="G278">
            <v>0</v>
          </cell>
        </row>
        <row r="279">
          <cell r="B279">
            <v>0</v>
          </cell>
          <cell r="E279" t="str">
            <v/>
          </cell>
          <cell r="G279">
            <v>0</v>
          </cell>
        </row>
        <row r="280">
          <cell r="B280">
            <v>0</v>
          </cell>
          <cell r="E280" t="str">
            <v/>
          </cell>
          <cell r="G280">
            <v>0</v>
          </cell>
        </row>
        <row r="281">
          <cell r="B281">
            <v>0</v>
          </cell>
          <cell r="E281" t="str">
            <v/>
          </cell>
          <cell r="G281">
            <v>0</v>
          </cell>
        </row>
        <row r="282">
          <cell r="B282">
            <v>0</v>
          </cell>
          <cell r="E282" t="str">
            <v/>
          </cell>
          <cell r="G282">
            <v>0</v>
          </cell>
        </row>
        <row r="283">
          <cell r="B283">
            <v>0</v>
          </cell>
          <cell r="E283" t="str">
            <v/>
          </cell>
          <cell r="G283">
            <v>0</v>
          </cell>
        </row>
        <row r="284">
          <cell r="B284">
            <v>0</v>
          </cell>
          <cell r="E284" t="str">
            <v/>
          </cell>
          <cell r="G284">
            <v>0</v>
          </cell>
        </row>
        <row r="285">
          <cell r="B285">
            <v>0</v>
          </cell>
          <cell r="E285" t="str">
            <v/>
          </cell>
          <cell r="G285">
            <v>0</v>
          </cell>
        </row>
        <row r="286">
          <cell r="B286">
            <v>0</v>
          </cell>
          <cell r="E286" t="str">
            <v/>
          </cell>
          <cell r="G286">
            <v>0</v>
          </cell>
        </row>
        <row r="287">
          <cell r="B287">
            <v>0</v>
          </cell>
          <cell r="E287" t="str">
            <v/>
          </cell>
          <cell r="G287">
            <v>0</v>
          </cell>
        </row>
        <row r="288">
          <cell r="B288">
            <v>0</v>
          </cell>
          <cell r="E288" t="str">
            <v/>
          </cell>
          <cell r="G288">
            <v>0</v>
          </cell>
        </row>
        <row r="289">
          <cell r="B289">
            <v>0</v>
          </cell>
          <cell r="E289" t="str">
            <v/>
          </cell>
          <cell r="G289">
            <v>0</v>
          </cell>
        </row>
        <row r="290">
          <cell r="B290">
            <v>0</v>
          </cell>
          <cell r="E290" t="str">
            <v/>
          </cell>
          <cell r="G290">
            <v>0</v>
          </cell>
        </row>
        <row r="291">
          <cell r="B291">
            <v>0</v>
          </cell>
          <cell r="E291" t="str">
            <v/>
          </cell>
          <cell r="G291">
            <v>0</v>
          </cell>
        </row>
        <row r="292">
          <cell r="B292">
            <v>0</v>
          </cell>
          <cell r="E292" t="str">
            <v/>
          </cell>
          <cell r="G292">
            <v>0</v>
          </cell>
        </row>
        <row r="293">
          <cell r="B293">
            <v>0</v>
          </cell>
          <cell r="E293" t="str">
            <v/>
          </cell>
          <cell r="G293">
            <v>0</v>
          </cell>
        </row>
        <row r="294">
          <cell r="B294">
            <v>0</v>
          </cell>
          <cell r="E294" t="str">
            <v/>
          </cell>
          <cell r="G294">
            <v>0</v>
          </cell>
        </row>
        <row r="295">
          <cell r="B295">
            <v>0</v>
          </cell>
          <cell r="E295" t="str">
            <v/>
          </cell>
          <cell r="G295">
            <v>0</v>
          </cell>
        </row>
        <row r="296">
          <cell r="B296">
            <v>0</v>
          </cell>
          <cell r="E296" t="str">
            <v/>
          </cell>
          <cell r="G296">
            <v>0</v>
          </cell>
        </row>
        <row r="297">
          <cell r="B297">
            <v>0</v>
          </cell>
          <cell r="E297" t="str">
            <v/>
          </cell>
          <cell r="G297">
            <v>0</v>
          </cell>
        </row>
        <row r="298">
          <cell r="B298">
            <v>0</v>
          </cell>
          <cell r="E298" t="str">
            <v/>
          </cell>
          <cell r="G298">
            <v>0</v>
          </cell>
        </row>
        <row r="299">
          <cell r="B299">
            <v>0</v>
          </cell>
          <cell r="E299" t="str">
            <v/>
          </cell>
          <cell r="G299">
            <v>0</v>
          </cell>
        </row>
        <row r="300">
          <cell r="B300">
            <v>0</v>
          </cell>
          <cell r="E300" t="str">
            <v/>
          </cell>
          <cell r="G300">
            <v>0</v>
          </cell>
        </row>
        <row r="301">
          <cell r="B301">
            <v>0</v>
          </cell>
          <cell r="E301" t="str">
            <v/>
          </cell>
          <cell r="G301">
            <v>0</v>
          </cell>
        </row>
        <row r="302">
          <cell r="B302">
            <v>0</v>
          </cell>
          <cell r="E302" t="str">
            <v/>
          </cell>
          <cell r="G302">
            <v>0</v>
          </cell>
        </row>
        <row r="303">
          <cell r="B303">
            <v>0</v>
          </cell>
          <cell r="E303" t="str">
            <v/>
          </cell>
          <cell r="G303">
            <v>0</v>
          </cell>
        </row>
        <row r="304">
          <cell r="B304">
            <v>0</v>
          </cell>
          <cell r="E304" t="str">
            <v/>
          </cell>
          <cell r="G304">
            <v>0</v>
          </cell>
        </row>
        <row r="305">
          <cell r="B305">
            <v>0</v>
          </cell>
          <cell r="E305" t="str">
            <v/>
          </cell>
          <cell r="G305">
            <v>0</v>
          </cell>
        </row>
        <row r="306">
          <cell r="B306">
            <v>0</v>
          </cell>
          <cell r="E306" t="str">
            <v/>
          </cell>
          <cell r="G306">
            <v>0</v>
          </cell>
        </row>
        <row r="307">
          <cell r="B307">
            <v>0</v>
          </cell>
          <cell r="E307" t="str">
            <v/>
          </cell>
          <cell r="G307">
            <v>0</v>
          </cell>
        </row>
        <row r="308">
          <cell r="B308">
            <v>0</v>
          </cell>
          <cell r="E308" t="str">
            <v/>
          </cell>
          <cell r="G308">
            <v>0</v>
          </cell>
        </row>
        <row r="309">
          <cell r="B309">
            <v>0</v>
          </cell>
          <cell r="E309" t="str">
            <v/>
          </cell>
          <cell r="G309">
            <v>0</v>
          </cell>
        </row>
        <row r="310">
          <cell r="B310">
            <v>0</v>
          </cell>
          <cell r="E310" t="str">
            <v/>
          </cell>
          <cell r="G310">
            <v>0</v>
          </cell>
        </row>
        <row r="311">
          <cell r="B311">
            <v>0</v>
          </cell>
          <cell r="E311" t="str">
            <v/>
          </cell>
          <cell r="G311">
            <v>0</v>
          </cell>
        </row>
        <row r="312">
          <cell r="B312">
            <v>0</v>
          </cell>
          <cell r="E312" t="str">
            <v/>
          </cell>
          <cell r="G312">
            <v>0</v>
          </cell>
        </row>
        <row r="313">
          <cell r="B313">
            <v>0</v>
          </cell>
          <cell r="E313" t="str">
            <v/>
          </cell>
          <cell r="G313">
            <v>0</v>
          </cell>
        </row>
        <row r="314">
          <cell r="B314">
            <v>0</v>
          </cell>
          <cell r="E314" t="str">
            <v/>
          </cell>
          <cell r="G314">
            <v>0</v>
          </cell>
        </row>
        <row r="315">
          <cell r="B315">
            <v>0</v>
          </cell>
          <cell r="E315" t="str">
            <v/>
          </cell>
          <cell r="G315">
            <v>0</v>
          </cell>
        </row>
        <row r="316">
          <cell r="B316">
            <v>0</v>
          </cell>
          <cell r="E316" t="str">
            <v/>
          </cell>
          <cell r="G316">
            <v>0</v>
          </cell>
        </row>
        <row r="317">
          <cell r="B317">
            <v>0</v>
          </cell>
          <cell r="E317" t="str">
            <v/>
          </cell>
          <cell r="G317">
            <v>0</v>
          </cell>
        </row>
        <row r="318">
          <cell r="B318">
            <v>0</v>
          </cell>
          <cell r="E318" t="str">
            <v/>
          </cell>
          <cell r="G318">
            <v>0</v>
          </cell>
        </row>
        <row r="319">
          <cell r="B319">
            <v>0</v>
          </cell>
          <cell r="E319" t="str">
            <v/>
          </cell>
          <cell r="G319">
            <v>0</v>
          </cell>
        </row>
        <row r="320">
          <cell r="B320">
            <v>0</v>
          </cell>
          <cell r="E320" t="str">
            <v/>
          </cell>
          <cell r="G320">
            <v>0</v>
          </cell>
        </row>
        <row r="321">
          <cell r="B321">
            <v>0</v>
          </cell>
          <cell r="E321" t="str">
            <v/>
          </cell>
          <cell r="G321">
            <v>0</v>
          </cell>
        </row>
        <row r="322">
          <cell r="B322">
            <v>0</v>
          </cell>
          <cell r="E322" t="str">
            <v/>
          </cell>
          <cell r="G322">
            <v>0</v>
          </cell>
        </row>
        <row r="323">
          <cell r="B323">
            <v>0</v>
          </cell>
          <cell r="E323" t="str">
            <v/>
          </cell>
          <cell r="G323">
            <v>0</v>
          </cell>
        </row>
        <row r="324">
          <cell r="B324">
            <v>0</v>
          </cell>
          <cell r="E324" t="str">
            <v/>
          </cell>
          <cell r="G324">
            <v>0</v>
          </cell>
        </row>
        <row r="325">
          <cell r="B325">
            <v>0</v>
          </cell>
          <cell r="E325" t="str">
            <v/>
          </cell>
          <cell r="G325">
            <v>0</v>
          </cell>
        </row>
        <row r="326">
          <cell r="B326">
            <v>0</v>
          </cell>
          <cell r="E326" t="str">
            <v/>
          </cell>
          <cell r="G326">
            <v>0</v>
          </cell>
        </row>
        <row r="327">
          <cell r="B327">
            <v>0</v>
          </cell>
          <cell r="E327" t="str">
            <v/>
          </cell>
          <cell r="G327">
            <v>0</v>
          </cell>
        </row>
        <row r="328">
          <cell r="B328">
            <v>0</v>
          </cell>
          <cell r="E328" t="str">
            <v/>
          </cell>
          <cell r="G328">
            <v>0</v>
          </cell>
        </row>
        <row r="329">
          <cell r="B329">
            <v>0</v>
          </cell>
          <cell r="E329" t="str">
            <v/>
          </cell>
          <cell r="G329">
            <v>0</v>
          </cell>
        </row>
        <row r="330">
          <cell r="B330">
            <v>0</v>
          </cell>
          <cell r="E330" t="str">
            <v/>
          </cell>
          <cell r="G330">
            <v>0</v>
          </cell>
        </row>
        <row r="331">
          <cell r="B331">
            <v>0</v>
          </cell>
          <cell r="E331" t="str">
            <v/>
          </cell>
          <cell r="G331">
            <v>0</v>
          </cell>
        </row>
        <row r="332">
          <cell r="B332">
            <v>0</v>
          </cell>
          <cell r="E332" t="str">
            <v/>
          </cell>
          <cell r="G332">
            <v>0</v>
          </cell>
        </row>
        <row r="333">
          <cell r="B333">
            <v>0</v>
          </cell>
          <cell r="E333" t="str">
            <v/>
          </cell>
          <cell r="G333">
            <v>0</v>
          </cell>
        </row>
        <row r="334">
          <cell r="B334">
            <v>0</v>
          </cell>
          <cell r="E334" t="str">
            <v/>
          </cell>
          <cell r="G334">
            <v>0</v>
          </cell>
        </row>
        <row r="335">
          <cell r="B335">
            <v>0</v>
          </cell>
          <cell r="E335" t="str">
            <v/>
          </cell>
          <cell r="G335">
            <v>0</v>
          </cell>
        </row>
        <row r="336">
          <cell r="B336">
            <v>0</v>
          </cell>
          <cell r="E336" t="str">
            <v/>
          </cell>
          <cell r="G336">
            <v>0</v>
          </cell>
        </row>
        <row r="337">
          <cell r="B337">
            <v>0</v>
          </cell>
          <cell r="E337" t="str">
            <v/>
          </cell>
          <cell r="G337">
            <v>0</v>
          </cell>
        </row>
        <row r="338">
          <cell r="B338">
            <v>0</v>
          </cell>
          <cell r="E338" t="str">
            <v/>
          </cell>
          <cell r="G338">
            <v>0</v>
          </cell>
        </row>
        <row r="339">
          <cell r="B339">
            <v>0</v>
          </cell>
          <cell r="E339" t="str">
            <v/>
          </cell>
          <cell r="G339">
            <v>0</v>
          </cell>
        </row>
        <row r="340">
          <cell r="B340">
            <v>0</v>
          </cell>
          <cell r="E340" t="str">
            <v/>
          </cell>
          <cell r="G340">
            <v>0</v>
          </cell>
        </row>
        <row r="341">
          <cell r="B341">
            <v>0</v>
          </cell>
          <cell r="E341" t="str">
            <v/>
          </cell>
          <cell r="G341">
            <v>0</v>
          </cell>
        </row>
        <row r="342">
          <cell r="B342">
            <v>0</v>
          </cell>
          <cell r="E342" t="str">
            <v/>
          </cell>
          <cell r="G342">
            <v>0</v>
          </cell>
        </row>
        <row r="343">
          <cell r="B343">
            <v>0</v>
          </cell>
          <cell r="E343" t="str">
            <v/>
          </cell>
          <cell r="G343">
            <v>0</v>
          </cell>
        </row>
        <row r="344">
          <cell r="B344">
            <v>0</v>
          </cell>
          <cell r="E344" t="str">
            <v/>
          </cell>
          <cell r="G344">
            <v>0</v>
          </cell>
        </row>
        <row r="345">
          <cell r="B345">
            <v>0</v>
          </cell>
          <cell r="E345" t="str">
            <v/>
          </cell>
          <cell r="G345">
            <v>0</v>
          </cell>
        </row>
        <row r="346">
          <cell r="B346">
            <v>0</v>
          </cell>
          <cell r="E346" t="str">
            <v/>
          </cell>
          <cell r="G346">
            <v>0</v>
          </cell>
        </row>
        <row r="347">
          <cell r="B347">
            <v>0</v>
          </cell>
          <cell r="E347" t="str">
            <v/>
          </cell>
          <cell r="G347">
            <v>0</v>
          </cell>
        </row>
        <row r="348">
          <cell r="B348">
            <v>0</v>
          </cell>
          <cell r="E348" t="str">
            <v/>
          </cell>
          <cell r="G348">
            <v>0</v>
          </cell>
        </row>
        <row r="349">
          <cell r="B349">
            <v>0</v>
          </cell>
          <cell r="E349" t="str">
            <v/>
          </cell>
          <cell r="G349">
            <v>0</v>
          </cell>
        </row>
        <row r="350">
          <cell r="B350">
            <v>0</v>
          </cell>
          <cell r="E350" t="str">
            <v/>
          </cell>
          <cell r="G350">
            <v>0</v>
          </cell>
        </row>
        <row r="351">
          <cell r="B351">
            <v>0</v>
          </cell>
          <cell r="E351" t="str">
            <v/>
          </cell>
          <cell r="G351">
            <v>0</v>
          </cell>
        </row>
        <row r="352">
          <cell r="B352">
            <v>0</v>
          </cell>
          <cell r="E352" t="str">
            <v/>
          </cell>
          <cell r="G352">
            <v>0</v>
          </cell>
        </row>
        <row r="353">
          <cell r="B353">
            <v>0</v>
          </cell>
          <cell r="E353" t="str">
            <v/>
          </cell>
          <cell r="G353">
            <v>0</v>
          </cell>
        </row>
        <row r="354">
          <cell r="B354">
            <v>0</v>
          </cell>
          <cell r="E354" t="str">
            <v/>
          </cell>
          <cell r="G354">
            <v>0</v>
          </cell>
        </row>
        <row r="355">
          <cell r="B355">
            <v>0</v>
          </cell>
          <cell r="E355" t="str">
            <v/>
          </cell>
          <cell r="G355">
            <v>0</v>
          </cell>
        </row>
        <row r="356">
          <cell r="B356">
            <v>0</v>
          </cell>
          <cell r="E356" t="str">
            <v/>
          </cell>
          <cell r="G356">
            <v>0</v>
          </cell>
        </row>
        <row r="357">
          <cell r="B357">
            <v>0</v>
          </cell>
          <cell r="E357" t="str">
            <v/>
          </cell>
          <cell r="G357">
            <v>0</v>
          </cell>
        </row>
        <row r="358">
          <cell r="B358">
            <v>0</v>
          </cell>
          <cell r="E358" t="str">
            <v/>
          </cell>
          <cell r="G358">
            <v>0</v>
          </cell>
        </row>
        <row r="359">
          <cell r="B359">
            <v>0</v>
          </cell>
          <cell r="E359" t="str">
            <v/>
          </cell>
          <cell r="G359">
            <v>0</v>
          </cell>
        </row>
        <row r="360">
          <cell r="B360">
            <v>0</v>
          </cell>
          <cell r="E360" t="str">
            <v/>
          </cell>
          <cell r="G360">
            <v>0</v>
          </cell>
        </row>
        <row r="361">
          <cell r="B361">
            <v>0</v>
          </cell>
          <cell r="E361" t="str">
            <v/>
          </cell>
          <cell r="G361">
            <v>0</v>
          </cell>
        </row>
        <row r="362">
          <cell r="B362">
            <v>0</v>
          </cell>
          <cell r="E362" t="str">
            <v/>
          </cell>
          <cell r="G362">
            <v>0</v>
          </cell>
        </row>
        <row r="363">
          <cell r="B363">
            <v>0</v>
          </cell>
          <cell r="E363" t="str">
            <v/>
          </cell>
          <cell r="G363">
            <v>0</v>
          </cell>
        </row>
        <row r="364">
          <cell r="B364">
            <v>0</v>
          </cell>
          <cell r="E364" t="str">
            <v/>
          </cell>
          <cell r="G364">
            <v>0</v>
          </cell>
        </row>
        <row r="365">
          <cell r="B365">
            <v>0</v>
          </cell>
          <cell r="E365" t="str">
            <v/>
          </cell>
          <cell r="G365">
            <v>0</v>
          </cell>
        </row>
        <row r="366">
          <cell r="B366">
            <v>0</v>
          </cell>
          <cell r="E366" t="str">
            <v/>
          </cell>
          <cell r="G366">
            <v>0</v>
          </cell>
        </row>
        <row r="367">
          <cell r="B367">
            <v>0</v>
          </cell>
          <cell r="E367" t="str">
            <v/>
          </cell>
          <cell r="G367">
            <v>0</v>
          </cell>
        </row>
        <row r="368">
          <cell r="B368">
            <v>0</v>
          </cell>
          <cell r="E368" t="str">
            <v/>
          </cell>
          <cell r="G368">
            <v>0</v>
          </cell>
        </row>
        <row r="369">
          <cell r="B369">
            <v>0</v>
          </cell>
          <cell r="E369" t="str">
            <v/>
          </cell>
          <cell r="G369">
            <v>0</v>
          </cell>
        </row>
        <row r="370">
          <cell r="B370">
            <v>0</v>
          </cell>
          <cell r="E370" t="str">
            <v/>
          </cell>
          <cell r="G370">
            <v>0</v>
          </cell>
        </row>
        <row r="371">
          <cell r="B371">
            <v>0</v>
          </cell>
          <cell r="E371" t="str">
            <v/>
          </cell>
          <cell r="G371">
            <v>0</v>
          </cell>
        </row>
        <row r="372">
          <cell r="B372">
            <v>0</v>
          </cell>
          <cell r="E372" t="str">
            <v/>
          </cell>
          <cell r="G372">
            <v>0</v>
          </cell>
        </row>
        <row r="373">
          <cell r="B373">
            <v>0</v>
          </cell>
          <cell r="E373" t="str">
            <v/>
          </cell>
          <cell r="G373">
            <v>0</v>
          </cell>
        </row>
        <row r="374">
          <cell r="B374">
            <v>0</v>
          </cell>
          <cell r="E374" t="str">
            <v/>
          </cell>
          <cell r="G374">
            <v>0</v>
          </cell>
        </row>
        <row r="375">
          <cell r="B375">
            <v>0</v>
          </cell>
          <cell r="E375" t="str">
            <v/>
          </cell>
          <cell r="G375">
            <v>0</v>
          </cell>
        </row>
        <row r="376">
          <cell r="B376">
            <v>0</v>
          </cell>
          <cell r="E376" t="str">
            <v/>
          </cell>
          <cell r="G376">
            <v>0</v>
          </cell>
        </row>
        <row r="377">
          <cell r="B377">
            <v>0</v>
          </cell>
          <cell r="E377" t="str">
            <v/>
          </cell>
          <cell r="G377">
            <v>0</v>
          </cell>
        </row>
        <row r="378">
          <cell r="B378">
            <v>0</v>
          </cell>
          <cell r="E378" t="str">
            <v/>
          </cell>
          <cell r="G378">
            <v>0</v>
          </cell>
        </row>
        <row r="379">
          <cell r="B379">
            <v>0</v>
          </cell>
          <cell r="E379" t="str">
            <v/>
          </cell>
          <cell r="G379">
            <v>0</v>
          </cell>
        </row>
        <row r="380">
          <cell r="B380">
            <v>0</v>
          </cell>
          <cell r="E380" t="str">
            <v/>
          </cell>
          <cell r="G380">
            <v>0</v>
          </cell>
        </row>
        <row r="381">
          <cell r="B381">
            <v>0</v>
          </cell>
          <cell r="E381" t="str">
            <v/>
          </cell>
          <cell r="G381">
            <v>0</v>
          </cell>
        </row>
        <row r="382">
          <cell r="B382">
            <v>0</v>
          </cell>
          <cell r="E382" t="str">
            <v/>
          </cell>
          <cell r="G382">
            <v>0</v>
          </cell>
        </row>
        <row r="383">
          <cell r="B383">
            <v>0</v>
          </cell>
          <cell r="E383" t="str">
            <v/>
          </cell>
          <cell r="G383">
            <v>0</v>
          </cell>
        </row>
        <row r="384">
          <cell r="B384">
            <v>0</v>
          </cell>
          <cell r="E384" t="str">
            <v/>
          </cell>
          <cell r="G384">
            <v>0</v>
          </cell>
        </row>
        <row r="385">
          <cell r="B385">
            <v>0</v>
          </cell>
          <cell r="E385" t="str">
            <v/>
          </cell>
          <cell r="G385">
            <v>0</v>
          </cell>
        </row>
        <row r="386">
          <cell r="B386">
            <v>0</v>
          </cell>
          <cell r="E386" t="str">
            <v/>
          </cell>
          <cell r="G386">
            <v>0</v>
          </cell>
        </row>
        <row r="387">
          <cell r="B387">
            <v>0</v>
          </cell>
          <cell r="E387" t="str">
            <v/>
          </cell>
          <cell r="G387">
            <v>0</v>
          </cell>
        </row>
        <row r="388">
          <cell r="B388">
            <v>0</v>
          </cell>
          <cell r="E388" t="str">
            <v/>
          </cell>
          <cell r="G388">
            <v>0</v>
          </cell>
        </row>
        <row r="389">
          <cell r="B389">
            <v>0</v>
          </cell>
          <cell r="E389" t="str">
            <v/>
          </cell>
          <cell r="G389">
            <v>0</v>
          </cell>
        </row>
        <row r="390">
          <cell r="B390">
            <v>0</v>
          </cell>
          <cell r="E390" t="str">
            <v/>
          </cell>
          <cell r="G390">
            <v>0</v>
          </cell>
        </row>
        <row r="391">
          <cell r="B391">
            <v>0</v>
          </cell>
          <cell r="E391" t="str">
            <v/>
          </cell>
          <cell r="G391">
            <v>0</v>
          </cell>
        </row>
        <row r="392">
          <cell r="B392">
            <v>0</v>
          </cell>
          <cell r="E392" t="str">
            <v/>
          </cell>
          <cell r="G392">
            <v>0</v>
          </cell>
        </row>
        <row r="393">
          <cell r="B393">
            <v>0</v>
          </cell>
          <cell r="E393" t="str">
            <v/>
          </cell>
          <cell r="G393">
            <v>0</v>
          </cell>
        </row>
        <row r="394">
          <cell r="B394">
            <v>0</v>
          </cell>
          <cell r="E394" t="str">
            <v/>
          </cell>
          <cell r="G394">
            <v>0</v>
          </cell>
        </row>
        <row r="395">
          <cell r="B395">
            <v>0</v>
          </cell>
          <cell r="E395" t="str">
            <v/>
          </cell>
          <cell r="G395">
            <v>0</v>
          </cell>
        </row>
        <row r="396">
          <cell r="B396">
            <v>0</v>
          </cell>
          <cell r="E396" t="str">
            <v/>
          </cell>
          <cell r="G396">
            <v>0</v>
          </cell>
        </row>
        <row r="397">
          <cell r="B397">
            <v>0</v>
          </cell>
          <cell r="E397" t="str">
            <v/>
          </cell>
          <cell r="G397">
            <v>0</v>
          </cell>
        </row>
        <row r="398">
          <cell r="B398">
            <v>0</v>
          </cell>
          <cell r="E398" t="str">
            <v/>
          </cell>
          <cell r="G398">
            <v>0</v>
          </cell>
        </row>
        <row r="399">
          <cell r="B399">
            <v>0</v>
          </cell>
          <cell r="E399" t="str">
            <v/>
          </cell>
          <cell r="G399">
            <v>0</v>
          </cell>
        </row>
        <row r="400">
          <cell r="B400">
            <v>0</v>
          </cell>
          <cell r="E400" t="str">
            <v/>
          </cell>
          <cell r="G400">
            <v>0</v>
          </cell>
        </row>
        <row r="401">
          <cell r="B401">
            <v>0</v>
          </cell>
          <cell r="E401" t="str">
            <v/>
          </cell>
          <cell r="G401">
            <v>0</v>
          </cell>
        </row>
        <row r="402">
          <cell r="B402">
            <v>0</v>
          </cell>
          <cell r="E402" t="str">
            <v/>
          </cell>
          <cell r="G402">
            <v>0</v>
          </cell>
        </row>
        <row r="403">
          <cell r="B403">
            <v>0</v>
          </cell>
          <cell r="E403" t="str">
            <v/>
          </cell>
          <cell r="G403">
            <v>0</v>
          </cell>
        </row>
        <row r="404">
          <cell r="B404">
            <v>0</v>
          </cell>
          <cell r="E404" t="str">
            <v/>
          </cell>
          <cell r="G404">
            <v>0</v>
          </cell>
        </row>
        <row r="405">
          <cell r="B405">
            <v>0</v>
          </cell>
          <cell r="E405" t="str">
            <v/>
          </cell>
          <cell r="G405">
            <v>0</v>
          </cell>
        </row>
        <row r="406">
          <cell r="B406">
            <v>0</v>
          </cell>
          <cell r="E406" t="str">
            <v/>
          </cell>
          <cell r="G406">
            <v>0</v>
          </cell>
        </row>
        <row r="407">
          <cell r="B407">
            <v>0</v>
          </cell>
          <cell r="E407" t="str">
            <v/>
          </cell>
          <cell r="G407">
            <v>0</v>
          </cell>
        </row>
        <row r="408">
          <cell r="B408">
            <v>0</v>
          </cell>
          <cell r="E408" t="str">
            <v/>
          </cell>
          <cell r="G408">
            <v>0</v>
          </cell>
        </row>
        <row r="409">
          <cell r="B409">
            <v>0</v>
          </cell>
          <cell r="E409" t="str">
            <v/>
          </cell>
          <cell r="G409">
            <v>0</v>
          </cell>
        </row>
        <row r="410">
          <cell r="B410">
            <v>0</v>
          </cell>
          <cell r="E410" t="str">
            <v/>
          </cell>
          <cell r="G410">
            <v>0</v>
          </cell>
        </row>
        <row r="411">
          <cell r="B411">
            <v>0</v>
          </cell>
          <cell r="E411" t="str">
            <v/>
          </cell>
          <cell r="G411">
            <v>0</v>
          </cell>
        </row>
        <row r="412">
          <cell r="B412">
            <v>0</v>
          </cell>
          <cell r="E412" t="str">
            <v/>
          </cell>
          <cell r="G412">
            <v>0</v>
          </cell>
        </row>
        <row r="413">
          <cell r="B413">
            <v>0</v>
          </cell>
          <cell r="E413" t="str">
            <v/>
          </cell>
          <cell r="G413">
            <v>0</v>
          </cell>
        </row>
        <row r="414">
          <cell r="B414">
            <v>0</v>
          </cell>
          <cell r="E414" t="str">
            <v/>
          </cell>
          <cell r="G414">
            <v>0</v>
          </cell>
        </row>
        <row r="415">
          <cell r="B415">
            <v>0</v>
          </cell>
          <cell r="E415" t="str">
            <v/>
          </cell>
          <cell r="G415">
            <v>0</v>
          </cell>
        </row>
        <row r="416">
          <cell r="B416">
            <v>0</v>
          </cell>
          <cell r="E416" t="str">
            <v/>
          </cell>
          <cell r="G416">
            <v>0</v>
          </cell>
        </row>
        <row r="417">
          <cell r="B417">
            <v>0</v>
          </cell>
          <cell r="E417" t="str">
            <v/>
          </cell>
          <cell r="G417">
            <v>0</v>
          </cell>
        </row>
        <row r="418">
          <cell r="B418">
            <v>0</v>
          </cell>
          <cell r="E418" t="str">
            <v/>
          </cell>
          <cell r="G418">
            <v>0</v>
          </cell>
        </row>
        <row r="419">
          <cell r="B419">
            <v>0</v>
          </cell>
          <cell r="E419" t="str">
            <v/>
          </cell>
          <cell r="G419">
            <v>0</v>
          </cell>
        </row>
        <row r="420">
          <cell r="B420">
            <v>0</v>
          </cell>
          <cell r="E420" t="str">
            <v/>
          </cell>
          <cell r="G420">
            <v>0</v>
          </cell>
        </row>
        <row r="421">
          <cell r="B421">
            <v>0</v>
          </cell>
          <cell r="E421" t="str">
            <v/>
          </cell>
          <cell r="G421">
            <v>0</v>
          </cell>
        </row>
        <row r="422">
          <cell r="B422">
            <v>0</v>
          </cell>
          <cell r="E422" t="str">
            <v/>
          </cell>
          <cell r="G422">
            <v>0</v>
          </cell>
        </row>
        <row r="423">
          <cell r="B423">
            <v>0</v>
          </cell>
          <cell r="E423" t="str">
            <v/>
          </cell>
          <cell r="G423">
            <v>0</v>
          </cell>
        </row>
        <row r="424">
          <cell r="B424">
            <v>0</v>
          </cell>
          <cell r="E424" t="str">
            <v/>
          </cell>
          <cell r="G424">
            <v>0</v>
          </cell>
        </row>
        <row r="425">
          <cell r="B425">
            <v>0</v>
          </cell>
          <cell r="E425" t="str">
            <v/>
          </cell>
          <cell r="G425">
            <v>0</v>
          </cell>
        </row>
        <row r="426">
          <cell r="B426">
            <v>0</v>
          </cell>
          <cell r="E426" t="str">
            <v/>
          </cell>
          <cell r="G426">
            <v>0</v>
          </cell>
        </row>
        <row r="427">
          <cell r="B427">
            <v>0</v>
          </cell>
          <cell r="E427" t="str">
            <v/>
          </cell>
          <cell r="G427">
            <v>0</v>
          </cell>
        </row>
        <row r="428">
          <cell r="B428">
            <v>0</v>
          </cell>
          <cell r="E428" t="str">
            <v/>
          </cell>
          <cell r="G428">
            <v>0</v>
          </cell>
        </row>
        <row r="429">
          <cell r="B429">
            <v>0</v>
          </cell>
          <cell r="E429" t="str">
            <v/>
          </cell>
          <cell r="G429">
            <v>0</v>
          </cell>
        </row>
        <row r="430">
          <cell r="B430">
            <v>0</v>
          </cell>
          <cell r="E430" t="str">
            <v/>
          </cell>
          <cell r="G430">
            <v>0</v>
          </cell>
        </row>
        <row r="431">
          <cell r="B431">
            <v>0</v>
          </cell>
          <cell r="E431" t="str">
            <v/>
          </cell>
          <cell r="G431">
            <v>0</v>
          </cell>
        </row>
        <row r="432">
          <cell r="B432">
            <v>0</v>
          </cell>
          <cell r="E432" t="str">
            <v/>
          </cell>
          <cell r="G432">
            <v>0</v>
          </cell>
        </row>
        <row r="433">
          <cell r="B433">
            <v>0</v>
          </cell>
          <cell r="E433" t="str">
            <v/>
          </cell>
          <cell r="G433">
            <v>0</v>
          </cell>
        </row>
        <row r="434">
          <cell r="B434">
            <v>0</v>
          </cell>
          <cell r="E434" t="str">
            <v/>
          </cell>
          <cell r="G434">
            <v>0</v>
          </cell>
        </row>
        <row r="435">
          <cell r="B435">
            <v>0</v>
          </cell>
          <cell r="E435" t="str">
            <v/>
          </cell>
          <cell r="G435">
            <v>0</v>
          </cell>
        </row>
        <row r="436">
          <cell r="B436">
            <v>0</v>
          </cell>
          <cell r="E436" t="str">
            <v/>
          </cell>
          <cell r="G436">
            <v>0</v>
          </cell>
        </row>
        <row r="437">
          <cell r="B437">
            <v>0</v>
          </cell>
          <cell r="E437" t="str">
            <v/>
          </cell>
          <cell r="G437">
            <v>0</v>
          </cell>
        </row>
        <row r="438">
          <cell r="B438">
            <v>0</v>
          </cell>
          <cell r="E438" t="str">
            <v/>
          </cell>
          <cell r="G438">
            <v>0</v>
          </cell>
        </row>
        <row r="439">
          <cell r="B439">
            <v>0</v>
          </cell>
          <cell r="E439" t="str">
            <v/>
          </cell>
          <cell r="G439">
            <v>0</v>
          </cell>
        </row>
        <row r="440">
          <cell r="B440">
            <v>0</v>
          </cell>
          <cell r="E440" t="str">
            <v/>
          </cell>
          <cell r="G440">
            <v>0</v>
          </cell>
        </row>
        <row r="441">
          <cell r="B441">
            <v>0</v>
          </cell>
          <cell r="E441" t="str">
            <v/>
          </cell>
          <cell r="G441">
            <v>0</v>
          </cell>
        </row>
        <row r="442">
          <cell r="B442">
            <v>0</v>
          </cell>
          <cell r="E442" t="str">
            <v/>
          </cell>
          <cell r="G442">
            <v>0</v>
          </cell>
        </row>
        <row r="443">
          <cell r="B443">
            <v>0</v>
          </cell>
          <cell r="E443" t="str">
            <v/>
          </cell>
          <cell r="G443">
            <v>0</v>
          </cell>
        </row>
        <row r="444">
          <cell r="B444">
            <v>0</v>
          </cell>
          <cell r="E444" t="str">
            <v/>
          </cell>
          <cell r="G444">
            <v>0</v>
          </cell>
        </row>
        <row r="445">
          <cell r="B445">
            <v>0</v>
          </cell>
          <cell r="E445" t="str">
            <v/>
          </cell>
          <cell r="G445">
            <v>0</v>
          </cell>
        </row>
        <row r="446">
          <cell r="B446">
            <v>0</v>
          </cell>
          <cell r="E446" t="str">
            <v/>
          </cell>
          <cell r="G446">
            <v>0</v>
          </cell>
        </row>
        <row r="447">
          <cell r="B447">
            <v>0</v>
          </cell>
          <cell r="E447" t="str">
            <v/>
          </cell>
          <cell r="G447">
            <v>0</v>
          </cell>
        </row>
        <row r="448">
          <cell r="B448">
            <v>0</v>
          </cell>
          <cell r="E448" t="str">
            <v/>
          </cell>
          <cell r="G448">
            <v>0</v>
          </cell>
        </row>
        <row r="449">
          <cell r="B449">
            <v>0</v>
          </cell>
          <cell r="E449" t="str">
            <v/>
          </cell>
          <cell r="G449">
            <v>0</v>
          </cell>
        </row>
        <row r="450">
          <cell r="B450">
            <v>0</v>
          </cell>
          <cell r="E450" t="str">
            <v/>
          </cell>
          <cell r="G450">
            <v>0</v>
          </cell>
        </row>
        <row r="451">
          <cell r="B451">
            <v>0</v>
          </cell>
          <cell r="E451" t="str">
            <v/>
          </cell>
          <cell r="G451">
            <v>0</v>
          </cell>
        </row>
        <row r="452">
          <cell r="B452">
            <v>0</v>
          </cell>
          <cell r="E452" t="str">
            <v/>
          </cell>
          <cell r="G452">
            <v>0</v>
          </cell>
        </row>
        <row r="453">
          <cell r="B453">
            <v>0</v>
          </cell>
          <cell r="E453" t="str">
            <v/>
          </cell>
          <cell r="G453">
            <v>0</v>
          </cell>
        </row>
        <row r="454">
          <cell r="B454">
            <v>0</v>
          </cell>
          <cell r="E454" t="str">
            <v/>
          </cell>
          <cell r="G454">
            <v>0</v>
          </cell>
        </row>
        <row r="455">
          <cell r="B455">
            <v>0</v>
          </cell>
          <cell r="E455" t="str">
            <v/>
          </cell>
          <cell r="G455">
            <v>0</v>
          </cell>
        </row>
        <row r="456">
          <cell r="B456">
            <v>0</v>
          </cell>
          <cell r="E456" t="str">
            <v/>
          </cell>
          <cell r="G456">
            <v>0</v>
          </cell>
        </row>
        <row r="457">
          <cell r="B457">
            <v>0</v>
          </cell>
          <cell r="E457" t="str">
            <v/>
          </cell>
          <cell r="G457">
            <v>0</v>
          </cell>
        </row>
        <row r="458">
          <cell r="B458">
            <v>0</v>
          </cell>
          <cell r="E458" t="str">
            <v/>
          </cell>
          <cell r="G458">
            <v>0</v>
          </cell>
        </row>
        <row r="459">
          <cell r="B459">
            <v>0</v>
          </cell>
          <cell r="E459" t="str">
            <v/>
          </cell>
          <cell r="G459">
            <v>0</v>
          </cell>
        </row>
        <row r="460">
          <cell r="B460">
            <v>0</v>
          </cell>
          <cell r="E460" t="str">
            <v/>
          </cell>
          <cell r="G460">
            <v>0</v>
          </cell>
        </row>
        <row r="461">
          <cell r="B461">
            <v>0</v>
          </cell>
          <cell r="E461" t="str">
            <v/>
          </cell>
          <cell r="G461">
            <v>0</v>
          </cell>
        </row>
        <row r="462">
          <cell r="B462">
            <v>0</v>
          </cell>
          <cell r="E462" t="str">
            <v/>
          </cell>
          <cell r="G462">
            <v>0</v>
          </cell>
        </row>
        <row r="463">
          <cell r="B463">
            <v>0</v>
          </cell>
          <cell r="E463" t="str">
            <v/>
          </cell>
          <cell r="G463">
            <v>0</v>
          </cell>
        </row>
        <row r="464">
          <cell r="B464">
            <v>0</v>
          </cell>
          <cell r="E464" t="str">
            <v/>
          </cell>
          <cell r="G464">
            <v>0</v>
          </cell>
        </row>
        <row r="465">
          <cell r="B465">
            <v>0</v>
          </cell>
          <cell r="E465" t="str">
            <v/>
          </cell>
          <cell r="G465">
            <v>0</v>
          </cell>
        </row>
        <row r="466">
          <cell r="B466">
            <v>0</v>
          </cell>
          <cell r="E466" t="str">
            <v/>
          </cell>
          <cell r="G466">
            <v>0</v>
          </cell>
        </row>
        <row r="467">
          <cell r="B467">
            <v>0</v>
          </cell>
          <cell r="E467" t="str">
            <v/>
          </cell>
          <cell r="G467">
            <v>0</v>
          </cell>
        </row>
        <row r="468">
          <cell r="B468">
            <v>0</v>
          </cell>
          <cell r="E468" t="str">
            <v/>
          </cell>
          <cell r="G468">
            <v>0</v>
          </cell>
        </row>
        <row r="469">
          <cell r="B469">
            <v>0</v>
          </cell>
          <cell r="E469" t="str">
            <v/>
          </cell>
          <cell r="G469">
            <v>0</v>
          </cell>
        </row>
        <row r="470">
          <cell r="B470">
            <v>0</v>
          </cell>
          <cell r="E470" t="str">
            <v/>
          </cell>
          <cell r="G470">
            <v>0</v>
          </cell>
        </row>
        <row r="471">
          <cell r="B471">
            <v>0</v>
          </cell>
          <cell r="E471" t="str">
            <v/>
          </cell>
          <cell r="G471">
            <v>0</v>
          </cell>
        </row>
        <row r="472">
          <cell r="B472">
            <v>0</v>
          </cell>
          <cell r="E472" t="str">
            <v/>
          </cell>
          <cell r="G472">
            <v>0</v>
          </cell>
        </row>
        <row r="473">
          <cell r="B473">
            <v>0</v>
          </cell>
          <cell r="E473" t="str">
            <v/>
          </cell>
          <cell r="G473">
            <v>0</v>
          </cell>
        </row>
        <row r="474">
          <cell r="B474">
            <v>0</v>
          </cell>
          <cell r="E474" t="str">
            <v/>
          </cell>
          <cell r="G474">
            <v>0</v>
          </cell>
        </row>
        <row r="475">
          <cell r="B475">
            <v>0</v>
          </cell>
          <cell r="E475" t="str">
            <v/>
          </cell>
          <cell r="G475">
            <v>0</v>
          </cell>
        </row>
        <row r="476">
          <cell r="B476">
            <v>0</v>
          </cell>
          <cell r="E476" t="str">
            <v/>
          </cell>
          <cell r="G476">
            <v>0</v>
          </cell>
        </row>
        <row r="477">
          <cell r="B477">
            <v>0</v>
          </cell>
          <cell r="E477" t="str">
            <v/>
          </cell>
          <cell r="G477">
            <v>0</v>
          </cell>
        </row>
        <row r="478">
          <cell r="B478">
            <v>0</v>
          </cell>
          <cell r="E478" t="str">
            <v/>
          </cell>
          <cell r="G478">
            <v>0</v>
          </cell>
        </row>
        <row r="479">
          <cell r="B479">
            <v>0</v>
          </cell>
          <cell r="E479" t="str">
            <v/>
          </cell>
          <cell r="G479">
            <v>0</v>
          </cell>
        </row>
        <row r="480">
          <cell r="B480">
            <v>0</v>
          </cell>
          <cell r="E480" t="str">
            <v/>
          </cell>
          <cell r="G480">
            <v>0</v>
          </cell>
        </row>
        <row r="481">
          <cell r="B481">
            <v>0</v>
          </cell>
          <cell r="E481" t="str">
            <v/>
          </cell>
          <cell r="G481">
            <v>0</v>
          </cell>
        </row>
        <row r="482">
          <cell r="B482">
            <v>0</v>
          </cell>
          <cell r="E482" t="str">
            <v/>
          </cell>
          <cell r="G482">
            <v>0</v>
          </cell>
        </row>
        <row r="483">
          <cell r="B483">
            <v>0</v>
          </cell>
          <cell r="E483" t="str">
            <v/>
          </cell>
          <cell r="G483">
            <v>0</v>
          </cell>
        </row>
        <row r="484">
          <cell r="B484">
            <v>0</v>
          </cell>
          <cell r="E484" t="str">
            <v/>
          </cell>
          <cell r="G484">
            <v>0</v>
          </cell>
        </row>
        <row r="485">
          <cell r="B485">
            <v>0</v>
          </cell>
          <cell r="E485" t="str">
            <v/>
          </cell>
          <cell r="G485">
            <v>0</v>
          </cell>
        </row>
        <row r="486">
          <cell r="B486">
            <v>0</v>
          </cell>
          <cell r="E486" t="str">
            <v/>
          </cell>
          <cell r="G486">
            <v>0</v>
          </cell>
        </row>
        <row r="487">
          <cell r="B487">
            <v>0</v>
          </cell>
          <cell r="E487" t="str">
            <v/>
          </cell>
          <cell r="G487">
            <v>0</v>
          </cell>
        </row>
        <row r="488">
          <cell r="B488">
            <v>0</v>
          </cell>
          <cell r="E488" t="str">
            <v/>
          </cell>
          <cell r="G488">
            <v>0</v>
          </cell>
        </row>
        <row r="489">
          <cell r="B489">
            <v>0</v>
          </cell>
          <cell r="E489" t="str">
            <v/>
          </cell>
          <cell r="G489">
            <v>0</v>
          </cell>
        </row>
        <row r="490">
          <cell r="B490">
            <v>0</v>
          </cell>
          <cell r="E490" t="str">
            <v/>
          </cell>
          <cell r="G490">
            <v>0</v>
          </cell>
        </row>
        <row r="491">
          <cell r="B491">
            <v>0</v>
          </cell>
          <cell r="E491" t="str">
            <v/>
          </cell>
          <cell r="G491">
            <v>0</v>
          </cell>
        </row>
        <row r="492">
          <cell r="B492">
            <v>0</v>
          </cell>
          <cell r="E492" t="str">
            <v/>
          </cell>
          <cell r="G492">
            <v>0</v>
          </cell>
        </row>
        <row r="493">
          <cell r="B493">
            <v>0</v>
          </cell>
          <cell r="E493" t="str">
            <v/>
          </cell>
          <cell r="G493">
            <v>0</v>
          </cell>
        </row>
        <row r="494">
          <cell r="B494">
            <v>0</v>
          </cell>
          <cell r="E494" t="str">
            <v/>
          </cell>
          <cell r="G494">
            <v>0</v>
          </cell>
        </row>
        <row r="495">
          <cell r="B495">
            <v>0</v>
          </cell>
          <cell r="E495" t="str">
            <v/>
          </cell>
          <cell r="G495">
            <v>0</v>
          </cell>
        </row>
        <row r="496">
          <cell r="B496">
            <v>0</v>
          </cell>
          <cell r="E496" t="str">
            <v/>
          </cell>
          <cell r="G496">
            <v>0</v>
          </cell>
        </row>
        <row r="497">
          <cell r="B497">
            <v>0</v>
          </cell>
          <cell r="E497" t="str">
            <v/>
          </cell>
          <cell r="G497">
            <v>0</v>
          </cell>
        </row>
        <row r="498">
          <cell r="B498">
            <v>0</v>
          </cell>
          <cell r="E498" t="str">
            <v/>
          </cell>
          <cell r="G498">
            <v>0</v>
          </cell>
        </row>
        <row r="499">
          <cell r="B499">
            <v>0</v>
          </cell>
          <cell r="E499" t="str">
            <v/>
          </cell>
          <cell r="G499">
            <v>0</v>
          </cell>
        </row>
        <row r="500">
          <cell r="B500">
            <v>0</v>
          </cell>
          <cell r="E500" t="str">
            <v/>
          </cell>
          <cell r="G500">
            <v>0</v>
          </cell>
        </row>
        <row r="501">
          <cell r="B501">
            <v>0</v>
          </cell>
          <cell r="E501" t="str">
            <v/>
          </cell>
          <cell r="G501">
            <v>0</v>
          </cell>
        </row>
        <row r="502">
          <cell r="B502">
            <v>0</v>
          </cell>
          <cell r="E502" t="str">
            <v/>
          </cell>
          <cell r="G502">
            <v>0</v>
          </cell>
        </row>
        <row r="503">
          <cell r="B503">
            <v>0</v>
          </cell>
          <cell r="E503" t="str">
            <v/>
          </cell>
          <cell r="G503">
            <v>0</v>
          </cell>
        </row>
        <row r="504">
          <cell r="E504" t="str">
            <v/>
          </cell>
        </row>
        <row r="505">
          <cell r="E505" t="str">
            <v/>
          </cell>
        </row>
        <row r="506">
          <cell r="E506" t="str">
            <v/>
          </cell>
        </row>
        <row r="507">
          <cell r="E507" t="str">
            <v/>
          </cell>
        </row>
        <row r="508">
          <cell r="E508" t="str">
            <v/>
          </cell>
        </row>
        <row r="509">
          <cell r="E509" t="str">
            <v/>
          </cell>
        </row>
        <row r="510">
          <cell r="E510" t="str">
            <v/>
          </cell>
        </row>
        <row r="511">
          <cell r="E511" t="str">
            <v/>
          </cell>
        </row>
        <row r="512">
          <cell r="E512" t="str">
            <v/>
          </cell>
        </row>
        <row r="513">
          <cell r="E513" t="str">
            <v/>
          </cell>
        </row>
        <row r="514">
          <cell r="E514" t="str">
            <v/>
          </cell>
        </row>
        <row r="515">
          <cell r="E515" t="str">
            <v/>
          </cell>
        </row>
        <row r="516">
          <cell r="E516" t="str">
            <v/>
          </cell>
        </row>
        <row r="517">
          <cell r="E517" t="str">
            <v/>
          </cell>
        </row>
        <row r="518">
          <cell r="E518" t="str">
            <v/>
          </cell>
        </row>
        <row r="519">
          <cell r="E519" t="str">
            <v/>
          </cell>
        </row>
        <row r="520">
          <cell r="E520" t="str">
            <v/>
          </cell>
        </row>
        <row r="521">
          <cell r="E521" t="str">
            <v/>
          </cell>
        </row>
        <row r="522">
          <cell r="E522" t="str">
            <v/>
          </cell>
        </row>
        <row r="523">
          <cell r="E523" t="str">
            <v/>
          </cell>
        </row>
        <row r="524">
          <cell r="E524" t="str">
            <v/>
          </cell>
        </row>
        <row r="525">
          <cell r="E525" t="str">
            <v/>
          </cell>
        </row>
        <row r="526">
          <cell r="E526" t="str">
            <v/>
          </cell>
        </row>
        <row r="527">
          <cell r="E527" t="str">
            <v/>
          </cell>
        </row>
        <row r="528">
          <cell r="E528" t="str">
            <v/>
          </cell>
        </row>
        <row r="529">
          <cell r="E529" t="str">
            <v/>
          </cell>
        </row>
        <row r="530">
          <cell r="E530" t="str">
            <v/>
          </cell>
        </row>
        <row r="531">
          <cell r="E531" t="str">
            <v/>
          </cell>
        </row>
        <row r="532">
          <cell r="E532" t="str">
            <v/>
          </cell>
        </row>
        <row r="533">
          <cell r="E533" t="str">
            <v/>
          </cell>
        </row>
        <row r="534">
          <cell r="E534" t="str">
            <v/>
          </cell>
        </row>
        <row r="535">
          <cell r="E535" t="str">
            <v/>
          </cell>
        </row>
        <row r="536">
          <cell r="E536" t="str">
            <v/>
          </cell>
        </row>
        <row r="537">
          <cell r="E537" t="str">
            <v/>
          </cell>
        </row>
        <row r="538">
          <cell r="E538" t="str">
            <v/>
          </cell>
        </row>
        <row r="539">
          <cell r="E539" t="str">
            <v/>
          </cell>
        </row>
        <row r="540">
          <cell r="E540" t="str">
            <v/>
          </cell>
        </row>
        <row r="541">
          <cell r="E541" t="str">
            <v/>
          </cell>
        </row>
        <row r="542">
          <cell r="E542" t="str">
            <v/>
          </cell>
        </row>
        <row r="543">
          <cell r="E543" t="str">
            <v/>
          </cell>
        </row>
        <row r="544">
          <cell r="E544" t="str">
            <v/>
          </cell>
        </row>
        <row r="545">
          <cell r="E545" t="str">
            <v/>
          </cell>
        </row>
        <row r="546">
          <cell r="E546" t="str">
            <v/>
          </cell>
        </row>
        <row r="547">
          <cell r="E547" t="str">
            <v/>
          </cell>
        </row>
        <row r="548">
          <cell r="E548" t="str">
            <v/>
          </cell>
        </row>
        <row r="549">
          <cell r="E549" t="str">
            <v/>
          </cell>
        </row>
        <row r="550">
          <cell r="E550" t="str">
            <v/>
          </cell>
        </row>
        <row r="551">
          <cell r="E551" t="str">
            <v/>
          </cell>
        </row>
        <row r="552">
          <cell r="E552" t="str">
            <v/>
          </cell>
        </row>
        <row r="553">
          <cell r="E553" t="str">
            <v/>
          </cell>
        </row>
        <row r="554">
          <cell r="E554" t="str">
            <v/>
          </cell>
        </row>
        <row r="555">
          <cell r="E555" t="str">
            <v/>
          </cell>
        </row>
        <row r="556">
          <cell r="E556" t="str">
            <v/>
          </cell>
        </row>
        <row r="557">
          <cell r="E557" t="str">
            <v/>
          </cell>
        </row>
        <row r="558">
          <cell r="E558" t="str">
            <v/>
          </cell>
        </row>
        <row r="559">
          <cell r="E559" t="str">
            <v/>
          </cell>
        </row>
        <row r="560">
          <cell r="E560" t="str">
            <v/>
          </cell>
        </row>
        <row r="561">
          <cell r="E561" t="str">
            <v/>
          </cell>
        </row>
        <row r="562">
          <cell r="E562" t="str">
            <v/>
          </cell>
        </row>
        <row r="563">
          <cell r="E563" t="str">
            <v/>
          </cell>
        </row>
        <row r="564">
          <cell r="E564" t="str">
            <v/>
          </cell>
        </row>
        <row r="565">
          <cell r="E565" t="str">
            <v/>
          </cell>
        </row>
        <row r="566">
          <cell r="E566" t="str">
            <v/>
          </cell>
        </row>
        <row r="567">
          <cell r="E567" t="str">
            <v/>
          </cell>
        </row>
        <row r="568">
          <cell r="E568" t="str">
            <v/>
          </cell>
        </row>
        <row r="569">
          <cell r="E569" t="str">
            <v/>
          </cell>
        </row>
        <row r="570">
          <cell r="E570" t="str">
            <v/>
          </cell>
        </row>
        <row r="571">
          <cell r="E571" t="str">
            <v/>
          </cell>
        </row>
        <row r="572">
          <cell r="E572" t="str">
            <v/>
          </cell>
        </row>
        <row r="573">
          <cell r="E573" t="str">
            <v/>
          </cell>
        </row>
        <row r="574">
          <cell r="E574" t="str">
            <v/>
          </cell>
        </row>
        <row r="575">
          <cell r="E575" t="str">
            <v/>
          </cell>
        </row>
        <row r="576">
          <cell r="E576" t="str">
            <v/>
          </cell>
        </row>
        <row r="577">
          <cell r="E577" t="str">
            <v/>
          </cell>
        </row>
        <row r="578">
          <cell r="E578" t="str">
            <v/>
          </cell>
        </row>
        <row r="579">
          <cell r="E579" t="str">
            <v/>
          </cell>
        </row>
        <row r="580">
          <cell r="E580" t="str">
            <v/>
          </cell>
        </row>
        <row r="581">
          <cell r="E581" t="str">
            <v/>
          </cell>
        </row>
        <row r="582">
          <cell r="E582" t="str">
            <v/>
          </cell>
        </row>
        <row r="583">
          <cell r="E583" t="str">
            <v/>
          </cell>
        </row>
        <row r="584">
          <cell r="E584" t="str">
            <v/>
          </cell>
        </row>
        <row r="585">
          <cell r="E585" t="str">
            <v/>
          </cell>
        </row>
        <row r="586">
          <cell r="E586" t="str">
            <v/>
          </cell>
        </row>
        <row r="587">
          <cell r="E587" t="str">
            <v/>
          </cell>
        </row>
        <row r="588">
          <cell r="E588" t="str">
            <v/>
          </cell>
        </row>
        <row r="589">
          <cell r="E589" t="str">
            <v/>
          </cell>
        </row>
        <row r="590">
          <cell r="E590" t="str">
            <v/>
          </cell>
        </row>
        <row r="591">
          <cell r="E591" t="str">
            <v/>
          </cell>
        </row>
        <row r="592">
          <cell r="E592" t="str">
            <v/>
          </cell>
        </row>
        <row r="593">
          <cell r="E593" t="str">
            <v/>
          </cell>
        </row>
        <row r="594">
          <cell r="E594" t="str">
            <v/>
          </cell>
        </row>
        <row r="595">
          <cell r="E595" t="str">
            <v/>
          </cell>
        </row>
        <row r="596">
          <cell r="E596" t="str">
            <v/>
          </cell>
        </row>
        <row r="597">
          <cell r="E597" t="str">
            <v/>
          </cell>
        </row>
        <row r="598">
          <cell r="E598" t="str">
            <v/>
          </cell>
        </row>
        <row r="599">
          <cell r="E599" t="str">
            <v/>
          </cell>
        </row>
        <row r="600">
          <cell r="E600" t="str">
            <v/>
          </cell>
        </row>
        <row r="601">
          <cell r="E601" t="str">
            <v/>
          </cell>
        </row>
        <row r="602">
          <cell r="E602" t="str">
            <v/>
          </cell>
        </row>
        <row r="603">
          <cell r="E603" t="str">
            <v/>
          </cell>
        </row>
        <row r="604">
          <cell r="E604" t="str">
            <v/>
          </cell>
        </row>
        <row r="605">
          <cell r="E605" t="str">
            <v/>
          </cell>
        </row>
        <row r="606">
          <cell r="E606" t="str">
            <v/>
          </cell>
        </row>
        <row r="607">
          <cell r="E607" t="str">
            <v/>
          </cell>
        </row>
        <row r="608">
          <cell r="E608" t="str">
            <v/>
          </cell>
        </row>
        <row r="609">
          <cell r="E609" t="str">
            <v/>
          </cell>
        </row>
        <row r="610">
          <cell r="E610" t="str">
            <v/>
          </cell>
        </row>
        <row r="611">
          <cell r="E611" t="str">
            <v/>
          </cell>
        </row>
        <row r="612">
          <cell r="E612" t="str">
            <v/>
          </cell>
        </row>
        <row r="613">
          <cell r="E613" t="str">
            <v/>
          </cell>
        </row>
        <row r="614">
          <cell r="E614" t="str">
            <v/>
          </cell>
        </row>
        <row r="615">
          <cell r="E615" t="str">
            <v/>
          </cell>
        </row>
        <row r="616">
          <cell r="E616" t="str">
            <v/>
          </cell>
        </row>
        <row r="617">
          <cell r="E617" t="str">
            <v/>
          </cell>
        </row>
        <row r="618">
          <cell r="E618" t="str">
            <v/>
          </cell>
        </row>
        <row r="619">
          <cell r="E619" t="str">
            <v/>
          </cell>
        </row>
        <row r="620">
          <cell r="E620" t="str">
            <v/>
          </cell>
        </row>
        <row r="621">
          <cell r="E621" t="str">
            <v/>
          </cell>
        </row>
        <row r="622">
          <cell r="E622" t="str">
            <v/>
          </cell>
        </row>
        <row r="623">
          <cell r="E623" t="str">
            <v/>
          </cell>
        </row>
        <row r="624">
          <cell r="E624" t="str">
            <v/>
          </cell>
        </row>
        <row r="625">
          <cell r="E625" t="str">
            <v/>
          </cell>
        </row>
        <row r="626">
          <cell r="E626" t="str">
            <v/>
          </cell>
        </row>
        <row r="627">
          <cell r="E627" t="str">
            <v/>
          </cell>
        </row>
        <row r="628">
          <cell r="E628" t="str">
            <v/>
          </cell>
        </row>
        <row r="629">
          <cell r="E629" t="str">
            <v/>
          </cell>
        </row>
        <row r="630">
          <cell r="E630" t="str">
            <v/>
          </cell>
        </row>
        <row r="631">
          <cell r="E631" t="str">
            <v/>
          </cell>
        </row>
        <row r="632">
          <cell r="E632" t="str">
            <v/>
          </cell>
        </row>
        <row r="633">
          <cell r="E633" t="str">
            <v/>
          </cell>
        </row>
        <row r="634">
          <cell r="E634" t="str">
            <v/>
          </cell>
        </row>
        <row r="635">
          <cell r="E635" t="str">
            <v/>
          </cell>
        </row>
        <row r="636">
          <cell r="E636" t="str">
            <v/>
          </cell>
        </row>
        <row r="637">
          <cell r="E637" t="str">
            <v/>
          </cell>
        </row>
        <row r="638">
          <cell r="E638" t="str">
            <v/>
          </cell>
        </row>
        <row r="639">
          <cell r="E639" t="str">
            <v/>
          </cell>
        </row>
        <row r="640">
          <cell r="E640" t="str">
            <v/>
          </cell>
        </row>
        <row r="641">
          <cell r="E641" t="str">
            <v/>
          </cell>
        </row>
        <row r="642">
          <cell r="E642" t="str">
            <v/>
          </cell>
        </row>
        <row r="643">
          <cell r="E643" t="str">
            <v/>
          </cell>
        </row>
        <row r="644">
          <cell r="E644" t="str">
            <v/>
          </cell>
        </row>
        <row r="645">
          <cell r="E645" t="str">
            <v/>
          </cell>
        </row>
        <row r="646">
          <cell r="E646" t="str">
            <v/>
          </cell>
        </row>
        <row r="647">
          <cell r="E647" t="str">
            <v/>
          </cell>
        </row>
        <row r="648">
          <cell r="E648" t="str">
            <v/>
          </cell>
        </row>
        <row r="649">
          <cell r="E649" t="str">
            <v/>
          </cell>
        </row>
        <row r="650">
          <cell r="E650" t="str">
            <v/>
          </cell>
        </row>
        <row r="651">
          <cell r="E651" t="str">
            <v/>
          </cell>
        </row>
        <row r="652">
          <cell r="E652" t="str">
            <v/>
          </cell>
        </row>
        <row r="653">
          <cell r="E653" t="str">
            <v/>
          </cell>
        </row>
        <row r="654">
          <cell r="E654" t="str">
            <v/>
          </cell>
        </row>
        <row r="655">
          <cell r="E655" t="str">
            <v/>
          </cell>
        </row>
        <row r="656">
          <cell r="E656" t="str">
            <v/>
          </cell>
        </row>
        <row r="657">
          <cell r="E657" t="str">
            <v/>
          </cell>
        </row>
        <row r="658">
          <cell r="E658" t="str">
            <v/>
          </cell>
        </row>
        <row r="659">
          <cell r="E659" t="str">
            <v/>
          </cell>
        </row>
        <row r="660">
          <cell r="E660" t="str">
            <v/>
          </cell>
        </row>
        <row r="661">
          <cell r="E661" t="str">
            <v/>
          </cell>
        </row>
        <row r="662">
          <cell r="E662" t="str">
            <v/>
          </cell>
        </row>
        <row r="663">
          <cell r="E663" t="str">
            <v/>
          </cell>
        </row>
        <row r="664">
          <cell r="E664" t="str">
            <v/>
          </cell>
        </row>
        <row r="665">
          <cell r="E665" t="str">
            <v/>
          </cell>
        </row>
        <row r="666">
          <cell r="E666" t="str">
            <v/>
          </cell>
        </row>
        <row r="667">
          <cell r="E667" t="str">
            <v/>
          </cell>
        </row>
        <row r="668">
          <cell r="E668" t="str">
            <v/>
          </cell>
        </row>
        <row r="669">
          <cell r="E669" t="str">
            <v/>
          </cell>
        </row>
        <row r="670">
          <cell r="E670" t="str">
            <v/>
          </cell>
        </row>
        <row r="671">
          <cell r="E671" t="str">
            <v/>
          </cell>
        </row>
        <row r="672">
          <cell r="E672" t="str">
            <v/>
          </cell>
        </row>
        <row r="673">
          <cell r="E673" t="str">
            <v/>
          </cell>
        </row>
        <row r="674">
          <cell r="E674" t="str">
            <v/>
          </cell>
        </row>
        <row r="675">
          <cell r="E675" t="str">
            <v/>
          </cell>
        </row>
        <row r="676">
          <cell r="E676" t="str">
            <v/>
          </cell>
        </row>
        <row r="677">
          <cell r="E677" t="str">
            <v/>
          </cell>
        </row>
        <row r="678">
          <cell r="E678" t="str">
            <v/>
          </cell>
        </row>
        <row r="679">
          <cell r="E679" t="str">
            <v/>
          </cell>
        </row>
        <row r="680">
          <cell r="E680" t="str">
            <v/>
          </cell>
        </row>
        <row r="681">
          <cell r="E681" t="str">
            <v/>
          </cell>
        </row>
        <row r="682">
          <cell r="E682" t="str">
            <v/>
          </cell>
        </row>
        <row r="683">
          <cell r="E683" t="str">
            <v/>
          </cell>
        </row>
        <row r="684">
          <cell r="E684" t="str">
            <v/>
          </cell>
        </row>
        <row r="685">
          <cell r="E685" t="str">
            <v/>
          </cell>
        </row>
        <row r="686">
          <cell r="E686" t="str">
            <v/>
          </cell>
        </row>
        <row r="687">
          <cell r="E687" t="str">
            <v/>
          </cell>
        </row>
        <row r="688">
          <cell r="E688" t="str">
            <v/>
          </cell>
        </row>
        <row r="689">
          <cell r="E689" t="str">
            <v/>
          </cell>
        </row>
        <row r="690">
          <cell r="E690" t="str">
            <v/>
          </cell>
        </row>
        <row r="691">
          <cell r="E691" t="str">
            <v/>
          </cell>
        </row>
        <row r="692">
          <cell r="E692" t="str">
            <v/>
          </cell>
        </row>
        <row r="693">
          <cell r="E693" t="str">
            <v/>
          </cell>
        </row>
        <row r="694">
          <cell r="E694" t="str">
            <v/>
          </cell>
        </row>
        <row r="695">
          <cell r="E695" t="str">
            <v/>
          </cell>
        </row>
        <row r="696">
          <cell r="E696" t="str">
            <v/>
          </cell>
        </row>
        <row r="697">
          <cell r="E697" t="str">
            <v/>
          </cell>
        </row>
        <row r="698">
          <cell r="E698" t="str">
            <v/>
          </cell>
        </row>
        <row r="699">
          <cell r="E699" t="str">
            <v/>
          </cell>
        </row>
        <row r="700">
          <cell r="E700" t="str">
            <v/>
          </cell>
        </row>
        <row r="701">
          <cell r="E701" t="str">
            <v/>
          </cell>
        </row>
        <row r="702">
          <cell r="E702" t="str">
            <v/>
          </cell>
        </row>
        <row r="703">
          <cell r="E703" t="str">
            <v/>
          </cell>
        </row>
        <row r="704">
          <cell r="E704" t="str">
            <v/>
          </cell>
        </row>
        <row r="705">
          <cell r="E705" t="str">
            <v/>
          </cell>
        </row>
        <row r="706">
          <cell r="E706" t="str">
            <v/>
          </cell>
        </row>
        <row r="707">
          <cell r="E707" t="str">
            <v/>
          </cell>
        </row>
        <row r="708">
          <cell r="E708" t="str">
            <v/>
          </cell>
        </row>
        <row r="709">
          <cell r="E709" t="str">
            <v/>
          </cell>
        </row>
        <row r="710">
          <cell r="E710" t="str">
            <v/>
          </cell>
        </row>
        <row r="711">
          <cell r="E711" t="str">
            <v/>
          </cell>
        </row>
        <row r="712">
          <cell r="E712" t="str">
            <v/>
          </cell>
        </row>
        <row r="713">
          <cell r="E713" t="str">
            <v/>
          </cell>
        </row>
        <row r="714">
          <cell r="E714" t="str">
            <v/>
          </cell>
        </row>
        <row r="715">
          <cell r="E715" t="str">
            <v/>
          </cell>
        </row>
        <row r="716">
          <cell r="E716" t="str">
            <v/>
          </cell>
        </row>
        <row r="717">
          <cell r="E717" t="str">
            <v/>
          </cell>
        </row>
        <row r="718">
          <cell r="E718" t="str">
            <v/>
          </cell>
        </row>
        <row r="719">
          <cell r="E719" t="str">
            <v/>
          </cell>
        </row>
        <row r="720">
          <cell r="E720" t="str">
            <v/>
          </cell>
        </row>
        <row r="721">
          <cell r="E721" t="str">
            <v/>
          </cell>
        </row>
        <row r="722">
          <cell r="E722" t="str">
            <v/>
          </cell>
        </row>
        <row r="723">
          <cell r="E723" t="str">
            <v/>
          </cell>
        </row>
        <row r="724">
          <cell r="E724" t="str">
            <v/>
          </cell>
        </row>
        <row r="725">
          <cell r="E725" t="str">
            <v/>
          </cell>
        </row>
        <row r="726">
          <cell r="E726" t="str">
            <v/>
          </cell>
        </row>
        <row r="727">
          <cell r="E727" t="str">
            <v/>
          </cell>
        </row>
        <row r="728">
          <cell r="E728" t="str">
            <v/>
          </cell>
        </row>
        <row r="729">
          <cell r="E729" t="str">
            <v/>
          </cell>
        </row>
        <row r="730">
          <cell r="E730" t="str">
            <v/>
          </cell>
        </row>
        <row r="731">
          <cell r="E731" t="str">
            <v/>
          </cell>
        </row>
        <row r="732">
          <cell r="E732" t="str">
            <v/>
          </cell>
        </row>
        <row r="733">
          <cell r="E733" t="str">
            <v/>
          </cell>
        </row>
        <row r="734">
          <cell r="E734" t="str">
            <v/>
          </cell>
        </row>
        <row r="735">
          <cell r="E735" t="str">
            <v/>
          </cell>
        </row>
        <row r="736">
          <cell r="E736" t="str">
            <v/>
          </cell>
        </row>
        <row r="737">
          <cell r="E737" t="str">
            <v/>
          </cell>
        </row>
        <row r="738">
          <cell r="E738" t="str">
            <v/>
          </cell>
        </row>
        <row r="739">
          <cell r="E739" t="str">
            <v/>
          </cell>
        </row>
        <row r="740">
          <cell r="E740" t="str">
            <v/>
          </cell>
        </row>
        <row r="741">
          <cell r="E741" t="str">
            <v/>
          </cell>
        </row>
        <row r="742">
          <cell r="E742" t="str">
            <v/>
          </cell>
        </row>
        <row r="743">
          <cell r="E743" t="str">
            <v/>
          </cell>
        </row>
        <row r="744">
          <cell r="E744" t="str">
            <v/>
          </cell>
        </row>
        <row r="745">
          <cell r="E745" t="str">
            <v/>
          </cell>
        </row>
        <row r="746">
          <cell r="E746" t="str">
            <v/>
          </cell>
        </row>
        <row r="747">
          <cell r="E747" t="str">
            <v/>
          </cell>
        </row>
        <row r="748">
          <cell r="E748" t="str">
            <v/>
          </cell>
        </row>
        <row r="749">
          <cell r="E749" t="str">
            <v/>
          </cell>
        </row>
        <row r="750">
          <cell r="E750" t="str">
            <v/>
          </cell>
        </row>
        <row r="751">
          <cell r="E751" t="str">
            <v/>
          </cell>
        </row>
        <row r="752">
          <cell r="E752" t="str">
            <v/>
          </cell>
        </row>
        <row r="753">
          <cell r="E753" t="str">
            <v/>
          </cell>
        </row>
        <row r="754">
          <cell r="E754" t="str">
            <v/>
          </cell>
        </row>
        <row r="755">
          <cell r="E755" t="str">
            <v/>
          </cell>
        </row>
        <row r="756">
          <cell r="E756" t="str">
            <v/>
          </cell>
        </row>
        <row r="757">
          <cell r="E757" t="str">
            <v/>
          </cell>
        </row>
        <row r="758">
          <cell r="E758" t="str">
            <v/>
          </cell>
        </row>
        <row r="759">
          <cell r="E759" t="str">
            <v/>
          </cell>
        </row>
        <row r="760">
          <cell r="E760" t="str">
            <v/>
          </cell>
        </row>
        <row r="761">
          <cell r="E761" t="str">
            <v/>
          </cell>
        </row>
        <row r="762">
          <cell r="E762" t="str">
            <v/>
          </cell>
        </row>
        <row r="763">
          <cell r="E763" t="str">
            <v/>
          </cell>
        </row>
        <row r="764">
          <cell r="E764" t="str">
            <v/>
          </cell>
        </row>
        <row r="765">
          <cell r="E765" t="str">
            <v/>
          </cell>
        </row>
        <row r="766">
          <cell r="E766" t="str">
            <v/>
          </cell>
        </row>
        <row r="767">
          <cell r="E767" t="str">
            <v/>
          </cell>
        </row>
        <row r="768">
          <cell r="E768" t="str">
            <v/>
          </cell>
        </row>
        <row r="769">
          <cell r="E769" t="str">
            <v/>
          </cell>
        </row>
        <row r="770">
          <cell r="E770" t="str">
            <v/>
          </cell>
        </row>
        <row r="771">
          <cell r="E771" t="str">
            <v/>
          </cell>
        </row>
        <row r="772">
          <cell r="E772" t="str">
            <v/>
          </cell>
        </row>
        <row r="773">
          <cell r="E773" t="str">
            <v/>
          </cell>
        </row>
        <row r="774">
          <cell r="E774" t="str">
            <v/>
          </cell>
        </row>
        <row r="775">
          <cell r="E775" t="str">
            <v/>
          </cell>
        </row>
        <row r="776">
          <cell r="E776" t="str">
            <v/>
          </cell>
        </row>
        <row r="777">
          <cell r="E777" t="str">
            <v/>
          </cell>
        </row>
        <row r="778">
          <cell r="E778" t="str">
            <v/>
          </cell>
        </row>
        <row r="779">
          <cell r="E779" t="str">
            <v/>
          </cell>
        </row>
        <row r="780">
          <cell r="E780" t="str">
            <v/>
          </cell>
        </row>
        <row r="781">
          <cell r="E781" t="str">
            <v/>
          </cell>
        </row>
        <row r="782">
          <cell r="E782" t="str">
            <v/>
          </cell>
        </row>
        <row r="783">
          <cell r="E783" t="str">
            <v/>
          </cell>
        </row>
        <row r="784">
          <cell r="E784" t="str">
            <v/>
          </cell>
        </row>
        <row r="785">
          <cell r="E785" t="str">
            <v/>
          </cell>
        </row>
        <row r="786">
          <cell r="E786" t="str">
            <v/>
          </cell>
        </row>
        <row r="787">
          <cell r="E787" t="str">
            <v/>
          </cell>
        </row>
        <row r="788">
          <cell r="E788" t="str">
            <v/>
          </cell>
        </row>
        <row r="789">
          <cell r="E789" t="str">
            <v/>
          </cell>
        </row>
        <row r="790">
          <cell r="E790" t="str">
            <v/>
          </cell>
        </row>
        <row r="791">
          <cell r="E791" t="str">
            <v/>
          </cell>
        </row>
        <row r="792">
          <cell r="E792" t="str">
            <v/>
          </cell>
        </row>
        <row r="793">
          <cell r="E793" t="str">
            <v/>
          </cell>
        </row>
        <row r="794">
          <cell r="E794" t="str">
            <v/>
          </cell>
        </row>
        <row r="795">
          <cell r="E795" t="str">
            <v/>
          </cell>
        </row>
        <row r="796">
          <cell r="E796" t="str">
            <v/>
          </cell>
        </row>
        <row r="797">
          <cell r="E797" t="str">
            <v/>
          </cell>
        </row>
        <row r="798">
          <cell r="E798" t="str">
            <v/>
          </cell>
        </row>
      </sheetData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"/>
      <sheetName val="Header"/>
      <sheetName val="Temp"/>
      <sheetName val="Welcome"/>
      <sheetName val="Data"/>
      <sheetName val="PI-1"/>
      <sheetName val="PI-2"/>
      <sheetName val="PI-3"/>
      <sheetName val="PI-4"/>
      <sheetName val="PI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 SHEET"/>
      <sheetName val="MTRL LIST"/>
      <sheetName val="COST"/>
      <sheetName val="이수  "/>
      <sheetName val="제일트림스"/>
      <sheetName val="ITL"/>
      <sheetName val="효진"/>
      <sheetName val="이스트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(+84)-723-643-733;%20%20%20%20%20%20%20(+84)-723-643-734%20%20%20%20%20%20%20%20%20%20%20%20%20%20%20%20%20%20%20%20%20%20%20%20%20%20%20%20%20%20%20%20%20%20%20%20%20%20%20%20%20FAX:%20(+84)-723-643-735" TargetMode="External"/><Relationship Id="rId1" Type="http://schemas.openxmlformats.org/officeDocument/2006/relationships/hyperlink" Target="tel:(+84)-723-643-733;%20%20%20%20%20%20%20(+84)-723-643-734%20%20%20%20%20%20%20%20%20%20%20%20%20%20%20%20%20%20%20%20%20%20%20%20%20%20%20%20%20%20%20%20%20%20%20%20%20%20%20%20%20FAX:%20(+84)-723-643-735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tel:(+84)-723-643-733;%20%20%20%20%20%20%20(+84)-723-643-734%20%20%20%20%20%20%20%20%20%20%20%20%20%20%20%20%20%20%20%20%20%20%20%20%20%20%20%20%20%20%20%20%20%20%20%20%20%20%20%20%20FAX:%20(+84)-723-643-735" TargetMode="External"/><Relationship Id="rId1" Type="http://schemas.openxmlformats.org/officeDocument/2006/relationships/hyperlink" Target="tel:(+84)-723-643-733;%20%20%20%20%20%20%20(+84)-723-643-734%20%20%20%20%20%20%20%20%20%20%20%20%20%20%20%20%20%20%20%20%20%20%20%20%20%20%20%20%20%20%20%20%20FAX:%20(+84)-723-643-73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tel:(+84)-723-643-733;%20%20%20%20%20%20%20(+84)-723-643-734%20%20%20%20%20FAX:%20(+84)-723-643-73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tel:(+84)-723-643-733;%20%20%20%20%20%20%20(+84)-723-643-734%20%20%20%20%20%20%20%20%20%20%20%20%20%20%20%20%20%20%20%20%20%20%20%20%20%20%20%20%20%20%20%20%20%20%20%20%20%20%20%20%20FAX:%20(+84)-723-643-73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G94"/>
  <sheetViews>
    <sheetView tabSelected="1" zoomScale="63" zoomScaleNormal="63" workbookViewId="0">
      <selection activeCell="H8" sqref="H8"/>
    </sheetView>
  </sheetViews>
  <sheetFormatPr defaultColWidth="9.140625" defaultRowHeight="15"/>
  <cols>
    <col min="1" max="1" width="8.42578125" style="174" customWidth="1"/>
    <col min="2" max="2" width="34.5703125" style="174" customWidth="1"/>
    <col min="3" max="3" width="54" style="56" customWidth="1"/>
    <col min="4" max="4" width="17.140625" style="56" customWidth="1"/>
    <col min="5" max="5" width="54" style="56" customWidth="1"/>
    <col min="6" max="6" width="16.85546875" style="56" customWidth="1"/>
    <col min="7" max="7" width="19" style="175" customWidth="1"/>
    <col min="8" max="8" width="56.7109375" style="175" customWidth="1"/>
    <col min="9" max="9" width="17.5703125" style="56" customWidth="1"/>
    <col min="10" max="10" width="24.28515625" style="174" customWidth="1"/>
    <col min="11" max="13" width="20.140625" style="56" customWidth="1"/>
    <col min="14" max="14" width="21.140625" style="174" hidden="1" customWidth="1"/>
    <col min="15" max="15" width="33.5703125" style="174" hidden="1" customWidth="1"/>
    <col min="16" max="16" width="9.140625" style="106" customWidth="1"/>
    <col min="17" max="17" width="49.28515625" style="106" hidden="1" customWidth="1"/>
    <col min="18" max="18" width="20.42578125" style="106" customWidth="1"/>
    <col min="19" max="33" width="9.140625" style="106"/>
    <col min="34" max="16384" width="9.140625" style="56"/>
  </cols>
  <sheetData>
    <row r="1" spans="1:15" ht="24" customHeight="1">
      <c r="A1" s="481" t="s">
        <v>0</v>
      </c>
      <c r="B1" s="482"/>
      <c r="C1" s="482"/>
      <c r="D1" s="482"/>
      <c r="E1" s="482"/>
      <c r="F1" s="482"/>
      <c r="G1" s="482"/>
      <c r="H1" s="482"/>
      <c r="I1" s="482"/>
      <c r="J1" s="482"/>
      <c r="K1" s="482"/>
      <c r="L1" s="482"/>
      <c r="M1" s="483"/>
      <c r="N1" s="240"/>
      <c r="O1" s="241"/>
    </row>
    <row r="2" spans="1:15" ht="25.5" customHeight="1">
      <c r="A2" s="484" t="s">
        <v>1</v>
      </c>
      <c r="B2" s="485"/>
      <c r="C2" s="485"/>
      <c r="D2" s="485"/>
      <c r="E2" s="485"/>
      <c r="F2" s="485"/>
      <c r="G2" s="485"/>
      <c r="H2" s="485"/>
      <c r="I2" s="485"/>
      <c r="J2" s="485"/>
      <c r="K2" s="485"/>
      <c r="L2" s="485"/>
      <c r="M2" s="486"/>
      <c r="N2" s="242"/>
      <c r="O2" s="242"/>
    </row>
    <row r="3" spans="1:15" ht="24" customHeight="1">
      <c r="A3" s="487" t="s">
        <v>2</v>
      </c>
      <c r="B3" s="488"/>
      <c r="C3" s="488"/>
      <c r="D3" s="488"/>
      <c r="E3" s="488"/>
      <c r="F3" s="488"/>
      <c r="G3" s="488"/>
      <c r="H3" s="488"/>
      <c r="I3" s="488"/>
      <c r="J3" s="488"/>
      <c r="K3" s="488"/>
      <c r="L3" s="488"/>
      <c r="M3" s="489"/>
      <c r="N3" s="242"/>
      <c r="O3" s="242"/>
    </row>
    <row r="4" spans="1:15" ht="15" customHeight="1">
      <c r="A4" s="494" t="s">
        <v>3</v>
      </c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6"/>
      <c r="N4" s="243"/>
      <c r="O4" s="244"/>
    </row>
    <row r="5" spans="1:15" ht="15" customHeight="1">
      <c r="A5" s="497"/>
      <c r="B5" s="498"/>
      <c r="C5" s="498"/>
      <c r="D5" s="498"/>
      <c r="E5" s="498"/>
      <c r="F5" s="498"/>
      <c r="G5" s="498"/>
      <c r="H5" s="498"/>
      <c r="I5" s="498"/>
      <c r="J5" s="498"/>
      <c r="K5" s="498"/>
      <c r="L5" s="498"/>
      <c r="M5" s="499"/>
      <c r="N5" s="243"/>
      <c r="O5" s="244"/>
    </row>
    <row r="6" spans="1:15" ht="15.75">
      <c r="A6" s="207" t="s">
        <v>4</v>
      </c>
      <c r="B6" s="208"/>
      <c r="C6" s="137"/>
      <c r="D6" s="137"/>
      <c r="E6" s="137"/>
      <c r="F6" s="177"/>
      <c r="G6" s="209"/>
      <c r="H6" s="209"/>
      <c r="I6" s="177"/>
      <c r="J6" s="140" t="s">
        <v>5</v>
      </c>
      <c r="K6" s="169"/>
      <c r="L6" s="245"/>
      <c r="M6" s="246"/>
      <c r="N6" s="194"/>
      <c r="O6" s="194"/>
    </row>
    <row r="7" spans="1:15" ht="15.75">
      <c r="A7" s="210" t="s">
        <v>6</v>
      </c>
      <c r="B7" s="211"/>
      <c r="C7" s="137"/>
      <c r="D7" s="137"/>
      <c r="E7" s="137"/>
      <c r="F7" s="177"/>
      <c r="G7" s="209"/>
      <c r="H7" s="209"/>
      <c r="I7" s="177"/>
      <c r="J7" s="247" t="s">
        <v>313</v>
      </c>
      <c r="K7" s="248"/>
      <c r="L7" s="490">
        <v>46121</v>
      </c>
      <c r="M7" s="491"/>
      <c r="N7" s="194"/>
      <c r="O7" s="194"/>
    </row>
    <row r="8" spans="1:15" ht="25.5" customHeight="1">
      <c r="A8" s="492" t="s">
        <v>1</v>
      </c>
      <c r="B8" s="493"/>
      <c r="C8" s="493"/>
      <c r="D8" s="493"/>
      <c r="E8" s="493"/>
      <c r="F8" s="493"/>
      <c r="G8" s="212"/>
      <c r="H8" s="212"/>
      <c r="I8" s="166"/>
      <c r="J8" s="249" t="s">
        <v>7</v>
      </c>
      <c r="K8" s="142"/>
      <c r="L8" s="142"/>
      <c r="M8" s="250"/>
      <c r="N8" s="194"/>
      <c r="O8" s="194"/>
    </row>
    <row r="9" spans="1:15" ht="15.75">
      <c r="A9" s="213" t="s">
        <v>2</v>
      </c>
      <c r="B9" s="146"/>
      <c r="C9" s="142"/>
      <c r="D9" s="142"/>
      <c r="E9" s="142"/>
      <c r="F9" s="177"/>
      <c r="G9" s="209"/>
      <c r="H9" s="209"/>
      <c r="I9" s="177"/>
      <c r="J9" s="251" t="str">
        <f>J7</f>
        <v>AK/GDI-20260009</v>
      </c>
      <c r="K9" s="252"/>
      <c r="L9" s="500">
        <f>L7</f>
        <v>46121</v>
      </c>
      <c r="M9" s="501"/>
      <c r="N9" s="194"/>
      <c r="O9" s="194"/>
    </row>
    <row r="10" spans="1:15" ht="15.75">
      <c r="A10" s="214" t="s">
        <v>8</v>
      </c>
      <c r="B10" s="215"/>
      <c r="C10" s="216"/>
      <c r="D10" s="216"/>
      <c r="E10" s="216"/>
      <c r="F10" s="216"/>
      <c r="G10" s="148"/>
      <c r="H10" s="148"/>
      <c r="I10" s="227"/>
      <c r="J10" s="251"/>
      <c r="K10" s="142"/>
      <c r="L10" s="142"/>
      <c r="M10" s="250"/>
      <c r="N10" s="194"/>
      <c r="O10" s="194"/>
    </row>
    <row r="11" spans="1:15" ht="18.75" customHeight="1">
      <c r="A11" s="502" t="s">
        <v>9</v>
      </c>
      <c r="B11" s="503"/>
      <c r="C11" s="503"/>
      <c r="D11" s="503"/>
      <c r="E11" s="503"/>
      <c r="F11" s="142"/>
      <c r="G11" s="176"/>
      <c r="H11" s="176"/>
      <c r="I11" s="177"/>
      <c r="J11" s="193" t="s">
        <v>10</v>
      </c>
      <c r="K11" s="142"/>
      <c r="L11" s="142"/>
      <c r="M11" s="250"/>
      <c r="N11" s="194"/>
      <c r="O11" s="194"/>
    </row>
    <row r="12" spans="1:15" ht="15.75" customHeight="1">
      <c r="A12" s="504" t="s">
        <v>11</v>
      </c>
      <c r="B12" s="505"/>
      <c r="C12" s="505"/>
      <c r="D12" s="505"/>
      <c r="E12" s="505"/>
      <c r="F12" s="505"/>
      <c r="G12" s="505"/>
      <c r="H12" s="152"/>
      <c r="I12" s="164"/>
      <c r="J12" s="425" t="s">
        <v>314</v>
      </c>
      <c r="K12" s="273"/>
      <c r="L12" s="506">
        <v>46035</v>
      </c>
      <c r="M12" s="507"/>
      <c r="N12" s="194"/>
      <c r="O12" s="194"/>
    </row>
    <row r="13" spans="1:15" ht="15.75">
      <c r="A13" s="508" t="s">
        <v>12</v>
      </c>
      <c r="B13" s="509"/>
      <c r="C13" s="509"/>
      <c r="D13" s="509"/>
      <c r="E13" s="509"/>
      <c r="F13" s="167"/>
      <c r="G13" s="218"/>
      <c r="H13" s="218"/>
      <c r="I13" s="253"/>
      <c r="J13" s="420"/>
      <c r="K13" s="421"/>
      <c r="L13" s="510"/>
      <c r="M13" s="511"/>
      <c r="N13" s="194"/>
      <c r="O13" s="194"/>
    </row>
    <row r="14" spans="1:15" ht="15.75">
      <c r="A14" s="217"/>
      <c r="B14" s="167"/>
      <c r="C14" s="219"/>
      <c r="D14" s="167"/>
      <c r="E14" s="167"/>
      <c r="F14" s="167"/>
      <c r="G14" s="218"/>
      <c r="H14" s="218"/>
      <c r="I14" s="253"/>
      <c r="J14" s="274"/>
      <c r="K14" s="273"/>
      <c r="L14" s="506"/>
      <c r="M14" s="507"/>
      <c r="N14" s="194"/>
      <c r="O14" s="194"/>
    </row>
    <row r="15" spans="1:15" ht="15.75">
      <c r="A15" s="217"/>
      <c r="B15" s="167"/>
      <c r="C15" s="167"/>
      <c r="D15" s="167"/>
      <c r="E15" s="167"/>
      <c r="F15" s="167"/>
      <c r="G15" s="218"/>
      <c r="H15" s="218"/>
      <c r="I15" s="253"/>
      <c r="J15" s="194"/>
      <c r="K15" s="177"/>
      <c r="L15" s="177"/>
      <c r="M15" s="254"/>
      <c r="N15" s="194"/>
      <c r="O15" s="194"/>
    </row>
    <row r="16" spans="1:15" ht="15.75">
      <c r="A16" s="153" t="s">
        <v>15</v>
      </c>
      <c r="B16" s="154"/>
      <c r="C16" s="155"/>
      <c r="D16" s="155"/>
      <c r="E16" s="155"/>
      <c r="F16" s="155"/>
      <c r="G16" s="220"/>
      <c r="H16" s="220"/>
      <c r="I16" s="255"/>
      <c r="J16" s="256"/>
      <c r="K16" s="177"/>
      <c r="L16" s="177"/>
      <c r="M16" s="254"/>
      <c r="N16" s="194"/>
      <c r="O16" s="194"/>
    </row>
    <row r="17" spans="1:26" ht="15.75">
      <c r="A17" s="479" t="s">
        <v>264</v>
      </c>
      <c r="B17" s="480"/>
      <c r="C17" s="480"/>
      <c r="D17" s="480"/>
      <c r="E17" s="480"/>
      <c r="F17" s="480"/>
      <c r="G17" s="157"/>
      <c r="H17" s="157"/>
      <c r="I17" s="253"/>
      <c r="K17" s="177"/>
      <c r="L17" s="512"/>
      <c r="M17" s="513"/>
      <c r="N17" s="258"/>
      <c r="O17" s="194"/>
    </row>
    <row r="18" spans="1:26" ht="15.75">
      <c r="A18" s="158" t="s">
        <v>265</v>
      </c>
      <c r="B18" s="159"/>
      <c r="C18" s="160"/>
      <c r="D18" s="160"/>
      <c r="E18" s="160"/>
      <c r="F18" s="221"/>
      <c r="G18" s="222"/>
      <c r="H18" s="222"/>
      <c r="I18" s="161"/>
      <c r="L18" s="512"/>
      <c r="M18" s="513"/>
      <c r="N18" s="259"/>
      <c r="O18" s="194"/>
    </row>
    <row r="19" spans="1:26" ht="15.75">
      <c r="A19" s="158" t="s">
        <v>266</v>
      </c>
      <c r="B19" s="159"/>
      <c r="C19" s="160"/>
      <c r="D19" s="160"/>
      <c r="E19" s="160"/>
      <c r="F19" s="221"/>
      <c r="G19" s="222"/>
      <c r="H19" s="222"/>
      <c r="I19" s="161"/>
      <c r="M19" s="260"/>
      <c r="N19" s="261"/>
      <c r="O19" s="194"/>
    </row>
    <row r="20" spans="1:26" ht="15.75" customHeight="1">
      <c r="A20" s="516" t="s">
        <v>267</v>
      </c>
      <c r="B20" s="517"/>
      <c r="C20" s="517"/>
      <c r="D20" s="517"/>
      <c r="E20" s="517"/>
      <c r="F20" s="221"/>
      <c r="G20" s="222"/>
      <c r="H20" s="222"/>
      <c r="I20" s="161"/>
      <c r="J20" s="194"/>
      <c r="K20" s="177"/>
      <c r="L20" s="512"/>
      <c r="M20" s="513"/>
      <c r="N20" s="261"/>
      <c r="O20" s="194"/>
    </row>
    <row r="21" spans="1:26" ht="15.75" customHeight="1">
      <c r="A21" s="516" t="s">
        <v>268</v>
      </c>
      <c r="B21" s="517"/>
      <c r="C21" s="517"/>
      <c r="D21" s="517"/>
      <c r="E21" s="517"/>
      <c r="F21" s="221"/>
      <c r="G21" s="222"/>
      <c r="H21" s="222"/>
      <c r="I21" s="161"/>
      <c r="J21" s="194"/>
      <c r="K21" s="177"/>
      <c r="L21" s="156"/>
      <c r="M21" s="257"/>
      <c r="N21" s="261"/>
      <c r="O21" s="194"/>
    </row>
    <row r="22" spans="1:26" ht="42" customHeight="1">
      <c r="A22" s="514" t="s">
        <v>315</v>
      </c>
      <c r="B22" s="515"/>
      <c r="C22" s="515"/>
      <c r="D22" s="515"/>
      <c r="E22" s="515"/>
      <c r="F22" s="221"/>
      <c r="G22" s="222"/>
      <c r="H22" s="222"/>
      <c r="I22" s="161"/>
      <c r="J22" s="194"/>
      <c r="K22" s="177"/>
      <c r="L22" s="426"/>
      <c r="M22" s="427"/>
      <c r="N22" s="261"/>
      <c r="O22" s="194"/>
    </row>
    <row r="23" spans="1:26" ht="15.75" customHeight="1">
      <c r="A23" s="162"/>
      <c r="B23" s="163"/>
      <c r="C23" s="163"/>
      <c r="D23" s="163"/>
      <c r="E23" s="163"/>
      <c r="F23" s="155"/>
      <c r="G23" s="223"/>
      <c r="H23" s="223"/>
      <c r="I23" s="430"/>
      <c r="J23" s="194"/>
      <c r="K23" s="177"/>
      <c r="L23" s="156"/>
      <c r="M23" s="257"/>
      <c r="N23" s="261"/>
      <c r="O23" s="194"/>
    </row>
    <row r="24" spans="1:26" ht="15.75" customHeight="1">
      <c r="A24" s="207" t="s">
        <v>21</v>
      </c>
      <c r="B24" s="208"/>
      <c r="C24" s="137"/>
      <c r="D24" s="137"/>
      <c r="E24" s="138" t="s">
        <v>22</v>
      </c>
      <c r="F24" s="142"/>
      <c r="G24" s="176"/>
      <c r="H24" s="176"/>
      <c r="I24" s="253"/>
      <c r="J24" s="208" t="s">
        <v>23</v>
      </c>
      <c r="K24" s="142"/>
      <c r="L24" s="177" t="s">
        <v>271</v>
      </c>
      <c r="M24" s="254"/>
      <c r="N24" s="194"/>
      <c r="O24" s="194"/>
    </row>
    <row r="25" spans="1:26" ht="15.75">
      <c r="A25" s="213" t="s">
        <v>26</v>
      </c>
      <c r="B25" s="146"/>
      <c r="C25" s="142"/>
      <c r="D25" s="142"/>
      <c r="E25" s="224" t="s">
        <v>269</v>
      </c>
      <c r="F25" s="177"/>
      <c r="G25" s="209"/>
      <c r="H25" s="209"/>
      <c r="I25" s="253"/>
      <c r="J25" s="208" t="s">
        <v>27</v>
      </c>
      <c r="K25" s="262"/>
      <c r="L25" s="262" t="s">
        <v>28</v>
      </c>
      <c r="M25" s="263"/>
      <c r="N25" s="194"/>
      <c r="O25" s="194"/>
    </row>
    <row r="26" spans="1:26" ht="15.75">
      <c r="A26" s="213"/>
      <c r="B26" s="146"/>
      <c r="C26" s="142"/>
      <c r="D26" s="142"/>
      <c r="E26" s="224"/>
      <c r="F26" s="177"/>
      <c r="G26" s="209"/>
      <c r="H26" s="209"/>
      <c r="I26" s="264"/>
      <c r="J26" s="265" t="s">
        <v>29</v>
      </c>
      <c r="K26" s="142"/>
      <c r="L26" s="177"/>
      <c r="M26" s="254"/>
      <c r="N26" s="194"/>
      <c r="O26" s="194"/>
    </row>
    <row r="27" spans="1:26" ht="15.75" customHeight="1">
      <c r="A27" s="225" t="s">
        <v>319</v>
      </c>
      <c r="B27" s="226"/>
      <c r="C27" s="168" t="s">
        <v>30</v>
      </c>
      <c r="D27" s="168"/>
      <c r="E27" s="168" t="s">
        <v>31</v>
      </c>
      <c r="F27" s="227"/>
      <c r="G27" s="228"/>
      <c r="H27" s="228"/>
      <c r="I27" s="227"/>
      <c r="J27" s="266"/>
      <c r="K27" s="142"/>
      <c r="L27" s="177"/>
      <c r="M27" s="254"/>
      <c r="N27" s="194"/>
      <c r="O27" s="267"/>
    </row>
    <row r="28" spans="1:26" ht="64.5" customHeight="1">
      <c r="A28" s="213" t="s">
        <v>318</v>
      </c>
      <c r="B28" s="211"/>
      <c r="C28" s="229">
        <v>46125</v>
      </c>
      <c r="D28" s="230"/>
      <c r="E28" s="229">
        <v>46127</v>
      </c>
      <c r="F28" s="231"/>
      <c r="G28" s="232"/>
      <c r="H28" s="232"/>
      <c r="I28" s="231"/>
      <c r="J28" s="268" t="s">
        <v>32</v>
      </c>
      <c r="K28" s="231" t="s">
        <v>257</v>
      </c>
      <c r="L28" s="269"/>
      <c r="M28" s="270"/>
      <c r="N28" s="269"/>
      <c r="O28" s="269"/>
    </row>
    <row r="29" spans="1:26" ht="18" thickBot="1">
      <c r="A29" s="233"/>
      <c r="B29" s="234"/>
      <c r="C29" s="235" t="s">
        <v>34</v>
      </c>
      <c r="D29" s="236"/>
      <c r="E29" s="237"/>
      <c r="F29" s="238"/>
      <c r="G29" s="239"/>
      <c r="H29" s="239"/>
      <c r="I29" s="187"/>
      <c r="J29" s="205"/>
      <c r="K29" s="187"/>
      <c r="L29" s="187"/>
      <c r="M29" s="271"/>
      <c r="N29" s="205"/>
      <c r="O29" s="272"/>
    </row>
    <row r="30" spans="1:26" s="439" customFormat="1" ht="55.5" customHeight="1">
      <c r="A30" s="435" t="s">
        <v>35</v>
      </c>
      <c r="B30" s="436" t="s">
        <v>36</v>
      </c>
      <c r="C30" s="437" t="s">
        <v>37</v>
      </c>
      <c r="D30" s="436" t="s">
        <v>38</v>
      </c>
      <c r="E30" s="436" t="s">
        <v>39</v>
      </c>
      <c r="F30" s="436" t="s">
        <v>40</v>
      </c>
      <c r="G30" s="436"/>
      <c r="H30" s="436" t="s">
        <v>41</v>
      </c>
      <c r="I30" s="436" t="s">
        <v>42</v>
      </c>
      <c r="J30" s="436" t="s">
        <v>43</v>
      </c>
      <c r="K30" s="436" t="s">
        <v>44</v>
      </c>
      <c r="L30" s="431" t="s">
        <v>45</v>
      </c>
      <c r="M30" s="432" t="s">
        <v>46</v>
      </c>
      <c r="N30" s="438"/>
      <c r="O30" s="438"/>
      <c r="P30" s="438"/>
      <c r="Q30" s="438"/>
      <c r="R30" s="438"/>
      <c r="S30" s="438"/>
      <c r="T30" s="438"/>
      <c r="U30" s="438"/>
      <c r="V30" s="438"/>
      <c r="W30" s="438"/>
      <c r="X30" s="438"/>
      <c r="Y30" s="438"/>
    </row>
    <row r="31" spans="1:26" s="444" customFormat="1" ht="84" customHeight="1">
      <c r="A31" s="478">
        <v>1</v>
      </c>
      <c r="B31" s="440" t="s">
        <v>272</v>
      </c>
      <c r="C31" s="441" t="s">
        <v>47</v>
      </c>
      <c r="D31" s="440">
        <v>1051120</v>
      </c>
      <c r="E31" s="441" t="s">
        <v>59</v>
      </c>
      <c r="F31" s="440" t="s">
        <v>49</v>
      </c>
      <c r="G31" s="440" t="s">
        <v>259</v>
      </c>
      <c r="H31" s="440" t="s">
        <v>273</v>
      </c>
      <c r="I31" s="440">
        <v>414</v>
      </c>
      <c r="J31" s="440" t="s">
        <v>50</v>
      </c>
      <c r="K31" s="477">
        <f>L31-1.45</f>
        <v>28.2</v>
      </c>
      <c r="L31" s="477">
        <v>29.65</v>
      </c>
      <c r="M31" s="474">
        <v>0.11</v>
      </c>
      <c r="N31" s="442" t="s">
        <v>284</v>
      </c>
      <c r="O31" s="442" t="str">
        <f t="shared" ref="O31:O91" si="0">B31&amp;E31&amp;F31</f>
        <v>SIOB260205005BLACK JACK 400黑色XS</v>
      </c>
      <c r="P31" s="442"/>
      <c r="Q31" s="442" t="str">
        <f>B31&amp;E31&amp;F31</f>
        <v>SIOB260205005BLACK JACK 400黑色XS</v>
      </c>
      <c r="R31" s="442"/>
      <c r="S31" s="442"/>
      <c r="T31" s="442"/>
      <c r="U31" s="442"/>
      <c r="V31" s="442"/>
      <c r="W31" s="442"/>
      <c r="X31" s="442"/>
      <c r="Y31" s="442"/>
      <c r="Z31" s="443"/>
    </row>
    <row r="32" spans="1:26" s="444" customFormat="1" ht="84" customHeight="1">
      <c r="A32" s="478"/>
      <c r="B32" s="440" t="s">
        <v>272</v>
      </c>
      <c r="C32" s="441" t="s">
        <v>47</v>
      </c>
      <c r="D32" s="440">
        <v>1051120</v>
      </c>
      <c r="E32" s="441" t="s">
        <v>59</v>
      </c>
      <c r="F32" s="440" t="s">
        <v>53</v>
      </c>
      <c r="G32" s="440" t="s">
        <v>239</v>
      </c>
      <c r="H32" s="440" t="s">
        <v>273</v>
      </c>
      <c r="I32" s="440">
        <v>751</v>
      </c>
      <c r="J32" s="440" t="s">
        <v>50</v>
      </c>
      <c r="K32" s="477"/>
      <c r="L32" s="477"/>
      <c r="M32" s="474"/>
      <c r="N32" s="442" t="s">
        <v>284</v>
      </c>
      <c r="O32" s="442" t="str">
        <f t="shared" si="0"/>
        <v>SIOB260205005BLACK JACK 400黑色XL</v>
      </c>
      <c r="P32" s="442"/>
      <c r="Q32" s="442" t="str">
        <f t="shared" ref="Q32:Q91" si="1">B32&amp;E32&amp;F32</f>
        <v>SIOB260205005BLACK JACK 400黑色XL</v>
      </c>
      <c r="R32" s="442"/>
      <c r="S32" s="442"/>
      <c r="T32" s="442"/>
      <c r="U32" s="442"/>
      <c r="V32" s="442"/>
      <c r="W32" s="442"/>
      <c r="X32" s="442"/>
      <c r="Y32" s="442"/>
      <c r="Z32" s="443"/>
    </row>
    <row r="33" spans="1:26" s="444" customFormat="1" ht="84" customHeight="1">
      <c r="A33" s="478">
        <v>2</v>
      </c>
      <c r="B33" s="440" t="s">
        <v>272</v>
      </c>
      <c r="C33" s="441" t="s">
        <v>47</v>
      </c>
      <c r="D33" s="440">
        <v>1051120</v>
      </c>
      <c r="E33" s="441" t="s">
        <v>59</v>
      </c>
      <c r="F33" s="440" t="s">
        <v>51</v>
      </c>
      <c r="G33" s="440" t="s">
        <v>278</v>
      </c>
      <c r="H33" s="440" t="s">
        <v>273</v>
      </c>
      <c r="I33" s="440">
        <v>785</v>
      </c>
      <c r="J33" s="440" t="s">
        <v>50</v>
      </c>
      <c r="K33" s="477">
        <f>L33-1.45</f>
        <v>25.3</v>
      </c>
      <c r="L33" s="477">
        <v>26.75</v>
      </c>
      <c r="M33" s="474">
        <v>0.11</v>
      </c>
      <c r="N33" s="442" t="s">
        <v>284</v>
      </c>
      <c r="O33" s="442" t="str">
        <f t="shared" si="0"/>
        <v>SIOB260205005BLACK JACK 400黑色S</v>
      </c>
      <c r="P33" s="442"/>
      <c r="Q33" s="442" t="str">
        <f t="shared" si="1"/>
        <v>SIOB260205005BLACK JACK 400黑色S</v>
      </c>
      <c r="R33" s="442"/>
      <c r="S33" s="442"/>
      <c r="T33" s="442"/>
      <c r="U33" s="442"/>
      <c r="V33" s="442"/>
      <c r="W33" s="442"/>
      <c r="X33" s="442"/>
      <c r="Y33" s="442"/>
      <c r="Z33" s="443"/>
    </row>
    <row r="34" spans="1:26" s="444" customFormat="1" ht="84" customHeight="1">
      <c r="A34" s="478"/>
      <c r="B34" s="440" t="s">
        <v>272</v>
      </c>
      <c r="C34" s="441" t="s">
        <v>47</v>
      </c>
      <c r="D34" s="440">
        <v>1051120</v>
      </c>
      <c r="E34" s="441" t="s">
        <v>59</v>
      </c>
      <c r="F34" s="440" t="s">
        <v>55</v>
      </c>
      <c r="G34" s="440" t="s">
        <v>240</v>
      </c>
      <c r="H34" s="440" t="s">
        <v>273</v>
      </c>
      <c r="I34" s="440">
        <v>311</v>
      </c>
      <c r="J34" s="440" t="s">
        <v>50</v>
      </c>
      <c r="K34" s="477"/>
      <c r="L34" s="477"/>
      <c r="M34" s="474"/>
      <c r="N34" s="442" t="s">
        <v>284</v>
      </c>
      <c r="O34" s="442" t="str">
        <f t="shared" si="0"/>
        <v>SIOB260205005BLACK JACK 400黑色XXL</v>
      </c>
      <c r="P34" s="442"/>
      <c r="Q34" s="442" t="str">
        <f t="shared" si="1"/>
        <v>SIOB260205005BLACK JACK 400黑色XXL</v>
      </c>
      <c r="R34" s="442"/>
      <c r="S34" s="442"/>
      <c r="T34" s="442"/>
      <c r="U34" s="442"/>
      <c r="V34" s="442"/>
      <c r="W34" s="442"/>
      <c r="X34" s="442"/>
      <c r="Y34" s="442"/>
      <c r="Z34" s="443"/>
    </row>
    <row r="35" spans="1:26" s="444" customFormat="1" ht="84" customHeight="1">
      <c r="A35" s="478">
        <v>3</v>
      </c>
      <c r="B35" s="440" t="s">
        <v>272</v>
      </c>
      <c r="C35" s="441" t="s">
        <v>47</v>
      </c>
      <c r="D35" s="440">
        <v>1051120</v>
      </c>
      <c r="E35" s="441" t="s">
        <v>59</v>
      </c>
      <c r="F35" s="440" t="s">
        <v>52</v>
      </c>
      <c r="G35" s="440" t="s">
        <v>238</v>
      </c>
      <c r="H35" s="440" t="s">
        <v>273</v>
      </c>
      <c r="I35" s="440">
        <v>799</v>
      </c>
      <c r="J35" s="440" t="s">
        <v>50</v>
      </c>
      <c r="K35" s="477">
        <f>L35-1.45</f>
        <v>23.75</v>
      </c>
      <c r="L35" s="477">
        <v>25.2</v>
      </c>
      <c r="M35" s="474">
        <v>0.11</v>
      </c>
      <c r="N35" s="442" t="s">
        <v>284</v>
      </c>
      <c r="O35" s="442" t="str">
        <f t="shared" si="0"/>
        <v>SIOB260205005BLACK JACK 400黑色M</v>
      </c>
      <c r="P35" s="442"/>
      <c r="Q35" s="442" t="str">
        <f t="shared" si="1"/>
        <v>SIOB260205005BLACK JACK 400黑色M</v>
      </c>
      <c r="R35" s="442"/>
      <c r="S35" s="442"/>
      <c r="T35" s="442"/>
      <c r="U35" s="442"/>
      <c r="V35" s="442"/>
      <c r="W35" s="442"/>
      <c r="X35" s="442"/>
      <c r="Y35" s="442"/>
      <c r="Z35" s="443"/>
    </row>
    <row r="36" spans="1:26" s="444" customFormat="1" ht="84" customHeight="1">
      <c r="A36" s="478"/>
      <c r="B36" s="440" t="s">
        <v>272</v>
      </c>
      <c r="C36" s="441" t="s">
        <v>47</v>
      </c>
      <c r="D36" s="440">
        <v>1051120</v>
      </c>
      <c r="E36" s="441" t="s">
        <v>59</v>
      </c>
      <c r="F36" s="440" t="s">
        <v>56</v>
      </c>
      <c r="G36" s="440" t="s">
        <v>261</v>
      </c>
      <c r="H36" s="440" t="s">
        <v>273</v>
      </c>
      <c r="I36" s="440">
        <v>30</v>
      </c>
      <c r="J36" s="440" t="s">
        <v>50</v>
      </c>
      <c r="K36" s="477"/>
      <c r="L36" s="477"/>
      <c r="M36" s="474"/>
      <c r="N36" s="442" t="s">
        <v>284</v>
      </c>
      <c r="O36" s="442" t="str">
        <f t="shared" si="0"/>
        <v>SIOB260205005BLACK JACK 400黑色L HUSKY</v>
      </c>
      <c r="P36" s="442"/>
      <c r="Q36" s="442" t="str">
        <f t="shared" si="1"/>
        <v>SIOB260205005BLACK JACK 400黑色L HUSKY</v>
      </c>
      <c r="R36" s="442"/>
      <c r="S36" s="442"/>
      <c r="T36" s="442"/>
      <c r="U36" s="442"/>
      <c r="V36" s="442"/>
      <c r="W36" s="442"/>
      <c r="X36" s="442"/>
      <c r="Y36" s="442"/>
      <c r="Z36" s="443"/>
    </row>
    <row r="37" spans="1:26" s="444" customFormat="1" ht="84" customHeight="1">
      <c r="A37" s="478"/>
      <c r="B37" s="440" t="s">
        <v>272</v>
      </c>
      <c r="C37" s="441" t="s">
        <v>47</v>
      </c>
      <c r="D37" s="440">
        <v>1051120</v>
      </c>
      <c r="E37" s="441" t="s">
        <v>59</v>
      </c>
      <c r="F37" s="440" t="s">
        <v>57</v>
      </c>
      <c r="G37" s="440" t="s">
        <v>241</v>
      </c>
      <c r="H37" s="440" t="s">
        <v>273</v>
      </c>
      <c r="I37" s="440">
        <v>50</v>
      </c>
      <c r="J37" s="440" t="s">
        <v>50</v>
      </c>
      <c r="K37" s="477"/>
      <c r="L37" s="477"/>
      <c r="M37" s="474"/>
      <c r="N37" s="442" t="s">
        <v>284</v>
      </c>
      <c r="O37" s="442" t="str">
        <f t="shared" si="0"/>
        <v>SIOB260205005BLACK JACK 400黑色XL HUSKY</v>
      </c>
      <c r="P37" s="442"/>
      <c r="Q37" s="442" t="str">
        <f t="shared" si="1"/>
        <v>SIOB260205005BLACK JACK 400黑色XL HUSKY</v>
      </c>
      <c r="R37" s="442"/>
      <c r="S37" s="442"/>
      <c r="T37" s="442"/>
      <c r="U37" s="442"/>
      <c r="V37" s="442"/>
      <c r="W37" s="442"/>
      <c r="X37" s="442"/>
      <c r="Y37" s="442"/>
      <c r="Z37" s="443"/>
    </row>
    <row r="38" spans="1:26" s="444" customFormat="1" ht="84" customHeight="1">
      <c r="A38" s="478"/>
      <c r="B38" s="440" t="s">
        <v>272</v>
      </c>
      <c r="C38" s="441" t="s">
        <v>47</v>
      </c>
      <c r="D38" s="440">
        <v>1051120</v>
      </c>
      <c r="E38" s="441" t="s">
        <v>59</v>
      </c>
      <c r="F38" s="440" t="s">
        <v>58</v>
      </c>
      <c r="G38" s="440" t="s">
        <v>242</v>
      </c>
      <c r="H38" s="440" t="s">
        <v>273</v>
      </c>
      <c r="I38" s="440">
        <v>85</v>
      </c>
      <c r="J38" s="440" t="s">
        <v>50</v>
      </c>
      <c r="K38" s="477"/>
      <c r="L38" s="477"/>
      <c r="M38" s="474"/>
      <c r="N38" s="442" t="s">
        <v>284</v>
      </c>
      <c r="O38" s="442" t="str">
        <f t="shared" si="0"/>
        <v>SIOB260205005BLACK JACK 400黑色XXL HUSKY</v>
      </c>
      <c r="P38" s="442"/>
      <c r="Q38" s="442" t="str">
        <f t="shared" si="1"/>
        <v>SIOB260205005BLACK JACK 400黑色XXL HUSKY</v>
      </c>
      <c r="R38" s="442"/>
      <c r="S38" s="442"/>
      <c r="T38" s="442"/>
      <c r="U38" s="442"/>
      <c r="V38" s="442"/>
      <c r="W38" s="442"/>
      <c r="X38" s="442"/>
      <c r="Y38" s="442"/>
      <c r="Z38" s="443"/>
    </row>
    <row r="39" spans="1:26" s="444" customFormat="1" ht="84" customHeight="1">
      <c r="A39" s="445">
        <v>4</v>
      </c>
      <c r="B39" s="440" t="s">
        <v>272</v>
      </c>
      <c r="C39" s="441" t="s">
        <v>47</v>
      </c>
      <c r="D39" s="440">
        <v>1051120</v>
      </c>
      <c r="E39" s="441" t="s">
        <v>59</v>
      </c>
      <c r="F39" s="440" t="s">
        <v>54</v>
      </c>
      <c r="G39" s="440" t="s">
        <v>260</v>
      </c>
      <c r="H39" s="440" t="s">
        <v>273</v>
      </c>
      <c r="I39" s="440">
        <v>949</v>
      </c>
      <c r="J39" s="440" t="s">
        <v>50</v>
      </c>
      <c r="K39" s="440">
        <f>L39-1.45</f>
        <v>23.6</v>
      </c>
      <c r="L39" s="440">
        <v>25.05</v>
      </c>
      <c r="M39" s="446">
        <v>0.11</v>
      </c>
      <c r="N39" s="442" t="s">
        <v>284</v>
      </c>
      <c r="O39" s="442" t="str">
        <f t="shared" si="0"/>
        <v>SIOB260205005BLACK JACK 400黑色L</v>
      </c>
      <c r="P39" s="442"/>
      <c r="Q39" s="442" t="str">
        <f t="shared" si="1"/>
        <v>SIOB260205005BLACK JACK 400黑色L</v>
      </c>
      <c r="R39" s="442"/>
      <c r="S39" s="442"/>
      <c r="T39" s="442"/>
      <c r="U39" s="442"/>
      <c r="V39" s="442"/>
      <c r="W39" s="442"/>
      <c r="X39" s="442"/>
      <c r="Y39" s="442"/>
      <c r="Z39" s="443"/>
    </row>
    <row r="40" spans="1:26" s="444" customFormat="1" ht="84" customHeight="1">
      <c r="A40" s="478">
        <v>5</v>
      </c>
      <c r="B40" s="440" t="s">
        <v>279</v>
      </c>
      <c r="C40" s="441" t="s">
        <v>47</v>
      </c>
      <c r="D40" s="440">
        <v>1051120</v>
      </c>
      <c r="E40" s="441" t="s">
        <v>275</v>
      </c>
      <c r="F40" s="440" t="s">
        <v>49</v>
      </c>
      <c r="G40" s="440" t="s">
        <v>281</v>
      </c>
      <c r="H40" s="440" t="s">
        <v>280</v>
      </c>
      <c r="I40" s="440">
        <v>611</v>
      </c>
      <c r="J40" s="440" t="s">
        <v>50</v>
      </c>
      <c r="K40" s="477">
        <f>L40-1.45</f>
        <v>27.2</v>
      </c>
      <c r="L40" s="477">
        <v>28.65</v>
      </c>
      <c r="M40" s="474">
        <v>0.11</v>
      </c>
      <c r="N40" s="442" t="s">
        <v>283</v>
      </c>
      <c r="O40" s="442" t="str">
        <f t="shared" si="0"/>
        <v>SIOB260205012BLUE TANGO 884克莱恩蓝XS</v>
      </c>
      <c r="P40" s="442"/>
      <c r="Q40" s="442" t="str">
        <f t="shared" si="1"/>
        <v>SIOB260205012BLUE TANGO 884克莱恩蓝XS</v>
      </c>
      <c r="R40" s="442"/>
      <c r="S40" s="442"/>
      <c r="T40" s="442"/>
      <c r="U40" s="442"/>
      <c r="V40" s="442"/>
      <c r="W40" s="442"/>
      <c r="X40" s="442"/>
      <c r="Y40" s="442"/>
      <c r="Z40" s="443"/>
    </row>
    <row r="41" spans="1:26" s="444" customFormat="1" ht="84" customHeight="1">
      <c r="A41" s="478"/>
      <c r="B41" s="440" t="s">
        <v>279</v>
      </c>
      <c r="C41" s="441" t="s">
        <v>47</v>
      </c>
      <c r="D41" s="440">
        <v>1051120</v>
      </c>
      <c r="E41" s="441" t="s">
        <v>275</v>
      </c>
      <c r="F41" s="440" t="s">
        <v>53</v>
      </c>
      <c r="G41" s="440" t="s">
        <v>261</v>
      </c>
      <c r="H41" s="440" t="s">
        <v>280</v>
      </c>
      <c r="I41" s="440">
        <v>502</v>
      </c>
      <c r="J41" s="440" t="s">
        <v>50</v>
      </c>
      <c r="K41" s="477"/>
      <c r="L41" s="477"/>
      <c r="M41" s="474"/>
      <c r="N41" s="442" t="s">
        <v>283</v>
      </c>
      <c r="O41" s="442" t="str">
        <f t="shared" si="0"/>
        <v>SIOB260205012BLUE TANGO 884克莱恩蓝XL</v>
      </c>
      <c r="P41" s="442"/>
      <c r="Q41" s="442" t="str">
        <f t="shared" si="1"/>
        <v>SIOB260205012BLUE TANGO 884克莱恩蓝XL</v>
      </c>
      <c r="R41" s="442"/>
      <c r="S41" s="442"/>
      <c r="T41" s="442"/>
      <c r="U41" s="442"/>
      <c r="V41" s="442"/>
      <c r="W41" s="442"/>
      <c r="X41" s="442"/>
      <c r="Y41" s="442"/>
      <c r="Z41" s="443"/>
    </row>
    <row r="42" spans="1:26" s="444" customFormat="1" ht="84" customHeight="1">
      <c r="A42" s="478"/>
      <c r="B42" s="440" t="s">
        <v>279</v>
      </c>
      <c r="C42" s="441" t="s">
        <v>47</v>
      </c>
      <c r="D42" s="440">
        <v>1051120</v>
      </c>
      <c r="E42" s="441" t="s">
        <v>275</v>
      </c>
      <c r="F42" s="440" t="s">
        <v>56</v>
      </c>
      <c r="G42" s="440" t="s">
        <v>260</v>
      </c>
      <c r="H42" s="440" t="s">
        <v>280</v>
      </c>
      <c r="I42" s="440">
        <v>80</v>
      </c>
      <c r="J42" s="440" t="s">
        <v>50</v>
      </c>
      <c r="K42" s="477"/>
      <c r="L42" s="477"/>
      <c r="M42" s="474"/>
      <c r="N42" s="442" t="s">
        <v>283</v>
      </c>
      <c r="O42" s="442" t="str">
        <f t="shared" si="0"/>
        <v>SIOB260205012BLUE TANGO 884克莱恩蓝L HUSKY</v>
      </c>
      <c r="P42" s="442"/>
      <c r="Q42" s="442" t="str">
        <f t="shared" si="1"/>
        <v>SIOB260205012BLUE TANGO 884克莱恩蓝L HUSKY</v>
      </c>
      <c r="R42" s="442"/>
      <c r="S42" s="442"/>
      <c r="T42" s="442"/>
      <c r="U42" s="442"/>
      <c r="V42" s="442"/>
      <c r="W42" s="442"/>
      <c r="X42" s="442"/>
      <c r="Y42" s="442"/>
      <c r="Z42" s="443"/>
    </row>
    <row r="43" spans="1:26" s="444" customFormat="1" ht="84" customHeight="1">
      <c r="A43" s="467">
        <v>6</v>
      </c>
      <c r="B43" s="440" t="s">
        <v>279</v>
      </c>
      <c r="C43" s="441" t="s">
        <v>47</v>
      </c>
      <c r="D43" s="440">
        <v>1051120</v>
      </c>
      <c r="E43" s="441" t="s">
        <v>275</v>
      </c>
      <c r="F43" s="440" t="s">
        <v>51</v>
      </c>
      <c r="G43" s="440" t="s">
        <v>281</v>
      </c>
      <c r="H43" s="440" t="s">
        <v>280</v>
      </c>
      <c r="I43" s="440">
        <v>1105</v>
      </c>
      <c r="J43" s="440" t="s">
        <v>50</v>
      </c>
      <c r="K43" s="470">
        <f>L43-1.45</f>
        <v>25</v>
      </c>
      <c r="L43" s="470">
        <v>26.45</v>
      </c>
      <c r="M43" s="465">
        <v>0.11</v>
      </c>
      <c r="N43" s="442" t="s">
        <v>283</v>
      </c>
      <c r="O43" s="442" t="str">
        <f t="shared" si="0"/>
        <v>SIOB260205012BLUE TANGO 884克莱恩蓝S</v>
      </c>
      <c r="P43" s="442"/>
      <c r="Q43" s="442" t="str">
        <f t="shared" si="1"/>
        <v>SIOB260205012BLUE TANGO 884克莱恩蓝S</v>
      </c>
      <c r="R43" s="442"/>
      <c r="S43" s="442"/>
      <c r="T43" s="442"/>
      <c r="U43" s="442"/>
      <c r="V43" s="442"/>
      <c r="W43" s="442"/>
      <c r="X43" s="442"/>
      <c r="Y43" s="442"/>
      <c r="Z43" s="443"/>
    </row>
    <row r="44" spans="1:26" s="444" customFormat="1" ht="84" customHeight="1">
      <c r="A44" s="469"/>
      <c r="B44" s="440" t="s">
        <v>279</v>
      </c>
      <c r="C44" s="441" t="s">
        <v>47</v>
      </c>
      <c r="D44" s="440">
        <v>1051120</v>
      </c>
      <c r="E44" s="441" t="s">
        <v>275</v>
      </c>
      <c r="F44" s="440" t="s">
        <v>57</v>
      </c>
      <c r="G44" s="440" t="s">
        <v>241</v>
      </c>
      <c r="H44" s="440" t="s">
        <v>280</v>
      </c>
      <c r="I44" s="440">
        <v>105</v>
      </c>
      <c r="J44" s="440" t="s">
        <v>50</v>
      </c>
      <c r="K44" s="472"/>
      <c r="L44" s="472"/>
      <c r="M44" s="466"/>
      <c r="N44" s="442" t="s">
        <v>283</v>
      </c>
      <c r="O44" s="442" t="str">
        <f t="shared" si="0"/>
        <v>SIOB260205012BLUE TANGO 884克莱恩蓝XL HUSKY</v>
      </c>
      <c r="P44" s="442"/>
      <c r="Q44" s="442" t="str">
        <f t="shared" si="1"/>
        <v>SIOB260205012BLUE TANGO 884克莱恩蓝XL HUSKY</v>
      </c>
      <c r="R44" s="442"/>
      <c r="S44" s="442"/>
      <c r="T44" s="442"/>
      <c r="U44" s="442"/>
      <c r="V44" s="442"/>
      <c r="W44" s="442"/>
      <c r="X44" s="442"/>
      <c r="Y44" s="442"/>
      <c r="Z44" s="443"/>
    </row>
    <row r="45" spans="1:26" s="444" customFormat="1" ht="84" customHeight="1">
      <c r="A45" s="478">
        <v>7</v>
      </c>
      <c r="B45" s="440" t="s">
        <v>279</v>
      </c>
      <c r="C45" s="441" t="s">
        <v>47</v>
      </c>
      <c r="D45" s="440">
        <v>1051120</v>
      </c>
      <c r="E45" s="441" t="s">
        <v>275</v>
      </c>
      <c r="F45" s="440" t="s">
        <v>52</v>
      </c>
      <c r="G45" s="440" t="s">
        <v>282</v>
      </c>
      <c r="H45" s="440" t="s">
        <v>280</v>
      </c>
      <c r="I45" s="440">
        <v>953</v>
      </c>
      <c r="J45" s="440" t="s">
        <v>50</v>
      </c>
      <c r="K45" s="477">
        <f>L45-1.45</f>
        <v>25.8</v>
      </c>
      <c r="L45" s="477">
        <v>27.25</v>
      </c>
      <c r="M45" s="474">
        <v>0.11</v>
      </c>
      <c r="N45" s="442" t="s">
        <v>283</v>
      </c>
      <c r="O45" s="442" t="str">
        <f t="shared" si="0"/>
        <v>SIOB260205012BLUE TANGO 884克莱恩蓝M</v>
      </c>
      <c r="P45" s="442"/>
      <c r="Q45" s="442" t="str">
        <f t="shared" si="1"/>
        <v>SIOB260205012BLUE TANGO 884克莱恩蓝M</v>
      </c>
      <c r="R45" s="442"/>
      <c r="S45" s="442"/>
      <c r="T45" s="442"/>
      <c r="U45" s="442"/>
      <c r="V45" s="442"/>
      <c r="W45" s="442"/>
      <c r="X45" s="442"/>
      <c r="Y45" s="442"/>
      <c r="Z45" s="443"/>
    </row>
    <row r="46" spans="1:26" s="444" customFormat="1" ht="84" customHeight="1">
      <c r="A46" s="478"/>
      <c r="B46" s="440" t="s">
        <v>279</v>
      </c>
      <c r="C46" s="441" t="s">
        <v>47</v>
      </c>
      <c r="D46" s="440">
        <v>1051120</v>
      </c>
      <c r="E46" s="441" t="s">
        <v>275</v>
      </c>
      <c r="F46" s="440" t="s">
        <v>58</v>
      </c>
      <c r="G46" s="440" t="s">
        <v>241</v>
      </c>
      <c r="H46" s="440" t="s">
        <v>280</v>
      </c>
      <c r="I46" s="440">
        <v>135</v>
      </c>
      <c r="J46" s="440" t="s">
        <v>50</v>
      </c>
      <c r="K46" s="477"/>
      <c r="L46" s="477"/>
      <c r="M46" s="474"/>
      <c r="N46" s="442" t="s">
        <v>283</v>
      </c>
      <c r="O46" s="442" t="str">
        <f t="shared" si="0"/>
        <v>SIOB260205012BLUE TANGO 884克莱恩蓝XXL HUSKY</v>
      </c>
      <c r="P46" s="442"/>
      <c r="Q46" s="442" t="str">
        <f t="shared" si="1"/>
        <v>SIOB260205012BLUE TANGO 884克莱恩蓝XXL HUSKY</v>
      </c>
      <c r="R46" s="442"/>
      <c r="S46" s="442"/>
      <c r="T46" s="442"/>
      <c r="U46" s="442"/>
      <c r="V46" s="442"/>
      <c r="W46" s="442"/>
      <c r="X46" s="442"/>
      <c r="Y46" s="442"/>
      <c r="Z46" s="443"/>
    </row>
    <row r="47" spans="1:26" s="444" customFormat="1" ht="84" customHeight="1">
      <c r="A47" s="478">
        <v>8</v>
      </c>
      <c r="B47" s="440" t="s">
        <v>279</v>
      </c>
      <c r="C47" s="441" t="s">
        <v>47</v>
      </c>
      <c r="D47" s="440">
        <v>1051120</v>
      </c>
      <c r="E47" s="441" t="s">
        <v>275</v>
      </c>
      <c r="F47" s="440" t="s">
        <v>54</v>
      </c>
      <c r="G47" s="440" t="s">
        <v>282</v>
      </c>
      <c r="H47" s="440" t="s">
        <v>280</v>
      </c>
      <c r="I47" s="440">
        <v>926</v>
      </c>
      <c r="J47" s="440" t="s">
        <v>50</v>
      </c>
      <c r="K47" s="477">
        <f>L47-1.45</f>
        <v>28.35</v>
      </c>
      <c r="L47" s="477">
        <v>29.8</v>
      </c>
      <c r="M47" s="474">
        <v>0.11</v>
      </c>
      <c r="N47" s="442" t="s">
        <v>283</v>
      </c>
      <c r="O47" s="442" t="str">
        <f t="shared" si="0"/>
        <v>SIOB260205012BLUE TANGO 884克莱恩蓝L</v>
      </c>
      <c r="P47" s="442"/>
      <c r="Q47" s="442" t="str">
        <f t="shared" si="1"/>
        <v>SIOB260205012BLUE TANGO 884克莱恩蓝L</v>
      </c>
      <c r="R47" s="442"/>
      <c r="S47" s="442"/>
      <c r="T47" s="442"/>
      <c r="U47" s="442"/>
      <c r="V47" s="442"/>
      <c r="W47" s="442"/>
      <c r="X47" s="442"/>
      <c r="Y47" s="442"/>
      <c r="Z47" s="443"/>
    </row>
    <row r="48" spans="1:26" s="444" customFormat="1" ht="84" customHeight="1">
      <c r="A48" s="478"/>
      <c r="B48" s="440" t="s">
        <v>279</v>
      </c>
      <c r="C48" s="441" t="s">
        <v>47</v>
      </c>
      <c r="D48" s="440">
        <v>1051120</v>
      </c>
      <c r="E48" s="441" t="s">
        <v>275</v>
      </c>
      <c r="F48" s="440" t="s">
        <v>55</v>
      </c>
      <c r="G48" s="440" t="s">
        <v>261</v>
      </c>
      <c r="H48" s="440" t="s">
        <v>280</v>
      </c>
      <c r="I48" s="440">
        <v>265</v>
      </c>
      <c r="J48" s="440" t="s">
        <v>50</v>
      </c>
      <c r="K48" s="477"/>
      <c r="L48" s="477"/>
      <c r="M48" s="474"/>
      <c r="N48" s="442" t="s">
        <v>283</v>
      </c>
      <c r="O48" s="442" t="str">
        <f t="shared" si="0"/>
        <v>SIOB260205012BLUE TANGO 884克莱恩蓝XXL</v>
      </c>
      <c r="P48" s="442"/>
      <c r="Q48" s="442" t="str">
        <f t="shared" si="1"/>
        <v>SIOB260205012BLUE TANGO 884克莱恩蓝XXL</v>
      </c>
      <c r="R48" s="442"/>
      <c r="S48" s="442"/>
      <c r="T48" s="442"/>
      <c r="U48" s="442"/>
      <c r="V48" s="442"/>
      <c r="W48" s="442"/>
      <c r="X48" s="442"/>
      <c r="Y48" s="442"/>
      <c r="Z48" s="443"/>
    </row>
    <row r="49" spans="1:26" s="444" customFormat="1" ht="84" customHeight="1">
      <c r="A49" s="467">
        <v>9</v>
      </c>
      <c r="B49" s="440" t="s">
        <v>279</v>
      </c>
      <c r="C49" s="441" t="s">
        <v>47</v>
      </c>
      <c r="D49" s="440">
        <v>1051120</v>
      </c>
      <c r="E49" s="441" t="s">
        <v>277</v>
      </c>
      <c r="F49" s="440" t="s">
        <v>49</v>
      </c>
      <c r="G49" s="440" t="s">
        <v>281</v>
      </c>
      <c r="H49" s="440" t="s">
        <v>280</v>
      </c>
      <c r="I49" s="440">
        <v>681</v>
      </c>
      <c r="J49" s="440" t="s">
        <v>50</v>
      </c>
      <c r="K49" s="470">
        <f>L49-1.45</f>
        <v>25.900000000000002</v>
      </c>
      <c r="L49" s="470">
        <v>27.35</v>
      </c>
      <c r="M49" s="465">
        <v>0.11</v>
      </c>
      <c r="N49" s="442" t="s">
        <v>283</v>
      </c>
      <c r="O49" s="442" t="str">
        <f t="shared" si="0"/>
        <v>SIOB260205012WINE STAIN 853酒红XS</v>
      </c>
      <c r="P49" s="442"/>
      <c r="Q49" s="442" t="str">
        <f t="shared" si="1"/>
        <v>SIOB260205012WINE STAIN 853酒红XS</v>
      </c>
      <c r="R49" s="442"/>
      <c r="S49" s="442"/>
      <c r="T49" s="442"/>
      <c r="U49" s="442"/>
      <c r="V49" s="442"/>
      <c r="W49" s="442"/>
      <c r="X49" s="442"/>
      <c r="Y49" s="442"/>
      <c r="Z49" s="443"/>
    </row>
    <row r="50" spans="1:26" s="444" customFormat="1" ht="84" customHeight="1">
      <c r="A50" s="468"/>
      <c r="B50" s="440" t="s">
        <v>279</v>
      </c>
      <c r="C50" s="441" t="s">
        <v>47</v>
      </c>
      <c r="D50" s="440">
        <v>1051120</v>
      </c>
      <c r="E50" s="441" t="s">
        <v>277</v>
      </c>
      <c r="F50" s="440" t="s">
        <v>55</v>
      </c>
      <c r="G50" s="440" t="s">
        <v>261</v>
      </c>
      <c r="H50" s="440" t="s">
        <v>280</v>
      </c>
      <c r="I50" s="440">
        <v>358</v>
      </c>
      <c r="J50" s="440" t="s">
        <v>50</v>
      </c>
      <c r="K50" s="471"/>
      <c r="L50" s="471"/>
      <c r="M50" s="473"/>
      <c r="N50" s="442" t="s">
        <v>283</v>
      </c>
      <c r="O50" s="442" t="str">
        <f t="shared" si="0"/>
        <v>SIOB260205012WINE STAIN 853酒红XXL</v>
      </c>
      <c r="P50" s="442"/>
      <c r="Q50" s="442" t="str">
        <f t="shared" si="1"/>
        <v>SIOB260205012WINE STAIN 853酒红XXL</v>
      </c>
      <c r="R50" s="442"/>
      <c r="S50" s="442"/>
      <c r="T50" s="442"/>
      <c r="U50" s="442"/>
      <c r="V50" s="442"/>
      <c r="W50" s="442"/>
      <c r="X50" s="442"/>
      <c r="Y50" s="442"/>
      <c r="Z50" s="443"/>
    </row>
    <row r="51" spans="1:26" s="444" customFormat="1" ht="84" customHeight="1">
      <c r="A51" s="469"/>
      <c r="B51" s="440" t="s">
        <v>279</v>
      </c>
      <c r="C51" s="441" t="s">
        <v>47</v>
      </c>
      <c r="D51" s="440">
        <v>1051120</v>
      </c>
      <c r="E51" s="441" t="s">
        <v>277</v>
      </c>
      <c r="F51" s="440" t="s">
        <v>56</v>
      </c>
      <c r="G51" s="440" t="s">
        <v>260</v>
      </c>
      <c r="H51" s="440" t="s">
        <v>280</v>
      </c>
      <c r="I51" s="440">
        <v>134</v>
      </c>
      <c r="J51" s="440" t="s">
        <v>50</v>
      </c>
      <c r="K51" s="472"/>
      <c r="L51" s="472"/>
      <c r="M51" s="466"/>
      <c r="N51" s="442" t="s">
        <v>283</v>
      </c>
      <c r="O51" s="442" t="str">
        <f t="shared" si="0"/>
        <v>SIOB260205012WINE STAIN 853酒红L HUSKY</v>
      </c>
      <c r="P51" s="442"/>
      <c r="Q51" s="442" t="str">
        <f t="shared" si="1"/>
        <v>SIOB260205012WINE STAIN 853酒红L HUSKY</v>
      </c>
      <c r="R51" s="442"/>
      <c r="S51" s="442"/>
      <c r="T51" s="442"/>
      <c r="U51" s="442"/>
      <c r="V51" s="442"/>
      <c r="W51" s="442"/>
      <c r="X51" s="442"/>
      <c r="Y51" s="442"/>
      <c r="Z51" s="443"/>
    </row>
    <row r="52" spans="1:26" s="444" customFormat="1" ht="84" customHeight="1">
      <c r="A52" s="445">
        <v>10</v>
      </c>
      <c r="B52" s="440" t="s">
        <v>279</v>
      </c>
      <c r="C52" s="441" t="s">
        <v>47</v>
      </c>
      <c r="D52" s="440">
        <v>1051120</v>
      </c>
      <c r="E52" s="441" t="s">
        <v>277</v>
      </c>
      <c r="F52" s="440" t="s">
        <v>51</v>
      </c>
      <c r="G52" s="440" t="s">
        <v>281</v>
      </c>
      <c r="H52" s="440" t="s">
        <v>280</v>
      </c>
      <c r="I52" s="440">
        <v>1235</v>
      </c>
      <c r="J52" s="440" t="s">
        <v>50</v>
      </c>
      <c r="K52" s="440">
        <f t="shared" ref="K52:K55" si="2">L52-1.45</f>
        <v>24.75</v>
      </c>
      <c r="L52" s="440">
        <v>26.2</v>
      </c>
      <c r="M52" s="446">
        <v>0.11</v>
      </c>
      <c r="N52" s="442" t="s">
        <v>283</v>
      </c>
      <c r="O52" s="442" t="str">
        <f t="shared" si="0"/>
        <v>SIOB260205012WINE STAIN 853酒红S</v>
      </c>
      <c r="P52" s="442"/>
      <c r="Q52" s="442" t="str">
        <f t="shared" si="1"/>
        <v>SIOB260205012WINE STAIN 853酒红S</v>
      </c>
      <c r="R52" s="442"/>
      <c r="S52" s="442"/>
      <c r="T52" s="442"/>
      <c r="U52" s="442"/>
      <c r="V52" s="442"/>
      <c r="W52" s="442"/>
      <c r="X52" s="442"/>
      <c r="Y52" s="442"/>
      <c r="Z52" s="443"/>
    </row>
    <row r="53" spans="1:26" s="444" customFormat="1" ht="84" customHeight="1">
      <c r="A53" s="445">
        <v>11</v>
      </c>
      <c r="B53" s="440" t="s">
        <v>279</v>
      </c>
      <c r="C53" s="441" t="s">
        <v>47</v>
      </c>
      <c r="D53" s="440">
        <v>1051120</v>
      </c>
      <c r="E53" s="441" t="s">
        <v>277</v>
      </c>
      <c r="F53" s="440" t="s">
        <v>52</v>
      </c>
      <c r="G53" s="440" t="s">
        <v>282</v>
      </c>
      <c r="H53" s="440" t="s">
        <v>280</v>
      </c>
      <c r="I53" s="440">
        <v>1132</v>
      </c>
      <c r="J53" s="440" t="s">
        <v>50</v>
      </c>
      <c r="K53" s="440">
        <f t="shared" si="2"/>
        <v>25.900000000000002</v>
      </c>
      <c r="L53" s="440">
        <v>27.35</v>
      </c>
      <c r="M53" s="446">
        <v>0.11</v>
      </c>
      <c r="N53" s="442" t="s">
        <v>283</v>
      </c>
      <c r="O53" s="442" t="str">
        <f t="shared" si="0"/>
        <v>SIOB260205012WINE STAIN 853酒红M</v>
      </c>
      <c r="P53" s="442"/>
      <c r="Q53" s="442" t="str">
        <f t="shared" si="1"/>
        <v>SIOB260205012WINE STAIN 853酒红M</v>
      </c>
      <c r="R53" s="442"/>
      <c r="S53" s="442"/>
      <c r="T53" s="442"/>
      <c r="U53" s="442"/>
      <c r="V53" s="442"/>
      <c r="W53" s="442"/>
      <c r="X53" s="442"/>
      <c r="Y53" s="442"/>
      <c r="Z53" s="443"/>
    </row>
    <row r="54" spans="1:26" s="444" customFormat="1" ht="84" customHeight="1">
      <c r="A54" s="445">
        <v>12</v>
      </c>
      <c r="B54" s="440" t="s">
        <v>279</v>
      </c>
      <c r="C54" s="441" t="s">
        <v>47</v>
      </c>
      <c r="D54" s="440">
        <v>1051120</v>
      </c>
      <c r="E54" s="441" t="s">
        <v>277</v>
      </c>
      <c r="F54" s="440" t="s">
        <v>54</v>
      </c>
      <c r="G54" s="440" t="s">
        <v>282</v>
      </c>
      <c r="H54" s="440" t="s">
        <v>280</v>
      </c>
      <c r="I54" s="440">
        <v>1185</v>
      </c>
      <c r="J54" s="440" t="s">
        <v>50</v>
      </c>
      <c r="K54" s="440">
        <f t="shared" si="2"/>
        <v>27.8</v>
      </c>
      <c r="L54" s="440">
        <v>29.25</v>
      </c>
      <c r="M54" s="446">
        <v>0.11</v>
      </c>
      <c r="N54" s="442" t="s">
        <v>283</v>
      </c>
      <c r="O54" s="442" t="str">
        <f t="shared" si="0"/>
        <v>SIOB260205012WINE STAIN 853酒红L</v>
      </c>
      <c r="P54" s="442"/>
      <c r="Q54" s="442" t="str">
        <f t="shared" si="1"/>
        <v>SIOB260205012WINE STAIN 853酒红L</v>
      </c>
      <c r="R54" s="442"/>
      <c r="S54" s="442"/>
      <c r="T54" s="442"/>
      <c r="U54" s="442"/>
      <c r="V54" s="442"/>
      <c r="W54" s="442"/>
      <c r="X54" s="442"/>
      <c r="Y54" s="442"/>
      <c r="Z54" s="443"/>
    </row>
    <row r="55" spans="1:26" s="444" customFormat="1" ht="84" customHeight="1">
      <c r="A55" s="478">
        <v>13</v>
      </c>
      <c r="B55" s="440" t="s">
        <v>279</v>
      </c>
      <c r="C55" s="441" t="s">
        <v>47</v>
      </c>
      <c r="D55" s="440">
        <v>1051120</v>
      </c>
      <c r="E55" s="441" t="s">
        <v>277</v>
      </c>
      <c r="F55" s="440" t="s">
        <v>53</v>
      </c>
      <c r="G55" s="440" t="s">
        <v>261</v>
      </c>
      <c r="H55" s="440" t="s">
        <v>280</v>
      </c>
      <c r="I55" s="440">
        <v>718</v>
      </c>
      <c r="J55" s="440" t="s">
        <v>50</v>
      </c>
      <c r="K55" s="477">
        <f t="shared" si="2"/>
        <v>28.900000000000002</v>
      </c>
      <c r="L55" s="477">
        <v>30.35</v>
      </c>
      <c r="M55" s="474">
        <v>0.11</v>
      </c>
      <c r="N55" s="442" t="s">
        <v>283</v>
      </c>
      <c r="O55" s="442" t="str">
        <f t="shared" si="0"/>
        <v>SIOB260205012WINE STAIN 853酒红XL</v>
      </c>
      <c r="P55" s="442"/>
      <c r="Q55" s="442" t="str">
        <f t="shared" si="1"/>
        <v>SIOB260205012WINE STAIN 853酒红XL</v>
      </c>
      <c r="R55" s="442"/>
      <c r="S55" s="442"/>
      <c r="T55" s="442"/>
      <c r="U55" s="442"/>
      <c r="V55" s="442"/>
      <c r="W55" s="442"/>
      <c r="X55" s="442"/>
      <c r="Y55" s="442"/>
      <c r="Z55" s="443"/>
    </row>
    <row r="56" spans="1:26" s="444" customFormat="1" ht="84" customHeight="1">
      <c r="A56" s="478"/>
      <c r="B56" s="440" t="s">
        <v>279</v>
      </c>
      <c r="C56" s="441" t="s">
        <v>47</v>
      </c>
      <c r="D56" s="440">
        <v>1051120</v>
      </c>
      <c r="E56" s="441" t="s">
        <v>277</v>
      </c>
      <c r="F56" s="440" t="s">
        <v>57</v>
      </c>
      <c r="G56" s="440" t="s">
        <v>241</v>
      </c>
      <c r="H56" s="440" t="s">
        <v>280</v>
      </c>
      <c r="I56" s="440">
        <v>205</v>
      </c>
      <c r="J56" s="440" t="s">
        <v>50</v>
      </c>
      <c r="K56" s="477"/>
      <c r="L56" s="477"/>
      <c r="M56" s="474"/>
      <c r="N56" s="442" t="s">
        <v>283</v>
      </c>
      <c r="O56" s="442" t="str">
        <f t="shared" si="0"/>
        <v>SIOB260205012WINE STAIN 853酒红XL HUSKY</v>
      </c>
      <c r="P56" s="442"/>
      <c r="Q56" s="442" t="str">
        <f t="shared" si="1"/>
        <v>SIOB260205012WINE STAIN 853酒红XL HUSKY</v>
      </c>
      <c r="R56" s="442"/>
      <c r="S56" s="442"/>
      <c r="T56" s="442"/>
      <c r="U56" s="442"/>
      <c r="V56" s="442"/>
      <c r="W56" s="442"/>
      <c r="X56" s="442"/>
      <c r="Y56" s="442"/>
      <c r="Z56" s="443"/>
    </row>
    <row r="57" spans="1:26" s="444" customFormat="1" ht="84" customHeight="1">
      <c r="A57" s="478"/>
      <c r="B57" s="440" t="s">
        <v>279</v>
      </c>
      <c r="C57" s="441" t="s">
        <v>47</v>
      </c>
      <c r="D57" s="440">
        <v>1051120</v>
      </c>
      <c r="E57" s="441" t="s">
        <v>277</v>
      </c>
      <c r="F57" s="440" t="s">
        <v>58</v>
      </c>
      <c r="G57" s="440" t="s">
        <v>241</v>
      </c>
      <c r="H57" s="440" t="s">
        <v>280</v>
      </c>
      <c r="I57" s="440">
        <v>185</v>
      </c>
      <c r="J57" s="440" t="s">
        <v>50</v>
      </c>
      <c r="K57" s="477"/>
      <c r="L57" s="477"/>
      <c r="M57" s="474"/>
      <c r="N57" s="442" t="s">
        <v>283</v>
      </c>
      <c r="O57" s="442" t="str">
        <f t="shared" si="0"/>
        <v>SIOB260205012WINE STAIN 853酒红XXL HUSKY</v>
      </c>
      <c r="P57" s="442"/>
      <c r="Q57" s="442" t="str">
        <f t="shared" si="1"/>
        <v>SIOB260205012WINE STAIN 853酒红XXL HUSKY</v>
      </c>
      <c r="R57" s="442"/>
      <c r="S57" s="442"/>
      <c r="T57" s="442"/>
      <c r="U57" s="442"/>
      <c r="V57" s="442"/>
      <c r="W57" s="442"/>
      <c r="X57" s="442"/>
      <c r="Y57" s="442"/>
      <c r="Z57" s="443"/>
    </row>
    <row r="58" spans="1:26" s="444" customFormat="1" ht="84" customHeight="1">
      <c r="A58" s="478">
        <v>14</v>
      </c>
      <c r="B58" s="440" t="s">
        <v>272</v>
      </c>
      <c r="C58" s="441" t="s">
        <v>47</v>
      </c>
      <c r="D58" s="440">
        <v>1051120</v>
      </c>
      <c r="E58" s="441" t="s">
        <v>276</v>
      </c>
      <c r="F58" s="440" t="s">
        <v>49</v>
      </c>
      <c r="G58" s="440" t="s">
        <v>259</v>
      </c>
      <c r="H58" s="440" t="s">
        <v>273</v>
      </c>
      <c r="I58" s="440">
        <v>388</v>
      </c>
      <c r="J58" s="440" t="s">
        <v>50</v>
      </c>
      <c r="K58" s="477">
        <f>L58-1.45</f>
        <v>26.75</v>
      </c>
      <c r="L58" s="477">
        <v>28.2</v>
      </c>
      <c r="M58" s="474">
        <v>0.11</v>
      </c>
      <c r="N58" s="442" t="s">
        <v>284</v>
      </c>
      <c r="O58" s="442" t="str">
        <f t="shared" si="0"/>
        <v>SIOB260205005B25 FAUX HEATHER GREY (B25 PSD)B25单染涤XS</v>
      </c>
      <c r="P58" s="442"/>
      <c r="Q58" s="442" t="str">
        <f t="shared" si="1"/>
        <v>SIOB260205005B25 FAUX HEATHER GREY (B25 PSD)B25单染涤XS</v>
      </c>
      <c r="R58" s="442"/>
      <c r="S58" s="442"/>
      <c r="T58" s="442"/>
      <c r="U58" s="442"/>
      <c r="V58" s="442"/>
      <c r="W58" s="442"/>
      <c r="X58" s="442"/>
      <c r="Y58" s="442"/>
      <c r="Z58" s="443"/>
    </row>
    <row r="59" spans="1:26" s="444" customFormat="1" ht="84" customHeight="1">
      <c r="A59" s="478"/>
      <c r="B59" s="440" t="s">
        <v>272</v>
      </c>
      <c r="C59" s="441" t="s">
        <v>47</v>
      </c>
      <c r="D59" s="440">
        <v>1051120</v>
      </c>
      <c r="E59" s="441" t="s">
        <v>276</v>
      </c>
      <c r="F59" s="440" t="s">
        <v>51</v>
      </c>
      <c r="G59" s="440" t="s">
        <v>278</v>
      </c>
      <c r="H59" s="440" t="s">
        <v>273</v>
      </c>
      <c r="I59" s="440">
        <v>883</v>
      </c>
      <c r="J59" s="440" t="s">
        <v>50</v>
      </c>
      <c r="K59" s="477"/>
      <c r="L59" s="477"/>
      <c r="M59" s="474"/>
      <c r="N59" s="442" t="s">
        <v>284</v>
      </c>
      <c r="O59" s="442" t="str">
        <f t="shared" si="0"/>
        <v>SIOB260205005B25 FAUX HEATHER GREY (B25 PSD)B25单染涤S</v>
      </c>
      <c r="P59" s="442"/>
      <c r="Q59" s="442" t="str">
        <f t="shared" si="1"/>
        <v>SIOB260205005B25 FAUX HEATHER GREY (B25 PSD)B25单染涤S</v>
      </c>
      <c r="R59" s="442"/>
      <c r="S59" s="442"/>
      <c r="T59" s="442"/>
      <c r="U59" s="442"/>
      <c r="V59" s="442"/>
      <c r="W59" s="442"/>
      <c r="X59" s="442"/>
      <c r="Y59" s="442"/>
      <c r="Z59" s="443"/>
    </row>
    <row r="60" spans="1:26" s="444" customFormat="1" ht="84" customHeight="1">
      <c r="A60" s="467">
        <v>15</v>
      </c>
      <c r="B60" s="440" t="s">
        <v>272</v>
      </c>
      <c r="C60" s="441" t="s">
        <v>47</v>
      </c>
      <c r="D60" s="440">
        <v>1051120</v>
      </c>
      <c r="E60" s="441" t="s">
        <v>276</v>
      </c>
      <c r="F60" s="440" t="s">
        <v>52</v>
      </c>
      <c r="G60" s="440" t="s">
        <v>238</v>
      </c>
      <c r="H60" s="440" t="s">
        <v>273</v>
      </c>
      <c r="I60" s="440">
        <v>952</v>
      </c>
      <c r="J60" s="440" t="s">
        <v>50</v>
      </c>
      <c r="K60" s="470">
        <f t="shared" ref="K60:K69" si="3">L60-1.45</f>
        <v>29.150000000000002</v>
      </c>
      <c r="L60" s="470">
        <v>30.6</v>
      </c>
      <c r="M60" s="465">
        <v>0.11</v>
      </c>
      <c r="N60" s="442" t="s">
        <v>284</v>
      </c>
      <c r="O60" s="442" t="str">
        <f t="shared" si="0"/>
        <v>SIOB260205005B25 FAUX HEATHER GREY (B25 PSD)B25单染涤M</v>
      </c>
      <c r="P60" s="442"/>
      <c r="Q60" s="442" t="str">
        <f t="shared" si="1"/>
        <v>SIOB260205005B25 FAUX HEATHER GREY (B25 PSD)B25单染涤M</v>
      </c>
      <c r="R60" s="442"/>
      <c r="S60" s="442"/>
      <c r="T60" s="442"/>
      <c r="U60" s="442"/>
      <c r="V60" s="442"/>
      <c r="W60" s="442"/>
      <c r="X60" s="442"/>
      <c r="Y60" s="442"/>
      <c r="Z60" s="443"/>
    </row>
    <row r="61" spans="1:26" s="444" customFormat="1" ht="84" customHeight="1">
      <c r="A61" s="469"/>
      <c r="B61" s="440" t="s">
        <v>272</v>
      </c>
      <c r="C61" s="441" t="s">
        <v>47</v>
      </c>
      <c r="D61" s="440">
        <v>1051120</v>
      </c>
      <c r="E61" s="441" t="s">
        <v>276</v>
      </c>
      <c r="F61" s="440" t="s">
        <v>55</v>
      </c>
      <c r="G61" s="440" t="s">
        <v>240</v>
      </c>
      <c r="H61" s="440" t="s">
        <v>273</v>
      </c>
      <c r="I61" s="440">
        <v>259</v>
      </c>
      <c r="J61" s="440" t="s">
        <v>50</v>
      </c>
      <c r="K61" s="472"/>
      <c r="L61" s="472"/>
      <c r="M61" s="466"/>
      <c r="N61" s="442" t="s">
        <v>284</v>
      </c>
      <c r="O61" s="442" t="str">
        <f t="shared" si="0"/>
        <v>SIOB260205005B25 FAUX HEATHER GREY (B25 PSD)B25单染涤XXL</v>
      </c>
      <c r="P61" s="442"/>
      <c r="Q61" s="442" t="str">
        <f t="shared" si="1"/>
        <v>SIOB260205005B25 FAUX HEATHER GREY (B25 PSD)B25单染涤XXL</v>
      </c>
      <c r="R61" s="442"/>
      <c r="S61" s="442"/>
      <c r="T61" s="442"/>
      <c r="U61" s="442"/>
      <c r="V61" s="442"/>
      <c r="W61" s="442"/>
      <c r="X61" s="442"/>
      <c r="Y61" s="442"/>
      <c r="Z61" s="443"/>
    </row>
    <row r="62" spans="1:26" s="444" customFormat="1" ht="84" customHeight="1">
      <c r="A62" s="445">
        <v>16</v>
      </c>
      <c r="B62" s="440" t="s">
        <v>272</v>
      </c>
      <c r="C62" s="441" t="s">
        <v>47</v>
      </c>
      <c r="D62" s="440">
        <v>1051120</v>
      </c>
      <c r="E62" s="441" t="s">
        <v>276</v>
      </c>
      <c r="F62" s="440" t="s">
        <v>54</v>
      </c>
      <c r="G62" s="440" t="s">
        <v>260</v>
      </c>
      <c r="H62" s="440" t="s">
        <v>273</v>
      </c>
      <c r="I62" s="440">
        <v>1208</v>
      </c>
      <c r="J62" s="440" t="s">
        <v>50</v>
      </c>
      <c r="K62" s="440">
        <f t="shared" si="3"/>
        <v>29.75</v>
      </c>
      <c r="L62" s="440">
        <v>31.2</v>
      </c>
      <c r="M62" s="446">
        <v>0.11</v>
      </c>
      <c r="N62" s="442" t="s">
        <v>284</v>
      </c>
      <c r="O62" s="442" t="str">
        <f t="shared" si="0"/>
        <v>SIOB260205005B25 FAUX HEATHER GREY (B25 PSD)B25单染涤L</v>
      </c>
      <c r="P62" s="442"/>
      <c r="Q62" s="442" t="str">
        <f t="shared" si="1"/>
        <v>SIOB260205005B25 FAUX HEATHER GREY (B25 PSD)B25单染涤L</v>
      </c>
      <c r="R62" s="442"/>
      <c r="S62" s="442"/>
      <c r="T62" s="442"/>
      <c r="U62" s="442"/>
      <c r="V62" s="442"/>
      <c r="W62" s="442"/>
      <c r="X62" s="442"/>
      <c r="Y62" s="442"/>
      <c r="Z62" s="443"/>
    </row>
    <row r="63" spans="1:26" s="444" customFormat="1" ht="84" customHeight="1">
      <c r="A63" s="467">
        <v>17</v>
      </c>
      <c r="B63" s="440" t="s">
        <v>272</v>
      </c>
      <c r="C63" s="441" t="s">
        <v>47</v>
      </c>
      <c r="D63" s="440">
        <v>1051120</v>
      </c>
      <c r="E63" s="441" t="s">
        <v>276</v>
      </c>
      <c r="F63" s="440" t="s">
        <v>53</v>
      </c>
      <c r="G63" s="440" t="s">
        <v>239</v>
      </c>
      <c r="H63" s="440" t="s">
        <v>273</v>
      </c>
      <c r="I63" s="440">
        <v>985</v>
      </c>
      <c r="J63" s="440" t="s">
        <v>50</v>
      </c>
      <c r="K63" s="470">
        <f t="shared" si="3"/>
        <v>29.7</v>
      </c>
      <c r="L63" s="470">
        <v>31.15</v>
      </c>
      <c r="M63" s="465">
        <v>0.11</v>
      </c>
      <c r="N63" s="442" t="s">
        <v>284</v>
      </c>
      <c r="O63" s="442" t="str">
        <f t="shared" si="0"/>
        <v>SIOB260205005B25 FAUX HEATHER GREY (B25 PSD)B25单染涤XL</v>
      </c>
      <c r="P63" s="442"/>
      <c r="Q63" s="442" t="str">
        <f t="shared" si="1"/>
        <v>SIOB260205005B25 FAUX HEATHER GREY (B25 PSD)B25单染涤XL</v>
      </c>
      <c r="R63" s="442"/>
      <c r="S63" s="442"/>
      <c r="T63" s="442"/>
      <c r="U63" s="442"/>
      <c r="V63" s="442"/>
      <c r="W63" s="442"/>
      <c r="X63" s="442"/>
      <c r="Y63" s="442"/>
      <c r="Z63" s="443"/>
    </row>
    <row r="64" spans="1:26" s="444" customFormat="1" ht="84" customHeight="1">
      <c r="A64" s="468"/>
      <c r="B64" s="440" t="s">
        <v>272</v>
      </c>
      <c r="C64" s="441" t="s">
        <v>47</v>
      </c>
      <c r="D64" s="440">
        <v>1051120</v>
      </c>
      <c r="E64" s="441" t="s">
        <v>276</v>
      </c>
      <c r="F64" s="440" t="s">
        <v>56</v>
      </c>
      <c r="G64" s="440" t="s">
        <v>261</v>
      </c>
      <c r="H64" s="440" t="s">
        <v>273</v>
      </c>
      <c r="I64" s="440">
        <v>25</v>
      </c>
      <c r="J64" s="440" t="s">
        <v>50</v>
      </c>
      <c r="K64" s="471"/>
      <c r="L64" s="471"/>
      <c r="M64" s="473"/>
      <c r="N64" s="442" t="s">
        <v>284</v>
      </c>
      <c r="O64" s="442" t="str">
        <f t="shared" si="0"/>
        <v>SIOB260205005B25 FAUX HEATHER GREY (B25 PSD)B25单染涤L HUSKY</v>
      </c>
      <c r="P64" s="442"/>
      <c r="Q64" s="442" t="str">
        <f t="shared" si="1"/>
        <v>SIOB260205005B25 FAUX HEATHER GREY (B25 PSD)B25单染涤L HUSKY</v>
      </c>
      <c r="R64" s="442"/>
      <c r="S64" s="442"/>
      <c r="T64" s="442"/>
      <c r="U64" s="442"/>
      <c r="V64" s="442"/>
      <c r="W64" s="442"/>
      <c r="X64" s="442"/>
      <c r="Y64" s="442"/>
      <c r="Z64" s="443"/>
    </row>
    <row r="65" spans="1:26" s="444" customFormat="1" ht="84" customHeight="1">
      <c r="A65" s="468"/>
      <c r="B65" s="440" t="s">
        <v>272</v>
      </c>
      <c r="C65" s="441" t="s">
        <v>47</v>
      </c>
      <c r="D65" s="440">
        <v>1051120</v>
      </c>
      <c r="E65" s="441" t="s">
        <v>276</v>
      </c>
      <c r="F65" s="440" t="s">
        <v>57</v>
      </c>
      <c r="G65" s="440" t="s">
        <v>241</v>
      </c>
      <c r="H65" s="440" t="s">
        <v>273</v>
      </c>
      <c r="I65" s="440">
        <v>35</v>
      </c>
      <c r="J65" s="440" t="s">
        <v>50</v>
      </c>
      <c r="K65" s="471"/>
      <c r="L65" s="471"/>
      <c r="M65" s="473"/>
      <c r="N65" s="442" t="s">
        <v>284</v>
      </c>
      <c r="O65" s="442" t="str">
        <f t="shared" si="0"/>
        <v>SIOB260205005B25 FAUX HEATHER GREY (B25 PSD)B25单染涤XL HUSKY</v>
      </c>
      <c r="P65" s="442"/>
      <c r="Q65" s="442" t="str">
        <f t="shared" si="1"/>
        <v>SIOB260205005B25 FAUX HEATHER GREY (B25 PSD)B25单染涤XL HUSKY</v>
      </c>
      <c r="R65" s="442"/>
      <c r="S65" s="442"/>
      <c r="T65" s="442"/>
      <c r="U65" s="442"/>
      <c r="V65" s="442"/>
      <c r="W65" s="442"/>
      <c r="X65" s="442"/>
      <c r="Y65" s="442"/>
      <c r="Z65" s="443"/>
    </row>
    <row r="66" spans="1:26" s="444" customFormat="1" ht="84" customHeight="1">
      <c r="A66" s="469"/>
      <c r="B66" s="440" t="s">
        <v>272</v>
      </c>
      <c r="C66" s="441" t="s">
        <v>47</v>
      </c>
      <c r="D66" s="440">
        <v>1051120</v>
      </c>
      <c r="E66" s="441" t="s">
        <v>276</v>
      </c>
      <c r="F66" s="440" t="s">
        <v>58</v>
      </c>
      <c r="G66" s="440" t="s">
        <v>242</v>
      </c>
      <c r="H66" s="440" t="s">
        <v>273</v>
      </c>
      <c r="I66" s="440">
        <v>65</v>
      </c>
      <c r="J66" s="440" t="s">
        <v>50</v>
      </c>
      <c r="K66" s="472"/>
      <c r="L66" s="472"/>
      <c r="M66" s="466"/>
      <c r="N66" s="442" t="s">
        <v>284</v>
      </c>
      <c r="O66" s="442" t="str">
        <f t="shared" si="0"/>
        <v>SIOB260205005B25 FAUX HEATHER GREY (B25 PSD)B25单染涤XXL HUSKY</v>
      </c>
      <c r="P66" s="442"/>
      <c r="Q66" s="442" t="str">
        <f t="shared" si="1"/>
        <v>SIOB260205005B25 FAUX HEATHER GREY (B25 PSD)B25单染涤XXL HUSKY</v>
      </c>
      <c r="R66" s="442"/>
      <c r="S66" s="442"/>
      <c r="T66" s="442"/>
      <c r="U66" s="442"/>
      <c r="V66" s="442"/>
      <c r="W66" s="442"/>
      <c r="X66" s="442"/>
      <c r="Y66" s="442"/>
      <c r="Z66" s="443"/>
    </row>
    <row r="67" spans="1:26" s="444" customFormat="1" ht="84" customHeight="1">
      <c r="A67" s="467">
        <v>18</v>
      </c>
      <c r="B67" s="440" t="s">
        <v>272</v>
      </c>
      <c r="C67" s="441" t="s">
        <v>47</v>
      </c>
      <c r="D67" s="440">
        <v>1051120</v>
      </c>
      <c r="E67" s="441" t="s">
        <v>275</v>
      </c>
      <c r="F67" s="440" t="s">
        <v>49</v>
      </c>
      <c r="G67" s="440" t="s">
        <v>259</v>
      </c>
      <c r="H67" s="440" t="s">
        <v>273</v>
      </c>
      <c r="I67" s="440">
        <v>951</v>
      </c>
      <c r="J67" s="440" t="s">
        <v>50</v>
      </c>
      <c r="K67" s="470">
        <f t="shared" si="3"/>
        <v>22.6</v>
      </c>
      <c r="L67" s="470">
        <v>24.05</v>
      </c>
      <c r="M67" s="465">
        <v>0.11</v>
      </c>
      <c r="N67" s="442" t="s">
        <v>284</v>
      </c>
      <c r="O67" s="442" t="str">
        <f t="shared" si="0"/>
        <v>SIOB260205005BLUE TANGO 884克莱恩蓝XS</v>
      </c>
      <c r="P67" s="442"/>
      <c r="Q67" s="442" t="str">
        <f t="shared" si="1"/>
        <v>SIOB260205005BLUE TANGO 884克莱恩蓝XS</v>
      </c>
      <c r="R67" s="442"/>
      <c r="S67" s="442"/>
      <c r="T67" s="442"/>
      <c r="U67" s="442"/>
      <c r="V67" s="442"/>
      <c r="W67" s="442"/>
      <c r="X67" s="442"/>
      <c r="Y67" s="442"/>
      <c r="Z67" s="443"/>
    </row>
    <row r="68" spans="1:26" s="444" customFormat="1" ht="84" customHeight="1">
      <c r="A68" s="469"/>
      <c r="B68" s="440" t="s">
        <v>272</v>
      </c>
      <c r="C68" s="441" t="s">
        <v>47</v>
      </c>
      <c r="D68" s="440">
        <v>1051120</v>
      </c>
      <c r="E68" s="441" t="s">
        <v>275</v>
      </c>
      <c r="F68" s="440" t="s">
        <v>56</v>
      </c>
      <c r="G68" s="440" t="s">
        <v>261</v>
      </c>
      <c r="H68" s="440" t="s">
        <v>273</v>
      </c>
      <c r="I68" s="440">
        <v>130</v>
      </c>
      <c r="J68" s="440" t="s">
        <v>50</v>
      </c>
      <c r="K68" s="472"/>
      <c r="L68" s="472"/>
      <c r="M68" s="466"/>
      <c r="N68" s="442" t="s">
        <v>284</v>
      </c>
      <c r="O68" s="442" t="str">
        <f t="shared" si="0"/>
        <v>SIOB260205005BLUE TANGO 884克莱恩蓝L HUSKY</v>
      </c>
      <c r="P68" s="442"/>
      <c r="Q68" s="442" t="str">
        <f t="shared" si="1"/>
        <v>SIOB260205005BLUE TANGO 884克莱恩蓝L HUSKY</v>
      </c>
      <c r="R68" s="442"/>
      <c r="S68" s="442"/>
      <c r="T68" s="442"/>
      <c r="U68" s="442"/>
      <c r="V68" s="442"/>
      <c r="W68" s="442"/>
      <c r="X68" s="442"/>
      <c r="Y68" s="442"/>
      <c r="Z68" s="443"/>
    </row>
    <row r="69" spans="1:26" s="444" customFormat="1" ht="84" customHeight="1">
      <c r="A69" s="467">
        <v>19</v>
      </c>
      <c r="B69" s="440" t="s">
        <v>272</v>
      </c>
      <c r="C69" s="441" t="s">
        <v>47</v>
      </c>
      <c r="D69" s="440">
        <v>1051120</v>
      </c>
      <c r="E69" s="441" t="s">
        <v>275</v>
      </c>
      <c r="F69" s="440" t="s">
        <v>51</v>
      </c>
      <c r="G69" s="440" t="s">
        <v>278</v>
      </c>
      <c r="H69" s="440" t="s">
        <v>273</v>
      </c>
      <c r="I69" s="440">
        <v>425</v>
      </c>
      <c r="J69" s="440" t="s">
        <v>50</v>
      </c>
      <c r="K69" s="470">
        <f t="shared" si="3"/>
        <v>19.8</v>
      </c>
      <c r="L69" s="470">
        <v>21.25</v>
      </c>
      <c r="M69" s="465">
        <v>0.11</v>
      </c>
      <c r="N69" s="442" t="s">
        <v>284</v>
      </c>
      <c r="O69" s="442" t="str">
        <f t="shared" si="0"/>
        <v>SIOB260205005BLUE TANGO 884克莱恩蓝S</v>
      </c>
      <c r="P69" s="442"/>
      <c r="Q69" s="442" t="str">
        <f t="shared" si="1"/>
        <v>SIOB260205005BLUE TANGO 884克莱恩蓝S</v>
      </c>
      <c r="R69" s="442"/>
      <c r="S69" s="442"/>
      <c r="T69" s="442"/>
      <c r="U69" s="442"/>
      <c r="V69" s="442"/>
      <c r="W69" s="442"/>
      <c r="X69" s="442"/>
      <c r="Y69" s="442"/>
      <c r="Z69" s="443"/>
    </row>
    <row r="70" spans="1:26" s="444" customFormat="1" ht="84" customHeight="1">
      <c r="A70" s="469"/>
      <c r="B70" s="440" t="s">
        <v>272</v>
      </c>
      <c r="C70" s="441" t="s">
        <v>47</v>
      </c>
      <c r="D70" s="440">
        <v>1051120</v>
      </c>
      <c r="E70" s="441" t="s">
        <v>275</v>
      </c>
      <c r="F70" s="440" t="s">
        <v>52</v>
      </c>
      <c r="G70" s="440" t="s">
        <v>238</v>
      </c>
      <c r="H70" s="440" t="s">
        <v>273</v>
      </c>
      <c r="I70" s="440">
        <v>442</v>
      </c>
      <c r="J70" s="440" t="s">
        <v>50</v>
      </c>
      <c r="K70" s="472"/>
      <c r="L70" s="472"/>
      <c r="M70" s="466"/>
      <c r="N70" s="442" t="s">
        <v>284</v>
      </c>
      <c r="O70" s="442" t="str">
        <f t="shared" si="0"/>
        <v>SIOB260205005BLUE TANGO 884克莱恩蓝M</v>
      </c>
      <c r="P70" s="442"/>
      <c r="Q70" s="442" t="str">
        <f t="shared" si="1"/>
        <v>SIOB260205005BLUE TANGO 884克莱恩蓝M</v>
      </c>
      <c r="R70" s="442"/>
      <c r="S70" s="442"/>
      <c r="T70" s="442"/>
      <c r="U70" s="442"/>
      <c r="V70" s="442"/>
      <c r="W70" s="442"/>
      <c r="X70" s="442"/>
      <c r="Y70" s="442"/>
      <c r="Z70" s="443"/>
    </row>
    <row r="71" spans="1:26" s="444" customFormat="1" ht="84" customHeight="1">
      <c r="A71" s="447">
        <v>20</v>
      </c>
      <c r="B71" s="440" t="s">
        <v>272</v>
      </c>
      <c r="C71" s="441" t="s">
        <v>47</v>
      </c>
      <c r="D71" s="440">
        <v>1051120</v>
      </c>
      <c r="E71" s="441" t="s">
        <v>275</v>
      </c>
      <c r="F71" s="440" t="s">
        <v>54</v>
      </c>
      <c r="G71" s="440" t="s">
        <v>260</v>
      </c>
      <c r="H71" s="440" t="s">
        <v>273</v>
      </c>
      <c r="I71" s="440">
        <v>967</v>
      </c>
      <c r="J71" s="440" t="s">
        <v>50</v>
      </c>
      <c r="K71" s="440">
        <f t="shared" ref="K71:K77" si="4">L71-1.45</f>
        <v>22.55</v>
      </c>
      <c r="L71" s="440">
        <v>24</v>
      </c>
      <c r="M71" s="446">
        <v>0.11</v>
      </c>
      <c r="N71" s="442" t="s">
        <v>284</v>
      </c>
      <c r="O71" s="442" t="str">
        <f t="shared" si="0"/>
        <v>SIOB260205005BLUE TANGO 884克莱恩蓝L</v>
      </c>
      <c r="P71" s="442"/>
      <c r="Q71" s="442" t="str">
        <f t="shared" si="1"/>
        <v>SIOB260205005BLUE TANGO 884克莱恩蓝L</v>
      </c>
      <c r="R71" s="442"/>
      <c r="S71" s="442"/>
      <c r="T71" s="442"/>
      <c r="U71" s="442"/>
      <c r="V71" s="442"/>
      <c r="W71" s="442"/>
      <c r="X71" s="442"/>
      <c r="Y71" s="442"/>
      <c r="Z71" s="443"/>
    </row>
    <row r="72" spans="1:26" s="444" customFormat="1" ht="84" customHeight="1">
      <c r="A72" s="478">
        <v>21</v>
      </c>
      <c r="B72" s="440" t="s">
        <v>272</v>
      </c>
      <c r="C72" s="441" t="s">
        <v>47</v>
      </c>
      <c r="D72" s="440">
        <v>1051120</v>
      </c>
      <c r="E72" s="441" t="s">
        <v>275</v>
      </c>
      <c r="F72" s="440" t="s">
        <v>53</v>
      </c>
      <c r="G72" s="440" t="s">
        <v>239</v>
      </c>
      <c r="H72" s="440" t="s">
        <v>273</v>
      </c>
      <c r="I72" s="440">
        <v>398</v>
      </c>
      <c r="J72" s="440" t="s">
        <v>50</v>
      </c>
      <c r="K72" s="477">
        <f t="shared" si="4"/>
        <v>28.650000000000002</v>
      </c>
      <c r="L72" s="477">
        <v>30.1</v>
      </c>
      <c r="M72" s="474">
        <v>0.11</v>
      </c>
      <c r="N72" s="442" t="s">
        <v>284</v>
      </c>
      <c r="O72" s="442" t="str">
        <f t="shared" si="0"/>
        <v>SIOB260205005BLUE TANGO 884克莱恩蓝XL</v>
      </c>
      <c r="P72" s="442"/>
      <c r="Q72" s="442" t="str">
        <f t="shared" si="1"/>
        <v>SIOB260205005BLUE TANGO 884克莱恩蓝XL</v>
      </c>
      <c r="R72" s="442"/>
      <c r="S72" s="442"/>
      <c r="T72" s="442"/>
      <c r="U72" s="442"/>
      <c r="V72" s="442"/>
      <c r="W72" s="442"/>
      <c r="X72" s="442"/>
      <c r="Y72" s="442"/>
      <c r="Z72" s="443"/>
    </row>
    <row r="73" spans="1:26" s="444" customFormat="1" ht="84" customHeight="1">
      <c r="A73" s="478"/>
      <c r="B73" s="440" t="s">
        <v>272</v>
      </c>
      <c r="C73" s="441" t="s">
        <v>47</v>
      </c>
      <c r="D73" s="440">
        <v>1051120</v>
      </c>
      <c r="E73" s="441" t="s">
        <v>275</v>
      </c>
      <c r="F73" s="440" t="s">
        <v>55</v>
      </c>
      <c r="G73" s="440" t="s">
        <v>240</v>
      </c>
      <c r="H73" s="440" t="s">
        <v>273</v>
      </c>
      <c r="I73" s="440">
        <v>678</v>
      </c>
      <c r="J73" s="440" t="s">
        <v>50</v>
      </c>
      <c r="K73" s="477"/>
      <c r="L73" s="477"/>
      <c r="M73" s="474"/>
      <c r="N73" s="442" t="s">
        <v>284</v>
      </c>
      <c r="O73" s="442" t="str">
        <f t="shared" si="0"/>
        <v>SIOB260205005BLUE TANGO 884克莱恩蓝XXL</v>
      </c>
      <c r="P73" s="442"/>
      <c r="Q73" s="442" t="str">
        <f t="shared" si="1"/>
        <v>SIOB260205005BLUE TANGO 884克莱恩蓝XXL</v>
      </c>
      <c r="R73" s="442"/>
      <c r="S73" s="442"/>
      <c r="T73" s="442"/>
      <c r="U73" s="442"/>
      <c r="V73" s="442"/>
      <c r="W73" s="442"/>
      <c r="X73" s="442"/>
      <c r="Y73" s="442"/>
      <c r="Z73" s="443"/>
    </row>
    <row r="74" spans="1:26" s="444" customFormat="1" ht="84" customHeight="1">
      <c r="A74" s="478">
        <v>22</v>
      </c>
      <c r="B74" s="440" t="s">
        <v>272</v>
      </c>
      <c r="C74" s="441" t="s">
        <v>47</v>
      </c>
      <c r="D74" s="440">
        <v>1051120</v>
      </c>
      <c r="E74" s="441" t="s">
        <v>275</v>
      </c>
      <c r="F74" s="440" t="s">
        <v>57</v>
      </c>
      <c r="G74" s="440" t="s">
        <v>241</v>
      </c>
      <c r="H74" s="440" t="s">
        <v>273</v>
      </c>
      <c r="I74" s="440">
        <v>401</v>
      </c>
      <c r="J74" s="440" t="s">
        <v>50</v>
      </c>
      <c r="K74" s="477">
        <f>L74-1.45</f>
        <v>26.8</v>
      </c>
      <c r="L74" s="477">
        <v>28.25</v>
      </c>
      <c r="M74" s="474">
        <v>0.11</v>
      </c>
      <c r="N74" s="442" t="s">
        <v>284</v>
      </c>
      <c r="O74" s="442" t="str">
        <f t="shared" si="0"/>
        <v>SIOB260205005BLUE TANGO 884克莱恩蓝XL HUSKY</v>
      </c>
      <c r="P74" s="442"/>
      <c r="Q74" s="442" t="str">
        <f t="shared" si="1"/>
        <v>SIOB260205005BLUE TANGO 884克莱恩蓝XL HUSKY</v>
      </c>
      <c r="R74" s="442"/>
      <c r="S74" s="442"/>
      <c r="T74" s="442"/>
      <c r="U74" s="442"/>
      <c r="V74" s="442"/>
      <c r="W74" s="442"/>
      <c r="X74" s="442"/>
      <c r="Y74" s="442"/>
      <c r="Z74" s="443"/>
    </row>
    <row r="75" spans="1:26" s="444" customFormat="1" ht="84" customHeight="1">
      <c r="A75" s="478"/>
      <c r="B75" s="440" t="s">
        <v>272</v>
      </c>
      <c r="C75" s="441" t="s">
        <v>47</v>
      </c>
      <c r="D75" s="440">
        <v>1051120</v>
      </c>
      <c r="E75" s="441" t="s">
        <v>275</v>
      </c>
      <c r="F75" s="440" t="s">
        <v>58</v>
      </c>
      <c r="G75" s="440" t="s">
        <v>242</v>
      </c>
      <c r="H75" s="441" t="s">
        <v>273</v>
      </c>
      <c r="I75" s="440">
        <v>564</v>
      </c>
      <c r="J75" s="440" t="s">
        <v>50</v>
      </c>
      <c r="K75" s="477"/>
      <c r="L75" s="477"/>
      <c r="M75" s="474"/>
      <c r="N75" s="442" t="s">
        <v>284</v>
      </c>
      <c r="O75" s="442" t="str">
        <f t="shared" si="0"/>
        <v>SIOB260205005BLUE TANGO 884克莱恩蓝XXL HUSKY</v>
      </c>
      <c r="P75" s="442"/>
      <c r="Q75" s="442" t="str">
        <f t="shared" si="1"/>
        <v>SIOB260205005BLUE TANGO 884克莱恩蓝XXL HUSKY</v>
      </c>
      <c r="R75" s="442"/>
      <c r="S75" s="442"/>
      <c r="T75" s="442"/>
      <c r="U75" s="442"/>
      <c r="V75" s="442"/>
      <c r="W75" s="442"/>
      <c r="X75" s="442"/>
      <c r="Y75" s="442"/>
      <c r="Z75" s="443"/>
    </row>
    <row r="76" spans="1:26" s="444" customFormat="1" ht="84" customHeight="1">
      <c r="A76" s="445">
        <v>23</v>
      </c>
      <c r="B76" s="440" t="s">
        <v>272</v>
      </c>
      <c r="C76" s="441" t="s">
        <v>47</v>
      </c>
      <c r="D76" s="440">
        <v>1051120</v>
      </c>
      <c r="E76" s="441" t="s">
        <v>277</v>
      </c>
      <c r="F76" s="440" t="s">
        <v>49</v>
      </c>
      <c r="G76" s="440" t="s">
        <v>259</v>
      </c>
      <c r="H76" s="440" t="s">
        <v>273</v>
      </c>
      <c r="I76" s="440">
        <v>1200</v>
      </c>
      <c r="J76" s="440" t="s">
        <v>50</v>
      </c>
      <c r="K76" s="440">
        <f t="shared" si="4"/>
        <v>24.61</v>
      </c>
      <c r="L76" s="440">
        <v>26.06</v>
      </c>
      <c r="M76" s="446">
        <v>0.11</v>
      </c>
      <c r="N76" s="442" t="s">
        <v>284</v>
      </c>
      <c r="O76" s="442" t="str">
        <f t="shared" si="0"/>
        <v>SIOB260205005WINE STAIN 853酒红XS</v>
      </c>
      <c r="P76" s="442"/>
      <c r="Q76" s="442" t="str">
        <f t="shared" si="1"/>
        <v>SIOB260205005WINE STAIN 853酒红XS</v>
      </c>
      <c r="R76" s="442"/>
      <c r="S76" s="442"/>
      <c r="T76" s="442"/>
      <c r="U76" s="442"/>
      <c r="V76" s="442"/>
      <c r="W76" s="442"/>
      <c r="X76" s="442"/>
      <c r="Y76" s="442"/>
      <c r="Z76" s="443"/>
    </row>
    <row r="77" spans="1:26" s="444" customFormat="1" ht="84" customHeight="1">
      <c r="A77" s="467">
        <v>24</v>
      </c>
      <c r="B77" s="440" t="s">
        <v>272</v>
      </c>
      <c r="C77" s="441" t="s">
        <v>47</v>
      </c>
      <c r="D77" s="440">
        <v>1051120</v>
      </c>
      <c r="E77" s="441" t="s">
        <v>277</v>
      </c>
      <c r="F77" s="440" t="s">
        <v>49</v>
      </c>
      <c r="G77" s="440" t="s">
        <v>259</v>
      </c>
      <c r="H77" s="440" t="s">
        <v>273</v>
      </c>
      <c r="I77" s="440">
        <v>527</v>
      </c>
      <c r="J77" s="440" t="s">
        <v>50</v>
      </c>
      <c r="K77" s="470">
        <f t="shared" si="4"/>
        <v>26.7</v>
      </c>
      <c r="L77" s="470">
        <v>28.15</v>
      </c>
      <c r="M77" s="465">
        <v>0.11</v>
      </c>
      <c r="N77" s="442" t="s">
        <v>284</v>
      </c>
      <c r="O77" s="442" t="str">
        <f t="shared" si="0"/>
        <v>SIOB260205005WINE STAIN 853酒红XS</v>
      </c>
      <c r="P77" s="442"/>
      <c r="Q77" s="442" t="str">
        <f t="shared" si="1"/>
        <v>SIOB260205005WINE STAIN 853酒红XS</v>
      </c>
      <c r="R77" s="442"/>
      <c r="S77" s="442"/>
      <c r="T77" s="442"/>
      <c r="U77" s="442"/>
      <c r="V77" s="442"/>
      <c r="W77" s="442"/>
      <c r="X77" s="442"/>
      <c r="Y77" s="442"/>
      <c r="Z77" s="443"/>
    </row>
    <row r="78" spans="1:26" s="444" customFormat="1" ht="84" customHeight="1">
      <c r="A78" s="468"/>
      <c r="B78" s="440" t="s">
        <v>272</v>
      </c>
      <c r="C78" s="441" t="s">
        <v>47</v>
      </c>
      <c r="D78" s="440">
        <v>1051120</v>
      </c>
      <c r="E78" s="441" t="s">
        <v>277</v>
      </c>
      <c r="F78" s="440" t="s">
        <v>51</v>
      </c>
      <c r="G78" s="440" t="s">
        <v>278</v>
      </c>
      <c r="H78" s="440" t="s">
        <v>273</v>
      </c>
      <c r="I78" s="440">
        <v>421</v>
      </c>
      <c r="J78" s="440" t="s">
        <v>50</v>
      </c>
      <c r="K78" s="471"/>
      <c r="L78" s="471"/>
      <c r="M78" s="473"/>
      <c r="N78" s="442" t="s">
        <v>284</v>
      </c>
      <c r="O78" s="442" t="str">
        <f t="shared" si="0"/>
        <v>SIOB260205005WINE STAIN 853酒红S</v>
      </c>
      <c r="P78" s="442"/>
      <c r="Q78" s="442" t="str">
        <f t="shared" si="1"/>
        <v>SIOB260205005WINE STAIN 853酒红S</v>
      </c>
      <c r="R78" s="442"/>
      <c r="S78" s="442"/>
      <c r="T78" s="442"/>
      <c r="U78" s="442"/>
      <c r="V78" s="442"/>
      <c r="W78" s="442"/>
      <c r="X78" s="442"/>
      <c r="Y78" s="442"/>
      <c r="Z78" s="443"/>
    </row>
    <row r="79" spans="1:26" s="444" customFormat="1" ht="84" customHeight="1">
      <c r="A79" s="469"/>
      <c r="B79" s="440" t="s">
        <v>272</v>
      </c>
      <c r="C79" s="441" t="s">
        <v>47</v>
      </c>
      <c r="D79" s="440">
        <v>1051120</v>
      </c>
      <c r="E79" s="441" t="s">
        <v>277</v>
      </c>
      <c r="F79" s="440" t="s">
        <v>56</v>
      </c>
      <c r="G79" s="440" t="s">
        <v>261</v>
      </c>
      <c r="H79" s="440" t="s">
        <v>273</v>
      </c>
      <c r="I79" s="440">
        <v>255</v>
      </c>
      <c r="J79" s="440" t="s">
        <v>50</v>
      </c>
      <c r="K79" s="472"/>
      <c r="L79" s="472"/>
      <c r="M79" s="466"/>
      <c r="N79" s="442" t="s">
        <v>284</v>
      </c>
      <c r="O79" s="442" t="str">
        <f t="shared" si="0"/>
        <v>SIOB260205005WINE STAIN 853酒红L HUSKY</v>
      </c>
      <c r="P79" s="442"/>
      <c r="Q79" s="442" t="str">
        <f t="shared" si="1"/>
        <v>SIOB260205005WINE STAIN 853酒红L HUSKY</v>
      </c>
      <c r="R79" s="442"/>
      <c r="S79" s="442"/>
      <c r="T79" s="442"/>
      <c r="U79" s="442"/>
      <c r="V79" s="442"/>
      <c r="W79" s="442"/>
      <c r="X79" s="442"/>
      <c r="Y79" s="442"/>
      <c r="Z79" s="443"/>
    </row>
    <row r="80" spans="1:26" s="444" customFormat="1" ht="84" customHeight="1">
      <c r="A80" s="445">
        <v>25</v>
      </c>
      <c r="B80" s="440" t="s">
        <v>272</v>
      </c>
      <c r="C80" s="441" t="s">
        <v>47</v>
      </c>
      <c r="D80" s="440">
        <v>1051120</v>
      </c>
      <c r="E80" s="441" t="s">
        <v>277</v>
      </c>
      <c r="F80" s="440" t="s">
        <v>51</v>
      </c>
      <c r="G80" s="440" t="s">
        <v>278</v>
      </c>
      <c r="H80" s="440" t="s">
        <v>273</v>
      </c>
      <c r="I80" s="440">
        <v>1200</v>
      </c>
      <c r="J80" s="440" t="s">
        <v>50</v>
      </c>
      <c r="K80" s="440">
        <f t="shared" ref="K80:K84" si="5">L80-1.45</f>
        <v>25.05</v>
      </c>
      <c r="L80" s="440">
        <v>26.5</v>
      </c>
      <c r="M80" s="446">
        <v>0.11</v>
      </c>
      <c r="N80" s="442" t="s">
        <v>284</v>
      </c>
      <c r="O80" s="442" t="str">
        <f t="shared" si="0"/>
        <v>SIOB260205005WINE STAIN 853酒红S</v>
      </c>
      <c r="P80" s="442"/>
      <c r="Q80" s="442" t="str">
        <f t="shared" si="1"/>
        <v>SIOB260205005WINE STAIN 853酒红S</v>
      </c>
      <c r="R80" s="442"/>
      <c r="S80" s="442"/>
      <c r="T80" s="442"/>
      <c r="U80" s="442"/>
      <c r="V80" s="442"/>
      <c r="W80" s="442"/>
      <c r="X80" s="442"/>
      <c r="Y80" s="442"/>
      <c r="Z80" s="443"/>
    </row>
    <row r="81" spans="1:26" s="444" customFormat="1" ht="84" customHeight="1">
      <c r="A81" s="445">
        <v>26</v>
      </c>
      <c r="B81" s="440" t="s">
        <v>272</v>
      </c>
      <c r="C81" s="441" t="s">
        <v>47</v>
      </c>
      <c r="D81" s="440">
        <v>1051120</v>
      </c>
      <c r="E81" s="441" t="s">
        <v>277</v>
      </c>
      <c r="F81" s="440" t="s">
        <v>52</v>
      </c>
      <c r="G81" s="440" t="s">
        <v>238</v>
      </c>
      <c r="H81" s="440" t="s">
        <v>273</v>
      </c>
      <c r="I81" s="440">
        <v>1200</v>
      </c>
      <c r="J81" s="440" t="s">
        <v>50</v>
      </c>
      <c r="K81" s="440">
        <f t="shared" si="5"/>
        <v>27.900000000000002</v>
      </c>
      <c r="L81" s="440">
        <v>29.35</v>
      </c>
      <c r="M81" s="446">
        <v>0.11</v>
      </c>
      <c r="N81" s="442" t="s">
        <v>284</v>
      </c>
      <c r="O81" s="442" t="str">
        <f t="shared" si="0"/>
        <v>SIOB260205005WINE STAIN 853酒红M</v>
      </c>
      <c r="P81" s="442"/>
      <c r="Q81" s="442" t="str">
        <f t="shared" si="1"/>
        <v>SIOB260205005WINE STAIN 853酒红M</v>
      </c>
      <c r="R81" s="442"/>
      <c r="S81" s="442"/>
      <c r="T81" s="442"/>
      <c r="U81" s="442"/>
      <c r="V81" s="442"/>
      <c r="W81" s="442"/>
      <c r="X81" s="442"/>
      <c r="Y81" s="442"/>
      <c r="Z81" s="443"/>
    </row>
    <row r="82" spans="1:26" s="444" customFormat="1" ht="84" customHeight="1">
      <c r="A82" s="445">
        <v>27</v>
      </c>
      <c r="B82" s="440" t="s">
        <v>272</v>
      </c>
      <c r="C82" s="441" t="s">
        <v>47</v>
      </c>
      <c r="D82" s="440">
        <v>1051120</v>
      </c>
      <c r="E82" s="441" t="s">
        <v>277</v>
      </c>
      <c r="F82" s="440" t="s">
        <v>54</v>
      </c>
      <c r="G82" s="440" t="s">
        <v>260</v>
      </c>
      <c r="H82" s="440" t="s">
        <v>273</v>
      </c>
      <c r="I82" s="440">
        <v>1200</v>
      </c>
      <c r="J82" s="440" t="s">
        <v>50</v>
      </c>
      <c r="K82" s="440">
        <f t="shared" si="5"/>
        <v>29</v>
      </c>
      <c r="L82" s="440">
        <v>30.45</v>
      </c>
      <c r="M82" s="446">
        <v>0.11</v>
      </c>
      <c r="N82" s="442" t="s">
        <v>283</v>
      </c>
      <c r="O82" s="442" t="str">
        <f t="shared" si="0"/>
        <v>SIOB260205005WINE STAIN 853酒红L</v>
      </c>
      <c r="P82" s="442"/>
      <c r="Q82" s="442" t="str">
        <f t="shared" si="1"/>
        <v>SIOB260205005WINE STAIN 853酒红L</v>
      </c>
      <c r="R82" s="442"/>
      <c r="S82" s="442"/>
      <c r="T82" s="442"/>
      <c r="U82" s="442"/>
      <c r="V82" s="442"/>
      <c r="W82" s="442"/>
      <c r="X82" s="442"/>
      <c r="Y82" s="442"/>
      <c r="Z82" s="443"/>
    </row>
    <row r="83" spans="1:26" s="444" customFormat="1" ht="84" customHeight="1">
      <c r="A83" s="445">
        <v>28</v>
      </c>
      <c r="B83" s="440" t="s">
        <v>272</v>
      </c>
      <c r="C83" s="441" t="s">
        <v>47</v>
      </c>
      <c r="D83" s="440">
        <v>1051120</v>
      </c>
      <c r="E83" s="441" t="s">
        <v>277</v>
      </c>
      <c r="F83" s="440" t="s">
        <v>53</v>
      </c>
      <c r="G83" s="440" t="s">
        <v>239</v>
      </c>
      <c r="H83" s="440" t="s">
        <v>273</v>
      </c>
      <c r="I83" s="440">
        <v>1145</v>
      </c>
      <c r="J83" s="440" t="s">
        <v>50</v>
      </c>
      <c r="K83" s="440">
        <f t="shared" si="5"/>
        <v>29.900000000000002</v>
      </c>
      <c r="L83" s="440">
        <v>31.35</v>
      </c>
      <c r="M83" s="446">
        <v>0.11</v>
      </c>
      <c r="N83" s="442"/>
      <c r="O83" s="442" t="str">
        <f t="shared" si="0"/>
        <v>SIOB260205005WINE STAIN 853酒红XL</v>
      </c>
      <c r="P83" s="442"/>
      <c r="Q83" s="442" t="str">
        <f t="shared" si="1"/>
        <v>SIOB260205005WINE STAIN 853酒红XL</v>
      </c>
      <c r="R83" s="442"/>
      <c r="S83" s="442"/>
      <c r="T83" s="442"/>
      <c r="U83" s="442"/>
      <c r="V83" s="442"/>
      <c r="W83" s="442"/>
      <c r="X83" s="442"/>
      <c r="Y83" s="442"/>
      <c r="Z83" s="443"/>
    </row>
    <row r="84" spans="1:26" s="444" customFormat="1" ht="84" customHeight="1">
      <c r="A84" s="467">
        <v>29</v>
      </c>
      <c r="B84" s="440" t="s">
        <v>272</v>
      </c>
      <c r="C84" s="441" t="s">
        <v>47</v>
      </c>
      <c r="D84" s="440">
        <v>1051120</v>
      </c>
      <c r="E84" s="441" t="s">
        <v>277</v>
      </c>
      <c r="F84" s="440" t="s">
        <v>55</v>
      </c>
      <c r="G84" s="440" t="s">
        <v>240</v>
      </c>
      <c r="H84" s="440" t="s">
        <v>273</v>
      </c>
      <c r="I84" s="440">
        <v>457</v>
      </c>
      <c r="J84" s="440" t="s">
        <v>50</v>
      </c>
      <c r="K84" s="470">
        <f t="shared" si="5"/>
        <v>31.05</v>
      </c>
      <c r="L84" s="470">
        <v>32.5</v>
      </c>
      <c r="M84" s="465">
        <v>0.11</v>
      </c>
      <c r="N84" s="442" t="s">
        <v>284</v>
      </c>
      <c r="O84" s="442" t="str">
        <f t="shared" si="0"/>
        <v>SIOB260205005WINE STAIN 853酒红XXL</v>
      </c>
      <c r="P84" s="442"/>
      <c r="Q84" s="442" t="str">
        <f t="shared" si="1"/>
        <v>SIOB260205005WINE STAIN 853酒红XXL</v>
      </c>
      <c r="R84" s="442"/>
      <c r="S84" s="442"/>
      <c r="T84" s="442"/>
      <c r="U84" s="442"/>
      <c r="V84" s="442"/>
      <c r="W84" s="442"/>
      <c r="X84" s="442"/>
      <c r="Y84" s="442"/>
      <c r="Z84" s="443"/>
    </row>
    <row r="85" spans="1:26" s="444" customFormat="1" ht="84" customHeight="1">
      <c r="A85" s="469"/>
      <c r="B85" s="440" t="s">
        <v>272</v>
      </c>
      <c r="C85" s="441" t="s">
        <v>47</v>
      </c>
      <c r="D85" s="440">
        <v>1051120</v>
      </c>
      <c r="E85" s="441" t="s">
        <v>277</v>
      </c>
      <c r="F85" s="440" t="s">
        <v>57</v>
      </c>
      <c r="G85" s="440" t="s">
        <v>241</v>
      </c>
      <c r="H85" s="440" t="s">
        <v>273</v>
      </c>
      <c r="I85" s="440">
        <v>758</v>
      </c>
      <c r="J85" s="440" t="s">
        <v>50</v>
      </c>
      <c r="K85" s="472"/>
      <c r="L85" s="472"/>
      <c r="M85" s="466"/>
      <c r="N85" s="442"/>
      <c r="O85" s="442" t="str">
        <f t="shared" si="0"/>
        <v>SIOB260205005WINE STAIN 853酒红XL HUSKY</v>
      </c>
      <c r="P85" s="442"/>
      <c r="Q85" s="442" t="str">
        <f t="shared" si="1"/>
        <v>SIOB260205005WINE STAIN 853酒红XL HUSKY</v>
      </c>
      <c r="R85" s="442"/>
      <c r="S85" s="442"/>
      <c r="T85" s="442"/>
      <c r="U85" s="442"/>
      <c r="V85" s="442"/>
      <c r="W85" s="442"/>
      <c r="X85" s="442"/>
      <c r="Y85" s="442"/>
      <c r="Z85" s="443"/>
    </row>
    <row r="86" spans="1:26" s="444" customFormat="1" ht="84" customHeight="1">
      <c r="A86" s="445">
        <v>30</v>
      </c>
      <c r="B86" s="440" t="s">
        <v>272</v>
      </c>
      <c r="C86" s="441" t="s">
        <v>47</v>
      </c>
      <c r="D86" s="440">
        <v>1051120</v>
      </c>
      <c r="E86" s="441" t="s">
        <v>277</v>
      </c>
      <c r="F86" s="440" t="s">
        <v>58</v>
      </c>
      <c r="G86" s="440" t="s">
        <v>242</v>
      </c>
      <c r="H86" s="440" t="s">
        <v>273</v>
      </c>
      <c r="I86" s="440">
        <v>925</v>
      </c>
      <c r="J86" s="440" t="s">
        <v>50</v>
      </c>
      <c r="K86" s="440">
        <f t="shared" ref="K86:K91" si="6">L86-1.45</f>
        <v>26.95</v>
      </c>
      <c r="L86" s="440">
        <v>28.4</v>
      </c>
      <c r="M86" s="446">
        <v>0.11</v>
      </c>
      <c r="N86" s="442"/>
      <c r="O86" s="442" t="str">
        <f t="shared" si="0"/>
        <v>SIOB260205005WINE STAIN 853酒红XXL HUSKY</v>
      </c>
      <c r="P86" s="442"/>
      <c r="Q86" s="442" t="str">
        <f t="shared" si="1"/>
        <v>SIOB260205005WINE STAIN 853酒红XXL HUSKY</v>
      </c>
      <c r="R86" s="442"/>
      <c r="S86" s="442"/>
      <c r="T86" s="442"/>
      <c r="U86" s="442"/>
      <c r="V86" s="442"/>
      <c r="W86" s="442"/>
      <c r="X86" s="442"/>
      <c r="Y86" s="442"/>
      <c r="Z86" s="443"/>
    </row>
    <row r="87" spans="1:26" s="444" customFormat="1" ht="84" customHeight="1">
      <c r="A87" s="448">
        <v>31</v>
      </c>
      <c r="B87" s="440" t="s">
        <v>272</v>
      </c>
      <c r="C87" s="441" t="s">
        <v>47</v>
      </c>
      <c r="D87" s="440">
        <v>1051120</v>
      </c>
      <c r="E87" s="441" t="s">
        <v>274</v>
      </c>
      <c r="F87" s="440" t="s">
        <v>49</v>
      </c>
      <c r="G87" s="440" t="s">
        <v>259</v>
      </c>
      <c r="H87" s="440" t="s">
        <v>273</v>
      </c>
      <c r="I87" s="440">
        <v>1200</v>
      </c>
      <c r="J87" s="440" t="s">
        <v>50</v>
      </c>
      <c r="K87" s="449">
        <f t="shared" si="6"/>
        <v>24.25</v>
      </c>
      <c r="L87" s="449">
        <v>25.7</v>
      </c>
      <c r="M87" s="450">
        <v>0.11</v>
      </c>
      <c r="N87" s="442"/>
      <c r="O87" s="442" t="str">
        <f t="shared" si="0"/>
        <v>SIOB260205005CALLA LILY 451漂白XS</v>
      </c>
      <c r="P87" s="442"/>
      <c r="Q87" s="442" t="str">
        <f t="shared" si="1"/>
        <v>SIOB260205005CALLA LILY 451漂白XS</v>
      </c>
      <c r="R87" s="442"/>
      <c r="S87" s="442"/>
      <c r="T87" s="442"/>
      <c r="U87" s="442"/>
      <c r="V87" s="442"/>
      <c r="W87" s="442"/>
      <c r="X87" s="442"/>
      <c r="Y87" s="442"/>
      <c r="Z87" s="443"/>
    </row>
    <row r="88" spans="1:26" s="444" customFormat="1" ht="84" customHeight="1">
      <c r="A88" s="448">
        <v>32</v>
      </c>
      <c r="B88" s="440" t="s">
        <v>272</v>
      </c>
      <c r="C88" s="441" t="s">
        <v>47</v>
      </c>
      <c r="D88" s="440">
        <v>1051120</v>
      </c>
      <c r="E88" s="441" t="s">
        <v>274</v>
      </c>
      <c r="F88" s="440" t="s">
        <v>49</v>
      </c>
      <c r="G88" s="440" t="s">
        <v>259</v>
      </c>
      <c r="H88" s="440" t="s">
        <v>273</v>
      </c>
      <c r="I88" s="440">
        <v>1200</v>
      </c>
      <c r="J88" s="440" t="s">
        <v>50</v>
      </c>
      <c r="K88" s="449">
        <f t="shared" si="6"/>
        <v>24.05</v>
      </c>
      <c r="L88" s="449">
        <v>25.5</v>
      </c>
      <c r="M88" s="450">
        <v>0.11</v>
      </c>
      <c r="N88" s="442"/>
      <c r="O88" s="442" t="str">
        <f t="shared" si="0"/>
        <v>SIOB260205005CALLA LILY 451漂白XS</v>
      </c>
      <c r="P88" s="442"/>
      <c r="Q88" s="442" t="str">
        <f t="shared" si="1"/>
        <v>SIOB260205005CALLA LILY 451漂白XS</v>
      </c>
      <c r="R88" s="442"/>
      <c r="S88" s="442"/>
      <c r="T88" s="442"/>
      <c r="U88" s="442"/>
      <c r="V88" s="442"/>
      <c r="W88" s="442"/>
      <c r="X88" s="442"/>
      <c r="Y88" s="442"/>
      <c r="Z88" s="443"/>
    </row>
    <row r="89" spans="1:26" s="444" customFormat="1" ht="84" customHeight="1">
      <c r="A89" s="448">
        <v>33</v>
      </c>
      <c r="B89" s="440" t="s">
        <v>272</v>
      </c>
      <c r="C89" s="441" t="s">
        <v>47</v>
      </c>
      <c r="D89" s="440">
        <v>1051120</v>
      </c>
      <c r="E89" s="440" t="s">
        <v>274</v>
      </c>
      <c r="F89" s="440" t="s">
        <v>54</v>
      </c>
      <c r="G89" s="440" t="s">
        <v>260</v>
      </c>
      <c r="H89" s="440" t="s">
        <v>273</v>
      </c>
      <c r="I89" s="440">
        <v>1200</v>
      </c>
      <c r="J89" s="440" t="s">
        <v>50</v>
      </c>
      <c r="K89" s="449">
        <f t="shared" si="6"/>
        <v>29.25</v>
      </c>
      <c r="L89" s="449">
        <v>30.7</v>
      </c>
      <c r="M89" s="450">
        <v>0.11</v>
      </c>
      <c r="N89" s="442"/>
      <c r="O89" s="442" t="str">
        <f t="shared" si="0"/>
        <v>SIOB260205005CALLA LILY 451漂白L</v>
      </c>
      <c r="P89" s="442"/>
      <c r="Q89" s="442" t="str">
        <f t="shared" si="1"/>
        <v>SIOB260205005CALLA LILY 451漂白L</v>
      </c>
      <c r="R89" s="442"/>
      <c r="S89" s="442"/>
      <c r="T89" s="442"/>
      <c r="U89" s="442"/>
      <c r="V89" s="442"/>
      <c r="W89" s="442"/>
      <c r="X89" s="442"/>
      <c r="Y89" s="442"/>
      <c r="Z89" s="443"/>
    </row>
    <row r="90" spans="1:26" s="444" customFormat="1" ht="84" customHeight="1">
      <c r="A90" s="448">
        <v>34</v>
      </c>
      <c r="B90" s="440" t="s">
        <v>272</v>
      </c>
      <c r="C90" s="441" t="s">
        <v>47</v>
      </c>
      <c r="D90" s="440">
        <v>1051120</v>
      </c>
      <c r="E90" s="440" t="s">
        <v>274</v>
      </c>
      <c r="F90" s="440" t="s">
        <v>54</v>
      </c>
      <c r="G90" s="440" t="s">
        <v>260</v>
      </c>
      <c r="H90" s="440" t="s">
        <v>273</v>
      </c>
      <c r="I90" s="440">
        <v>1200</v>
      </c>
      <c r="J90" s="440" t="s">
        <v>50</v>
      </c>
      <c r="K90" s="449">
        <f t="shared" si="6"/>
        <v>29.35</v>
      </c>
      <c r="L90" s="449">
        <v>30.8</v>
      </c>
      <c r="M90" s="450">
        <v>0.11</v>
      </c>
      <c r="N90" s="442"/>
      <c r="O90" s="442" t="str">
        <f t="shared" si="0"/>
        <v>SIOB260205005CALLA LILY 451漂白L</v>
      </c>
      <c r="P90" s="442"/>
      <c r="Q90" s="442" t="str">
        <f t="shared" si="1"/>
        <v>SIOB260205005CALLA LILY 451漂白L</v>
      </c>
      <c r="R90" s="442"/>
      <c r="S90" s="442"/>
      <c r="T90" s="442"/>
      <c r="U90" s="442"/>
      <c r="V90" s="442"/>
      <c r="W90" s="442"/>
      <c r="X90" s="442"/>
      <c r="Y90" s="442"/>
      <c r="Z90" s="443"/>
    </row>
    <row r="91" spans="1:26" s="444" customFormat="1" ht="84" customHeight="1">
      <c r="A91" s="448">
        <v>35</v>
      </c>
      <c r="B91" s="440" t="s">
        <v>272</v>
      </c>
      <c r="C91" s="441" t="s">
        <v>47</v>
      </c>
      <c r="D91" s="440">
        <v>1051120</v>
      </c>
      <c r="E91" s="440" t="s">
        <v>274</v>
      </c>
      <c r="F91" s="440" t="s">
        <v>53</v>
      </c>
      <c r="G91" s="440" t="s">
        <v>239</v>
      </c>
      <c r="H91" s="440" t="s">
        <v>273</v>
      </c>
      <c r="I91" s="440">
        <v>1200</v>
      </c>
      <c r="J91" s="440" t="s">
        <v>50</v>
      </c>
      <c r="K91" s="449">
        <f t="shared" si="6"/>
        <v>29.990000000000002</v>
      </c>
      <c r="L91" s="449">
        <v>31.44</v>
      </c>
      <c r="M91" s="450">
        <v>0.11</v>
      </c>
      <c r="N91" s="442"/>
      <c r="O91" s="442" t="str">
        <f t="shared" si="0"/>
        <v>SIOB260205005CALLA LILY 451漂白XL</v>
      </c>
      <c r="P91" s="442"/>
      <c r="Q91" s="442" t="str">
        <f t="shared" si="1"/>
        <v>SIOB260205005CALLA LILY 451漂白XL</v>
      </c>
      <c r="R91" s="442"/>
      <c r="S91" s="442"/>
      <c r="T91" s="442"/>
      <c r="U91" s="442"/>
      <c r="V91" s="442"/>
      <c r="W91" s="442"/>
      <c r="X91" s="442"/>
      <c r="Y91" s="442"/>
      <c r="Z91" s="443"/>
    </row>
    <row r="92" spans="1:26" s="459" customFormat="1" ht="63" customHeight="1" thickBot="1">
      <c r="A92" s="475" t="s">
        <v>62</v>
      </c>
      <c r="B92" s="476"/>
      <c r="C92" s="451"/>
      <c r="D92" s="452"/>
      <c r="E92" s="453">
        <v>35</v>
      </c>
      <c r="F92" s="454"/>
      <c r="G92" s="454"/>
      <c r="H92" s="433"/>
      <c r="I92" s="434">
        <f>SUM(I20:I91)</f>
        <v>39733</v>
      </c>
      <c r="J92" s="455" t="s">
        <v>50</v>
      </c>
      <c r="K92" s="456">
        <f>SUM(K31:K91)</f>
        <v>934.24999999999989</v>
      </c>
      <c r="L92" s="456">
        <f>SUM(L31:L91)</f>
        <v>985.00000000000011</v>
      </c>
      <c r="M92" s="457">
        <f>SUM(M31:M91)</f>
        <v>3.8499999999999988</v>
      </c>
      <c r="N92" s="458"/>
      <c r="O92" s="442"/>
      <c r="P92" s="458"/>
      <c r="Q92" s="458"/>
      <c r="R92" s="458"/>
      <c r="S92" s="458"/>
      <c r="T92" s="458"/>
      <c r="U92" s="458"/>
      <c r="V92" s="458"/>
      <c r="W92" s="458"/>
      <c r="X92" s="458"/>
      <c r="Y92" s="458"/>
    </row>
    <row r="93" spans="1:26" s="439" customFormat="1" ht="27.75" customHeight="1">
      <c r="A93" s="518" t="s">
        <v>63</v>
      </c>
      <c r="B93" s="518"/>
      <c r="C93" s="518"/>
      <c r="D93" s="460"/>
      <c r="E93" s="460"/>
      <c r="F93" s="460"/>
      <c r="G93" s="460"/>
      <c r="H93" s="460"/>
      <c r="I93" s="460"/>
      <c r="J93" s="460"/>
      <c r="K93" s="460"/>
      <c r="O93" s="438"/>
      <c r="P93" s="438"/>
      <c r="Q93" s="438"/>
      <c r="R93" s="438"/>
      <c r="S93" s="438"/>
      <c r="T93" s="438"/>
      <c r="U93" s="438"/>
      <c r="V93" s="438"/>
      <c r="W93" s="438"/>
      <c r="X93" s="438"/>
      <c r="Y93" s="438"/>
      <c r="Z93" s="438"/>
    </row>
    <row r="94" spans="1:26" s="439" customFormat="1" ht="24.75" customHeight="1">
      <c r="A94" s="461"/>
      <c r="B94" s="462"/>
      <c r="C94" s="462"/>
      <c r="E94" s="463"/>
      <c r="F94" s="463"/>
      <c r="G94" s="463"/>
      <c r="H94" s="463"/>
      <c r="I94" s="464" t="s">
        <v>64</v>
      </c>
      <c r="J94" s="464"/>
      <c r="K94" s="464"/>
      <c r="L94" s="464"/>
      <c r="M94" s="464"/>
      <c r="N94" s="464"/>
      <c r="O94" s="438"/>
      <c r="P94" s="438"/>
      <c r="Q94" s="438"/>
      <c r="R94" s="438"/>
      <c r="S94" s="438"/>
      <c r="T94" s="438"/>
      <c r="U94" s="438"/>
      <c r="V94" s="438"/>
      <c r="W94" s="438"/>
      <c r="X94" s="438"/>
      <c r="Y94" s="438"/>
      <c r="Z94" s="438"/>
    </row>
  </sheetData>
  <autoFilter ref="A30:AG94"/>
  <mergeCells count="94">
    <mergeCell ref="M74:M75"/>
    <mergeCell ref="A93:C93"/>
    <mergeCell ref="A84:A85"/>
    <mergeCell ref="K84:K85"/>
    <mergeCell ref="L84:L85"/>
    <mergeCell ref="M84:M85"/>
    <mergeCell ref="A55:A57"/>
    <mergeCell ref="K55:K57"/>
    <mergeCell ref="L55:L57"/>
    <mergeCell ref="M55:M57"/>
    <mergeCell ref="A58:A59"/>
    <mergeCell ref="L14:M14"/>
    <mergeCell ref="L17:M17"/>
    <mergeCell ref="L18:M18"/>
    <mergeCell ref="A31:A32"/>
    <mergeCell ref="K31:K32"/>
    <mergeCell ref="L31:L32"/>
    <mergeCell ref="M31:M32"/>
    <mergeCell ref="A22:E22"/>
    <mergeCell ref="A20:E20"/>
    <mergeCell ref="L20:M20"/>
    <mergeCell ref="A21:E21"/>
    <mergeCell ref="A45:A46"/>
    <mergeCell ref="K45:K46"/>
    <mergeCell ref="L45:L46"/>
    <mergeCell ref="A17:F17"/>
    <mergeCell ref="A1:M1"/>
    <mergeCell ref="A2:M2"/>
    <mergeCell ref="A3:M3"/>
    <mergeCell ref="L7:M7"/>
    <mergeCell ref="A8:F8"/>
    <mergeCell ref="A4:M5"/>
    <mergeCell ref="L9:M9"/>
    <mergeCell ref="A11:E11"/>
    <mergeCell ref="A12:G12"/>
    <mergeCell ref="L12:M12"/>
    <mergeCell ref="A13:E13"/>
    <mergeCell ref="L13:M13"/>
    <mergeCell ref="M49:M51"/>
    <mergeCell ref="A47:A48"/>
    <mergeCell ref="K47:K48"/>
    <mergeCell ref="L47:L48"/>
    <mergeCell ref="M47:M48"/>
    <mergeCell ref="A49:A51"/>
    <mergeCell ref="K49:K51"/>
    <mergeCell ref="L49:L51"/>
    <mergeCell ref="M33:M34"/>
    <mergeCell ref="A35:A38"/>
    <mergeCell ref="K35:K38"/>
    <mergeCell ref="L35:L38"/>
    <mergeCell ref="M35:M38"/>
    <mergeCell ref="A33:A34"/>
    <mergeCell ref="K33:K34"/>
    <mergeCell ref="L33:L34"/>
    <mergeCell ref="M40:M42"/>
    <mergeCell ref="A43:A44"/>
    <mergeCell ref="K43:K44"/>
    <mergeCell ref="L43:L44"/>
    <mergeCell ref="M43:M44"/>
    <mergeCell ref="A40:A42"/>
    <mergeCell ref="K40:K42"/>
    <mergeCell ref="L40:L42"/>
    <mergeCell ref="M45:M46"/>
    <mergeCell ref="A92:B92"/>
    <mergeCell ref="K58:K59"/>
    <mergeCell ref="L58:L59"/>
    <mergeCell ref="M58:M59"/>
    <mergeCell ref="A60:A61"/>
    <mergeCell ref="K60:K61"/>
    <mergeCell ref="L60:L61"/>
    <mergeCell ref="M60:M61"/>
    <mergeCell ref="A63:A66"/>
    <mergeCell ref="K63:K66"/>
    <mergeCell ref="L63:L66"/>
    <mergeCell ref="M63:M66"/>
    <mergeCell ref="A67:A68"/>
    <mergeCell ref="K67:K68"/>
    <mergeCell ref="L67:L68"/>
    <mergeCell ref="M67:M68"/>
    <mergeCell ref="A77:A79"/>
    <mergeCell ref="K77:K79"/>
    <mergeCell ref="L77:L79"/>
    <mergeCell ref="M77:M79"/>
    <mergeCell ref="A69:A70"/>
    <mergeCell ref="K69:K70"/>
    <mergeCell ref="L69:L70"/>
    <mergeCell ref="M69:M70"/>
    <mergeCell ref="A72:A73"/>
    <mergeCell ref="K72:K73"/>
    <mergeCell ref="L72:L73"/>
    <mergeCell ref="M72:M73"/>
    <mergeCell ref="A74:A75"/>
    <mergeCell ref="K74:K75"/>
    <mergeCell ref="L74:L75"/>
  </mergeCells>
  <hyperlinks>
    <hyperlink ref="A9" r:id="rId1"/>
    <hyperlink ref="A3" r:id="rId2"/>
  </hyperlinks>
  <pageMargins left="0.17" right="0.17" top="0.17" bottom="0.17" header="0.17" footer="0.17"/>
  <pageSetup paperSize="9" scale="33" fitToHeight="0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93"/>
  <sheetViews>
    <sheetView view="pageBreakPreview" topLeftCell="A34" zoomScale="60" zoomScaleNormal="70" workbookViewId="0">
      <selection activeCell="G21" sqref="G21"/>
    </sheetView>
  </sheetViews>
  <sheetFormatPr defaultColWidth="9" defaultRowHeight="15"/>
  <cols>
    <col min="1" max="1" width="34.28515625" customWidth="1"/>
    <col min="2" max="2" width="38.85546875" customWidth="1"/>
    <col min="3" max="3" width="23.85546875" customWidth="1"/>
    <col min="4" max="4" width="48.140625" customWidth="1"/>
    <col min="5" max="5" width="29.28515625" customWidth="1"/>
    <col min="6" max="6" width="33.140625" customWidth="1"/>
    <col min="7" max="7" width="24.42578125" customWidth="1"/>
    <col min="8" max="9" width="17.5703125" customWidth="1"/>
    <col min="10" max="10" width="21.7109375" customWidth="1"/>
    <col min="11" max="11" width="98.42578125" customWidth="1"/>
    <col min="12" max="12" width="21.140625" customWidth="1"/>
    <col min="13" max="13" width="9.140625" style="136" customWidth="1"/>
    <col min="14" max="14" width="54.7109375" style="136" customWidth="1"/>
    <col min="15" max="15" width="28" style="136" customWidth="1"/>
    <col min="16" max="16" width="9" style="136" customWidth="1"/>
    <col min="17" max="17" width="32.42578125" style="136" customWidth="1"/>
    <col min="18" max="26" width="9" style="136" customWidth="1"/>
    <col min="27" max="36" width="9" style="136"/>
  </cols>
  <sheetData>
    <row r="1" spans="1:12" ht="36.75" customHeight="1" thickBot="1">
      <c r="A1" s="533" t="s">
        <v>64</v>
      </c>
      <c r="B1" s="534"/>
      <c r="C1" s="534"/>
      <c r="D1" s="534"/>
      <c r="E1" s="534"/>
      <c r="F1" s="534"/>
      <c r="G1" s="534"/>
      <c r="H1" s="534"/>
      <c r="I1" s="534"/>
      <c r="J1" s="535"/>
      <c r="K1" s="300"/>
      <c r="L1" s="300"/>
    </row>
    <row r="2" spans="1:12" ht="30.75" customHeight="1" thickBot="1">
      <c r="A2" s="536" t="s">
        <v>1</v>
      </c>
      <c r="B2" s="537"/>
      <c r="C2" s="537"/>
      <c r="D2" s="537"/>
      <c r="E2" s="537"/>
      <c r="F2" s="537"/>
      <c r="G2" s="537"/>
      <c r="H2" s="537"/>
      <c r="I2" s="537"/>
      <c r="J2" s="538"/>
      <c r="K2" s="301"/>
      <c r="L2" s="301"/>
    </row>
    <row r="3" spans="1:12" ht="29.25" customHeight="1" thickBot="1">
      <c r="A3" s="539" t="s">
        <v>2</v>
      </c>
      <c r="B3" s="540"/>
      <c r="C3" s="540"/>
      <c r="D3" s="540"/>
      <c r="E3" s="540"/>
      <c r="F3" s="540"/>
      <c r="G3" s="540"/>
      <c r="H3" s="540"/>
      <c r="I3" s="540"/>
      <c r="J3" s="541"/>
      <c r="K3" s="301"/>
      <c r="L3" s="301"/>
    </row>
    <row r="4" spans="1:12" ht="28.5" thickBot="1">
      <c r="A4" s="542" t="s">
        <v>91</v>
      </c>
      <c r="B4" s="543"/>
      <c r="C4" s="543"/>
      <c r="D4" s="543"/>
      <c r="E4" s="543"/>
      <c r="F4" s="543"/>
      <c r="G4" s="543"/>
      <c r="H4" s="543"/>
      <c r="I4" s="543"/>
      <c r="J4" s="544"/>
      <c r="K4" s="302"/>
      <c r="L4" s="302"/>
    </row>
    <row r="5" spans="1:12" ht="16.5">
      <c r="A5" s="303" t="s">
        <v>4</v>
      </c>
      <c r="B5" s="304"/>
      <c r="C5" s="304"/>
      <c r="D5" s="305"/>
      <c r="E5" s="305"/>
      <c r="F5" s="306" t="s">
        <v>7</v>
      </c>
      <c r="G5" s="307"/>
      <c r="H5" s="139"/>
      <c r="I5" s="139"/>
      <c r="J5" s="308"/>
      <c r="K5" s="307"/>
      <c r="L5" s="171"/>
    </row>
    <row r="6" spans="1:12" ht="16.5">
      <c r="A6" s="309" t="s">
        <v>6</v>
      </c>
      <c r="B6" s="305"/>
      <c r="C6" s="305"/>
      <c r="D6" s="305"/>
      <c r="E6" s="305"/>
      <c r="F6" s="310" t="str">
        <f>PKL!J7</f>
        <v>AK/GDI-20260009</v>
      </c>
      <c r="G6" s="311">
        <f>PKL!L7</f>
        <v>46121</v>
      </c>
      <c r="H6" s="311"/>
      <c r="I6" s="415"/>
      <c r="J6" s="312"/>
      <c r="K6" s="313"/>
      <c r="L6" s="171"/>
    </row>
    <row r="7" spans="1:12" ht="16.5">
      <c r="A7" s="314" t="s">
        <v>92</v>
      </c>
      <c r="B7" s="315"/>
      <c r="C7" s="315"/>
      <c r="D7" s="315"/>
      <c r="E7" s="315"/>
      <c r="F7" s="316" t="s">
        <v>93</v>
      </c>
      <c r="G7" s="317"/>
      <c r="H7" s="141"/>
      <c r="I7" s="139"/>
      <c r="J7" s="328"/>
      <c r="K7" s="318"/>
      <c r="L7" s="171"/>
    </row>
    <row r="8" spans="1:12" ht="16.5">
      <c r="A8" s="319" t="s">
        <v>94</v>
      </c>
      <c r="B8" s="320"/>
      <c r="C8" s="320"/>
      <c r="D8" s="320"/>
      <c r="E8" s="321"/>
      <c r="F8" s="143"/>
      <c r="G8" s="322"/>
      <c r="H8" s="322"/>
      <c r="I8" s="139"/>
      <c r="J8" s="312"/>
      <c r="K8" s="313"/>
      <c r="L8" s="171"/>
    </row>
    <row r="9" spans="1:12" ht="16.5">
      <c r="A9" s="144" t="s">
        <v>95</v>
      </c>
      <c r="B9" s="145"/>
      <c r="C9" s="145"/>
      <c r="D9" s="320"/>
      <c r="E9" s="321"/>
      <c r="F9" s="323" t="str">
        <f>PKL!J12</f>
        <v>AK/GDI/CT-202602</v>
      </c>
      <c r="G9" s="322">
        <f>PKL!L12</f>
        <v>46035</v>
      </c>
      <c r="H9" s="147"/>
      <c r="I9" s="139"/>
      <c r="J9" s="312"/>
      <c r="K9" s="320"/>
      <c r="L9" s="171"/>
    </row>
    <row r="10" spans="1:12" ht="16.5">
      <c r="A10" s="324" t="s">
        <v>8</v>
      </c>
      <c r="B10" s="325"/>
      <c r="C10" s="325"/>
      <c r="D10" s="326"/>
      <c r="E10" s="327"/>
      <c r="F10" s="417"/>
      <c r="G10" s="416"/>
      <c r="H10" s="150"/>
      <c r="I10" s="172"/>
      <c r="J10" s="328"/>
      <c r="K10" s="329"/>
    </row>
    <row r="11" spans="1:12" ht="16.5">
      <c r="A11" s="545" t="s">
        <v>9</v>
      </c>
      <c r="B11" s="546"/>
      <c r="C11" s="546"/>
      <c r="D11" s="330"/>
      <c r="E11" s="331"/>
      <c r="F11" s="149"/>
      <c r="G11" s="151"/>
      <c r="H11" s="151"/>
      <c r="I11" s="139"/>
      <c r="J11" s="312"/>
      <c r="K11" s="329"/>
    </row>
    <row r="12" spans="1:12" ht="16.5">
      <c r="A12" s="525" t="s">
        <v>11</v>
      </c>
      <c r="B12" s="526"/>
      <c r="C12" s="526"/>
      <c r="D12" s="526"/>
      <c r="E12" s="532"/>
      <c r="F12" s="149"/>
      <c r="G12" s="151"/>
      <c r="H12" s="151"/>
      <c r="I12" s="139"/>
      <c r="J12" s="312"/>
      <c r="K12" s="329"/>
    </row>
    <row r="13" spans="1:12" ht="16.5">
      <c r="A13" s="525" t="s">
        <v>12</v>
      </c>
      <c r="B13" s="526"/>
      <c r="C13" s="526"/>
      <c r="D13" s="526"/>
      <c r="E13" s="332"/>
      <c r="F13" s="149"/>
      <c r="G13" s="151"/>
      <c r="H13" s="151"/>
      <c r="I13" s="139"/>
      <c r="J13" s="312"/>
      <c r="K13" s="329"/>
    </row>
    <row r="14" spans="1:12" ht="16.5">
      <c r="A14" s="333"/>
      <c r="B14" s="334"/>
      <c r="C14" s="334"/>
      <c r="D14" s="334"/>
      <c r="E14" s="332"/>
      <c r="F14" s="418"/>
      <c r="G14" s="419"/>
      <c r="H14" s="419"/>
      <c r="I14" s="415"/>
      <c r="J14" s="346"/>
      <c r="K14" s="329"/>
    </row>
    <row r="15" spans="1:12" ht="16.5">
      <c r="A15" s="335" t="s">
        <v>15</v>
      </c>
      <c r="B15" s="336"/>
      <c r="C15" s="337"/>
      <c r="D15" s="337"/>
      <c r="E15" s="338"/>
      <c r="F15" s="339" t="s">
        <v>270</v>
      </c>
      <c r="G15" s="299"/>
      <c r="H15" s="299"/>
      <c r="I15" s="139"/>
      <c r="J15" s="312"/>
      <c r="K15" s="340"/>
    </row>
    <row r="16" spans="1:12" ht="16.5">
      <c r="A16" s="527" t="str">
        <f>PKL!A17</f>
        <v>PT NIRWANA ALABARE GARMENT</v>
      </c>
      <c r="B16" s="528"/>
      <c r="C16" s="528"/>
      <c r="D16" s="528"/>
      <c r="E16" s="528"/>
      <c r="F16" s="341" t="s">
        <v>96</v>
      </c>
      <c r="G16" s="299"/>
      <c r="H16" s="299"/>
      <c r="I16" s="139"/>
      <c r="J16" s="312"/>
      <c r="K16" s="340"/>
    </row>
    <row r="17" spans="1:36" ht="16.5">
      <c r="A17" s="342" t="str">
        <f>PKL!A18</f>
        <v xml:space="preserve">JL. RAYA RANCAEKEK - MAJALAYA , NO.289, DESA SOLOKAN JERUK, </v>
      </c>
      <c r="B17" s="343"/>
      <c r="C17" s="344"/>
      <c r="D17" s="344"/>
      <c r="E17" s="345"/>
      <c r="F17" s="320"/>
      <c r="G17" s="299"/>
      <c r="H17" s="299"/>
      <c r="I17" s="139"/>
      <c r="J17" s="312"/>
      <c r="K17" s="340"/>
    </row>
    <row r="18" spans="1:36" ht="16.5">
      <c r="A18" s="342" t="str">
        <f>PKL!A19</f>
        <v>KECAMATAN SOLOKAN JERUK, KABUPATEN BANDUNG JAWA BARAT</v>
      </c>
      <c r="B18" s="343"/>
      <c r="C18" s="344"/>
      <c r="D18" s="344"/>
      <c r="E18" s="345"/>
      <c r="F18" s="320"/>
      <c r="G18" s="299"/>
      <c r="H18" s="299"/>
      <c r="I18" s="139"/>
      <c r="J18" s="346"/>
      <c r="K18" s="340"/>
    </row>
    <row r="19" spans="1:36" ht="16.5">
      <c r="A19" s="523" t="str">
        <f>PKL!A20</f>
        <v>40382, INDONESIA</v>
      </c>
      <c r="B19" s="524"/>
      <c r="C19" s="524"/>
      <c r="D19" s="524"/>
      <c r="E19" s="347"/>
      <c r="F19" s="348"/>
      <c r="G19" s="165"/>
      <c r="H19" s="165"/>
      <c r="I19" s="172"/>
      <c r="J19" s="312"/>
      <c r="K19" s="340"/>
    </row>
    <row r="20" spans="1:36" ht="22.5" customHeight="1">
      <c r="A20" s="523" t="str">
        <f>PKL!A21</f>
        <v>TAX ID :0745 4069 2644 4000</v>
      </c>
      <c r="B20" s="524"/>
      <c r="C20" s="524"/>
      <c r="D20" s="524"/>
      <c r="E20" s="347"/>
      <c r="F20" s="349"/>
      <c r="G20" s="299"/>
      <c r="H20" s="299"/>
      <c r="I20" s="139"/>
      <c r="J20" s="312"/>
      <c r="K20" s="340"/>
    </row>
    <row r="21" spans="1:36" ht="40.5" customHeight="1">
      <c r="A21" s="529" t="s">
        <v>315</v>
      </c>
      <c r="B21" s="530"/>
      <c r="C21" s="530"/>
      <c r="D21" s="530"/>
      <c r="E21" s="531"/>
      <c r="F21" s="349"/>
      <c r="G21" s="426"/>
      <c r="H21" s="426"/>
      <c r="I21" s="139"/>
      <c r="J21" s="312"/>
      <c r="K21" s="340"/>
    </row>
    <row r="22" spans="1:36" ht="16.5">
      <c r="A22" s="428"/>
      <c r="B22" s="429"/>
      <c r="C22" s="429"/>
      <c r="D22" s="351"/>
      <c r="E22" s="347"/>
      <c r="F22" s="349"/>
      <c r="G22" s="299"/>
      <c r="H22" s="299"/>
      <c r="I22" s="139"/>
      <c r="J22" s="312"/>
      <c r="K22" s="340"/>
    </row>
    <row r="23" spans="1:36" ht="16.5">
      <c r="A23" s="350"/>
      <c r="B23" s="351"/>
      <c r="C23" s="351"/>
      <c r="D23" s="351"/>
      <c r="E23" s="352"/>
      <c r="F23" s="353"/>
      <c r="G23" s="299"/>
      <c r="H23" s="299"/>
      <c r="I23" s="139"/>
      <c r="J23" s="312"/>
      <c r="K23" s="340"/>
    </row>
    <row r="24" spans="1:36" ht="16.5">
      <c r="A24" s="303" t="s">
        <v>21</v>
      </c>
      <c r="B24" s="304"/>
      <c r="C24" s="306" t="s">
        <v>22</v>
      </c>
      <c r="D24" s="305"/>
      <c r="E24" s="352"/>
      <c r="F24" s="353"/>
      <c r="G24" s="299"/>
      <c r="H24" s="299"/>
      <c r="I24" s="139"/>
      <c r="J24" s="312"/>
      <c r="K24" s="340"/>
    </row>
    <row r="25" spans="1:36" ht="16.5">
      <c r="A25" s="314" t="str">
        <f>PKL!A25</f>
        <v>HO CHI MINH</v>
      </c>
      <c r="B25" s="315"/>
      <c r="C25" s="354" t="str">
        <f>PKL!E25</f>
        <v>JAKARTA</v>
      </c>
      <c r="D25" s="355"/>
      <c r="E25" s="352"/>
      <c r="F25" s="353"/>
      <c r="G25" s="299"/>
      <c r="H25" s="299"/>
      <c r="I25" s="139"/>
      <c r="J25" s="312"/>
      <c r="K25" s="340"/>
    </row>
    <row r="26" spans="1:36" ht="16.5">
      <c r="A26" s="356"/>
      <c r="B26" s="410"/>
      <c r="C26" s="315"/>
      <c r="D26" s="320"/>
      <c r="E26" s="357"/>
      <c r="F26" s="353"/>
      <c r="G26" s="299"/>
      <c r="H26" s="299"/>
      <c r="I26" s="139"/>
      <c r="J26" s="312"/>
      <c r="K26" s="340"/>
    </row>
    <row r="27" spans="1:36" ht="16.5">
      <c r="A27" s="350"/>
      <c r="B27" s="351"/>
      <c r="C27" s="351"/>
      <c r="D27" s="351"/>
      <c r="E27" s="352"/>
      <c r="F27" s="353"/>
      <c r="G27" s="299"/>
      <c r="H27" s="299"/>
      <c r="I27" s="139"/>
      <c r="J27" s="312"/>
      <c r="K27" s="340"/>
    </row>
    <row r="28" spans="1:36" ht="16.5" customHeight="1">
      <c r="A28" s="324" t="s">
        <v>319</v>
      </c>
      <c r="B28" s="411"/>
      <c r="C28" s="412" t="s">
        <v>30</v>
      </c>
      <c r="D28" s="358" t="s">
        <v>31</v>
      </c>
      <c r="E28" s="358"/>
      <c r="F28" s="359"/>
      <c r="G28" s="360"/>
      <c r="H28" s="170"/>
      <c r="I28" s="172"/>
      <c r="J28" s="328"/>
      <c r="K28" s="361"/>
    </row>
    <row r="29" spans="1:36" ht="78" customHeight="1" thickBot="1">
      <c r="A29" s="362" t="str">
        <f>PKL!A28</f>
        <v>TR 0553</v>
      </c>
      <c r="B29" s="363"/>
      <c r="C29" s="364">
        <f>PKL!C28</f>
        <v>46125</v>
      </c>
      <c r="D29" s="413">
        <f>PKL!E28</f>
        <v>46127</v>
      </c>
      <c r="E29" s="414"/>
      <c r="F29" s="341" t="s">
        <v>258</v>
      </c>
      <c r="G29" s="365"/>
      <c r="H29" s="365"/>
      <c r="I29" s="365"/>
      <c r="J29" s="366"/>
      <c r="K29" s="340"/>
    </row>
    <row r="30" spans="1:36" s="375" customFormat="1" ht="51" customHeight="1">
      <c r="A30" s="367" t="s">
        <v>97</v>
      </c>
      <c r="B30" s="368" t="s">
        <v>98</v>
      </c>
      <c r="C30" s="368" t="s">
        <v>38</v>
      </c>
      <c r="D30" s="368" t="s">
        <v>99</v>
      </c>
      <c r="E30" s="368" t="s">
        <v>39</v>
      </c>
      <c r="F30" s="368" t="s">
        <v>40</v>
      </c>
      <c r="G30" s="369" t="s">
        <v>100</v>
      </c>
      <c r="H30" s="370" t="s">
        <v>101</v>
      </c>
      <c r="I30" s="370" t="s">
        <v>102</v>
      </c>
      <c r="J30" s="371" t="s">
        <v>103</v>
      </c>
      <c r="K30" s="372" t="s">
        <v>243</v>
      </c>
      <c r="L30" s="373" t="s">
        <v>244</v>
      </c>
      <c r="M30" s="374"/>
      <c r="N30" s="374"/>
      <c r="O30" s="374"/>
      <c r="P30" s="374"/>
      <c r="Q30" s="374"/>
      <c r="R30" s="374"/>
      <c r="S30" s="374"/>
      <c r="T30" s="374"/>
      <c r="U30" s="374"/>
      <c r="V30" s="374"/>
      <c r="W30" s="374"/>
      <c r="X30" s="374"/>
      <c r="Y30" s="374"/>
      <c r="Z30" s="374"/>
      <c r="AA30" s="374"/>
      <c r="AB30" s="374"/>
      <c r="AC30" s="374"/>
      <c r="AD30" s="374"/>
      <c r="AE30" s="374"/>
      <c r="AF30" s="374"/>
      <c r="AG30" s="374"/>
      <c r="AH30" s="374"/>
      <c r="AI30" s="374"/>
      <c r="AJ30" s="374"/>
    </row>
    <row r="31" spans="1:36" s="385" customFormat="1" ht="69" customHeight="1">
      <c r="A31" s="376" t="s">
        <v>272</v>
      </c>
      <c r="B31" s="377" t="s">
        <v>273</v>
      </c>
      <c r="C31" s="378">
        <v>1051120</v>
      </c>
      <c r="D31" s="379" t="s">
        <v>47</v>
      </c>
      <c r="E31" s="380" t="s">
        <v>274</v>
      </c>
      <c r="F31" s="381" t="s">
        <v>49</v>
      </c>
      <c r="G31" s="378">
        <v>2400</v>
      </c>
      <c r="H31" s="378" t="s">
        <v>50</v>
      </c>
      <c r="I31" s="379">
        <v>0.16500000000000001</v>
      </c>
      <c r="J31" s="382">
        <f>ROUND(G31*I31,2)</f>
        <v>396</v>
      </c>
      <c r="K31" s="383" t="s">
        <v>316</v>
      </c>
      <c r="L31" s="384">
        <v>61179000</v>
      </c>
      <c r="N31" s="385" t="str">
        <f>A31&amp;E31&amp;F31</f>
        <v>SIOB260205005CALLA LILY 451漂白XS</v>
      </c>
      <c r="O31" s="385">
        <f>SUMIF(PKL!O:O,INV!N31,PKL!I:I)</f>
        <v>2400</v>
      </c>
    </row>
    <row r="32" spans="1:36" s="385" customFormat="1" ht="69" customHeight="1">
      <c r="A32" s="376" t="s">
        <v>272</v>
      </c>
      <c r="B32" s="377" t="s">
        <v>273</v>
      </c>
      <c r="C32" s="378">
        <v>1051120</v>
      </c>
      <c r="D32" s="379" t="s">
        <v>47</v>
      </c>
      <c r="E32" s="380" t="s">
        <v>274</v>
      </c>
      <c r="F32" s="381" t="s">
        <v>54</v>
      </c>
      <c r="G32" s="378">
        <v>2400</v>
      </c>
      <c r="H32" s="378" t="s">
        <v>50</v>
      </c>
      <c r="I32" s="379">
        <v>0.16500000000000001</v>
      </c>
      <c r="J32" s="382">
        <f t="shared" ref="J32:J86" si="0">ROUND(G32*I32,2)</f>
        <v>396</v>
      </c>
      <c r="K32" s="383" t="s">
        <v>294</v>
      </c>
      <c r="L32" s="384">
        <v>61179000</v>
      </c>
      <c r="N32" s="385" t="str">
        <f t="shared" ref="N32:N60" si="1">A32&amp;E32&amp;F32</f>
        <v>SIOB260205005CALLA LILY 451漂白L</v>
      </c>
      <c r="O32" s="385">
        <f>SUMIF(PKL!O:O,INV!N32,PKL!I:I)</f>
        <v>2400</v>
      </c>
    </row>
    <row r="33" spans="1:15" s="385" customFormat="1" ht="69" customHeight="1">
      <c r="A33" s="376" t="s">
        <v>272</v>
      </c>
      <c r="B33" s="377" t="s">
        <v>273</v>
      </c>
      <c r="C33" s="378">
        <v>1051120</v>
      </c>
      <c r="D33" s="379" t="s">
        <v>47</v>
      </c>
      <c r="E33" s="380" t="s">
        <v>274</v>
      </c>
      <c r="F33" s="381" t="s">
        <v>53</v>
      </c>
      <c r="G33" s="378">
        <v>1200</v>
      </c>
      <c r="H33" s="378" t="s">
        <v>50</v>
      </c>
      <c r="I33" s="379">
        <v>0.16500000000000001</v>
      </c>
      <c r="J33" s="382">
        <f t="shared" si="0"/>
        <v>198</v>
      </c>
      <c r="K33" s="383" t="s">
        <v>317</v>
      </c>
      <c r="L33" s="384">
        <v>61179000</v>
      </c>
      <c r="N33" s="385" t="str">
        <f t="shared" si="1"/>
        <v>SIOB260205005CALLA LILY 451漂白XL</v>
      </c>
      <c r="O33" s="385">
        <f>SUMIF(PKL!O:O,INV!N33,PKL!I:I)</f>
        <v>1200</v>
      </c>
    </row>
    <row r="34" spans="1:15" s="385" customFormat="1" ht="69" customHeight="1">
      <c r="A34" s="376" t="s">
        <v>272</v>
      </c>
      <c r="B34" s="377" t="s">
        <v>273</v>
      </c>
      <c r="C34" s="378">
        <v>1051120</v>
      </c>
      <c r="D34" s="379" t="s">
        <v>47</v>
      </c>
      <c r="E34" s="380" t="s">
        <v>59</v>
      </c>
      <c r="F34" s="381" t="s">
        <v>49</v>
      </c>
      <c r="G34" s="378">
        <v>414</v>
      </c>
      <c r="H34" s="378" t="s">
        <v>50</v>
      </c>
      <c r="I34" s="379">
        <v>0.17</v>
      </c>
      <c r="J34" s="382">
        <f t="shared" si="0"/>
        <v>70.38</v>
      </c>
      <c r="K34" s="383" t="s">
        <v>254</v>
      </c>
      <c r="L34" s="384">
        <v>61179000</v>
      </c>
      <c r="N34" s="385" t="str">
        <f t="shared" si="1"/>
        <v>SIOB260205005BLACK JACK 400黑色XS</v>
      </c>
      <c r="O34" s="385">
        <f>SUMIF(PKL!O:O,INV!N34,PKL!I:I)</f>
        <v>414</v>
      </c>
    </row>
    <row r="35" spans="1:15" s="385" customFormat="1" ht="69" customHeight="1">
      <c r="A35" s="376" t="s">
        <v>272</v>
      </c>
      <c r="B35" s="377" t="s">
        <v>273</v>
      </c>
      <c r="C35" s="378">
        <v>1051120</v>
      </c>
      <c r="D35" s="379" t="s">
        <v>47</v>
      </c>
      <c r="E35" s="380" t="s">
        <v>59</v>
      </c>
      <c r="F35" s="381" t="s">
        <v>51</v>
      </c>
      <c r="G35" s="378">
        <v>785</v>
      </c>
      <c r="H35" s="378" t="s">
        <v>50</v>
      </c>
      <c r="I35" s="379">
        <v>0.17</v>
      </c>
      <c r="J35" s="382">
        <f t="shared" si="0"/>
        <v>133.44999999999999</v>
      </c>
      <c r="K35" s="383" t="s">
        <v>255</v>
      </c>
      <c r="L35" s="384">
        <v>61179000</v>
      </c>
      <c r="N35" s="385" t="str">
        <f t="shared" si="1"/>
        <v>SIOB260205005BLACK JACK 400黑色S</v>
      </c>
      <c r="O35" s="385">
        <f>SUMIF(PKL!O:O,INV!N35,PKL!I:I)</f>
        <v>785</v>
      </c>
    </row>
    <row r="36" spans="1:15" s="385" customFormat="1" ht="69" customHeight="1">
      <c r="A36" s="376" t="s">
        <v>272</v>
      </c>
      <c r="B36" s="377" t="s">
        <v>273</v>
      </c>
      <c r="C36" s="378">
        <v>1051120</v>
      </c>
      <c r="D36" s="379" t="s">
        <v>47</v>
      </c>
      <c r="E36" s="380" t="s">
        <v>59</v>
      </c>
      <c r="F36" s="381" t="s">
        <v>52</v>
      </c>
      <c r="G36" s="378">
        <v>799</v>
      </c>
      <c r="H36" s="378" t="s">
        <v>50</v>
      </c>
      <c r="I36" s="379">
        <v>0.17</v>
      </c>
      <c r="J36" s="382">
        <f t="shared" si="0"/>
        <v>135.83000000000001</v>
      </c>
      <c r="K36" s="383" t="s">
        <v>246</v>
      </c>
      <c r="L36" s="384">
        <v>61179000</v>
      </c>
      <c r="N36" s="385" t="str">
        <f t="shared" si="1"/>
        <v>SIOB260205005BLACK JACK 400黑色M</v>
      </c>
      <c r="O36" s="385">
        <f>SUMIF(PKL!O:O,INV!N36,PKL!I:I)</f>
        <v>799</v>
      </c>
    </row>
    <row r="37" spans="1:15" s="385" customFormat="1" ht="69" customHeight="1">
      <c r="A37" s="376" t="s">
        <v>272</v>
      </c>
      <c r="B37" s="377" t="s">
        <v>273</v>
      </c>
      <c r="C37" s="378">
        <v>1051120</v>
      </c>
      <c r="D37" s="379" t="s">
        <v>47</v>
      </c>
      <c r="E37" s="380" t="s">
        <v>59</v>
      </c>
      <c r="F37" s="381" t="s">
        <v>54</v>
      </c>
      <c r="G37" s="378">
        <v>949</v>
      </c>
      <c r="H37" s="378" t="s">
        <v>50</v>
      </c>
      <c r="I37" s="379">
        <v>0.17</v>
      </c>
      <c r="J37" s="382">
        <f t="shared" si="0"/>
        <v>161.33000000000001</v>
      </c>
      <c r="K37" s="383" t="s">
        <v>247</v>
      </c>
      <c r="L37" s="384">
        <v>61179000</v>
      </c>
      <c r="N37" s="385" t="str">
        <f t="shared" si="1"/>
        <v>SIOB260205005BLACK JACK 400黑色L</v>
      </c>
      <c r="O37" s="385">
        <f>SUMIF(PKL!O:O,INV!N37,PKL!I:I)</f>
        <v>949</v>
      </c>
    </row>
    <row r="38" spans="1:15" s="385" customFormat="1" ht="69" customHeight="1">
      <c r="A38" s="376" t="s">
        <v>272</v>
      </c>
      <c r="B38" s="377" t="s">
        <v>273</v>
      </c>
      <c r="C38" s="378">
        <v>1051120</v>
      </c>
      <c r="D38" s="379" t="s">
        <v>47</v>
      </c>
      <c r="E38" s="380" t="s">
        <v>59</v>
      </c>
      <c r="F38" s="381" t="s">
        <v>53</v>
      </c>
      <c r="G38" s="378">
        <v>751</v>
      </c>
      <c r="H38" s="378" t="s">
        <v>50</v>
      </c>
      <c r="I38" s="379">
        <v>0.17</v>
      </c>
      <c r="J38" s="382">
        <f t="shared" si="0"/>
        <v>127.67</v>
      </c>
      <c r="K38" s="383" t="s">
        <v>248</v>
      </c>
      <c r="L38" s="384">
        <v>61179000</v>
      </c>
      <c r="N38" s="385" t="str">
        <f t="shared" si="1"/>
        <v>SIOB260205005BLACK JACK 400黑色XL</v>
      </c>
      <c r="O38" s="385">
        <f>SUMIF(PKL!O:O,INV!N38,PKL!I:I)</f>
        <v>751</v>
      </c>
    </row>
    <row r="39" spans="1:15" s="385" customFormat="1" ht="69" customHeight="1">
      <c r="A39" s="376" t="s">
        <v>272</v>
      </c>
      <c r="B39" s="377" t="s">
        <v>273</v>
      </c>
      <c r="C39" s="378">
        <v>1051120</v>
      </c>
      <c r="D39" s="379" t="s">
        <v>47</v>
      </c>
      <c r="E39" s="380" t="s">
        <v>59</v>
      </c>
      <c r="F39" s="381" t="s">
        <v>55</v>
      </c>
      <c r="G39" s="378">
        <v>311</v>
      </c>
      <c r="H39" s="378" t="s">
        <v>50</v>
      </c>
      <c r="I39" s="379">
        <v>0.17</v>
      </c>
      <c r="J39" s="382">
        <f t="shared" si="0"/>
        <v>52.87</v>
      </c>
      <c r="K39" s="383" t="s">
        <v>249</v>
      </c>
      <c r="L39" s="384">
        <v>61179000</v>
      </c>
      <c r="N39" s="385" t="str">
        <f t="shared" si="1"/>
        <v>SIOB260205005BLACK JACK 400黑色XXL</v>
      </c>
      <c r="O39" s="385">
        <f>SUMIF(PKL!O:O,INV!N39,PKL!I:I)</f>
        <v>311</v>
      </c>
    </row>
    <row r="40" spans="1:15" s="385" customFormat="1" ht="69" customHeight="1">
      <c r="A40" s="376" t="s">
        <v>272</v>
      </c>
      <c r="B40" s="377" t="s">
        <v>273</v>
      </c>
      <c r="C40" s="378">
        <v>1051120</v>
      </c>
      <c r="D40" s="379" t="s">
        <v>47</v>
      </c>
      <c r="E40" s="380" t="s">
        <v>59</v>
      </c>
      <c r="F40" s="381" t="s">
        <v>56</v>
      </c>
      <c r="G40" s="378">
        <v>30</v>
      </c>
      <c r="H40" s="378" t="s">
        <v>50</v>
      </c>
      <c r="I40" s="379">
        <v>0.17</v>
      </c>
      <c r="J40" s="382">
        <f t="shared" si="0"/>
        <v>5.0999999999999996</v>
      </c>
      <c r="K40" s="383" t="s">
        <v>250</v>
      </c>
      <c r="L40" s="384">
        <v>61179000</v>
      </c>
      <c r="N40" s="385" t="str">
        <f t="shared" si="1"/>
        <v>SIOB260205005BLACK JACK 400黑色L HUSKY</v>
      </c>
      <c r="O40" s="385">
        <f>SUMIF(PKL!O:O,INV!N40,PKL!I:I)</f>
        <v>30</v>
      </c>
    </row>
    <row r="41" spans="1:15" s="385" customFormat="1" ht="69" customHeight="1">
      <c r="A41" s="376" t="s">
        <v>272</v>
      </c>
      <c r="B41" s="377" t="s">
        <v>273</v>
      </c>
      <c r="C41" s="378">
        <v>1051120</v>
      </c>
      <c r="D41" s="379" t="s">
        <v>47</v>
      </c>
      <c r="E41" s="380" t="s">
        <v>59</v>
      </c>
      <c r="F41" s="381" t="s">
        <v>57</v>
      </c>
      <c r="G41" s="378">
        <v>50</v>
      </c>
      <c r="H41" s="378" t="s">
        <v>50</v>
      </c>
      <c r="I41" s="379">
        <v>0.17</v>
      </c>
      <c r="J41" s="382">
        <f t="shared" si="0"/>
        <v>8.5</v>
      </c>
      <c r="K41" s="383" t="s">
        <v>251</v>
      </c>
      <c r="L41" s="384">
        <v>61179000</v>
      </c>
      <c r="N41" s="385" t="str">
        <f t="shared" si="1"/>
        <v>SIOB260205005BLACK JACK 400黑色XL HUSKY</v>
      </c>
      <c r="O41" s="385">
        <f>SUMIF(PKL!O:O,INV!N41,PKL!I:I)</f>
        <v>50</v>
      </c>
    </row>
    <row r="42" spans="1:15" s="385" customFormat="1" ht="69" customHeight="1">
      <c r="A42" s="376" t="s">
        <v>272</v>
      </c>
      <c r="B42" s="377" t="s">
        <v>273</v>
      </c>
      <c r="C42" s="378">
        <v>1051120</v>
      </c>
      <c r="D42" s="379" t="s">
        <v>47</v>
      </c>
      <c r="E42" s="380" t="s">
        <v>59</v>
      </c>
      <c r="F42" s="381" t="s">
        <v>58</v>
      </c>
      <c r="G42" s="378">
        <v>85</v>
      </c>
      <c r="H42" s="378" t="s">
        <v>50</v>
      </c>
      <c r="I42" s="379">
        <v>0.17</v>
      </c>
      <c r="J42" s="382">
        <f t="shared" si="0"/>
        <v>14.45</v>
      </c>
      <c r="K42" s="383" t="s">
        <v>245</v>
      </c>
      <c r="L42" s="384">
        <v>61179000</v>
      </c>
      <c r="N42" s="385" t="str">
        <f t="shared" si="1"/>
        <v>SIOB260205005BLACK JACK 400黑色XXL HUSKY</v>
      </c>
      <c r="O42" s="385">
        <f>SUMIF(PKL!O:O,INV!N42,PKL!I:I)</f>
        <v>85</v>
      </c>
    </row>
    <row r="43" spans="1:15" s="385" customFormat="1" ht="69" customHeight="1">
      <c r="A43" s="376" t="s">
        <v>272</v>
      </c>
      <c r="B43" s="377" t="s">
        <v>273</v>
      </c>
      <c r="C43" s="378">
        <v>1051120</v>
      </c>
      <c r="D43" s="379" t="s">
        <v>47</v>
      </c>
      <c r="E43" s="380" t="s">
        <v>275</v>
      </c>
      <c r="F43" s="381" t="s">
        <v>49</v>
      </c>
      <c r="G43" s="378">
        <v>951</v>
      </c>
      <c r="H43" s="378" t="s">
        <v>50</v>
      </c>
      <c r="I43" s="379">
        <v>0.17</v>
      </c>
      <c r="J43" s="382">
        <f t="shared" si="0"/>
        <v>161.66999999999999</v>
      </c>
      <c r="K43" s="424" t="s">
        <v>285</v>
      </c>
      <c r="L43" s="384">
        <v>61179000</v>
      </c>
      <c r="N43" s="385" t="str">
        <f t="shared" si="1"/>
        <v>SIOB260205005BLUE TANGO 884克莱恩蓝XS</v>
      </c>
      <c r="O43" s="385">
        <f>SUMIF(PKL!O:O,INV!N43,PKL!I:I)</f>
        <v>951</v>
      </c>
    </row>
    <row r="44" spans="1:15" s="385" customFormat="1" ht="69" customHeight="1">
      <c r="A44" s="376" t="s">
        <v>272</v>
      </c>
      <c r="B44" s="377" t="s">
        <v>273</v>
      </c>
      <c r="C44" s="378">
        <v>1051120</v>
      </c>
      <c r="D44" s="379" t="s">
        <v>47</v>
      </c>
      <c r="E44" s="380" t="s">
        <v>275</v>
      </c>
      <c r="F44" s="381" t="s">
        <v>51</v>
      </c>
      <c r="G44" s="378">
        <v>425</v>
      </c>
      <c r="H44" s="378" t="s">
        <v>50</v>
      </c>
      <c r="I44" s="379">
        <v>0.17</v>
      </c>
      <c r="J44" s="382">
        <f t="shared" si="0"/>
        <v>72.25</v>
      </c>
      <c r="K44" s="424" t="s">
        <v>286</v>
      </c>
      <c r="L44" s="384">
        <v>61179000</v>
      </c>
      <c r="N44" s="385" t="str">
        <f t="shared" si="1"/>
        <v>SIOB260205005BLUE TANGO 884克莱恩蓝S</v>
      </c>
      <c r="O44" s="385">
        <f>SUMIF(PKL!O:O,INV!N44,PKL!I:I)</f>
        <v>425</v>
      </c>
    </row>
    <row r="45" spans="1:15" s="385" customFormat="1" ht="69" customHeight="1">
      <c r="A45" s="376" t="s">
        <v>272</v>
      </c>
      <c r="B45" s="377" t="s">
        <v>273</v>
      </c>
      <c r="C45" s="378">
        <v>1051120</v>
      </c>
      <c r="D45" s="379" t="s">
        <v>47</v>
      </c>
      <c r="E45" s="380" t="s">
        <v>275</v>
      </c>
      <c r="F45" s="381" t="s">
        <v>52</v>
      </c>
      <c r="G45" s="378">
        <v>442</v>
      </c>
      <c r="H45" s="378" t="s">
        <v>50</v>
      </c>
      <c r="I45" s="379">
        <v>0.17</v>
      </c>
      <c r="J45" s="382">
        <f t="shared" si="0"/>
        <v>75.14</v>
      </c>
      <c r="K45" s="424" t="s">
        <v>287</v>
      </c>
      <c r="L45" s="384">
        <v>61179000</v>
      </c>
      <c r="N45" s="385" t="str">
        <f t="shared" si="1"/>
        <v>SIOB260205005BLUE TANGO 884克莱恩蓝M</v>
      </c>
      <c r="O45" s="385">
        <f>SUMIF(PKL!O:O,INV!N45,PKL!I:I)</f>
        <v>442</v>
      </c>
    </row>
    <row r="46" spans="1:15" s="385" customFormat="1" ht="69" customHeight="1">
      <c r="A46" s="376" t="s">
        <v>272</v>
      </c>
      <c r="B46" s="377" t="s">
        <v>273</v>
      </c>
      <c r="C46" s="378">
        <v>1051120</v>
      </c>
      <c r="D46" s="379" t="s">
        <v>47</v>
      </c>
      <c r="E46" s="380" t="s">
        <v>275</v>
      </c>
      <c r="F46" s="381" t="s">
        <v>54</v>
      </c>
      <c r="G46" s="378">
        <v>967</v>
      </c>
      <c r="H46" s="378" t="s">
        <v>50</v>
      </c>
      <c r="I46" s="379">
        <v>0.17</v>
      </c>
      <c r="J46" s="382">
        <f t="shared" si="0"/>
        <v>164.39</v>
      </c>
      <c r="K46" s="424" t="s">
        <v>288</v>
      </c>
      <c r="L46" s="384">
        <v>61179000</v>
      </c>
      <c r="N46" s="385" t="str">
        <f t="shared" si="1"/>
        <v>SIOB260205005BLUE TANGO 884克莱恩蓝L</v>
      </c>
      <c r="O46" s="385">
        <f>SUMIF(PKL!O:O,INV!N46,PKL!I:I)</f>
        <v>967</v>
      </c>
    </row>
    <row r="47" spans="1:15" s="385" customFormat="1" ht="69" customHeight="1">
      <c r="A47" s="376" t="s">
        <v>272</v>
      </c>
      <c r="B47" s="377" t="s">
        <v>273</v>
      </c>
      <c r="C47" s="378">
        <v>1051120</v>
      </c>
      <c r="D47" s="379" t="s">
        <v>47</v>
      </c>
      <c r="E47" s="380" t="s">
        <v>275</v>
      </c>
      <c r="F47" s="381" t="s">
        <v>53</v>
      </c>
      <c r="G47" s="378">
        <v>398</v>
      </c>
      <c r="H47" s="378" t="s">
        <v>50</v>
      </c>
      <c r="I47" s="379">
        <v>0.17</v>
      </c>
      <c r="J47" s="382">
        <f t="shared" si="0"/>
        <v>67.66</v>
      </c>
      <c r="K47" s="424" t="s">
        <v>289</v>
      </c>
      <c r="L47" s="384">
        <v>61179000</v>
      </c>
      <c r="N47" s="385" t="str">
        <f t="shared" si="1"/>
        <v>SIOB260205005BLUE TANGO 884克莱恩蓝XL</v>
      </c>
      <c r="O47" s="385">
        <f>SUMIF(PKL!O:O,INV!N47,PKL!I:I)</f>
        <v>398</v>
      </c>
    </row>
    <row r="48" spans="1:15" s="385" customFormat="1" ht="69" customHeight="1">
      <c r="A48" s="376" t="s">
        <v>272</v>
      </c>
      <c r="B48" s="377" t="s">
        <v>273</v>
      </c>
      <c r="C48" s="378">
        <v>1051120</v>
      </c>
      <c r="D48" s="379" t="s">
        <v>47</v>
      </c>
      <c r="E48" s="380" t="s">
        <v>275</v>
      </c>
      <c r="F48" s="381" t="s">
        <v>55</v>
      </c>
      <c r="G48" s="378">
        <v>678</v>
      </c>
      <c r="H48" s="378" t="s">
        <v>50</v>
      </c>
      <c r="I48" s="379">
        <v>0.17</v>
      </c>
      <c r="J48" s="382">
        <f t="shared" si="0"/>
        <v>115.26</v>
      </c>
      <c r="K48" s="424" t="s">
        <v>290</v>
      </c>
      <c r="L48" s="384">
        <v>61179000</v>
      </c>
      <c r="N48" s="385" t="str">
        <f t="shared" si="1"/>
        <v>SIOB260205005BLUE TANGO 884克莱恩蓝XXL</v>
      </c>
      <c r="O48" s="385">
        <f>SUMIF(PKL!O:O,INV!N48,PKL!I:I)</f>
        <v>678</v>
      </c>
    </row>
    <row r="49" spans="1:15" s="385" customFormat="1" ht="69" customHeight="1">
      <c r="A49" s="376" t="s">
        <v>272</v>
      </c>
      <c r="B49" s="377" t="s">
        <v>273</v>
      </c>
      <c r="C49" s="378">
        <v>1051120</v>
      </c>
      <c r="D49" s="379" t="s">
        <v>47</v>
      </c>
      <c r="E49" s="380" t="s">
        <v>275</v>
      </c>
      <c r="F49" s="381" t="s">
        <v>56</v>
      </c>
      <c r="G49" s="378">
        <v>130</v>
      </c>
      <c r="H49" s="378" t="s">
        <v>50</v>
      </c>
      <c r="I49" s="379">
        <v>0.17</v>
      </c>
      <c r="J49" s="382">
        <f t="shared" si="0"/>
        <v>22.1</v>
      </c>
      <c r="K49" s="424" t="s">
        <v>291</v>
      </c>
      <c r="L49" s="384">
        <v>61179000</v>
      </c>
      <c r="N49" s="385" t="str">
        <f t="shared" si="1"/>
        <v>SIOB260205005BLUE TANGO 884克莱恩蓝L HUSKY</v>
      </c>
      <c r="O49" s="385">
        <f>SUMIF(PKL!O:O,INV!N49,PKL!I:I)</f>
        <v>130</v>
      </c>
    </row>
    <row r="50" spans="1:15" s="385" customFormat="1" ht="69" customHeight="1">
      <c r="A50" s="376" t="s">
        <v>272</v>
      </c>
      <c r="B50" s="377" t="s">
        <v>273</v>
      </c>
      <c r="C50" s="378">
        <v>1051120</v>
      </c>
      <c r="D50" s="379" t="s">
        <v>47</v>
      </c>
      <c r="E50" s="380" t="s">
        <v>275</v>
      </c>
      <c r="F50" s="381" t="s">
        <v>57</v>
      </c>
      <c r="G50" s="378">
        <v>401</v>
      </c>
      <c r="H50" s="378" t="s">
        <v>50</v>
      </c>
      <c r="I50" s="379">
        <v>0.17</v>
      </c>
      <c r="J50" s="382">
        <f t="shared" si="0"/>
        <v>68.17</v>
      </c>
      <c r="K50" s="424" t="s">
        <v>292</v>
      </c>
      <c r="L50" s="384">
        <v>61179000</v>
      </c>
      <c r="N50" s="385" t="str">
        <f t="shared" si="1"/>
        <v>SIOB260205005BLUE TANGO 884克莱恩蓝XL HUSKY</v>
      </c>
      <c r="O50" s="385">
        <f>SUMIF(PKL!O:O,INV!N50,PKL!I:I)</f>
        <v>401</v>
      </c>
    </row>
    <row r="51" spans="1:15" s="385" customFormat="1" ht="69" customHeight="1">
      <c r="A51" s="376" t="s">
        <v>272</v>
      </c>
      <c r="B51" s="377" t="s">
        <v>273</v>
      </c>
      <c r="C51" s="378">
        <v>1051120</v>
      </c>
      <c r="D51" s="379" t="s">
        <v>47</v>
      </c>
      <c r="E51" s="380" t="s">
        <v>275</v>
      </c>
      <c r="F51" s="381" t="s">
        <v>58</v>
      </c>
      <c r="G51" s="378">
        <v>564</v>
      </c>
      <c r="H51" s="378" t="s">
        <v>50</v>
      </c>
      <c r="I51" s="379">
        <v>0.17</v>
      </c>
      <c r="J51" s="382">
        <f t="shared" si="0"/>
        <v>95.88</v>
      </c>
      <c r="K51" s="424" t="s">
        <v>293</v>
      </c>
      <c r="L51" s="384">
        <v>61179000</v>
      </c>
      <c r="N51" s="385" t="str">
        <f t="shared" si="1"/>
        <v>SIOB260205005BLUE TANGO 884克莱恩蓝XXL HUSKY</v>
      </c>
      <c r="O51" s="385">
        <f>SUMIF(PKL!O:O,INV!N51,PKL!I:I)</f>
        <v>564</v>
      </c>
    </row>
    <row r="52" spans="1:15" s="385" customFormat="1" ht="69" customHeight="1">
      <c r="A52" s="376" t="s">
        <v>272</v>
      </c>
      <c r="B52" s="377" t="s">
        <v>273</v>
      </c>
      <c r="C52" s="378">
        <v>1051120</v>
      </c>
      <c r="D52" s="379" t="s">
        <v>47</v>
      </c>
      <c r="E52" s="380" t="s">
        <v>276</v>
      </c>
      <c r="F52" s="381" t="s">
        <v>49</v>
      </c>
      <c r="G52" s="378">
        <v>388</v>
      </c>
      <c r="H52" s="378" t="s">
        <v>50</v>
      </c>
      <c r="I52" s="379">
        <v>0.17</v>
      </c>
      <c r="J52" s="382">
        <f t="shared" si="0"/>
        <v>65.959999999999994</v>
      </c>
      <c r="K52" s="424" t="s">
        <v>305</v>
      </c>
      <c r="L52" s="384">
        <v>61179000</v>
      </c>
      <c r="N52" s="385" t="str">
        <f t="shared" si="1"/>
        <v>SIOB260205005B25 FAUX HEATHER GREY (B25 PSD)B25单染涤XS</v>
      </c>
      <c r="O52" s="385">
        <f>SUMIF(PKL!O:O,INV!N52,PKL!I:I)</f>
        <v>388</v>
      </c>
    </row>
    <row r="53" spans="1:15" s="385" customFormat="1" ht="69" customHeight="1">
      <c r="A53" s="376" t="s">
        <v>272</v>
      </c>
      <c r="B53" s="377" t="s">
        <v>273</v>
      </c>
      <c r="C53" s="378">
        <v>1051120</v>
      </c>
      <c r="D53" s="379" t="s">
        <v>47</v>
      </c>
      <c r="E53" s="380" t="s">
        <v>276</v>
      </c>
      <c r="F53" s="381" t="s">
        <v>51</v>
      </c>
      <c r="G53" s="378">
        <v>883</v>
      </c>
      <c r="H53" s="378" t="s">
        <v>50</v>
      </c>
      <c r="I53" s="379">
        <v>0.17</v>
      </c>
      <c r="J53" s="382">
        <f t="shared" si="0"/>
        <v>150.11000000000001</v>
      </c>
      <c r="K53" s="424" t="s">
        <v>306</v>
      </c>
      <c r="L53" s="384">
        <v>61179000</v>
      </c>
      <c r="N53" s="385" t="str">
        <f t="shared" si="1"/>
        <v>SIOB260205005B25 FAUX HEATHER GREY (B25 PSD)B25单染涤S</v>
      </c>
      <c r="O53" s="385">
        <f>SUMIF(PKL!O:O,INV!N53,PKL!I:I)</f>
        <v>883</v>
      </c>
    </row>
    <row r="54" spans="1:15" s="385" customFormat="1" ht="69" customHeight="1">
      <c r="A54" s="376" t="s">
        <v>272</v>
      </c>
      <c r="B54" s="377" t="s">
        <v>273</v>
      </c>
      <c r="C54" s="378">
        <v>1051120</v>
      </c>
      <c r="D54" s="379" t="s">
        <v>47</v>
      </c>
      <c r="E54" s="380" t="s">
        <v>276</v>
      </c>
      <c r="F54" s="381" t="s">
        <v>52</v>
      </c>
      <c r="G54" s="378">
        <v>952</v>
      </c>
      <c r="H54" s="378" t="s">
        <v>50</v>
      </c>
      <c r="I54" s="379">
        <v>0.17</v>
      </c>
      <c r="J54" s="382">
        <f t="shared" si="0"/>
        <v>161.84</v>
      </c>
      <c r="K54" s="424" t="s">
        <v>307</v>
      </c>
      <c r="L54" s="384">
        <v>61179000</v>
      </c>
      <c r="N54" s="385" t="str">
        <f t="shared" si="1"/>
        <v>SIOB260205005B25 FAUX HEATHER GREY (B25 PSD)B25单染涤M</v>
      </c>
      <c r="O54" s="385">
        <f>SUMIF(PKL!O:O,INV!N54,PKL!I:I)</f>
        <v>952</v>
      </c>
    </row>
    <row r="55" spans="1:15" s="385" customFormat="1" ht="69" customHeight="1">
      <c r="A55" s="376" t="s">
        <v>272</v>
      </c>
      <c r="B55" s="377" t="s">
        <v>273</v>
      </c>
      <c r="C55" s="378">
        <v>1051120</v>
      </c>
      <c r="D55" s="379" t="s">
        <v>47</v>
      </c>
      <c r="E55" s="380" t="s">
        <v>276</v>
      </c>
      <c r="F55" s="381" t="s">
        <v>54</v>
      </c>
      <c r="G55" s="378">
        <v>1208</v>
      </c>
      <c r="H55" s="378" t="s">
        <v>50</v>
      </c>
      <c r="I55" s="379">
        <v>0.17</v>
      </c>
      <c r="J55" s="382">
        <f t="shared" si="0"/>
        <v>205.36</v>
      </c>
      <c r="K55" s="424" t="s">
        <v>308</v>
      </c>
      <c r="L55" s="384">
        <v>61179000</v>
      </c>
      <c r="N55" s="385" t="str">
        <f t="shared" si="1"/>
        <v>SIOB260205005B25 FAUX HEATHER GREY (B25 PSD)B25单染涤L</v>
      </c>
      <c r="O55" s="385">
        <f>SUMIF(PKL!O:O,INV!N55,PKL!I:I)</f>
        <v>1208</v>
      </c>
    </row>
    <row r="56" spans="1:15" s="385" customFormat="1" ht="69" customHeight="1">
      <c r="A56" s="376" t="s">
        <v>272</v>
      </c>
      <c r="B56" s="377" t="s">
        <v>273</v>
      </c>
      <c r="C56" s="378">
        <v>1051120</v>
      </c>
      <c r="D56" s="379" t="s">
        <v>47</v>
      </c>
      <c r="E56" s="380" t="s">
        <v>276</v>
      </c>
      <c r="F56" s="381" t="s">
        <v>53</v>
      </c>
      <c r="G56" s="378">
        <v>985</v>
      </c>
      <c r="H56" s="378" t="s">
        <v>50</v>
      </c>
      <c r="I56" s="379">
        <v>0.17</v>
      </c>
      <c r="J56" s="382">
        <f t="shared" si="0"/>
        <v>167.45</v>
      </c>
      <c r="K56" s="424" t="s">
        <v>309</v>
      </c>
      <c r="L56" s="384">
        <v>61179000</v>
      </c>
      <c r="N56" s="385" t="str">
        <f t="shared" si="1"/>
        <v>SIOB260205005B25 FAUX HEATHER GREY (B25 PSD)B25单染涤XL</v>
      </c>
      <c r="O56" s="385">
        <f>SUMIF(PKL!O:O,INV!N56,PKL!I:I)</f>
        <v>985</v>
      </c>
    </row>
    <row r="57" spans="1:15" s="385" customFormat="1" ht="69" customHeight="1">
      <c r="A57" s="376" t="s">
        <v>272</v>
      </c>
      <c r="B57" s="377" t="s">
        <v>273</v>
      </c>
      <c r="C57" s="378">
        <v>1051120</v>
      </c>
      <c r="D57" s="379" t="s">
        <v>47</v>
      </c>
      <c r="E57" s="380" t="s">
        <v>276</v>
      </c>
      <c r="F57" s="381" t="s">
        <v>55</v>
      </c>
      <c r="G57" s="378">
        <v>259</v>
      </c>
      <c r="H57" s="378" t="s">
        <v>50</v>
      </c>
      <c r="I57" s="379">
        <v>0.17</v>
      </c>
      <c r="J57" s="382">
        <f t="shared" si="0"/>
        <v>44.03</v>
      </c>
      <c r="K57" s="424" t="s">
        <v>310</v>
      </c>
      <c r="L57" s="384">
        <v>61179000</v>
      </c>
      <c r="N57" s="385" t="str">
        <f t="shared" si="1"/>
        <v>SIOB260205005B25 FAUX HEATHER GREY (B25 PSD)B25单染涤XXL</v>
      </c>
      <c r="O57" s="385">
        <f>SUMIF(PKL!O:O,INV!N57,PKL!I:I)</f>
        <v>259</v>
      </c>
    </row>
    <row r="58" spans="1:15" s="385" customFormat="1" ht="69" customHeight="1">
      <c r="A58" s="376" t="s">
        <v>272</v>
      </c>
      <c r="B58" s="377" t="s">
        <v>273</v>
      </c>
      <c r="C58" s="378">
        <v>1051120</v>
      </c>
      <c r="D58" s="379" t="s">
        <v>47</v>
      </c>
      <c r="E58" s="380" t="s">
        <v>276</v>
      </c>
      <c r="F58" s="381" t="s">
        <v>56</v>
      </c>
      <c r="G58" s="378">
        <v>25</v>
      </c>
      <c r="H58" s="378" t="s">
        <v>50</v>
      </c>
      <c r="I58" s="379">
        <v>0.17</v>
      </c>
      <c r="J58" s="382">
        <f t="shared" si="0"/>
        <v>4.25</v>
      </c>
      <c r="K58" s="424" t="s">
        <v>311</v>
      </c>
      <c r="L58" s="384">
        <v>61179000</v>
      </c>
      <c r="N58" s="385" t="str">
        <f t="shared" si="1"/>
        <v>SIOB260205005B25 FAUX HEATHER GREY (B25 PSD)B25单染涤L HUSKY</v>
      </c>
      <c r="O58" s="385">
        <f>SUMIF(PKL!O:O,INV!N58,PKL!I:I)</f>
        <v>25</v>
      </c>
    </row>
    <row r="59" spans="1:15" s="385" customFormat="1" ht="69" customHeight="1">
      <c r="A59" s="376" t="s">
        <v>272</v>
      </c>
      <c r="B59" s="377" t="s">
        <v>273</v>
      </c>
      <c r="C59" s="378">
        <v>1051120</v>
      </c>
      <c r="D59" s="379" t="s">
        <v>47</v>
      </c>
      <c r="E59" s="380" t="s">
        <v>276</v>
      </c>
      <c r="F59" s="381" t="s">
        <v>57</v>
      </c>
      <c r="G59" s="378">
        <v>35</v>
      </c>
      <c r="H59" s="378" t="s">
        <v>50</v>
      </c>
      <c r="I59" s="379">
        <v>0.17</v>
      </c>
      <c r="J59" s="382">
        <f t="shared" si="0"/>
        <v>5.95</v>
      </c>
      <c r="K59" s="424" t="s">
        <v>312</v>
      </c>
      <c r="L59" s="384">
        <v>61179000</v>
      </c>
      <c r="N59" s="385" t="str">
        <f t="shared" si="1"/>
        <v>SIOB260205005B25 FAUX HEATHER GREY (B25 PSD)B25单染涤XL HUSKY</v>
      </c>
      <c r="O59" s="385">
        <f>SUMIF(PKL!O:O,INV!N59,PKL!I:I)</f>
        <v>35</v>
      </c>
    </row>
    <row r="60" spans="1:15" s="385" customFormat="1" ht="69" customHeight="1">
      <c r="A60" s="376" t="s">
        <v>272</v>
      </c>
      <c r="B60" s="377" t="s">
        <v>273</v>
      </c>
      <c r="C60" s="378">
        <v>1051120</v>
      </c>
      <c r="D60" s="379" t="s">
        <v>47</v>
      </c>
      <c r="E60" s="380" t="s">
        <v>276</v>
      </c>
      <c r="F60" s="381" t="s">
        <v>58</v>
      </c>
      <c r="G60" s="378">
        <v>65</v>
      </c>
      <c r="H60" s="378" t="s">
        <v>50</v>
      </c>
      <c r="I60" s="379">
        <v>0.17</v>
      </c>
      <c r="J60" s="382">
        <f t="shared" si="0"/>
        <v>11.05</v>
      </c>
      <c r="K60" s="424" t="s">
        <v>304</v>
      </c>
      <c r="L60" s="384">
        <v>61179000</v>
      </c>
      <c r="N60" s="385" t="str">
        <f t="shared" si="1"/>
        <v>SIOB260205005B25 FAUX HEATHER GREY (B25 PSD)B25单染涤XXL HUSKY</v>
      </c>
      <c r="O60" s="385">
        <f>SUMIF(PKL!O:O,INV!N60,PKL!I:I)</f>
        <v>65</v>
      </c>
    </row>
    <row r="61" spans="1:15" s="385" customFormat="1" ht="69" customHeight="1">
      <c r="A61" s="376" t="s">
        <v>272</v>
      </c>
      <c r="B61" s="377" t="s">
        <v>273</v>
      </c>
      <c r="C61" s="378">
        <v>1051120</v>
      </c>
      <c r="D61" s="379" t="s">
        <v>47</v>
      </c>
      <c r="E61" s="380" t="s">
        <v>277</v>
      </c>
      <c r="F61" s="381" t="s">
        <v>49</v>
      </c>
      <c r="G61" s="378">
        <v>1727</v>
      </c>
      <c r="H61" s="378" t="s">
        <v>50</v>
      </c>
      <c r="I61" s="379">
        <v>0.17</v>
      </c>
      <c r="J61" s="382">
        <f t="shared" si="0"/>
        <v>293.58999999999997</v>
      </c>
      <c r="K61" s="424" t="s">
        <v>295</v>
      </c>
      <c r="L61" s="384">
        <v>61179000</v>
      </c>
      <c r="N61" s="385" t="str">
        <f t="shared" ref="N61:N78" si="2">A61&amp;E61&amp;F61</f>
        <v>SIOB260205005WINE STAIN 853酒红XS</v>
      </c>
      <c r="O61" s="385">
        <f>SUMIF(PKL!O:O,INV!N61,PKL!I:I)</f>
        <v>1727</v>
      </c>
    </row>
    <row r="62" spans="1:15" s="385" customFormat="1" ht="69" customHeight="1">
      <c r="A62" s="376" t="s">
        <v>272</v>
      </c>
      <c r="B62" s="377" t="s">
        <v>273</v>
      </c>
      <c r="C62" s="378">
        <v>1051120</v>
      </c>
      <c r="D62" s="379" t="s">
        <v>47</v>
      </c>
      <c r="E62" s="380" t="s">
        <v>277</v>
      </c>
      <c r="F62" s="381" t="s">
        <v>51</v>
      </c>
      <c r="G62" s="378">
        <v>1621</v>
      </c>
      <c r="H62" s="378" t="s">
        <v>50</v>
      </c>
      <c r="I62" s="379">
        <v>0.17</v>
      </c>
      <c r="J62" s="382">
        <f t="shared" si="0"/>
        <v>275.57</v>
      </c>
      <c r="K62" s="424" t="s">
        <v>296</v>
      </c>
      <c r="L62" s="384">
        <v>61179000</v>
      </c>
      <c r="N62" s="385" t="str">
        <f t="shared" si="2"/>
        <v>SIOB260205005WINE STAIN 853酒红S</v>
      </c>
      <c r="O62" s="385">
        <f>SUMIF(PKL!O:O,INV!N62,PKL!I:I)</f>
        <v>1621</v>
      </c>
    </row>
    <row r="63" spans="1:15" s="385" customFormat="1" ht="69" customHeight="1">
      <c r="A63" s="376" t="s">
        <v>272</v>
      </c>
      <c r="B63" s="377" t="s">
        <v>273</v>
      </c>
      <c r="C63" s="378">
        <v>1051120</v>
      </c>
      <c r="D63" s="379" t="s">
        <v>47</v>
      </c>
      <c r="E63" s="380" t="s">
        <v>277</v>
      </c>
      <c r="F63" s="381" t="s">
        <v>52</v>
      </c>
      <c r="G63" s="378">
        <v>1200</v>
      </c>
      <c r="H63" s="378" t="s">
        <v>50</v>
      </c>
      <c r="I63" s="379">
        <v>0.17</v>
      </c>
      <c r="J63" s="382">
        <f t="shared" si="0"/>
        <v>204</v>
      </c>
      <c r="K63" s="424" t="s">
        <v>297</v>
      </c>
      <c r="L63" s="384">
        <v>61179000</v>
      </c>
      <c r="N63" s="385" t="str">
        <f t="shared" si="2"/>
        <v>SIOB260205005WINE STAIN 853酒红M</v>
      </c>
      <c r="O63" s="385">
        <f>SUMIF(PKL!O:O,INV!N63,PKL!I:I)</f>
        <v>1200</v>
      </c>
    </row>
    <row r="64" spans="1:15" s="385" customFormat="1" ht="69" customHeight="1">
      <c r="A64" s="376" t="s">
        <v>272</v>
      </c>
      <c r="B64" s="377" t="s">
        <v>273</v>
      </c>
      <c r="C64" s="378">
        <v>1051120</v>
      </c>
      <c r="D64" s="379" t="s">
        <v>47</v>
      </c>
      <c r="E64" s="380" t="s">
        <v>277</v>
      </c>
      <c r="F64" s="381" t="s">
        <v>54</v>
      </c>
      <c r="G64" s="378">
        <v>1200</v>
      </c>
      <c r="H64" s="378" t="s">
        <v>50</v>
      </c>
      <c r="I64" s="379">
        <v>0.17</v>
      </c>
      <c r="J64" s="382">
        <f t="shared" si="0"/>
        <v>204</v>
      </c>
      <c r="K64" s="424" t="s">
        <v>298</v>
      </c>
      <c r="L64" s="384">
        <v>61179000</v>
      </c>
      <c r="N64" s="385" t="str">
        <f t="shared" si="2"/>
        <v>SIOB260205005WINE STAIN 853酒红L</v>
      </c>
      <c r="O64" s="385">
        <f>SUMIF(PKL!O:O,INV!N64,PKL!I:I)</f>
        <v>1200</v>
      </c>
    </row>
    <row r="65" spans="1:15" s="385" customFormat="1" ht="69" customHeight="1">
      <c r="A65" s="376" t="s">
        <v>272</v>
      </c>
      <c r="B65" s="377" t="s">
        <v>273</v>
      </c>
      <c r="C65" s="378">
        <v>1051120</v>
      </c>
      <c r="D65" s="379" t="s">
        <v>47</v>
      </c>
      <c r="E65" s="380" t="s">
        <v>277</v>
      </c>
      <c r="F65" s="381" t="s">
        <v>53</v>
      </c>
      <c r="G65" s="378">
        <v>1145</v>
      </c>
      <c r="H65" s="378" t="s">
        <v>50</v>
      </c>
      <c r="I65" s="379">
        <v>0.17</v>
      </c>
      <c r="J65" s="382">
        <f t="shared" si="0"/>
        <v>194.65</v>
      </c>
      <c r="K65" s="424" t="s">
        <v>299</v>
      </c>
      <c r="L65" s="384">
        <v>61179000</v>
      </c>
      <c r="N65" s="385" t="str">
        <f t="shared" si="2"/>
        <v>SIOB260205005WINE STAIN 853酒红XL</v>
      </c>
      <c r="O65" s="385">
        <f>SUMIF(PKL!O:O,INV!N65,PKL!I:I)</f>
        <v>1145</v>
      </c>
    </row>
    <row r="66" spans="1:15" s="385" customFormat="1" ht="69" customHeight="1">
      <c r="A66" s="376" t="s">
        <v>272</v>
      </c>
      <c r="B66" s="377" t="s">
        <v>273</v>
      </c>
      <c r="C66" s="378">
        <v>1051120</v>
      </c>
      <c r="D66" s="379" t="s">
        <v>47</v>
      </c>
      <c r="E66" s="380" t="s">
        <v>277</v>
      </c>
      <c r="F66" s="381" t="s">
        <v>55</v>
      </c>
      <c r="G66" s="378">
        <v>457</v>
      </c>
      <c r="H66" s="378" t="s">
        <v>50</v>
      </c>
      <c r="I66" s="379">
        <v>0.17</v>
      </c>
      <c r="J66" s="382">
        <f t="shared" si="0"/>
        <v>77.69</v>
      </c>
      <c r="K66" s="424" t="s">
        <v>300</v>
      </c>
      <c r="L66" s="384">
        <v>61179000</v>
      </c>
      <c r="N66" s="385" t="str">
        <f t="shared" si="2"/>
        <v>SIOB260205005WINE STAIN 853酒红XXL</v>
      </c>
      <c r="O66" s="385">
        <f>SUMIF(PKL!O:O,INV!N66,PKL!I:I)</f>
        <v>457</v>
      </c>
    </row>
    <row r="67" spans="1:15" s="385" customFormat="1" ht="69" customHeight="1">
      <c r="A67" s="376" t="s">
        <v>272</v>
      </c>
      <c r="B67" s="377" t="s">
        <v>273</v>
      </c>
      <c r="C67" s="378">
        <v>1051120</v>
      </c>
      <c r="D67" s="379" t="s">
        <v>47</v>
      </c>
      <c r="E67" s="380" t="s">
        <v>277</v>
      </c>
      <c r="F67" s="381" t="s">
        <v>56</v>
      </c>
      <c r="G67" s="378">
        <v>255</v>
      </c>
      <c r="H67" s="378" t="s">
        <v>50</v>
      </c>
      <c r="I67" s="379">
        <v>0.17</v>
      </c>
      <c r="J67" s="382">
        <f t="shared" si="0"/>
        <v>43.35</v>
      </c>
      <c r="K67" s="424" t="s">
        <v>301</v>
      </c>
      <c r="L67" s="384">
        <v>61179000</v>
      </c>
      <c r="N67" s="385" t="str">
        <f t="shared" si="2"/>
        <v>SIOB260205005WINE STAIN 853酒红L HUSKY</v>
      </c>
      <c r="O67" s="385">
        <f>SUMIF(PKL!O:O,INV!N67,PKL!I:I)</f>
        <v>255</v>
      </c>
    </row>
    <row r="68" spans="1:15" s="385" customFormat="1" ht="69" customHeight="1">
      <c r="A68" s="376" t="s">
        <v>272</v>
      </c>
      <c r="B68" s="377" t="s">
        <v>273</v>
      </c>
      <c r="C68" s="378">
        <v>1051120</v>
      </c>
      <c r="D68" s="379" t="s">
        <v>47</v>
      </c>
      <c r="E68" s="380" t="s">
        <v>277</v>
      </c>
      <c r="F68" s="381" t="s">
        <v>57</v>
      </c>
      <c r="G68" s="378">
        <v>758</v>
      </c>
      <c r="H68" s="378" t="s">
        <v>50</v>
      </c>
      <c r="I68" s="379">
        <v>0.17</v>
      </c>
      <c r="J68" s="382">
        <f t="shared" si="0"/>
        <v>128.86000000000001</v>
      </c>
      <c r="K68" s="424" t="s">
        <v>302</v>
      </c>
      <c r="L68" s="384">
        <v>61179000</v>
      </c>
      <c r="N68" s="385" t="str">
        <f t="shared" si="2"/>
        <v>SIOB260205005WINE STAIN 853酒红XL HUSKY</v>
      </c>
      <c r="O68" s="385">
        <f>SUMIF(PKL!O:O,INV!N68,PKL!I:I)</f>
        <v>758</v>
      </c>
    </row>
    <row r="69" spans="1:15" s="385" customFormat="1" ht="69" customHeight="1">
      <c r="A69" s="376" t="s">
        <v>272</v>
      </c>
      <c r="B69" s="377" t="s">
        <v>273</v>
      </c>
      <c r="C69" s="378">
        <v>1051120</v>
      </c>
      <c r="D69" s="379" t="s">
        <v>47</v>
      </c>
      <c r="E69" s="380" t="s">
        <v>277</v>
      </c>
      <c r="F69" s="381" t="s">
        <v>58</v>
      </c>
      <c r="G69" s="378">
        <v>925</v>
      </c>
      <c r="H69" s="378" t="s">
        <v>50</v>
      </c>
      <c r="I69" s="379">
        <v>0.17</v>
      </c>
      <c r="J69" s="382">
        <f t="shared" si="0"/>
        <v>157.25</v>
      </c>
      <c r="K69" s="424" t="s">
        <v>303</v>
      </c>
      <c r="L69" s="384">
        <v>61179000</v>
      </c>
      <c r="N69" s="385" t="str">
        <f t="shared" si="2"/>
        <v>SIOB260205005WINE STAIN 853酒红XXL HUSKY</v>
      </c>
      <c r="O69" s="385">
        <f>SUMIF(PKL!O:O,INV!N69,PKL!I:I)</f>
        <v>925</v>
      </c>
    </row>
    <row r="70" spans="1:15" s="385" customFormat="1" ht="69" customHeight="1">
      <c r="A70" s="422" t="s">
        <v>279</v>
      </c>
      <c r="B70" s="423" t="s">
        <v>280</v>
      </c>
      <c r="C70" s="378">
        <v>1051120</v>
      </c>
      <c r="D70" s="379" t="s">
        <v>47</v>
      </c>
      <c r="E70" s="380" t="s">
        <v>275</v>
      </c>
      <c r="F70" s="381" t="s">
        <v>49</v>
      </c>
      <c r="G70" s="378">
        <v>611</v>
      </c>
      <c r="H70" s="378" t="s">
        <v>50</v>
      </c>
      <c r="I70" s="379">
        <v>0.17</v>
      </c>
      <c r="J70" s="382">
        <f t="shared" si="0"/>
        <v>103.87</v>
      </c>
      <c r="K70" s="424" t="s">
        <v>285</v>
      </c>
      <c r="L70" s="384">
        <v>61179000</v>
      </c>
      <c r="N70" s="385" t="str">
        <f t="shared" si="2"/>
        <v>SIOB260205012BLUE TANGO 884克莱恩蓝XS</v>
      </c>
      <c r="O70" s="385">
        <f>SUMIF(PKL!O:O,INV!N70,PKL!I:I)</f>
        <v>611</v>
      </c>
    </row>
    <row r="71" spans="1:15" s="385" customFormat="1" ht="69" customHeight="1">
      <c r="A71" s="422" t="s">
        <v>279</v>
      </c>
      <c r="B71" s="423" t="s">
        <v>280</v>
      </c>
      <c r="C71" s="378">
        <v>1051120</v>
      </c>
      <c r="D71" s="379" t="s">
        <v>47</v>
      </c>
      <c r="E71" s="380" t="s">
        <v>275</v>
      </c>
      <c r="F71" s="381" t="s">
        <v>51</v>
      </c>
      <c r="G71" s="378">
        <v>1105</v>
      </c>
      <c r="H71" s="378" t="s">
        <v>50</v>
      </c>
      <c r="I71" s="379">
        <v>0.17</v>
      </c>
      <c r="J71" s="382">
        <f t="shared" si="0"/>
        <v>187.85</v>
      </c>
      <c r="K71" s="424" t="s">
        <v>286</v>
      </c>
      <c r="L71" s="384">
        <v>61179000</v>
      </c>
      <c r="N71" s="385" t="str">
        <f t="shared" si="2"/>
        <v>SIOB260205012BLUE TANGO 884克莱恩蓝S</v>
      </c>
      <c r="O71" s="385">
        <f>SUMIF(PKL!O:O,INV!N71,PKL!I:I)</f>
        <v>1105</v>
      </c>
    </row>
    <row r="72" spans="1:15" s="385" customFormat="1" ht="69" customHeight="1">
      <c r="A72" s="422" t="s">
        <v>279</v>
      </c>
      <c r="B72" s="423" t="s">
        <v>280</v>
      </c>
      <c r="C72" s="378">
        <v>1051120</v>
      </c>
      <c r="D72" s="379" t="s">
        <v>47</v>
      </c>
      <c r="E72" s="380" t="s">
        <v>275</v>
      </c>
      <c r="F72" s="381" t="s">
        <v>52</v>
      </c>
      <c r="G72" s="378">
        <v>953</v>
      </c>
      <c r="H72" s="378" t="s">
        <v>50</v>
      </c>
      <c r="I72" s="379">
        <v>0.17</v>
      </c>
      <c r="J72" s="382">
        <f t="shared" si="0"/>
        <v>162.01</v>
      </c>
      <c r="K72" s="424" t="s">
        <v>287</v>
      </c>
      <c r="L72" s="384">
        <v>61179000</v>
      </c>
      <c r="N72" s="385" t="str">
        <f t="shared" si="2"/>
        <v>SIOB260205012BLUE TANGO 884克莱恩蓝M</v>
      </c>
      <c r="O72" s="385">
        <f>SUMIF(PKL!O:O,INV!N72,PKL!I:I)</f>
        <v>953</v>
      </c>
    </row>
    <row r="73" spans="1:15" s="385" customFormat="1" ht="69" customHeight="1">
      <c r="A73" s="422" t="s">
        <v>279</v>
      </c>
      <c r="B73" s="423" t="s">
        <v>280</v>
      </c>
      <c r="C73" s="378">
        <v>1051120</v>
      </c>
      <c r="D73" s="379" t="s">
        <v>47</v>
      </c>
      <c r="E73" s="380" t="s">
        <v>275</v>
      </c>
      <c r="F73" s="381" t="s">
        <v>54</v>
      </c>
      <c r="G73" s="378">
        <v>926</v>
      </c>
      <c r="H73" s="378" t="s">
        <v>50</v>
      </c>
      <c r="I73" s="379">
        <v>0.17</v>
      </c>
      <c r="J73" s="382">
        <f t="shared" si="0"/>
        <v>157.41999999999999</v>
      </c>
      <c r="K73" s="424" t="s">
        <v>288</v>
      </c>
      <c r="L73" s="384">
        <v>61179000</v>
      </c>
      <c r="N73" s="385" t="str">
        <f t="shared" si="2"/>
        <v>SIOB260205012BLUE TANGO 884克莱恩蓝L</v>
      </c>
      <c r="O73" s="385">
        <f>SUMIF(PKL!O:O,INV!N73,PKL!I:I)</f>
        <v>926</v>
      </c>
    </row>
    <row r="74" spans="1:15" s="385" customFormat="1" ht="69" customHeight="1">
      <c r="A74" s="422" t="s">
        <v>279</v>
      </c>
      <c r="B74" s="423" t="s">
        <v>280</v>
      </c>
      <c r="C74" s="378">
        <v>1051120</v>
      </c>
      <c r="D74" s="379" t="s">
        <v>47</v>
      </c>
      <c r="E74" s="380" t="s">
        <v>275</v>
      </c>
      <c r="F74" s="381" t="s">
        <v>53</v>
      </c>
      <c r="G74" s="378">
        <v>502</v>
      </c>
      <c r="H74" s="378" t="s">
        <v>50</v>
      </c>
      <c r="I74" s="379">
        <v>0.17</v>
      </c>
      <c r="J74" s="382">
        <f t="shared" si="0"/>
        <v>85.34</v>
      </c>
      <c r="K74" s="424" t="s">
        <v>289</v>
      </c>
      <c r="L74" s="384">
        <v>61179000</v>
      </c>
      <c r="N74" s="385" t="str">
        <f t="shared" si="2"/>
        <v>SIOB260205012BLUE TANGO 884克莱恩蓝XL</v>
      </c>
      <c r="O74" s="385">
        <f>SUMIF(PKL!O:O,INV!N74,PKL!I:I)</f>
        <v>502</v>
      </c>
    </row>
    <row r="75" spans="1:15" s="385" customFormat="1" ht="69" customHeight="1">
      <c r="A75" s="422" t="s">
        <v>279</v>
      </c>
      <c r="B75" s="423" t="s">
        <v>280</v>
      </c>
      <c r="C75" s="378">
        <v>1051120</v>
      </c>
      <c r="D75" s="379" t="s">
        <v>47</v>
      </c>
      <c r="E75" s="380" t="s">
        <v>275</v>
      </c>
      <c r="F75" s="381" t="s">
        <v>55</v>
      </c>
      <c r="G75" s="378">
        <v>265</v>
      </c>
      <c r="H75" s="378" t="s">
        <v>50</v>
      </c>
      <c r="I75" s="379">
        <v>0.17</v>
      </c>
      <c r="J75" s="382">
        <f t="shared" si="0"/>
        <v>45.05</v>
      </c>
      <c r="K75" s="424" t="s">
        <v>290</v>
      </c>
      <c r="L75" s="384">
        <v>61179000</v>
      </c>
      <c r="N75" s="385" t="str">
        <f t="shared" si="2"/>
        <v>SIOB260205012BLUE TANGO 884克莱恩蓝XXL</v>
      </c>
      <c r="O75" s="385">
        <f>SUMIF(PKL!O:O,INV!N75,PKL!I:I)</f>
        <v>265</v>
      </c>
    </row>
    <row r="76" spans="1:15" s="385" customFormat="1" ht="69" customHeight="1">
      <c r="A76" s="422" t="s">
        <v>279</v>
      </c>
      <c r="B76" s="423" t="s">
        <v>280</v>
      </c>
      <c r="C76" s="378">
        <v>1051120</v>
      </c>
      <c r="D76" s="379" t="s">
        <v>47</v>
      </c>
      <c r="E76" s="380" t="s">
        <v>275</v>
      </c>
      <c r="F76" s="381" t="s">
        <v>56</v>
      </c>
      <c r="G76" s="378">
        <v>80</v>
      </c>
      <c r="H76" s="378" t="s">
        <v>50</v>
      </c>
      <c r="I76" s="379">
        <v>0.17</v>
      </c>
      <c r="J76" s="382">
        <f t="shared" si="0"/>
        <v>13.6</v>
      </c>
      <c r="K76" s="424" t="s">
        <v>291</v>
      </c>
      <c r="L76" s="384">
        <v>61179000</v>
      </c>
      <c r="N76" s="385" t="str">
        <f t="shared" si="2"/>
        <v>SIOB260205012BLUE TANGO 884克莱恩蓝L HUSKY</v>
      </c>
      <c r="O76" s="385">
        <f>SUMIF(PKL!O:O,INV!N76,PKL!I:I)</f>
        <v>80</v>
      </c>
    </row>
    <row r="77" spans="1:15" s="385" customFormat="1" ht="69" customHeight="1">
      <c r="A77" s="422" t="s">
        <v>279</v>
      </c>
      <c r="B77" s="423" t="s">
        <v>280</v>
      </c>
      <c r="C77" s="378">
        <v>1051120</v>
      </c>
      <c r="D77" s="379" t="s">
        <v>47</v>
      </c>
      <c r="E77" s="380" t="s">
        <v>275</v>
      </c>
      <c r="F77" s="381" t="s">
        <v>57</v>
      </c>
      <c r="G77" s="378">
        <v>105</v>
      </c>
      <c r="H77" s="378" t="s">
        <v>50</v>
      </c>
      <c r="I77" s="379">
        <v>0.17</v>
      </c>
      <c r="J77" s="382">
        <f t="shared" si="0"/>
        <v>17.850000000000001</v>
      </c>
      <c r="K77" s="424" t="s">
        <v>292</v>
      </c>
      <c r="L77" s="384">
        <v>61179000</v>
      </c>
      <c r="N77" s="385" t="str">
        <f t="shared" si="2"/>
        <v>SIOB260205012BLUE TANGO 884克莱恩蓝XL HUSKY</v>
      </c>
      <c r="O77" s="385">
        <f>SUMIF(PKL!O:O,INV!N77,PKL!I:I)</f>
        <v>105</v>
      </c>
    </row>
    <row r="78" spans="1:15" s="385" customFormat="1" ht="69" customHeight="1">
      <c r="A78" s="422" t="s">
        <v>279</v>
      </c>
      <c r="B78" s="423" t="s">
        <v>280</v>
      </c>
      <c r="C78" s="378">
        <v>1051120</v>
      </c>
      <c r="D78" s="379" t="s">
        <v>47</v>
      </c>
      <c r="E78" s="380" t="s">
        <v>275</v>
      </c>
      <c r="F78" s="381" t="s">
        <v>58</v>
      </c>
      <c r="G78" s="378">
        <v>135</v>
      </c>
      <c r="H78" s="378" t="s">
        <v>50</v>
      </c>
      <c r="I78" s="379">
        <v>0.17</v>
      </c>
      <c r="J78" s="382">
        <f t="shared" si="0"/>
        <v>22.95</v>
      </c>
      <c r="K78" s="424" t="s">
        <v>293</v>
      </c>
      <c r="L78" s="384">
        <v>61179000</v>
      </c>
      <c r="N78" s="385" t="str">
        <f t="shared" si="2"/>
        <v>SIOB260205012BLUE TANGO 884克莱恩蓝XXL HUSKY</v>
      </c>
      <c r="O78" s="385">
        <f>SUMIF(PKL!O:O,INV!N78,PKL!I:I)</f>
        <v>135</v>
      </c>
    </row>
    <row r="79" spans="1:15" s="385" customFormat="1" ht="69" customHeight="1">
      <c r="A79" s="422" t="s">
        <v>279</v>
      </c>
      <c r="B79" s="423" t="s">
        <v>280</v>
      </c>
      <c r="C79" s="378">
        <v>1051120</v>
      </c>
      <c r="D79" s="379" t="s">
        <v>47</v>
      </c>
      <c r="E79" s="380" t="s">
        <v>277</v>
      </c>
      <c r="F79" s="381" t="s">
        <v>49</v>
      </c>
      <c r="G79" s="378">
        <v>681</v>
      </c>
      <c r="H79" s="378" t="s">
        <v>50</v>
      </c>
      <c r="I79" s="379">
        <v>0.17</v>
      </c>
      <c r="J79" s="382">
        <f t="shared" si="0"/>
        <v>115.77</v>
      </c>
      <c r="K79" s="424" t="s">
        <v>295</v>
      </c>
      <c r="L79" s="384">
        <v>61179000</v>
      </c>
      <c r="N79" s="385" t="str">
        <f t="shared" ref="N79:N87" si="3">A79&amp;E79&amp;F79</f>
        <v>SIOB260205012WINE STAIN 853酒红XS</v>
      </c>
      <c r="O79" s="385">
        <f>SUMIF(PKL!O:O,INV!N79,PKL!I:I)</f>
        <v>681</v>
      </c>
    </row>
    <row r="80" spans="1:15" s="385" customFormat="1" ht="69" customHeight="1">
      <c r="A80" s="422" t="s">
        <v>279</v>
      </c>
      <c r="B80" s="423" t="s">
        <v>280</v>
      </c>
      <c r="C80" s="378">
        <v>1051120</v>
      </c>
      <c r="D80" s="379" t="s">
        <v>47</v>
      </c>
      <c r="E80" s="380" t="s">
        <v>277</v>
      </c>
      <c r="F80" s="381" t="s">
        <v>51</v>
      </c>
      <c r="G80" s="378">
        <v>1235</v>
      </c>
      <c r="H80" s="378" t="s">
        <v>50</v>
      </c>
      <c r="I80" s="379">
        <v>0.17</v>
      </c>
      <c r="J80" s="382">
        <f t="shared" si="0"/>
        <v>209.95</v>
      </c>
      <c r="K80" s="424" t="s">
        <v>296</v>
      </c>
      <c r="L80" s="384">
        <v>61179000</v>
      </c>
      <c r="N80" s="385" t="str">
        <f t="shared" si="3"/>
        <v>SIOB260205012WINE STAIN 853酒红S</v>
      </c>
      <c r="O80" s="385">
        <f>SUMIF(PKL!O:O,INV!N80,PKL!I:I)</f>
        <v>1235</v>
      </c>
    </row>
    <row r="81" spans="1:36" s="385" customFormat="1" ht="69" customHeight="1">
      <c r="A81" s="422" t="s">
        <v>279</v>
      </c>
      <c r="B81" s="423" t="s">
        <v>280</v>
      </c>
      <c r="C81" s="378">
        <v>1051120</v>
      </c>
      <c r="D81" s="379" t="s">
        <v>47</v>
      </c>
      <c r="E81" s="380" t="s">
        <v>277</v>
      </c>
      <c r="F81" s="381" t="s">
        <v>52</v>
      </c>
      <c r="G81" s="378">
        <v>1132</v>
      </c>
      <c r="H81" s="378" t="s">
        <v>50</v>
      </c>
      <c r="I81" s="379">
        <v>0.17</v>
      </c>
      <c r="J81" s="382">
        <f t="shared" si="0"/>
        <v>192.44</v>
      </c>
      <c r="K81" s="424" t="s">
        <v>297</v>
      </c>
      <c r="L81" s="384">
        <v>61179000</v>
      </c>
      <c r="N81" s="385" t="str">
        <f t="shared" si="3"/>
        <v>SIOB260205012WINE STAIN 853酒红M</v>
      </c>
      <c r="O81" s="385">
        <f>SUMIF(PKL!O:O,INV!N81,PKL!I:I)</f>
        <v>1132</v>
      </c>
    </row>
    <row r="82" spans="1:36" s="385" customFormat="1" ht="69" customHeight="1">
      <c r="A82" s="422" t="s">
        <v>279</v>
      </c>
      <c r="B82" s="423" t="s">
        <v>280</v>
      </c>
      <c r="C82" s="378">
        <v>1051120</v>
      </c>
      <c r="D82" s="379" t="s">
        <v>47</v>
      </c>
      <c r="E82" s="380" t="s">
        <v>277</v>
      </c>
      <c r="F82" s="381" t="s">
        <v>54</v>
      </c>
      <c r="G82" s="378">
        <v>1185</v>
      </c>
      <c r="H82" s="378" t="s">
        <v>50</v>
      </c>
      <c r="I82" s="379">
        <v>0.17</v>
      </c>
      <c r="J82" s="382">
        <f t="shared" si="0"/>
        <v>201.45</v>
      </c>
      <c r="K82" s="424" t="s">
        <v>298</v>
      </c>
      <c r="L82" s="384">
        <v>61179000</v>
      </c>
      <c r="N82" s="385" t="str">
        <f t="shared" si="3"/>
        <v>SIOB260205012WINE STAIN 853酒红L</v>
      </c>
      <c r="O82" s="385">
        <f>SUMIF(PKL!O:O,INV!N82,PKL!I:I)</f>
        <v>1185</v>
      </c>
    </row>
    <row r="83" spans="1:36" s="385" customFormat="1" ht="69" customHeight="1">
      <c r="A83" s="422" t="s">
        <v>279</v>
      </c>
      <c r="B83" s="423" t="s">
        <v>280</v>
      </c>
      <c r="C83" s="378">
        <v>1051120</v>
      </c>
      <c r="D83" s="379" t="s">
        <v>47</v>
      </c>
      <c r="E83" s="380" t="s">
        <v>277</v>
      </c>
      <c r="F83" s="381" t="s">
        <v>53</v>
      </c>
      <c r="G83" s="378">
        <v>718</v>
      </c>
      <c r="H83" s="378" t="s">
        <v>50</v>
      </c>
      <c r="I83" s="379">
        <v>0.17</v>
      </c>
      <c r="J83" s="382">
        <f t="shared" si="0"/>
        <v>122.06</v>
      </c>
      <c r="K83" s="424" t="s">
        <v>299</v>
      </c>
      <c r="L83" s="384">
        <v>61179000</v>
      </c>
      <c r="N83" s="385" t="str">
        <f t="shared" si="3"/>
        <v>SIOB260205012WINE STAIN 853酒红XL</v>
      </c>
      <c r="O83" s="385">
        <f>SUMIF(PKL!O:O,INV!N83,PKL!I:I)</f>
        <v>718</v>
      </c>
    </row>
    <row r="84" spans="1:36" s="385" customFormat="1" ht="69" customHeight="1">
      <c r="A84" s="422" t="s">
        <v>279</v>
      </c>
      <c r="B84" s="423" t="s">
        <v>280</v>
      </c>
      <c r="C84" s="378">
        <v>1051120</v>
      </c>
      <c r="D84" s="379" t="s">
        <v>47</v>
      </c>
      <c r="E84" s="380" t="s">
        <v>277</v>
      </c>
      <c r="F84" s="381" t="s">
        <v>55</v>
      </c>
      <c r="G84" s="378">
        <v>358</v>
      </c>
      <c r="H84" s="378" t="s">
        <v>50</v>
      </c>
      <c r="I84" s="379">
        <v>0.17</v>
      </c>
      <c r="J84" s="382">
        <f t="shared" si="0"/>
        <v>60.86</v>
      </c>
      <c r="K84" s="424" t="s">
        <v>300</v>
      </c>
      <c r="L84" s="384">
        <v>61179000</v>
      </c>
      <c r="N84" s="385" t="str">
        <f t="shared" si="3"/>
        <v>SIOB260205012WINE STAIN 853酒红XXL</v>
      </c>
      <c r="O84" s="385">
        <f>SUMIF(PKL!O:O,INV!N84,PKL!I:I)</f>
        <v>358</v>
      </c>
    </row>
    <row r="85" spans="1:36" s="385" customFormat="1" ht="69" customHeight="1">
      <c r="A85" s="422" t="s">
        <v>279</v>
      </c>
      <c r="B85" s="423" t="s">
        <v>280</v>
      </c>
      <c r="C85" s="378">
        <v>1051120</v>
      </c>
      <c r="D85" s="379" t="s">
        <v>47</v>
      </c>
      <c r="E85" s="380" t="s">
        <v>277</v>
      </c>
      <c r="F85" s="381" t="s">
        <v>56</v>
      </c>
      <c r="G85" s="378">
        <v>134</v>
      </c>
      <c r="H85" s="378" t="s">
        <v>50</v>
      </c>
      <c r="I85" s="379">
        <v>0.17</v>
      </c>
      <c r="J85" s="382">
        <f t="shared" si="0"/>
        <v>22.78</v>
      </c>
      <c r="K85" s="424" t="s">
        <v>301</v>
      </c>
      <c r="L85" s="384">
        <v>61179000</v>
      </c>
      <c r="N85" s="385" t="str">
        <f t="shared" si="3"/>
        <v>SIOB260205012WINE STAIN 853酒红L HUSKY</v>
      </c>
      <c r="O85" s="385">
        <f>SUMIF(PKL!O:O,INV!N85,PKL!I:I)</f>
        <v>134</v>
      </c>
    </row>
    <row r="86" spans="1:36" s="385" customFormat="1" ht="69" customHeight="1">
      <c r="A86" s="422" t="s">
        <v>279</v>
      </c>
      <c r="B86" s="423" t="s">
        <v>280</v>
      </c>
      <c r="C86" s="378">
        <v>1051120</v>
      </c>
      <c r="D86" s="379" t="s">
        <v>47</v>
      </c>
      <c r="E86" s="380" t="s">
        <v>277</v>
      </c>
      <c r="F86" s="381" t="s">
        <v>57</v>
      </c>
      <c r="G86" s="378">
        <v>205</v>
      </c>
      <c r="H86" s="378" t="s">
        <v>50</v>
      </c>
      <c r="I86" s="379">
        <v>0.17</v>
      </c>
      <c r="J86" s="382">
        <f t="shared" si="0"/>
        <v>34.85</v>
      </c>
      <c r="K86" s="424" t="s">
        <v>302</v>
      </c>
      <c r="L86" s="384">
        <v>61179000</v>
      </c>
      <c r="N86" s="385" t="str">
        <f t="shared" si="3"/>
        <v>SIOB260205012WINE STAIN 853酒红XL HUSKY</v>
      </c>
      <c r="O86" s="385">
        <f>SUMIF(PKL!O:O,INV!N86,PKL!I:I)</f>
        <v>205</v>
      </c>
    </row>
    <row r="87" spans="1:36" s="385" customFormat="1" ht="69" customHeight="1">
      <c r="A87" s="422" t="s">
        <v>279</v>
      </c>
      <c r="B87" s="423" t="s">
        <v>280</v>
      </c>
      <c r="C87" s="378">
        <v>1051120</v>
      </c>
      <c r="D87" s="379" t="s">
        <v>47</v>
      </c>
      <c r="E87" s="380" t="s">
        <v>277</v>
      </c>
      <c r="F87" s="381" t="s">
        <v>58</v>
      </c>
      <c r="G87" s="378">
        <v>185</v>
      </c>
      <c r="H87" s="378" t="s">
        <v>50</v>
      </c>
      <c r="I87" s="379">
        <v>0.17</v>
      </c>
      <c r="J87" s="382">
        <f t="shared" ref="J87" si="4">ROUND(G87*I87,2)</f>
        <v>31.45</v>
      </c>
      <c r="K87" s="424" t="s">
        <v>303</v>
      </c>
      <c r="L87" s="384">
        <v>61179000</v>
      </c>
      <c r="N87" s="385" t="str">
        <f t="shared" si="3"/>
        <v>SIOB260205012WINE STAIN 853酒红XXL HUSKY</v>
      </c>
      <c r="O87" s="385">
        <f>SUMIF(PKL!O:O,INV!N87,PKL!I:I)</f>
        <v>185</v>
      </c>
    </row>
    <row r="88" spans="1:36" s="393" customFormat="1" ht="69" customHeight="1" thickBot="1">
      <c r="A88" s="77"/>
      <c r="B88" s="386"/>
      <c r="C88" s="387"/>
      <c r="D88" s="388" t="s">
        <v>62</v>
      </c>
      <c r="E88" s="388"/>
      <c r="F88" s="388"/>
      <c r="G88" s="389">
        <f>SUM(G31:G87)</f>
        <v>39733</v>
      </c>
      <c r="H88" s="81" t="s">
        <v>50</v>
      </c>
      <c r="I88" s="390" t="s">
        <v>104</v>
      </c>
      <c r="J88" s="407">
        <f>SUM(J31:J87)</f>
        <v>6724.6100000000015</v>
      </c>
      <c r="K88" s="391"/>
      <c r="L88" s="392"/>
      <c r="M88" s="136"/>
      <c r="N88" s="385"/>
      <c r="O88" s="385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</row>
    <row r="89" spans="1:36" ht="36.75" customHeight="1">
      <c r="A89" s="394" t="s">
        <v>105</v>
      </c>
      <c r="B89" s="395" t="s">
        <v>320</v>
      </c>
      <c r="C89" s="395"/>
      <c r="D89" s="395"/>
      <c r="E89" s="395"/>
      <c r="F89" s="395"/>
      <c r="G89" s="395"/>
      <c r="H89" s="395"/>
      <c r="I89" s="395"/>
      <c r="K89" s="396"/>
      <c r="L89" s="396"/>
    </row>
    <row r="90" spans="1:36" ht="33" customHeight="1">
      <c r="A90" s="519" t="s">
        <v>106</v>
      </c>
      <c r="B90" s="520"/>
      <c r="C90" s="520"/>
      <c r="D90" s="520"/>
      <c r="E90" s="520"/>
      <c r="F90" s="520"/>
      <c r="G90" s="520"/>
      <c r="H90" s="520"/>
      <c r="I90" s="520"/>
      <c r="J90" s="397"/>
      <c r="K90" s="398"/>
      <c r="L90" s="397"/>
    </row>
    <row r="91" spans="1:36" ht="15.75">
      <c r="A91" s="521" t="s">
        <v>107</v>
      </c>
      <c r="B91" s="522"/>
      <c r="C91" s="522"/>
      <c r="D91" s="522"/>
      <c r="E91" s="522"/>
      <c r="F91" s="522"/>
      <c r="G91" s="522"/>
      <c r="H91" s="522"/>
      <c r="I91" s="522"/>
      <c r="J91" s="397"/>
      <c r="K91" s="399"/>
      <c r="L91" s="400"/>
    </row>
    <row r="92" spans="1:36" ht="16.5">
      <c r="A92" s="401"/>
      <c r="B92" s="402"/>
      <c r="C92" s="402"/>
      <c r="D92" s="402"/>
      <c r="E92" s="402"/>
      <c r="F92" s="402"/>
      <c r="G92" s="402"/>
      <c r="H92" s="402"/>
      <c r="I92" s="403" t="s">
        <v>64</v>
      </c>
      <c r="J92" s="403"/>
      <c r="K92" s="403"/>
      <c r="L92" s="403"/>
    </row>
    <row r="93" spans="1:36" ht="16.5">
      <c r="A93" s="404"/>
      <c r="B93" s="405"/>
      <c r="C93" s="405"/>
      <c r="D93" s="402"/>
      <c r="E93" s="402"/>
      <c r="F93" s="402"/>
      <c r="H93" s="402"/>
      <c r="I93" s="406" t="s">
        <v>108</v>
      </c>
      <c r="J93" s="406"/>
      <c r="K93" s="406"/>
      <c r="L93" s="406"/>
    </row>
  </sheetData>
  <autoFilter ref="A30:K93"/>
  <mergeCells count="13">
    <mergeCell ref="A12:E12"/>
    <mergeCell ref="A1:J1"/>
    <mergeCell ref="A2:J2"/>
    <mergeCell ref="A3:J3"/>
    <mergeCell ref="A4:J4"/>
    <mergeCell ref="A11:C11"/>
    <mergeCell ref="A90:I90"/>
    <mergeCell ref="A91:I91"/>
    <mergeCell ref="A20:D20"/>
    <mergeCell ref="A13:D13"/>
    <mergeCell ref="A16:E16"/>
    <mergeCell ref="A19:D19"/>
    <mergeCell ref="A21:E21"/>
  </mergeCells>
  <hyperlinks>
    <hyperlink ref="A9" r:id="rId1"/>
    <hyperlink ref="A3" r:id="rId2"/>
  </hyperlinks>
  <pageMargins left="0.7" right="0.7" top="0.75" bottom="0.75" header="0.3" footer="0.3"/>
  <pageSetup paperSize="9" scale="30" fitToHeight="0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topLeftCell="A7" zoomScale="90" zoomScaleNormal="90" workbookViewId="0">
      <selection activeCell="D13" sqref="D13"/>
    </sheetView>
  </sheetViews>
  <sheetFormatPr defaultColWidth="9.140625" defaultRowHeight="15"/>
  <cols>
    <col min="1" max="1" width="9.140625" style="174" customWidth="1"/>
    <col min="2" max="2" width="22.28515625" style="56" customWidth="1"/>
    <col min="3" max="3" width="6.7109375" style="56" customWidth="1"/>
    <col min="4" max="4" width="60.28515625" style="56" customWidth="1"/>
    <col min="5" max="5" width="19.28515625" style="56" customWidth="1"/>
    <col min="6" max="6" width="14.140625" style="175" customWidth="1"/>
    <col min="7" max="7" width="7" style="175" customWidth="1"/>
    <col min="8" max="8" width="16.85546875" style="56" customWidth="1"/>
    <col min="9" max="9" width="13" style="174" customWidth="1"/>
    <col min="10" max="10" width="9.42578125" style="56" customWidth="1"/>
    <col min="11" max="11" width="8" style="56" customWidth="1"/>
    <col min="12" max="12" width="12.5703125" style="56" customWidth="1"/>
    <col min="13" max="13" width="13.85546875" style="174" customWidth="1"/>
    <col min="14" max="14" width="16.5703125" style="174" customWidth="1"/>
    <col min="15" max="16384" width="9.140625" style="56"/>
  </cols>
  <sheetData>
    <row r="1" spans="1:14" ht="46.5" customHeight="1">
      <c r="A1" s="547" t="s">
        <v>66</v>
      </c>
      <c r="B1" s="548"/>
      <c r="C1" s="548"/>
      <c r="D1" s="548"/>
      <c r="E1" s="142"/>
      <c r="F1" s="176"/>
      <c r="G1" s="176"/>
      <c r="H1" s="177"/>
      <c r="I1" s="193"/>
      <c r="J1" s="142"/>
      <c r="K1" s="142"/>
      <c r="L1" s="142"/>
      <c r="M1" s="194"/>
      <c r="N1" s="195"/>
    </row>
    <row r="2" spans="1:14" ht="32.25" customHeight="1">
      <c r="A2" s="178" t="s">
        <v>67</v>
      </c>
      <c r="B2" s="179" t="s">
        <v>68</v>
      </c>
      <c r="C2" s="179"/>
      <c r="D2" s="180" t="s">
        <v>37</v>
      </c>
      <c r="E2" s="179" t="s">
        <v>69</v>
      </c>
      <c r="F2" s="179" t="s">
        <v>39</v>
      </c>
      <c r="G2" s="179"/>
      <c r="H2" s="179" t="s">
        <v>40</v>
      </c>
      <c r="I2" s="196" t="s">
        <v>70</v>
      </c>
      <c r="J2" s="179" t="s">
        <v>42</v>
      </c>
      <c r="K2" s="179" t="s">
        <v>43</v>
      </c>
      <c r="L2" s="179" t="s">
        <v>44</v>
      </c>
      <c r="M2" s="197" t="s">
        <v>45</v>
      </c>
      <c r="N2" s="198" t="s">
        <v>46</v>
      </c>
    </row>
    <row r="3" spans="1:14" ht="47.25" customHeight="1">
      <c r="A3" s="556">
        <v>14</v>
      </c>
      <c r="B3" s="31" t="s">
        <v>71</v>
      </c>
      <c r="C3" s="26" t="s">
        <v>72</v>
      </c>
      <c r="D3" s="181" t="s">
        <v>73</v>
      </c>
      <c r="E3" s="182" t="s">
        <v>74</v>
      </c>
      <c r="F3" s="183">
        <v>1030</v>
      </c>
      <c r="G3" s="183" t="s">
        <v>51</v>
      </c>
      <c r="H3" s="183" t="s">
        <v>75</v>
      </c>
      <c r="I3" s="199" t="s">
        <v>76</v>
      </c>
      <c r="J3" s="183">
        <v>98</v>
      </c>
      <c r="K3" s="183" t="s">
        <v>77</v>
      </c>
      <c r="L3" s="557">
        <f>M3-1.35</f>
        <v>28.95</v>
      </c>
      <c r="M3" s="557">
        <v>30.3</v>
      </c>
      <c r="N3" s="558">
        <v>0.11</v>
      </c>
    </row>
    <row r="4" spans="1:14" ht="47.25" customHeight="1">
      <c r="A4" s="556"/>
      <c r="B4" s="31" t="s">
        <v>71</v>
      </c>
      <c r="C4" s="26" t="s">
        <v>72</v>
      </c>
      <c r="D4" s="181" t="s">
        <v>73</v>
      </c>
      <c r="E4" s="182" t="s">
        <v>74</v>
      </c>
      <c r="F4" s="183">
        <v>1030</v>
      </c>
      <c r="G4" s="183" t="s">
        <v>52</v>
      </c>
      <c r="H4" s="183" t="s">
        <v>78</v>
      </c>
      <c r="I4" s="199" t="s">
        <v>76</v>
      </c>
      <c r="J4" s="183">
        <v>219</v>
      </c>
      <c r="K4" s="183" t="s">
        <v>77</v>
      </c>
      <c r="L4" s="557"/>
      <c r="M4" s="557"/>
      <c r="N4" s="558"/>
    </row>
    <row r="5" spans="1:14" ht="47.25" customHeight="1">
      <c r="A5" s="556"/>
      <c r="B5" s="31" t="s">
        <v>71</v>
      </c>
      <c r="C5" s="26" t="s">
        <v>72</v>
      </c>
      <c r="D5" s="181" t="s">
        <v>73</v>
      </c>
      <c r="E5" s="182" t="s">
        <v>74</v>
      </c>
      <c r="F5" s="183">
        <v>1030</v>
      </c>
      <c r="G5" s="183" t="s">
        <v>54</v>
      </c>
      <c r="H5" s="183" t="s">
        <v>79</v>
      </c>
      <c r="I5" s="199" t="s">
        <v>76</v>
      </c>
      <c r="J5" s="183">
        <v>208</v>
      </c>
      <c r="K5" s="183" t="s">
        <v>77</v>
      </c>
      <c r="L5" s="557"/>
      <c r="M5" s="557"/>
      <c r="N5" s="558"/>
    </row>
    <row r="6" spans="1:14" ht="47.25" customHeight="1">
      <c r="A6" s="556"/>
      <c r="B6" s="31" t="s">
        <v>71</v>
      </c>
      <c r="C6" s="26" t="s">
        <v>72</v>
      </c>
      <c r="D6" s="181" t="s">
        <v>73</v>
      </c>
      <c r="E6" s="182" t="s">
        <v>74</v>
      </c>
      <c r="F6" s="183">
        <v>1030</v>
      </c>
      <c r="G6" s="183" t="s">
        <v>80</v>
      </c>
      <c r="H6" s="183" t="s">
        <v>81</v>
      </c>
      <c r="I6" s="199" t="s">
        <v>76</v>
      </c>
      <c r="J6" s="183">
        <v>84</v>
      </c>
      <c r="K6" s="183" t="s">
        <v>77</v>
      </c>
      <c r="L6" s="557"/>
      <c r="M6" s="557"/>
      <c r="N6" s="558"/>
    </row>
    <row r="7" spans="1:14" ht="47.25" customHeight="1">
      <c r="A7" s="556"/>
      <c r="B7" s="31" t="s">
        <v>82</v>
      </c>
      <c r="C7" s="26" t="s">
        <v>72</v>
      </c>
      <c r="D7" s="181" t="s">
        <v>83</v>
      </c>
      <c r="E7" s="182" t="s">
        <v>84</v>
      </c>
      <c r="F7" s="183">
        <v>1030</v>
      </c>
      <c r="G7" s="183" t="s">
        <v>52</v>
      </c>
      <c r="H7" s="183" t="s">
        <v>85</v>
      </c>
      <c r="I7" s="199" t="s">
        <v>76</v>
      </c>
      <c r="J7" s="183">
        <v>209</v>
      </c>
      <c r="K7" s="183" t="s">
        <v>77</v>
      </c>
      <c r="L7" s="557"/>
      <c r="M7" s="557"/>
      <c r="N7" s="558"/>
    </row>
    <row r="8" spans="1:14" ht="47.25" customHeight="1">
      <c r="A8" s="556"/>
      <c r="B8" s="31" t="s">
        <v>82</v>
      </c>
      <c r="C8" s="26" t="s">
        <v>72</v>
      </c>
      <c r="D8" s="181" t="s">
        <v>83</v>
      </c>
      <c r="E8" s="182" t="s">
        <v>84</v>
      </c>
      <c r="F8" s="183">
        <v>1030</v>
      </c>
      <c r="G8" s="183" t="s">
        <v>54</v>
      </c>
      <c r="H8" s="183" t="s">
        <v>86</v>
      </c>
      <c r="I8" s="199" t="s">
        <v>76</v>
      </c>
      <c r="J8" s="183">
        <v>412</v>
      </c>
      <c r="K8" s="183" t="s">
        <v>77</v>
      </c>
      <c r="L8" s="557"/>
      <c r="M8" s="557"/>
      <c r="N8" s="558"/>
    </row>
    <row r="9" spans="1:14" ht="47.25" customHeight="1">
      <c r="A9" s="556"/>
      <c r="B9" s="31" t="s">
        <v>82</v>
      </c>
      <c r="C9" s="26" t="s">
        <v>72</v>
      </c>
      <c r="D9" s="181" t="s">
        <v>83</v>
      </c>
      <c r="E9" s="182" t="s">
        <v>84</v>
      </c>
      <c r="F9" s="183">
        <v>1030</v>
      </c>
      <c r="G9" s="183" t="s">
        <v>80</v>
      </c>
      <c r="H9" s="183" t="s">
        <v>87</v>
      </c>
      <c r="I9" s="199" t="s">
        <v>76</v>
      </c>
      <c r="J9" s="183">
        <v>330</v>
      </c>
      <c r="K9" s="183" t="s">
        <v>77</v>
      </c>
      <c r="L9" s="557"/>
      <c r="M9" s="557"/>
      <c r="N9" s="558"/>
    </row>
    <row r="10" spans="1:14" ht="47.25" customHeight="1">
      <c r="A10" s="556"/>
      <c r="B10" s="31" t="s">
        <v>82</v>
      </c>
      <c r="C10" s="26" t="s">
        <v>72</v>
      </c>
      <c r="D10" s="181" t="s">
        <v>83</v>
      </c>
      <c r="E10" s="182" t="s">
        <v>84</v>
      </c>
      <c r="F10" s="183">
        <v>1030</v>
      </c>
      <c r="G10" s="183" t="s">
        <v>88</v>
      </c>
      <c r="H10" s="183" t="s">
        <v>89</v>
      </c>
      <c r="I10" s="199" t="s">
        <v>76</v>
      </c>
      <c r="J10" s="183">
        <v>199</v>
      </c>
      <c r="K10" s="183" t="s">
        <v>77</v>
      </c>
      <c r="L10" s="557"/>
      <c r="M10" s="557"/>
      <c r="N10" s="558"/>
    </row>
    <row r="11" spans="1:14" s="173" customFormat="1" ht="53.25" customHeight="1">
      <c r="A11" s="549">
        <f>COUNT(A3:A10)</f>
        <v>1</v>
      </c>
      <c r="B11" s="550"/>
      <c r="C11" s="550"/>
      <c r="D11" s="550"/>
      <c r="E11" s="550"/>
      <c r="F11" s="184"/>
      <c r="G11" s="184"/>
      <c r="H11" s="184"/>
      <c r="I11" s="200"/>
      <c r="J11" s="201">
        <f>SUM(J3:J10)</f>
        <v>1759</v>
      </c>
      <c r="K11" s="201" t="s">
        <v>77</v>
      </c>
      <c r="L11" s="202">
        <f>SUM(L3:L10)</f>
        <v>28.95</v>
      </c>
      <c r="M11" s="203">
        <f>SUM(M3:M10)</f>
        <v>30.3</v>
      </c>
      <c r="N11" s="204">
        <f>SUM(N3:N10)</f>
        <v>0.11</v>
      </c>
    </row>
    <row r="12" spans="1:14" ht="21.75" customHeight="1">
      <c r="A12" s="551" t="s">
        <v>63</v>
      </c>
      <c r="B12" s="551"/>
      <c r="C12" s="185"/>
      <c r="D12" s="186"/>
      <c r="E12" s="187"/>
      <c r="F12" s="187"/>
      <c r="G12" s="187"/>
      <c r="H12" s="187"/>
      <c r="I12" s="205"/>
      <c r="J12" s="187"/>
      <c r="K12" s="187"/>
      <c r="L12" s="187"/>
      <c r="M12" s="205"/>
      <c r="N12" s="205"/>
    </row>
    <row r="13" spans="1:14" ht="21.75" customHeight="1">
      <c r="A13" s="188"/>
      <c r="B13" s="189"/>
      <c r="C13" s="189"/>
      <c r="D13" s="186"/>
      <c r="E13" s="186"/>
      <c r="F13" s="552" t="s">
        <v>90</v>
      </c>
      <c r="G13" s="552"/>
      <c r="H13" s="552"/>
      <c r="I13" s="552"/>
      <c r="J13" s="552"/>
      <c r="K13" s="552"/>
      <c r="L13" s="552"/>
      <c r="M13" s="552"/>
      <c r="N13" s="552"/>
    </row>
    <row r="14" spans="1:14" ht="23.25" customHeight="1">
      <c r="A14" s="190"/>
      <c r="B14" s="191"/>
      <c r="C14" s="191"/>
      <c r="D14" s="191"/>
      <c r="E14" s="191"/>
      <c r="F14" s="191"/>
      <c r="G14" s="191"/>
      <c r="H14" s="192"/>
      <c r="I14" s="206"/>
      <c r="J14" s="553" t="s">
        <v>65</v>
      </c>
      <c r="K14" s="553"/>
      <c r="L14" s="553"/>
      <c r="M14" s="553"/>
      <c r="N14" s="553"/>
    </row>
    <row r="15" spans="1:14" ht="21.75" customHeight="1"/>
    <row r="18" spans="2:14" ht="16.5">
      <c r="J18" s="554"/>
      <c r="K18" s="554"/>
      <c r="L18" s="554"/>
      <c r="M18" s="554"/>
      <c r="N18" s="554"/>
    </row>
    <row r="28" spans="2:14" s="174" customFormat="1" ht="31.5">
      <c r="B28" s="56"/>
      <c r="C28" s="56"/>
      <c r="D28" s="56"/>
      <c r="E28" s="56"/>
      <c r="F28" s="175"/>
      <c r="G28" s="175"/>
      <c r="H28" s="56"/>
      <c r="J28" s="555"/>
      <c r="K28" s="555"/>
      <c r="L28" s="555"/>
      <c r="M28" s="555"/>
    </row>
  </sheetData>
  <autoFilter ref="A2:N14"/>
  <mergeCells count="11">
    <mergeCell ref="J18:N18"/>
    <mergeCell ref="J28:M28"/>
    <mergeCell ref="A3:A10"/>
    <mergeCell ref="L3:L10"/>
    <mergeCell ref="M3:M10"/>
    <mergeCell ref="N3:N10"/>
    <mergeCell ref="A1:D1"/>
    <mergeCell ref="A11:E11"/>
    <mergeCell ref="A12:B12"/>
    <mergeCell ref="F13:N13"/>
    <mergeCell ref="J14:N14"/>
  </mergeCells>
  <pageMargins left="0.17" right="0.17" top="0.17" bottom="0.17" header="0.17" footer="0.17"/>
  <pageSetup paperSize="9" scale="62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48"/>
  <sheetViews>
    <sheetView topLeftCell="B7" zoomScaleNormal="100" workbookViewId="0">
      <selection activeCell="E50" sqref="E50"/>
    </sheetView>
  </sheetViews>
  <sheetFormatPr defaultColWidth="9.140625" defaultRowHeight="15"/>
  <cols>
    <col min="1" max="1" width="27.42578125" style="124" customWidth="1"/>
    <col min="2" max="2" width="8.42578125" style="124" customWidth="1"/>
    <col min="3" max="3" width="21.140625" style="124" customWidth="1"/>
    <col min="4" max="4" width="14.42578125" style="124" customWidth="1"/>
    <col min="5" max="5" width="36" style="124" customWidth="1"/>
    <col min="6" max="6" width="23.28515625" style="124" customWidth="1"/>
    <col min="7" max="7" width="11.85546875" style="124" customWidth="1"/>
    <col min="8" max="8" width="10.85546875" style="124" customWidth="1"/>
    <col min="9" max="9" width="13.42578125" style="124" customWidth="1"/>
    <col min="10" max="10" width="14.85546875" style="124" customWidth="1"/>
    <col min="11" max="11" width="16" style="124" customWidth="1"/>
    <col min="12" max="12" width="15.7109375" style="124" customWidth="1"/>
    <col min="13" max="16384" width="9.140625" style="124"/>
  </cols>
  <sheetData>
    <row r="2" spans="1:12" ht="26.25">
      <c r="A2" s="559" t="s">
        <v>109</v>
      </c>
      <c r="B2" s="559"/>
      <c r="C2" s="559"/>
      <c r="D2" s="559"/>
      <c r="E2" s="559"/>
      <c r="F2" s="559"/>
      <c r="G2" s="559"/>
      <c r="H2" s="559"/>
      <c r="I2" s="559"/>
      <c r="J2" s="559"/>
      <c r="K2" s="135"/>
      <c r="L2" s="135"/>
    </row>
    <row r="3" spans="1:12">
      <c r="A3" s="124" t="s">
        <v>110</v>
      </c>
      <c r="B3" s="124" t="s">
        <v>111</v>
      </c>
      <c r="C3" s="125" t="str">
        <f>PKL!J7</f>
        <v>AK/GDI-20260009</v>
      </c>
      <c r="D3" s="126"/>
      <c r="E3" s="126"/>
      <c r="F3" s="126"/>
      <c r="G3" s="126"/>
    </row>
    <row r="4" spans="1:12">
      <c r="A4" s="124" t="s">
        <v>112</v>
      </c>
      <c r="B4" s="124" t="s">
        <v>111</v>
      </c>
      <c r="C4" s="127">
        <f>PKL!L7</f>
        <v>46121</v>
      </c>
      <c r="D4" s="126"/>
      <c r="E4" s="126"/>
      <c r="F4" s="126"/>
      <c r="G4" s="126"/>
    </row>
    <row r="5" spans="1:12">
      <c r="C5" s="126"/>
      <c r="D5" s="126"/>
      <c r="E5" s="126"/>
      <c r="F5" s="126"/>
      <c r="G5" s="126"/>
    </row>
    <row r="6" spans="1:12">
      <c r="A6" s="124" t="s">
        <v>113</v>
      </c>
      <c r="B6" s="124" t="s">
        <v>111</v>
      </c>
      <c r="C6" s="275" t="s">
        <v>234</v>
      </c>
      <c r="D6" s="276"/>
      <c r="E6" s="276"/>
      <c r="F6" s="276"/>
      <c r="G6" s="276"/>
    </row>
    <row r="7" spans="1:12">
      <c r="D7" s="126"/>
      <c r="E7" s="126"/>
      <c r="F7" s="126"/>
      <c r="G7" s="126"/>
    </row>
    <row r="8" spans="1:12">
      <c r="C8" s="275"/>
      <c r="D8" s="126"/>
      <c r="E8" s="126"/>
      <c r="F8" s="126"/>
      <c r="G8" s="126"/>
    </row>
    <row r="9" spans="1:12">
      <c r="A9" s="124" t="s">
        <v>114</v>
      </c>
      <c r="B9" s="124" t="s">
        <v>111</v>
      </c>
      <c r="C9" s="560" t="str">
        <f>PKL!A11</f>
        <v>GDI HK LIMITED</v>
      </c>
      <c r="D9" s="560"/>
      <c r="E9" s="560"/>
      <c r="F9" s="560"/>
      <c r="G9" s="560"/>
    </row>
    <row r="10" spans="1:12" ht="39" customHeight="1">
      <c r="C10" s="561" t="s">
        <v>115</v>
      </c>
      <c r="D10" s="561"/>
      <c r="E10" s="561"/>
      <c r="F10" s="561"/>
      <c r="G10" s="561"/>
    </row>
    <row r="11" spans="1:12">
      <c r="C11" s="126"/>
      <c r="D11" s="126"/>
      <c r="E11" s="126"/>
      <c r="F11" s="126"/>
      <c r="G11" s="126"/>
    </row>
    <row r="12" spans="1:12">
      <c r="A12" s="124" t="s">
        <v>116</v>
      </c>
      <c r="C12" s="560" t="s">
        <v>6</v>
      </c>
      <c r="D12" s="560"/>
      <c r="E12" s="560"/>
      <c r="F12" s="560"/>
      <c r="G12" s="560"/>
    </row>
    <row r="13" spans="1:12" ht="18" customHeight="1">
      <c r="C13" s="571" t="s">
        <v>1</v>
      </c>
      <c r="D13" s="571"/>
      <c r="E13" s="571"/>
      <c r="F13" s="571"/>
      <c r="G13" s="571"/>
      <c r="H13" s="571"/>
      <c r="I13" s="571"/>
      <c r="J13" s="571"/>
    </row>
    <row r="14" spans="1:12" ht="13.5" customHeight="1">
      <c r="C14" s="566" t="s">
        <v>117</v>
      </c>
      <c r="D14" s="566"/>
      <c r="E14" s="566"/>
      <c r="F14" s="566"/>
      <c r="G14" s="566"/>
    </row>
    <row r="15" spans="1:12" ht="20.25" customHeight="1">
      <c r="A15" s="124" t="s">
        <v>118</v>
      </c>
      <c r="B15" s="124" t="s">
        <v>111</v>
      </c>
      <c r="C15" s="567" t="str">
        <f>PKL!A17</f>
        <v>PT NIRWANA ALABARE GARMENT</v>
      </c>
      <c r="D15" s="567"/>
      <c r="E15" s="567"/>
      <c r="F15" s="567"/>
      <c r="G15" s="567"/>
      <c r="H15" s="567"/>
    </row>
    <row r="16" spans="1:12" ht="17.25" customHeight="1">
      <c r="C16" s="568" t="s">
        <v>17</v>
      </c>
      <c r="D16" s="568"/>
      <c r="E16" s="568"/>
      <c r="F16" s="568"/>
      <c r="G16" s="568"/>
      <c r="H16" s="568"/>
      <c r="J16" s="128"/>
    </row>
    <row r="17" spans="1:12" ht="20.25" customHeight="1">
      <c r="C17" s="568" t="s">
        <v>18</v>
      </c>
      <c r="D17" s="568"/>
      <c r="E17" s="568"/>
      <c r="F17" s="568"/>
      <c r="G17" s="568"/>
      <c r="H17" s="568"/>
      <c r="J17" s="128"/>
    </row>
    <row r="18" spans="1:12" ht="20.25" customHeight="1">
      <c r="C18" s="568" t="s">
        <v>19</v>
      </c>
      <c r="D18" s="568"/>
      <c r="E18" s="568"/>
      <c r="F18" s="568"/>
      <c r="G18" s="568"/>
      <c r="H18" s="568"/>
      <c r="J18" s="128"/>
    </row>
    <row r="19" spans="1:12" ht="24" customHeight="1">
      <c r="C19" s="568" t="s">
        <v>20</v>
      </c>
      <c r="D19" s="568"/>
      <c r="E19" s="568"/>
      <c r="F19" s="568"/>
      <c r="G19" s="568"/>
      <c r="H19" s="568"/>
      <c r="J19" s="128"/>
    </row>
    <row r="20" spans="1:12" ht="24" customHeight="1">
      <c r="A20" s="128" t="s">
        <v>13</v>
      </c>
      <c r="C20" s="562" t="s">
        <v>14</v>
      </c>
      <c r="D20" s="562"/>
      <c r="E20" s="562"/>
      <c r="F20" s="562"/>
      <c r="G20" s="562"/>
      <c r="H20" s="562"/>
      <c r="J20" s="128"/>
    </row>
    <row r="21" spans="1:12" ht="24" customHeight="1">
      <c r="C21" s="563" t="s">
        <v>262</v>
      </c>
      <c r="D21" s="563"/>
      <c r="E21" s="563"/>
      <c r="F21" s="563"/>
      <c r="G21" s="563"/>
      <c r="H21" s="563"/>
      <c r="J21" s="128"/>
    </row>
    <row r="22" spans="1:12">
      <c r="C22" s="564" t="s">
        <v>256</v>
      </c>
      <c r="D22" s="565"/>
      <c r="E22" s="565"/>
      <c r="F22" s="565"/>
      <c r="G22" s="565"/>
    </row>
    <row r="23" spans="1:12">
      <c r="A23" s="129" t="s">
        <v>119</v>
      </c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</row>
    <row r="24" spans="1:12" ht="15.75" thickBot="1">
      <c r="A24" s="129"/>
      <c r="B24" s="129"/>
      <c r="C24" s="129"/>
      <c r="D24" s="129"/>
      <c r="E24" s="129"/>
      <c r="F24" s="129"/>
      <c r="G24" s="130"/>
      <c r="H24" s="130"/>
      <c r="I24" s="130"/>
      <c r="J24" s="130"/>
      <c r="K24" s="129"/>
      <c r="L24" s="129"/>
    </row>
    <row r="25" spans="1:12" ht="46.5" customHeight="1">
      <c r="A25" s="280" t="s">
        <v>97</v>
      </c>
      <c r="B25" s="576" t="s">
        <v>98</v>
      </c>
      <c r="C25" s="577"/>
      <c r="D25" s="281" t="s">
        <v>38</v>
      </c>
      <c r="E25" s="281" t="s">
        <v>99</v>
      </c>
      <c r="F25" s="281" t="s">
        <v>39</v>
      </c>
      <c r="G25" s="281" t="s">
        <v>40</v>
      </c>
      <c r="H25" s="282" t="s">
        <v>100</v>
      </c>
      <c r="I25" s="283" t="s">
        <v>101</v>
      </c>
      <c r="J25" s="283" t="s">
        <v>102</v>
      </c>
      <c r="K25" s="284" t="s">
        <v>103</v>
      </c>
      <c r="L25" s="129"/>
    </row>
    <row r="26" spans="1:12" ht="44.1" customHeight="1">
      <c r="A26" s="277" t="s">
        <v>252</v>
      </c>
      <c r="B26" s="574" t="s">
        <v>253</v>
      </c>
      <c r="C26" s="575"/>
      <c r="D26" s="378">
        <v>1051120</v>
      </c>
      <c r="E26" s="379" t="s">
        <v>47</v>
      </c>
      <c r="F26" s="380" t="s">
        <v>59</v>
      </c>
      <c r="G26" s="381" t="s">
        <v>49</v>
      </c>
      <c r="H26" s="378">
        <v>1152</v>
      </c>
      <c r="I26" s="378" t="s">
        <v>50</v>
      </c>
      <c r="J26" s="379">
        <v>0.17</v>
      </c>
      <c r="K26" s="382">
        <f>ROUND(H26*J26,3)</f>
        <v>195.84</v>
      </c>
      <c r="L26" s="129"/>
    </row>
    <row r="27" spans="1:12" ht="44.1" customHeight="1">
      <c r="A27" s="277" t="s">
        <v>252</v>
      </c>
      <c r="B27" s="574" t="s">
        <v>253</v>
      </c>
      <c r="C27" s="575"/>
      <c r="D27" s="378">
        <v>1051120</v>
      </c>
      <c r="E27" s="379" t="s">
        <v>47</v>
      </c>
      <c r="F27" s="380" t="s">
        <v>59</v>
      </c>
      <c r="G27" s="381" t="s">
        <v>51</v>
      </c>
      <c r="H27" s="378">
        <v>2703</v>
      </c>
      <c r="I27" s="378" t="s">
        <v>50</v>
      </c>
      <c r="J27" s="379">
        <v>0.17</v>
      </c>
      <c r="K27" s="382">
        <f t="shared" ref="K27:K34" si="0">ROUND(H27*J27,3)</f>
        <v>459.51</v>
      </c>
      <c r="L27" s="129"/>
    </row>
    <row r="28" spans="1:12" ht="44.1" customHeight="1">
      <c r="A28" s="277" t="s">
        <v>252</v>
      </c>
      <c r="B28" s="574" t="s">
        <v>253</v>
      </c>
      <c r="C28" s="575"/>
      <c r="D28" s="378">
        <v>1051120</v>
      </c>
      <c r="E28" s="379" t="s">
        <v>47</v>
      </c>
      <c r="F28" s="380" t="s">
        <v>59</v>
      </c>
      <c r="G28" s="381" t="s">
        <v>52</v>
      </c>
      <c r="H28" s="378">
        <v>1869</v>
      </c>
      <c r="I28" s="378" t="s">
        <v>50</v>
      </c>
      <c r="J28" s="379">
        <v>0.17</v>
      </c>
      <c r="K28" s="382">
        <f t="shared" si="0"/>
        <v>317.73</v>
      </c>
      <c r="L28" s="129"/>
    </row>
    <row r="29" spans="1:12" ht="44.1" customHeight="1">
      <c r="A29" s="277" t="s">
        <v>252</v>
      </c>
      <c r="B29" s="574" t="s">
        <v>253</v>
      </c>
      <c r="C29" s="575"/>
      <c r="D29" s="378">
        <v>1051120</v>
      </c>
      <c r="E29" s="379" t="s">
        <v>47</v>
      </c>
      <c r="F29" s="380" t="s">
        <v>59</v>
      </c>
      <c r="G29" s="381" t="s">
        <v>54</v>
      </c>
      <c r="H29" s="378">
        <v>3823</v>
      </c>
      <c r="I29" s="378" t="s">
        <v>50</v>
      </c>
      <c r="J29" s="379">
        <v>0.17</v>
      </c>
      <c r="K29" s="382">
        <f t="shared" si="0"/>
        <v>649.91</v>
      </c>
    </row>
    <row r="30" spans="1:12" ht="44.1" customHeight="1">
      <c r="A30" s="277" t="s">
        <v>252</v>
      </c>
      <c r="B30" s="574" t="s">
        <v>253</v>
      </c>
      <c r="C30" s="575"/>
      <c r="D30" s="378">
        <v>1051120</v>
      </c>
      <c r="E30" s="379" t="s">
        <v>47</v>
      </c>
      <c r="F30" s="380" t="s">
        <v>59</v>
      </c>
      <c r="G30" s="381" t="s">
        <v>53</v>
      </c>
      <c r="H30" s="378">
        <v>2332</v>
      </c>
      <c r="I30" s="378" t="s">
        <v>50</v>
      </c>
      <c r="J30" s="379">
        <v>0.17</v>
      </c>
      <c r="K30" s="382">
        <f t="shared" si="0"/>
        <v>396.44</v>
      </c>
      <c r="L30" s="129"/>
    </row>
    <row r="31" spans="1:12" ht="44.1" customHeight="1">
      <c r="A31" s="277" t="s">
        <v>252</v>
      </c>
      <c r="B31" s="574" t="s">
        <v>253</v>
      </c>
      <c r="C31" s="575"/>
      <c r="D31" s="378">
        <v>1051120</v>
      </c>
      <c r="E31" s="379" t="s">
        <v>47</v>
      </c>
      <c r="F31" s="380" t="s">
        <v>59</v>
      </c>
      <c r="G31" s="381" t="s">
        <v>55</v>
      </c>
      <c r="H31" s="378">
        <v>1744</v>
      </c>
      <c r="I31" s="378" t="s">
        <v>50</v>
      </c>
      <c r="J31" s="379">
        <v>0.17</v>
      </c>
      <c r="K31" s="382">
        <f t="shared" si="0"/>
        <v>296.48</v>
      </c>
      <c r="L31" s="129"/>
    </row>
    <row r="32" spans="1:12" ht="44.1" customHeight="1">
      <c r="A32" s="277" t="s">
        <v>252</v>
      </c>
      <c r="B32" s="574" t="s">
        <v>253</v>
      </c>
      <c r="C32" s="575"/>
      <c r="D32" s="378">
        <v>1051120</v>
      </c>
      <c r="E32" s="379" t="s">
        <v>47</v>
      </c>
      <c r="F32" s="380" t="s">
        <v>59</v>
      </c>
      <c r="G32" s="381" t="s">
        <v>56</v>
      </c>
      <c r="H32" s="378">
        <v>205</v>
      </c>
      <c r="I32" s="378" t="s">
        <v>50</v>
      </c>
      <c r="J32" s="379">
        <v>0.17</v>
      </c>
      <c r="K32" s="382">
        <f t="shared" si="0"/>
        <v>34.85</v>
      </c>
      <c r="L32" s="129"/>
    </row>
    <row r="33" spans="1:12" ht="44.1" customHeight="1">
      <c r="A33" s="277" t="s">
        <v>252</v>
      </c>
      <c r="B33" s="574" t="s">
        <v>253</v>
      </c>
      <c r="C33" s="575"/>
      <c r="D33" s="378">
        <v>1051120</v>
      </c>
      <c r="E33" s="379" t="s">
        <v>47</v>
      </c>
      <c r="F33" s="380" t="s">
        <v>59</v>
      </c>
      <c r="G33" s="381" t="s">
        <v>57</v>
      </c>
      <c r="H33" s="378">
        <v>147</v>
      </c>
      <c r="I33" s="378" t="s">
        <v>50</v>
      </c>
      <c r="J33" s="379">
        <v>0.17</v>
      </c>
      <c r="K33" s="382">
        <f t="shared" si="0"/>
        <v>24.99</v>
      </c>
      <c r="L33" s="129"/>
    </row>
    <row r="34" spans="1:12" ht="44.1" customHeight="1">
      <c r="A34" s="277" t="s">
        <v>252</v>
      </c>
      <c r="B34" s="574" t="s">
        <v>253</v>
      </c>
      <c r="C34" s="575"/>
      <c r="D34" s="378">
        <v>1051120</v>
      </c>
      <c r="E34" s="379" t="s">
        <v>47</v>
      </c>
      <c r="F34" s="380" t="s">
        <v>59</v>
      </c>
      <c r="G34" s="381" t="s">
        <v>58</v>
      </c>
      <c r="H34" s="378">
        <v>186</v>
      </c>
      <c r="I34" s="378" t="s">
        <v>50</v>
      </c>
      <c r="J34" s="379">
        <v>0.17</v>
      </c>
      <c r="K34" s="382">
        <f t="shared" si="0"/>
        <v>31.62</v>
      </c>
    </row>
    <row r="35" spans="1:12" ht="39.950000000000003" customHeight="1" thickBot="1">
      <c r="A35" s="386"/>
      <c r="B35" s="572" t="s">
        <v>62</v>
      </c>
      <c r="C35" s="573"/>
      <c r="D35" s="388"/>
      <c r="E35" s="388"/>
      <c r="F35" s="389"/>
      <c r="G35" s="81"/>
      <c r="H35" s="409">
        <f>SUM(H26:H34)</f>
        <v>14161</v>
      </c>
      <c r="I35" s="81" t="s">
        <v>50</v>
      </c>
      <c r="J35" s="408" t="s">
        <v>104</v>
      </c>
      <c r="K35" s="290">
        <f>SUM(K26:K34)</f>
        <v>2407.3699999999994</v>
      </c>
      <c r="L35" s="129"/>
    </row>
    <row r="36" spans="1:12" ht="24.95" customHeight="1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</row>
    <row r="38" spans="1:12">
      <c r="A38" s="133" t="s">
        <v>120</v>
      </c>
      <c r="C38" s="126" t="e">
        <f>INV!#REF!</f>
        <v>#REF!</v>
      </c>
    </row>
    <row r="39" spans="1:12">
      <c r="A39" s="133" t="s">
        <v>121</v>
      </c>
    </row>
    <row r="40" spans="1:12">
      <c r="A40" s="133" t="s">
        <v>122</v>
      </c>
      <c r="C40" s="124" t="s">
        <v>123</v>
      </c>
    </row>
    <row r="41" spans="1:12">
      <c r="A41" s="133" t="s">
        <v>124</v>
      </c>
    </row>
    <row r="42" spans="1:12">
      <c r="A42" s="133" t="s">
        <v>125</v>
      </c>
      <c r="C42" s="128" t="s">
        <v>263</v>
      </c>
    </row>
    <row r="43" spans="1:12">
      <c r="A43" s="133" t="s">
        <v>126</v>
      </c>
      <c r="C43" s="134">
        <f>PKL!E28</f>
        <v>46127</v>
      </c>
    </row>
    <row r="44" spans="1:12">
      <c r="A44" s="133" t="s">
        <v>127</v>
      </c>
      <c r="C44" s="126" t="s">
        <v>24</v>
      </c>
    </row>
    <row r="45" spans="1:12">
      <c r="A45" s="133" t="s">
        <v>128</v>
      </c>
      <c r="C45" s="126" t="str">
        <f>C9</f>
        <v>GDI HK LIMITED</v>
      </c>
    </row>
    <row r="46" spans="1:12" ht="31.5" customHeight="1">
      <c r="A46" s="569" t="s">
        <v>129</v>
      </c>
      <c r="B46" s="569"/>
      <c r="C46" s="569"/>
      <c r="D46" s="569"/>
      <c r="E46" s="569"/>
      <c r="F46" s="569"/>
      <c r="G46" s="569"/>
      <c r="H46" s="569"/>
    </row>
    <row r="48" spans="1:12" ht="15.75">
      <c r="A48" s="570" t="s">
        <v>130</v>
      </c>
      <c r="B48" s="570"/>
      <c r="C48" s="570"/>
    </row>
  </sheetData>
  <autoFilter ref="A25:L34">
    <filterColumn colId="1" showButton="0"/>
  </autoFilter>
  <mergeCells count="27">
    <mergeCell ref="A46:H46"/>
    <mergeCell ref="A48:C48"/>
    <mergeCell ref="C13:J13"/>
    <mergeCell ref="B35:C35"/>
    <mergeCell ref="B30:C30"/>
    <mergeCell ref="B31:C31"/>
    <mergeCell ref="B32:C32"/>
    <mergeCell ref="B33:C33"/>
    <mergeCell ref="B34:C34"/>
    <mergeCell ref="B25:C25"/>
    <mergeCell ref="B26:C26"/>
    <mergeCell ref="B27:C27"/>
    <mergeCell ref="B28:C28"/>
    <mergeCell ref="B29:C29"/>
    <mergeCell ref="C18:H18"/>
    <mergeCell ref="C19:H19"/>
    <mergeCell ref="C21:H21"/>
    <mergeCell ref="C22:G22"/>
    <mergeCell ref="C14:G14"/>
    <mergeCell ref="C15:H15"/>
    <mergeCell ref="C16:H16"/>
    <mergeCell ref="C17:H17"/>
    <mergeCell ref="A2:J2"/>
    <mergeCell ref="C9:G9"/>
    <mergeCell ref="C10:G10"/>
    <mergeCell ref="C12:G12"/>
    <mergeCell ref="C20:H20"/>
  </mergeCells>
  <hyperlinks>
    <hyperlink ref="C14" r:id="rId1"/>
  </hyperlinks>
  <pageMargins left="0.2" right="0.3" top="0.75" bottom="0.75" header="0.3" footer="0.3"/>
  <pageSetup paperSize="9" scale="50" fitToHeight="0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01"/>
  <sheetViews>
    <sheetView view="pageBreakPreview" zoomScale="90" zoomScaleNormal="100" workbookViewId="0">
      <selection activeCell="E5" sqref="E5"/>
    </sheetView>
  </sheetViews>
  <sheetFormatPr defaultColWidth="9" defaultRowHeight="12.75"/>
  <cols>
    <col min="1" max="1" width="23" style="59" customWidth="1"/>
    <col min="2" max="2" width="24.42578125" style="59" customWidth="1"/>
    <col min="3" max="3" width="14.7109375" style="59" customWidth="1"/>
    <col min="4" max="4" width="29.5703125" style="59" customWidth="1"/>
    <col min="5" max="5" width="16.28515625" style="59" customWidth="1"/>
    <col min="6" max="6" width="15.7109375" style="59" customWidth="1"/>
    <col min="7" max="7" width="15.42578125" style="59" customWidth="1"/>
    <col min="8" max="8" width="16.7109375" style="59" customWidth="1"/>
    <col min="9" max="9" width="15.7109375" style="59" customWidth="1"/>
    <col min="10" max="10" width="11.7109375" style="59" customWidth="1"/>
    <col min="11" max="248" width="9" style="59"/>
    <col min="249" max="249" width="32.5703125" style="59" customWidth="1"/>
    <col min="250" max="250" width="13.140625" style="59" customWidth="1"/>
    <col min="251" max="251" width="15.5703125" style="59" customWidth="1"/>
    <col min="252" max="252" width="5.85546875" style="59" customWidth="1"/>
    <col min="253" max="253" width="15.85546875" style="59" customWidth="1"/>
    <col min="254" max="254" width="14.5703125" style="59" customWidth="1"/>
    <col min="255" max="255" width="17.85546875" style="59" customWidth="1"/>
    <col min="256" max="256" width="18.140625" style="59" customWidth="1"/>
    <col min="257" max="257" width="22.5703125" style="59" customWidth="1"/>
    <col min="258" max="258" width="21.140625" style="59" customWidth="1"/>
    <col min="259" max="259" width="0.5703125" style="59" customWidth="1"/>
    <col min="260" max="260" width="9" style="59"/>
    <col min="261" max="261" width="15.42578125" style="59" customWidth="1"/>
    <col min="262" max="504" width="9" style="59"/>
    <col min="505" max="505" width="32.5703125" style="59" customWidth="1"/>
    <col min="506" max="506" width="13.140625" style="59" customWidth="1"/>
    <col min="507" max="507" width="15.5703125" style="59" customWidth="1"/>
    <col min="508" max="508" width="5.85546875" style="59" customWidth="1"/>
    <col min="509" max="509" width="15.85546875" style="59" customWidth="1"/>
    <col min="510" max="510" width="14.5703125" style="59" customWidth="1"/>
    <col min="511" max="511" width="17.85546875" style="59" customWidth="1"/>
    <col min="512" max="512" width="18.140625" style="59" customWidth="1"/>
    <col min="513" max="513" width="22.5703125" style="59" customWidth="1"/>
    <col min="514" max="514" width="21.140625" style="59" customWidth="1"/>
    <col min="515" max="515" width="0.5703125" style="59" customWidth="1"/>
    <col min="516" max="516" width="9" style="59"/>
    <col min="517" max="517" width="15.42578125" style="59" customWidth="1"/>
    <col min="518" max="760" width="9" style="59"/>
    <col min="761" max="761" width="32.5703125" style="59" customWidth="1"/>
    <col min="762" max="762" width="13.140625" style="59" customWidth="1"/>
    <col min="763" max="763" width="15.5703125" style="59" customWidth="1"/>
    <col min="764" max="764" width="5.85546875" style="59" customWidth="1"/>
    <col min="765" max="765" width="15.85546875" style="59" customWidth="1"/>
    <col min="766" max="766" width="14.5703125" style="59" customWidth="1"/>
    <col min="767" max="767" width="17.85546875" style="59" customWidth="1"/>
    <col min="768" max="768" width="18.140625" style="59" customWidth="1"/>
    <col min="769" max="769" width="22.5703125" style="59" customWidth="1"/>
    <col min="770" max="770" width="21.140625" style="59" customWidth="1"/>
    <col min="771" max="771" width="0.5703125" style="59" customWidth="1"/>
    <col min="772" max="772" width="9" style="59"/>
    <col min="773" max="773" width="15.42578125" style="59" customWidth="1"/>
    <col min="774" max="1016" width="9" style="59"/>
    <col min="1017" max="1017" width="32.5703125" style="59" customWidth="1"/>
    <col min="1018" max="1018" width="13.140625" style="59" customWidth="1"/>
    <col min="1019" max="1019" width="15.5703125" style="59" customWidth="1"/>
    <col min="1020" max="1020" width="5.85546875" style="59" customWidth="1"/>
    <col min="1021" max="1021" width="15.85546875" style="59" customWidth="1"/>
    <col min="1022" max="1022" width="14.5703125" style="59" customWidth="1"/>
    <col min="1023" max="1023" width="17.85546875" style="59" customWidth="1"/>
    <col min="1024" max="1024" width="18.140625" style="59" customWidth="1"/>
    <col min="1025" max="1025" width="22.5703125" style="59" customWidth="1"/>
    <col min="1026" max="1026" width="21.140625" style="59" customWidth="1"/>
    <col min="1027" max="1027" width="0.5703125" style="59" customWidth="1"/>
    <col min="1028" max="1028" width="9" style="59"/>
    <col min="1029" max="1029" width="15.42578125" style="59" customWidth="1"/>
    <col min="1030" max="1272" width="9" style="59"/>
    <col min="1273" max="1273" width="32.5703125" style="59" customWidth="1"/>
    <col min="1274" max="1274" width="13.140625" style="59" customWidth="1"/>
    <col min="1275" max="1275" width="15.5703125" style="59" customWidth="1"/>
    <col min="1276" max="1276" width="5.85546875" style="59" customWidth="1"/>
    <col min="1277" max="1277" width="15.85546875" style="59" customWidth="1"/>
    <col min="1278" max="1278" width="14.5703125" style="59" customWidth="1"/>
    <col min="1279" max="1279" width="17.85546875" style="59" customWidth="1"/>
    <col min="1280" max="1280" width="18.140625" style="59" customWidth="1"/>
    <col min="1281" max="1281" width="22.5703125" style="59" customWidth="1"/>
    <col min="1282" max="1282" width="21.140625" style="59" customWidth="1"/>
    <col min="1283" max="1283" width="0.5703125" style="59" customWidth="1"/>
    <col min="1284" max="1284" width="9" style="59"/>
    <col min="1285" max="1285" width="15.42578125" style="59" customWidth="1"/>
    <col min="1286" max="1528" width="9" style="59"/>
    <col min="1529" max="1529" width="32.5703125" style="59" customWidth="1"/>
    <col min="1530" max="1530" width="13.140625" style="59" customWidth="1"/>
    <col min="1531" max="1531" width="15.5703125" style="59" customWidth="1"/>
    <col min="1532" max="1532" width="5.85546875" style="59" customWidth="1"/>
    <col min="1533" max="1533" width="15.85546875" style="59" customWidth="1"/>
    <col min="1534" max="1534" width="14.5703125" style="59" customWidth="1"/>
    <col min="1535" max="1535" width="17.85546875" style="59" customWidth="1"/>
    <col min="1536" max="1536" width="18.140625" style="59" customWidth="1"/>
    <col min="1537" max="1537" width="22.5703125" style="59" customWidth="1"/>
    <col min="1538" max="1538" width="21.140625" style="59" customWidth="1"/>
    <col min="1539" max="1539" width="0.5703125" style="59" customWidth="1"/>
    <col min="1540" max="1540" width="9" style="59"/>
    <col min="1541" max="1541" width="15.42578125" style="59" customWidth="1"/>
    <col min="1542" max="1784" width="9" style="59"/>
    <col min="1785" max="1785" width="32.5703125" style="59" customWidth="1"/>
    <col min="1786" max="1786" width="13.140625" style="59" customWidth="1"/>
    <col min="1787" max="1787" width="15.5703125" style="59" customWidth="1"/>
    <col min="1788" max="1788" width="5.85546875" style="59" customWidth="1"/>
    <col min="1789" max="1789" width="15.85546875" style="59" customWidth="1"/>
    <col min="1790" max="1790" width="14.5703125" style="59" customWidth="1"/>
    <col min="1791" max="1791" width="17.85546875" style="59" customWidth="1"/>
    <col min="1792" max="1792" width="18.140625" style="59" customWidth="1"/>
    <col min="1793" max="1793" width="22.5703125" style="59" customWidth="1"/>
    <col min="1794" max="1794" width="21.140625" style="59" customWidth="1"/>
    <col min="1795" max="1795" width="0.5703125" style="59" customWidth="1"/>
    <col min="1796" max="1796" width="9" style="59"/>
    <col min="1797" max="1797" width="15.42578125" style="59" customWidth="1"/>
    <col min="1798" max="2040" width="9" style="59"/>
    <col min="2041" max="2041" width="32.5703125" style="59" customWidth="1"/>
    <col min="2042" max="2042" width="13.140625" style="59" customWidth="1"/>
    <col min="2043" max="2043" width="15.5703125" style="59" customWidth="1"/>
    <col min="2044" max="2044" width="5.85546875" style="59" customWidth="1"/>
    <col min="2045" max="2045" width="15.85546875" style="59" customWidth="1"/>
    <col min="2046" max="2046" width="14.5703125" style="59" customWidth="1"/>
    <col min="2047" max="2047" width="17.85546875" style="59" customWidth="1"/>
    <col min="2048" max="2048" width="18.140625" style="59" customWidth="1"/>
    <col min="2049" max="2049" width="22.5703125" style="59" customWidth="1"/>
    <col min="2050" max="2050" width="21.140625" style="59" customWidth="1"/>
    <col min="2051" max="2051" width="0.5703125" style="59" customWidth="1"/>
    <col min="2052" max="2052" width="9" style="59"/>
    <col min="2053" max="2053" width="15.42578125" style="59" customWidth="1"/>
    <col min="2054" max="2296" width="9" style="59"/>
    <col min="2297" max="2297" width="32.5703125" style="59" customWidth="1"/>
    <col min="2298" max="2298" width="13.140625" style="59" customWidth="1"/>
    <col min="2299" max="2299" width="15.5703125" style="59" customWidth="1"/>
    <col min="2300" max="2300" width="5.85546875" style="59" customWidth="1"/>
    <col min="2301" max="2301" width="15.85546875" style="59" customWidth="1"/>
    <col min="2302" max="2302" width="14.5703125" style="59" customWidth="1"/>
    <col min="2303" max="2303" width="17.85546875" style="59" customWidth="1"/>
    <col min="2304" max="2304" width="18.140625" style="59" customWidth="1"/>
    <col min="2305" max="2305" width="22.5703125" style="59" customWidth="1"/>
    <col min="2306" max="2306" width="21.140625" style="59" customWidth="1"/>
    <col min="2307" max="2307" width="0.5703125" style="59" customWidth="1"/>
    <col min="2308" max="2308" width="9" style="59"/>
    <col min="2309" max="2309" width="15.42578125" style="59" customWidth="1"/>
    <col min="2310" max="2552" width="9" style="59"/>
    <col min="2553" max="2553" width="32.5703125" style="59" customWidth="1"/>
    <col min="2554" max="2554" width="13.140625" style="59" customWidth="1"/>
    <col min="2555" max="2555" width="15.5703125" style="59" customWidth="1"/>
    <col min="2556" max="2556" width="5.85546875" style="59" customWidth="1"/>
    <col min="2557" max="2557" width="15.85546875" style="59" customWidth="1"/>
    <col min="2558" max="2558" width="14.5703125" style="59" customWidth="1"/>
    <col min="2559" max="2559" width="17.85546875" style="59" customWidth="1"/>
    <col min="2560" max="2560" width="18.140625" style="59" customWidth="1"/>
    <col min="2561" max="2561" width="22.5703125" style="59" customWidth="1"/>
    <col min="2562" max="2562" width="21.140625" style="59" customWidth="1"/>
    <col min="2563" max="2563" width="0.5703125" style="59" customWidth="1"/>
    <col min="2564" max="2564" width="9" style="59"/>
    <col min="2565" max="2565" width="15.42578125" style="59" customWidth="1"/>
    <col min="2566" max="2808" width="9" style="59"/>
    <col min="2809" max="2809" width="32.5703125" style="59" customWidth="1"/>
    <col min="2810" max="2810" width="13.140625" style="59" customWidth="1"/>
    <col min="2811" max="2811" width="15.5703125" style="59" customWidth="1"/>
    <col min="2812" max="2812" width="5.85546875" style="59" customWidth="1"/>
    <col min="2813" max="2813" width="15.85546875" style="59" customWidth="1"/>
    <col min="2814" max="2814" width="14.5703125" style="59" customWidth="1"/>
    <col min="2815" max="2815" width="17.85546875" style="59" customWidth="1"/>
    <col min="2816" max="2816" width="18.140625" style="59" customWidth="1"/>
    <col min="2817" max="2817" width="22.5703125" style="59" customWidth="1"/>
    <col min="2818" max="2818" width="21.140625" style="59" customWidth="1"/>
    <col min="2819" max="2819" width="0.5703125" style="59" customWidth="1"/>
    <col min="2820" max="2820" width="9" style="59"/>
    <col min="2821" max="2821" width="15.42578125" style="59" customWidth="1"/>
    <col min="2822" max="3064" width="9" style="59"/>
    <col min="3065" max="3065" width="32.5703125" style="59" customWidth="1"/>
    <col min="3066" max="3066" width="13.140625" style="59" customWidth="1"/>
    <col min="3067" max="3067" width="15.5703125" style="59" customWidth="1"/>
    <col min="3068" max="3068" width="5.85546875" style="59" customWidth="1"/>
    <col min="3069" max="3069" width="15.85546875" style="59" customWidth="1"/>
    <col min="3070" max="3070" width="14.5703125" style="59" customWidth="1"/>
    <col min="3071" max="3071" width="17.85546875" style="59" customWidth="1"/>
    <col min="3072" max="3072" width="18.140625" style="59" customWidth="1"/>
    <col min="3073" max="3073" width="22.5703125" style="59" customWidth="1"/>
    <col min="3074" max="3074" width="21.140625" style="59" customWidth="1"/>
    <col min="3075" max="3075" width="0.5703125" style="59" customWidth="1"/>
    <col min="3076" max="3076" width="9" style="59"/>
    <col min="3077" max="3077" width="15.42578125" style="59" customWidth="1"/>
    <col min="3078" max="3320" width="9" style="59"/>
    <col min="3321" max="3321" width="32.5703125" style="59" customWidth="1"/>
    <col min="3322" max="3322" width="13.140625" style="59" customWidth="1"/>
    <col min="3323" max="3323" width="15.5703125" style="59" customWidth="1"/>
    <col min="3324" max="3324" width="5.85546875" style="59" customWidth="1"/>
    <col min="3325" max="3325" width="15.85546875" style="59" customWidth="1"/>
    <col min="3326" max="3326" width="14.5703125" style="59" customWidth="1"/>
    <col min="3327" max="3327" width="17.85546875" style="59" customWidth="1"/>
    <col min="3328" max="3328" width="18.140625" style="59" customWidth="1"/>
    <col min="3329" max="3329" width="22.5703125" style="59" customWidth="1"/>
    <col min="3330" max="3330" width="21.140625" style="59" customWidth="1"/>
    <col min="3331" max="3331" width="0.5703125" style="59" customWidth="1"/>
    <col min="3332" max="3332" width="9" style="59"/>
    <col min="3333" max="3333" width="15.42578125" style="59" customWidth="1"/>
    <col min="3334" max="3576" width="9" style="59"/>
    <col min="3577" max="3577" width="32.5703125" style="59" customWidth="1"/>
    <col min="3578" max="3578" width="13.140625" style="59" customWidth="1"/>
    <col min="3579" max="3579" width="15.5703125" style="59" customWidth="1"/>
    <col min="3580" max="3580" width="5.85546875" style="59" customWidth="1"/>
    <col min="3581" max="3581" width="15.85546875" style="59" customWidth="1"/>
    <col min="3582" max="3582" width="14.5703125" style="59" customWidth="1"/>
    <col min="3583" max="3583" width="17.85546875" style="59" customWidth="1"/>
    <col min="3584" max="3584" width="18.140625" style="59" customWidth="1"/>
    <col min="3585" max="3585" width="22.5703125" style="59" customWidth="1"/>
    <col min="3586" max="3586" width="21.140625" style="59" customWidth="1"/>
    <col min="3587" max="3587" width="0.5703125" style="59" customWidth="1"/>
    <col min="3588" max="3588" width="9" style="59"/>
    <col min="3589" max="3589" width="15.42578125" style="59" customWidth="1"/>
    <col min="3590" max="3832" width="9" style="59"/>
    <col min="3833" max="3833" width="32.5703125" style="59" customWidth="1"/>
    <col min="3834" max="3834" width="13.140625" style="59" customWidth="1"/>
    <col min="3835" max="3835" width="15.5703125" style="59" customWidth="1"/>
    <col min="3836" max="3836" width="5.85546875" style="59" customWidth="1"/>
    <col min="3837" max="3837" width="15.85546875" style="59" customWidth="1"/>
    <col min="3838" max="3838" width="14.5703125" style="59" customWidth="1"/>
    <col min="3839" max="3839" width="17.85546875" style="59" customWidth="1"/>
    <col min="3840" max="3840" width="18.140625" style="59" customWidth="1"/>
    <col min="3841" max="3841" width="22.5703125" style="59" customWidth="1"/>
    <col min="3842" max="3842" width="21.140625" style="59" customWidth="1"/>
    <col min="3843" max="3843" width="0.5703125" style="59" customWidth="1"/>
    <col min="3844" max="3844" width="9" style="59"/>
    <col min="3845" max="3845" width="15.42578125" style="59" customWidth="1"/>
    <col min="3846" max="4088" width="9" style="59"/>
    <col min="4089" max="4089" width="32.5703125" style="59" customWidth="1"/>
    <col min="4090" max="4090" width="13.140625" style="59" customWidth="1"/>
    <col min="4091" max="4091" width="15.5703125" style="59" customWidth="1"/>
    <col min="4092" max="4092" width="5.85546875" style="59" customWidth="1"/>
    <col min="4093" max="4093" width="15.85546875" style="59" customWidth="1"/>
    <col min="4094" max="4094" width="14.5703125" style="59" customWidth="1"/>
    <col min="4095" max="4095" width="17.85546875" style="59" customWidth="1"/>
    <col min="4096" max="4096" width="18.140625" style="59" customWidth="1"/>
    <col min="4097" max="4097" width="22.5703125" style="59" customWidth="1"/>
    <col min="4098" max="4098" width="21.140625" style="59" customWidth="1"/>
    <col min="4099" max="4099" width="0.5703125" style="59" customWidth="1"/>
    <col min="4100" max="4100" width="9" style="59"/>
    <col min="4101" max="4101" width="15.42578125" style="59" customWidth="1"/>
    <col min="4102" max="4344" width="9" style="59"/>
    <col min="4345" max="4345" width="32.5703125" style="59" customWidth="1"/>
    <col min="4346" max="4346" width="13.140625" style="59" customWidth="1"/>
    <col min="4347" max="4347" width="15.5703125" style="59" customWidth="1"/>
    <col min="4348" max="4348" width="5.85546875" style="59" customWidth="1"/>
    <col min="4349" max="4349" width="15.85546875" style="59" customWidth="1"/>
    <col min="4350" max="4350" width="14.5703125" style="59" customWidth="1"/>
    <col min="4351" max="4351" width="17.85546875" style="59" customWidth="1"/>
    <col min="4352" max="4352" width="18.140625" style="59" customWidth="1"/>
    <col min="4353" max="4353" width="22.5703125" style="59" customWidth="1"/>
    <col min="4354" max="4354" width="21.140625" style="59" customWidth="1"/>
    <col min="4355" max="4355" width="0.5703125" style="59" customWidth="1"/>
    <col min="4356" max="4356" width="9" style="59"/>
    <col min="4357" max="4357" width="15.42578125" style="59" customWidth="1"/>
    <col min="4358" max="4600" width="9" style="59"/>
    <col min="4601" max="4601" width="32.5703125" style="59" customWidth="1"/>
    <col min="4602" max="4602" width="13.140625" style="59" customWidth="1"/>
    <col min="4603" max="4603" width="15.5703125" style="59" customWidth="1"/>
    <col min="4604" max="4604" width="5.85546875" style="59" customWidth="1"/>
    <col min="4605" max="4605" width="15.85546875" style="59" customWidth="1"/>
    <col min="4606" max="4606" width="14.5703125" style="59" customWidth="1"/>
    <col min="4607" max="4607" width="17.85546875" style="59" customWidth="1"/>
    <col min="4608" max="4608" width="18.140625" style="59" customWidth="1"/>
    <col min="4609" max="4609" width="22.5703125" style="59" customWidth="1"/>
    <col min="4610" max="4610" width="21.140625" style="59" customWidth="1"/>
    <col min="4611" max="4611" width="0.5703125" style="59" customWidth="1"/>
    <col min="4612" max="4612" width="9" style="59"/>
    <col min="4613" max="4613" width="15.42578125" style="59" customWidth="1"/>
    <col min="4614" max="4856" width="9" style="59"/>
    <col min="4857" max="4857" width="32.5703125" style="59" customWidth="1"/>
    <col min="4858" max="4858" width="13.140625" style="59" customWidth="1"/>
    <col min="4859" max="4859" width="15.5703125" style="59" customWidth="1"/>
    <col min="4860" max="4860" width="5.85546875" style="59" customWidth="1"/>
    <col min="4861" max="4861" width="15.85546875" style="59" customWidth="1"/>
    <col min="4862" max="4862" width="14.5703125" style="59" customWidth="1"/>
    <col min="4863" max="4863" width="17.85546875" style="59" customWidth="1"/>
    <col min="4864" max="4864" width="18.140625" style="59" customWidth="1"/>
    <col min="4865" max="4865" width="22.5703125" style="59" customWidth="1"/>
    <col min="4866" max="4866" width="21.140625" style="59" customWidth="1"/>
    <col min="4867" max="4867" width="0.5703125" style="59" customWidth="1"/>
    <col min="4868" max="4868" width="9" style="59"/>
    <col min="4869" max="4869" width="15.42578125" style="59" customWidth="1"/>
    <col min="4870" max="5112" width="9" style="59"/>
    <col min="5113" max="5113" width="32.5703125" style="59" customWidth="1"/>
    <col min="5114" max="5114" width="13.140625" style="59" customWidth="1"/>
    <col min="5115" max="5115" width="15.5703125" style="59" customWidth="1"/>
    <col min="5116" max="5116" width="5.85546875" style="59" customWidth="1"/>
    <col min="5117" max="5117" width="15.85546875" style="59" customWidth="1"/>
    <col min="5118" max="5118" width="14.5703125" style="59" customWidth="1"/>
    <col min="5119" max="5119" width="17.85546875" style="59" customWidth="1"/>
    <col min="5120" max="5120" width="18.140625" style="59" customWidth="1"/>
    <col min="5121" max="5121" width="22.5703125" style="59" customWidth="1"/>
    <col min="5122" max="5122" width="21.140625" style="59" customWidth="1"/>
    <col min="5123" max="5123" width="0.5703125" style="59" customWidth="1"/>
    <col min="5124" max="5124" width="9" style="59"/>
    <col min="5125" max="5125" width="15.42578125" style="59" customWidth="1"/>
    <col min="5126" max="5368" width="9" style="59"/>
    <col min="5369" max="5369" width="32.5703125" style="59" customWidth="1"/>
    <col min="5370" max="5370" width="13.140625" style="59" customWidth="1"/>
    <col min="5371" max="5371" width="15.5703125" style="59" customWidth="1"/>
    <col min="5372" max="5372" width="5.85546875" style="59" customWidth="1"/>
    <col min="5373" max="5373" width="15.85546875" style="59" customWidth="1"/>
    <col min="5374" max="5374" width="14.5703125" style="59" customWidth="1"/>
    <col min="5375" max="5375" width="17.85546875" style="59" customWidth="1"/>
    <col min="5376" max="5376" width="18.140625" style="59" customWidth="1"/>
    <col min="5377" max="5377" width="22.5703125" style="59" customWidth="1"/>
    <col min="5378" max="5378" width="21.140625" style="59" customWidth="1"/>
    <col min="5379" max="5379" width="0.5703125" style="59" customWidth="1"/>
    <col min="5380" max="5380" width="9" style="59"/>
    <col min="5381" max="5381" width="15.42578125" style="59" customWidth="1"/>
    <col min="5382" max="5624" width="9" style="59"/>
    <col min="5625" max="5625" width="32.5703125" style="59" customWidth="1"/>
    <col min="5626" max="5626" width="13.140625" style="59" customWidth="1"/>
    <col min="5627" max="5627" width="15.5703125" style="59" customWidth="1"/>
    <col min="5628" max="5628" width="5.85546875" style="59" customWidth="1"/>
    <col min="5629" max="5629" width="15.85546875" style="59" customWidth="1"/>
    <col min="5630" max="5630" width="14.5703125" style="59" customWidth="1"/>
    <col min="5631" max="5631" width="17.85546875" style="59" customWidth="1"/>
    <col min="5632" max="5632" width="18.140625" style="59" customWidth="1"/>
    <col min="5633" max="5633" width="22.5703125" style="59" customWidth="1"/>
    <col min="5634" max="5634" width="21.140625" style="59" customWidth="1"/>
    <col min="5635" max="5635" width="0.5703125" style="59" customWidth="1"/>
    <col min="5636" max="5636" width="9" style="59"/>
    <col min="5637" max="5637" width="15.42578125" style="59" customWidth="1"/>
    <col min="5638" max="5880" width="9" style="59"/>
    <col min="5881" max="5881" width="32.5703125" style="59" customWidth="1"/>
    <col min="5882" max="5882" width="13.140625" style="59" customWidth="1"/>
    <col min="5883" max="5883" width="15.5703125" style="59" customWidth="1"/>
    <col min="5884" max="5884" width="5.85546875" style="59" customWidth="1"/>
    <col min="5885" max="5885" width="15.85546875" style="59" customWidth="1"/>
    <col min="5886" max="5886" width="14.5703125" style="59" customWidth="1"/>
    <col min="5887" max="5887" width="17.85546875" style="59" customWidth="1"/>
    <col min="5888" max="5888" width="18.140625" style="59" customWidth="1"/>
    <col min="5889" max="5889" width="22.5703125" style="59" customWidth="1"/>
    <col min="5890" max="5890" width="21.140625" style="59" customWidth="1"/>
    <col min="5891" max="5891" width="0.5703125" style="59" customWidth="1"/>
    <col min="5892" max="5892" width="9" style="59"/>
    <col min="5893" max="5893" width="15.42578125" style="59" customWidth="1"/>
    <col min="5894" max="6136" width="9" style="59"/>
    <col min="6137" max="6137" width="32.5703125" style="59" customWidth="1"/>
    <col min="6138" max="6138" width="13.140625" style="59" customWidth="1"/>
    <col min="6139" max="6139" width="15.5703125" style="59" customWidth="1"/>
    <col min="6140" max="6140" width="5.85546875" style="59" customWidth="1"/>
    <col min="6141" max="6141" width="15.85546875" style="59" customWidth="1"/>
    <col min="6142" max="6142" width="14.5703125" style="59" customWidth="1"/>
    <col min="6143" max="6143" width="17.85546875" style="59" customWidth="1"/>
    <col min="6144" max="6144" width="18.140625" style="59" customWidth="1"/>
    <col min="6145" max="6145" width="22.5703125" style="59" customWidth="1"/>
    <col min="6146" max="6146" width="21.140625" style="59" customWidth="1"/>
    <col min="6147" max="6147" width="0.5703125" style="59" customWidth="1"/>
    <col min="6148" max="6148" width="9" style="59"/>
    <col min="6149" max="6149" width="15.42578125" style="59" customWidth="1"/>
    <col min="6150" max="6392" width="9" style="59"/>
    <col min="6393" max="6393" width="32.5703125" style="59" customWidth="1"/>
    <col min="6394" max="6394" width="13.140625" style="59" customWidth="1"/>
    <col min="6395" max="6395" width="15.5703125" style="59" customWidth="1"/>
    <col min="6396" max="6396" width="5.85546875" style="59" customWidth="1"/>
    <col min="6397" max="6397" width="15.85546875" style="59" customWidth="1"/>
    <col min="6398" max="6398" width="14.5703125" style="59" customWidth="1"/>
    <col min="6399" max="6399" width="17.85546875" style="59" customWidth="1"/>
    <col min="6400" max="6400" width="18.140625" style="59" customWidth="1"/>
    <col min="6401" max="6401" width="22.5703125" style="59" customWidth="1"/>
    <col min="6402" max="6402" width="21.140625" style="59" customWidth="1"/>
    <col min="6403" max="6403" width="0.5703125" style="59" customWidth="1"/>
    <col min="6404" max="6404" width="9" style="59"/>
    <col min="6405" max="6405" width="15.42578125" style="59" customWidth="1"/>
    <col min="6406" max="6648" width="9" style="59"/>
    <col min="6649" max="6649" width="32.5703125" style="59" customWidth="1"/>
    <col min="6650" max="6650" width="13.140625" style="59" customWidth="1"/>
    <col min="6651" max="6651" width="15.5703125" style="59" customWidth="1"/>
    <col min="6652" max="6652" width="5.85546875" style="59" customWidth="1"/>
    <col min="6653" max="6653" width="15.85546875" style="59" customWidth="1"/>
    <col min="6654" max="6654" width="14.5703125" style="59" customWidth="1"/>
    <col min="6655" max="6655" width="17.85546875" style="59" customWidth="1"/>
    <col min="6656" max="6656" width="18.140625" style="59" customWidth="1"/>
    <col min="6657" max="6657" width="22.5703125" style="59" customWidth="1"/>
    <col min="6658" max="6658" width="21.140625" style="59" customWidth="1"/>
    <col min="6659" max="6659" width="0.5703125" style="59" customWidth="1"/>
    <col min="6660" max="6660" width="9" style="59"/>
    <col min="6661" max="6661" width="15.42578125" style="59" customWidth="1"/>
    <col min="6662" max="6904" width="9" style="59"/>
    <col min="6905" max="6905" width="32.5703125" style="59" customWidth="1"/>
    <col min="6906" max="6906" width="13.140625" style="59" customWidth="1"/>
    <col min="6907" max="6907" width="15.5703125" style="59" customWidth="1"/>
    <col min="6908" max="6908" width="5.85546875" style="59" customWidth="1"/>
    <col min="6909" max="6909" width="15.85546875" style="59" customWidth="1"/>
    <col min="6910" max="6910" width="14.5703125" style="59" customWidth="1"/>
    <col min="6911" max="6911" width="17.85546875" style="59" customWidth="1"/>
    <col min="6912" max="6912" width="18.140625" style="59" customWidth="1"/>
    <col min="6913" max="6913" width="22.5703125" style="59" customWidth="1"/>
    <col min="6914" max="6914" width="21.140625" style="59" customWidth="1"/>
    <col min="6915" max="6915" width="0.5703125" style="59" customWidth="1"/>
    <col min="6916" max="6916" width="9" style="59"/>
    <col min="6917" max="6917" width="15.42578125" style="59" customWidth="1"/>
    <col min="6918" max="7160" width="9" style="59"/>
    <col min="7161" max="7161" width="32.5703125" style="59" customWidth="1"/>
    <col min="7162" max="7162" width="13.140625" style="59" customWidth="1"/>
    <col min="7163" max="7163" width="15.5703125" style="59" customWidth="1"/>
    <col min="7164" max="7164" width="5.85546875" style="59" customWidth="1"/>
    <col min="7165" max="7165" width="15.85546875" style="59" customWidth="1"/>
    <col min="7166" max="7166" width="14.5703125" style="59" customWidth="1"/>
    <col min="7167" max="7167" width="17.85546875" style="59" customWidth="1"/>
    <col min="7168" max="7168" width="18.140625" style="59" customWidth="1"/>
    <col min="7169" max="7169" width="22.5703125" style="59" customWidth="1"/>
    <col min="7170" max="7170" width="21.140625" style="59" customWidth="1"/>
    <col min="7171" max="7171" width="0.5703125" style="59" customWidth="1"/>
    <col min="7172" max="7172" width="9" style="59"/>
    <col min="7173" max="7173" width="15.42578125" style="59" customWidth="1"/>
    <col min="7174" max="7416" width="9" style="59"/>
    <col min="7417" max="7417" width="32.5703125" style="59" customWidth="1"/>
    <col min="7418" max="7418" width="13.140625" style="59" customWidth="1"/>
    <col min="7419" max="7419" width="15.5703125" style="59" customWidth="1"/>
    <col min="7420" max="7420" width="5.85546875" style="59" customWidth="1"/>
    <col min="7421" max="7421" width="15.85546875" style="59" customWidth="1"/>
    <col min="7422" max="7422" width="14.5703125" style="59" customWidth="1"/>
    <col min="7423" max="7423" width="17.85546875" style="59" customWidth="1"/>
    <col min="7424" max="7424" width="18.140625" style="59" customWidth="1"/>
    <col min="7425" max="7425" width="22.5703125" style="59" customWidth="1"/>
    <col min="7426" max="7426" width="21.140625" style="59" customWidth="1"/>
    <col min="7427" max="7427" width="0.5703125" style="59" customWidth="1"/>
    <col min="7428" max="7428" width="9" style="59"/>
    <col min="7429" max="7429" width="15.42578125" style="59" customWidth="1"/>
    <col min="7430" max="7672" width="9" style="59"/>
    <col min="7673" max="7673" width="32.5703125" style="59" customWidth="1"/>
    <col min="7674" max="7674" width="13.140625" style="59" customWidth="1"/>
    <col min="7675" max="7675" width="15.5703125" style="59" customWidth="1"/>
    <col min="7676" max="7676" width="5.85546875" style="59" customWidth="1"/>
    <col min="7677" max="7677" width="15.85546875" style="59" customWidth="1"/>
    <col min="7678" max="7678" width="14.5703125" style="59" customWidth="1"/>
    <col min="7679" max="7679" width="17.85546875" style="59" customWidth="1"/>
    <col min="7680" max="7680" width="18.140625" style="59" customWidth="1"/>
    <col min="7681" max="7681" width="22.5703125" style="59" customWidth="1"/>
    <col min="7682" max="7682" width="21.140625" style="59" customWidth="1"/>
    <col min="7683" max="7683" width="0.5703125" style="59" customWidth="1"/>
    <col min="7684" max="7684" width="9" style="59"/>
    <col min="7685" max="7685" width="15.42578125" style="59" customWidth="1"/>
    <col min="7686" max="7928" width="9" style="59"/>
    <col min="7929" max="7929" width="32.5703125" style="59" customWidth="1"/>
    <col min="7930" max="7930" width="13.140625" style="59" customWidth="1"/>
    <col min="7931" max="7931" width="15.5703125" style="59" customWidth="1"/>
    <col min="7932" max="7932" width="5.85546875" style="59" customWidth="1"/>
    <col min="7933" max="7933" width="15.85546875" style="59" customWidth="1"/>
    <col min="7934" max="7934" width="14.5703125" style="59" customWidth="1"/>
    <col min="7935" max="7935" width="17.85546875" style="59" customWidth="1"/>
    <col min="7936" max="7936" width="18.140625" style="59" customWidth="1"/>
    <col min="7937" max="7937" width="22.5703125" style="59" customWidth="1"/>
    <col min="7938" max="7938" width="21.140625" style="59" customWidth="1"/>
    <col min="7939" max="7939" width="0.5703125" style="59" customWidth="1"/>
    <col min="7940" max="7940" width="9" style="59"/>
    <col min="7941" max="7941" width="15.42578125" style="59" customWidth="1"/>
    <col min="7942" max="8184" width="9" style="59"/>
    <col min="8185" max="8185" width="32.5703125" style="59" customWidth="1"/>
    <col min="8186" max="8186" width="13.140625" style="59" customWidth="1"/>
    <col min="8187" max="8187" width="15.5703125" style="59" customWidth="1"/>
    <col min="8188" max="8188" width="5.85546875" style="59" customWidth="1"/>
    <col min="8189" max="8189" width="15.85546875" style="59" customWidth="1"/>
    <col min="8190" max="8190" width="14.5703125" style="59" customWidth="1"/>
    <col min="8191" max="8191" width="17.85546875" style="59" customWidth="1"/>
    <col min="8192" max="8192" width="18.140625" style="59" customWidth="1"/>
    <col min="8193" max="8193" width="22.5703125" style="59" customWidth="1"/>
    <col min="8194" max="8194" width="21.140625" style="59" customWidth="1"/>
    <col min="8195" max="8195" width="0.5703125" style="59" customWidth="1"/>
    <col min="8196" max="8196" width="9" style="59"/>
    <col min="8197" max="8197" width="15.42578125" style="59" customWidth="1"/>
    <col min="8198" max="8440" width="9" style="59"/>
    <col min="8441" max="8441" width="32.5703125" style="59" customWidth="1"/>
    <col min="8442" max="8442" width="13.140625" style="59" customWidth="1"/>
    <col min="8443" max="8443" width="15.5703125" style="59" customWidth="1"/>
    <col min="8444" max="8444" width="5.85546875" style="59" customWidth="1"/>
    <col min="8445" max="8445" width="15.85546875" style="59" customWidth="1"/>
    <col min="8446" max="8446" width="14.5703125" style="59" customWidth="1"/>
    <col min="8447" max="8447" width="17.85546875" style="59" customWidth="1"/>
    <col min="8448" max="8448" width="18.140625" style="59" customWidth="1"/>
    <col min="8449" max="8449" width="22.5703125" style="59" customWidth="1"/>
    <col min="8450" max="8450" width="21.140625" style="59" customWidth="1"/>
    <col min="8451" max="8451" width="0.5703125" style="59" customWidth="1"/>
    <col min="8452" max="8452" width="9" style="59"/>
    <col min="8453" max="8453" width="15.42578125" style="59" customWidth="1"/>
    <col min="8454" max="8696" width="9" style="59"/>
    <col min="8697" max="8697" width="32.5703125" style="59" customWidth="1"/>
    <col min="8698" max="8698" width="13.140625" style="59" customWidth="1"/>
    <col min="8699" max="8699" width="15.5703125" style="59" customWidth="1"/>
    <col min="8700" max="8700" width="5.85546875" style="59" customWidth="1"/>
    <col min="8701" max="8701" width="15.85546875" style="59" customWidth="1"/>
    <col min="8702" max="8702" width="14.5703125" style="59" customWidth="1"/>
    <col min="8703" max="8703" width="17.85546875" style="59" customWidth="1"/>
    <col min="8704" max="8704" width="18.140625" style="59" customWidth="1"/>
    <col min="8705" max="8705" width="22.5703125" style="59" customWidth="1"/>
    <col min="8706" max="8706" width="21.140625" style="59" customWidth="1"/>
    <col min="8707" max="8707" width="0.5703125" style="59" customWidth="1"/>
    <col min="8708" max="8708" width="9" style="59"/>
    <col min="8709" max="8709" width="15.42578125" style="59" customWidth="1"/>
    <col min="8710" max="8952" width="9" style="59"/>
    <col min="8953" max="8953" width="32.5703125" style="59" customWidth="1"/>
    <col min="8954" max="8954" width="13.140625" style="59" customWidth="1"/>
    <col min="8955" max="8955" width="15.5703125" style="59" customWidth="1"/>
    <col min="8956" max="8956" width="5.85546875" style="59" customWidth="1"/>
    <col min="8957" max="8957" width="15.85546875" style="59" customWidth="1"/>
    <col min="8958" max="8958" width="14.5703125" style="59" customWidth="1"/>
    <col min="8959" max="8959" width="17.85546875" style="59" customWidth="1"/>
    <col min="8960" max="8960" width="18.140625" style="59" customWidth="1"/>
    <col min="8961" max="8961" width="22.5703125" style="59" customWidth="1"/>
    <col min="8962" max="8962" width="21.140625" style="59" customWidth="1"/>
    <col min="8963" max="8963" width="0.5703125" style="59" customWidth="1"/>
    <col min="8964" max="8964" width="9" style="59"/>
    <col min="8965" max="8965" width="15.42578125" style="59" customWidth="1"/>
    <col min="8966" max="9208" width="9" style="59"/>
    <col min="9209" max="9209" width="32.5703125" style="59" customWidth="1"/>
    <col min="9210" max="9210" width="13.140625" style="59" customWidth="1"/>
    <col min="9211" max="9211" width="15.5703125" style="59" customWidth="1"/>
    <col min="9212" max="9212" width="5.85546875" style="59" customWidth="1"/>
    <col min="9213" max="9213" width="15.85546875" style="59" customWidth="1"/>
    <col min="9214" max="9214" width="14.5703125" style="59" customWidth="1"/>
    <col min="9215" max="9215" width="17.85546875" style="59" customWidth="1"/>
    <col min="9216" max="9216" width="18.140625" style="59" customWidth="1"/>
    <col min="9217" max="9217" width="22.5703125" style="59" customWidth="1"/>
    <col min="9218" max="9218" width="21.140625" style="59" customWidth="1"/>
    <col min="9219" max="9219" width="0.5703125" style="59" customWidth="1"/>
    <col min="9220" max="9220" width="9" style="59"/>
    <col min="9221" max="9221" width="15.42578125" style="59" customWidth="1"/>
    <col min="9222" max="9464" width="9" style="59"/>
    <col min="9465" max="9465" width="32.5703125" style="59" customWidth="1"/>
    <col min="9466" max="9466" width="13.140625" style="59" customWidth="1"/>
    <col min="9467" max="9467" width="15.5703125" style="59" customWidth="1"/>
    <col min="9468" max="9468" width="5.85546875" style="59" customWidth="1"/>
    <col min="9469" max="9469" width="15.85546875" style="59" customWidth="1"/>
    <col min="9470" max="9470" width="14.5703125" style="59" customWidth="1"/>
    <col min="9471" max="9471" width="17.85546875" style="59" customWidth="1"/>
    <col min="9472" max="9472" width="18.140625" style="59" customWidth="1"/>
    <col min="9473" max="9473" width="22.5703125" style="59" customWidth="1"/>
    <col min="9474" max="9474" width="21.140625" style="59" customWidth="1"/>
    <col min="9475" max="9475" width="0.5703125" style="59" customWidth="1"/>
    <col min="9476" max="9476" width="9" style="59"/>
    <col min="9477" max="9477" width="15.42578125" style="59" customWidth="1"/>
    <col min="9478" max="9720" width="9" style="59"/>
    <col min="9721" max="9721" width="32.5703125" style="59" customWidth="1"/>
    <col min="9722" max="9722" width="13.140625" style="59" customWidth="1"/>
    <col min="9723" max="9723" width="15.5703125" style="59" customWidth="1"/>
    <col min="9724" max="9724" width="5.85546875" style="59" customWidth="1"/>
    <col min="9725" max="9725" width="15.85546875" style="59" customWidth="1"/>
    <col min="9726" max="9726" width="14.5703125" style="59" customWidth="1"/>
    <col min="9727" max="9727" width="17.85546875" style="59" customWidth="1"/>
    <col min="9728" max="9728" width="18.140625" style="59" customWidth="1"/>
    <col min="9729" max="9729" width="22.5703125" style="59" customWidth="1"/>
    <col min="9730" max="9730" width="21.140625" style="59" customWidth="1"/>
    <col min="9731" max="9731" width="0.5703125" style="59" customWidth="1"/>
    <col min="9732" max="9732" width="9" style="59"/>
    <col min="9733" max="9733" width="15.42578125" style="59" customWidth="1"/>
    <col min="9734" max="9976" width="9" style="59"/>
    <col min="9977" max="9977" width="32.5703125" style="59" customWidth="1"/>
    <col min="9978" max="9978" width="13.140625" style="59" customWidth="1"/>
    <col min="9979" max="9979" width="15.5703125" style="59" customWidth="1"/>
    <col min="9980" max="9980" width="5.85546875" style="59" customWidth="1"/>
    <col min="9981" max="9981" width="15.85546875" style="59" customWidth="1"/>
    <col min="9982" max="9982" width="14.5703125" style="59" customWidth="1"/>
    <col min="9983" max="9983" width="17.85546875" style="59" customWidth="1"/>
    <col min="9984" max="9984" width="18.140625" style="59" customWidth="1"/>
    <col min="9985" max="9985" width="22.5703125" style="59" customWidth="1"/>
    <col min="9986" max="9986" width="21.140625" style="59" customWidth="1"/>
    <col min="9987" max="9987" width="0.5703125" style="59" customWidth="1"/>
    <col min="9988" max="9988" width="9" style="59"/>
    <col min="9989" max="9989" width="15.42578125" style="59" customWidth="1"/>
    <col min="9990" max="10232" width="9" style="59"/>
    <col min="10233" max="10233" width="32.5703125" style="59" customWidth="1"/>
    <col min="10234" max="10234" width="13.140625" style="59" customWidth="1"/>
    <col min="10235" max="10235" width="15.5703125" style="59" customWidth="1"/>
    <col min="10236" max="10236" width="5.85546875" style="59" customWidth="1"/>
    <col min="10237" max="10237" width="15.85546875" style="59" customWidth="1"/>
    <col min="10238" max="10238" width="14.5703125" style="59" customWidth="1"/>
    <col min="10239" max="10239" width="17.85546875" style="59" customWidth="1"/>
    <col min="10240" max="10240" width="18.140625" style="59" customWidth="1"/>
    <col min="10241" max="10241" width="22.5703125" style="59" customWidth="1"/>
    <col min="10242" max="10242" width="21.140625" style="59" customWidth="1"/>
    <col min="10243" max="10243" width="0.5703125" style="59" customWidth="1"/>
    <col min="10244" max="10244" width="9" style="59"/>
    <col min="10245" max="10245" width="15.42578125" style="59" customWidth="1"/>
    <col min="10246" max="10488" width="9" style="59"/>
    <col min="10489" max="10489" width="32.5703125" style="59" customWidth="1"/>
    <col min="10490" max="10490" width="13.140625" style="59" customWidth="1"/>
    <col min="10491" max="10491" width="15.5703125" style="59" customWidth="1"/>
    <col min="10492" max="10492" width="5.85546875" style="59" customWidth="1"/>
    <col min="10493" max="10493" width="15.85546875" style="59" customWidth="1"/>
    <col min="10494" max="10494" width="14.5703125" style="59" customWidth="1"/>
    <col min="10495" max="10495" width="17.85546875" style="59" customWidth="1"/>
    <col min="10496" max="10496" width="18.140625" style="59" customWidth="1"/>
    <col min="10497" max="10497" width="22.5703125" style="59" customWidth="1"/>
    <col min="10498" max="10498" width="21.140625" style="59" customWidth="1"/>
    <col min="10499" max="10499" width="0.5703125" style="59" customWidth="1"/>
    <col min="10500" max="10500" width="9" style="59"/>
    <col min="10501" max="10501" width="15.42578125" style="59" customWidth="1"/>
    <col min="10502" max="10744" width="9" style="59"/>
    <col min="10745" max="10745" width="32.5703125" style="59" customWidth="1"/>
    <col min="10746" max="10746" width="13.140625" style="59" customWidth="1"/>
    <col min="10747" max="10747" width="15.5703125" style="59" customWidth="1"/>
    <col min="10748" max="10748" width="5.85546875" style="59" customWidth="1"/>
    <col min="10749" max="10749" width="15.85546875" style="59" customWidth="1"/>
    <col min="10750" max="10750" width="14.5703125" style="59" customWidth="1"/>
    <col min="10751" max="10751" width="17.85546875" style="59" customWidth="1"/>
    <col min="10752" max="10752" width="18.140625" style="59" customWidth="1"/>
    <col min="10753" max="10753" width="22.5703125" style="59" customWidth="1"/>
    <col min="10754" max="10754" width="21.140625" style="59" customWidth="1"/>
    <col min="10755" max="10755" width="0.5703125" style="59" customWidth="1"/>
    <col min="10756" max="10756" width="9" style="59"/>
    <col min="10757" max="10757" width="15.42578125" style="59" customWidth="1"/>
    <col min="10758" max="11000" width="9" style="59"/>
    <col min="11001" max="11001" width="32.5703125" style="59" customWidth="1"/>
    <col min="11002" max="11002" width="13.140625" style="59" customWidth="1"/>
    <col min="11003" max="11003" width="15.5703125" style="59" customWidth="1"/>
    <col min="11004" max="11004" width="5.85546875" style="59" customWidth="1"/>
    <col min="11005" max="11005" width="15.85546875" style="59" customWidth="1"/>
    <col min="11006" max="11006" width="14.5703125" style="59" customWidth="1"/>
    <col min="11007" max="11007" width="17.85546875" style="59" customWidth="1"/>
    <col min="11008" max="11008" width="18.140625" style="59" customWidth="1"/>
    <col min="11009" max="11009" width="22.5703125" style="59" customWidth="1"/>
    <col min="11010" max="11010" width="21.140625" style="59" customWidth="1"/>
    <col min="11011" max="11011" width="0.5703125" style="59" customWidth="1"/>
    <col min="11012" max="11012" width="9" style="59"/>
    <col min="11013" max="11013" width="15.42578125" style="59" customWidth="1"/>
    <col min="11014" max="11256" width="9" style="59"/>
    <col min="11257" max="11257" width="32.5703125" style="59" customWidth="1"/>
    <col min="11258" max="11258" width="13.140625" style="59" customWidth="1"/>
    <col min="11259" max="11259" width="15.5703125" style="59" customWidth="1"/>
    <col min="11260" max="11260" width="5.85546875" style="59" customWidth="1"/>
    <col min="11261" max="11261" width="15.85546875" style="59" customWidth="1"/>
    <col min="11262" max="11262" width="14.5703125" style="59" customWidth="1"/>
    <col min="11263" max="11263" width="17.85546875" style="59" customWidth="1"/>
    <col min="11264" max="11264" width="18.140625" style="59" customWidth="1"/>
    <col min="11265" max="11265" width="22.5703125" style="59" customWidth="1"/>
    <col min="11266" max="11266" width="21.140625" style="59" customWidth="1"/>
    <col min="11267" max="11267" width="0.5703125" style="59" customWidth="1"/>
    <col min="11268" max="11268" width="9" style="59"/>
    <col min="11269" max="11269" width="15.42578125" style="59" customWidth="1"/>
    <col min="11270" max="11512" width="9" style="59"/>
    <col min="11513" max="11513" width="32.5703125" style="59" customWidth="1"/>
    <col min="11514" max="11514" width="13.140625" style="59" customWidth="1"/>
    <col min="11515" max="11515" width="15.5703125" style="59" customWidth="1"/>
    <col min="11516" max="11516" width="5.85546875" style="59" customWidth="1"/>
    <col min="11517" max="11517" width="15.85546875" style="59" customWidth="1"/>
    <col min="11518" max="11518" width="14.5703125" style="59" customWidth="1"/>
    <col min="11519" max="11519" width="17.85546875" style="59" customWidth="1"/>
    <col min="11520" max="11520" width="18.140625" style="59" customWidth="1"/>
    <col min="11521" max="11521" width="22.5703125" style="59" customWidth="1"/>
    <col min="11522" max="11522" width="21.140625" style="59" customWidth="1"/>
    <col min="11523" max="11523" width="0.5703125" style="59" customWidth="1"/>
    <col min="11524" max="11524" width="9" style="59"/>
    <col min="11525" max="11525" width="15.42578125" style="59" customWidth="1"/>
    <col min="11526" max="11768" width="9" style="59"/>
    <col min="11769" max="11769" width="32.5703125" style="59" customWidth="1"/>
    <col min="11770" max="11770" width="13.140625" style="59" customWidth="1"/>
    <col min="11771" max="11771" width="15.5703125" style="59" customWidth="1"/>
    <col min="11772" max="11772" width="5.85546875" style="59" customWidth="1"/>
    <col min="11773" max="11773" width="15.85546875" style="59" customWidth="1"/>
    <col min="11774" max="11774" width="14.5703125" style="59" customWidth="1"/>
    <col min="11775" max="11775" width="17.85546875" style="59" customWidth="1"/>
    <col min="11776" max="11776" width="18.140625" style="59" customWidth="1"/>
    <col min="11777" max="11777" width="22.5703125" style="59" customWidth="1"/>
    <col min="11778" max="11778" width="21.140625" style="59" customWidth="1"/>
    <col min="11779" max="11779" width="0.5703125" style="59" customWidth="1"/>
    <col min="11780" max="11780" width="9" style="59"/>
    <col min="11781" max="11781" width="15.42578125" style="59" customWidth="1"/>
    <col min="11782" max="12024" width="9" style="59"/>
    <col min="12025" max="12025" width="32.5703125" style="59" customWidth="1"/>
    <col min="12026" max="12026" width="13.140625" style="59" customWidth="1"/>
    <col min="12027" max="12027" width="15.5703125" style="59" customWidth="1"/>
    <col min="12028" max="12028" width="5.85546875" style="59" customWidth="1"/>
    <col min="12029" max="12029" width="15.85546875" style="59" customWidth="1"/>
    <col min="12030" max="12030" width="14.5703125" style="59" customWidth="1"/>
    <col min="12031" max="12031" width="17.85546875" style="59" customWidth="1"/>
    <col min="12032" max="12032" width="18.140625" style="59" customWidth="1"/>
    <col min="12033" max="12033" width="22.5703125" style="59" customWidth="1"/>
    <col min="12034" max="12034" width="21.140625" style="59" customWidth="1"/>
    <col min="12035" max="12035" width="0.5703125" style="59" customWidth="1"/>
    <col min="12036" max="12036" width="9" style="59"/>
    <col min="12037" max="12037" width="15.42578125" style="59" customWidth="1"/>
    <col min="12038" max="12280" width="9" style="59"/>
    <col min="12281" max="12281" width="32.5703125" style="59" customWidth="1"/>
    <col min="12282" max="12282" width="13.140625" style="59" customWidth="1"/>
    <col min="12283" max="12283" width="15.5703125" style="59" customWidth="1"/>
    <col min="12284" max="12284" width="5.85546875" style="59" customWidth="1"/>
    <col min="12285" max="12285" width="15.85546875" style="59" customWidth="1"/>
    <col min="12286" max="12286" width="14.5703125" style="59" customWidth="1"/>
    <col min="12287" max="12287" width="17.85546875" style="59" customWidth="1"/>
    <col min="12288" max="12288" width="18.140625" style="59" customWidth="1"/>
    <col min="12289" max="12289" width="22.5703125" style="59" customWidth="1"/>
    <col min="12290" max="12290" width="21.140625" style="59" customWidth="1"/>
    <col min="12291" max="12291" width="0.5703125" style="59" customWidth="1"/>
    <col min="12292" max="12292" width="9" style="59"/>
    <col min="12293" max="12293" width="15.42578125" style="59" customWidth="1"/>
    <col min="12294" max="12536" width="9" style="59"/>
    <col min="12537" max="12537" width="32.5703125" style="59" customWidth="1"/>
    <col min="12538" max="12538" width="13.140625" style="59" customWidth="1"/>
    <col min="12539" max="12539" width="15.5703125" style="59" customWidth="1"/>
    <col min="12540" max="12540" width="5.85546875" style="59" customWidth="1"/>
    <col min="12541" max="12541" width="15.85546875" style="59" customWidth="1"/>
    <col min="12542" max="12542" width="14.5703125" style="59" customWidth="1"/>
    <col min="12543" max="12543" width="17.85546875" style="59" customWidth="1"/>
    <col min="12544" max="12544" width="18.140625" style="59" customWidth="1"/>
    <col min="12545" max="12545" width="22.5703125" style="59" customWidth="1"/>
    <col min="12546" max="12546" width="21.140625" style="59" customWidth="1"/>
    <col min="12547" max="12547" width="0.5703125" style="59" customWidth="1"/>
    <col min="12548" max="12548" width="9" style="59"/>
    <col min="12549" max="12549" width="15.42578125" style="59" customWidth="1"/>
    <col min="12550" max="12792" width="9" style="59"/>
    <col min="12793" max="12793" width="32.5703125" style="59" customWidth="1"/>
    <col min="12794" max="12794" width="13.140625" style="59" customWidth="1"/>
    <col min="12795" max="12795" width="15.5703125" style="59" customWidth="1"/>
    <col min="12796" max="12796" width="5.85546875" style="59" customWidth="1"/>
    <col min="12797" max="12797" width="15.85546875" style="59" customWidth="1"/>
    <col min="12798" max="12798" width="14.5703125" style="59" customWidth="1"/>
    <col min="12799" max="12799" width="17.85546875" style="59" customWidth="1"/>
    <col min="12800" max="12800" width="18.140625" style="59" customWidth="1"/>
    <col min="12801" max="12801" width="22.5703125" style="59" customWidth="1"/>
    <col min="12802" max="12802" width="21.140625" style="59" customWidth="1"/>
    <col min="12803" max="12803" width="0.5703125" style="59" customWidth="1"/>
    <col min="12804" max="12804" width="9" style="59"/>
    <col min="12805" max="12805" width="15.42578125" style="59" customWidth="1"/>
    <col min="12806" max="13048" width="9" style="59"/>
    <col min="13049" max="13049" width="32.5703125" style="59" customWidth="1"/>
    <col min="13050" max="13050" width="13.140625" style="59" customWidth="1"/>
    <col min="13051" max="13051" width="15.5703125" style="59" customWidth="1"/>
    <col min="13052" max="13052" width="5.85546875" style="59" customWidth="1"/>
    <col min="13053" max="13053" width="15.85546875" style="59" customWidth="1"/>
    <col min="13054" max="13054" width="14.5703125" style="59" customWidth="1"/>
    <col min="13055" max="13055" width="17.85546875" style="59" customWidth="1"/>
    <col min="13056" max="13056" width="18.140625" style="59" customWidth="1"/>
    <col min="13057" max="13057" width="22.5703125" style="59" customWidth="1"/>
    <col min="13058" max="13058" width="21.140625" style="59" customWidth="1"/>
    <col min="13059" max="13059" width="0.5703125" style="59" customWidth="1"/>
    <col min="13060" max="13060" width="9" style="59"/>
    <col min="13061" max="13061" width="15.42578125" style="59" customWidth="1"/>
    <col min="13062" max="13304" width="9" style="59"/>
    <col min="13305" max="13305" width="32.5703125" style="59" customWidth="1"/>
    <col min="13306" max="13306" width="13.140625" style="59" customWidth="1"/>
    <col min="13307" max="13307" width="15.5703125" style="59" customWidth="1"/>
    <col min="13308" max="13308" width="5.85546875" style="59" customWidth="1"/>
    <col min="13309" max="13309" width="15.85546875" style="59" customWidth="1"/>
    <col min="13310" max="13310" width="14.5703125" style="59" customWidth="1"/>
    <col min="13311" max="13311" width="17.85546875" style="59" customWidth="1"/>
    <col min="13312" max="13312" width="18.140625" style="59" customWidth="1"/>
    <col min="13313" max="13313" width="22.5703125" style="59" customWidth="1"/>
    <col min="13314" max="13314" width="21.140625" style="59" customWidth="1"/>
    <col min="13315" max="13315" width="0.5703125" style="59" customWidth="1"/>
    <col min="13316" max="13316" width="9" style="59"/>
    <col min="13317" max="13317" width="15.42578125" style="59" customWidth="1"/>
    <col min="13318" max="13560" width="9" style="59"/>
    <col min="13561" max="13561" width="32.5703125" style="59" customWidth="1"/>
    <col min="13562" max="13562" width="13.140625" style="59" customWidth="1"/>
    <col min="13563" max="13563" width="15.5703125" style="59" customWidth="1"/>
    <col min="13564" max="13564" width="5.85546875" style="59" customWidth="1"/>
    <col min="13565" max="13565" width="15.85546875" style="59" customWidth="1"/>
    <col min="13566" max="13566" width="14.5703125" style="59" customWidth="1"/>
    <col min="13567" max="13567" width="17.85546875" style="59" customWidth="1"/>
    <col min="13568" max="13568" width="18.140625" style="59" customWidth="1"/>
    <col min="13569" max="13569" width="22.5703125" style="59" customWidth="1"/>
    <col min="13570" max="13570" width="21.140625" style="59" customWidth="1"/>
    <col min="13571" max="13571" width="0.5703125" style="59" customWidth="1"/>
    <col min="13572" max="13572" width="9" style="59"/>
    <col min="13573" max="13573" width="15.42578125" style="59" customWidth="1"/>
    <col min="13574" max="13816" width="9" style="59"/>
    <col min="13817" max="13817" width="32.5703125" style="59" customWidth="1"/>
    <col min="13818" max="13818" width="13.140625" style="59" customWidth="1"/>
    <col min="13819" max="13819" width="15.5703125" style="59" customWidth="1"/>
    <col min="13820" max="13820" width="5.85546875" style="59" customWidth="1"/>
    <col min="13821" max="13821" width="15.85546875" style="59" customWidth="1"/>
    <col min="13822" max="13822" width="14.5703125" style="59" customWidth="1"/>
    <col min="13823" max="13823" width="17.85546875" style="59" customWidth="1"/>
    <col min="13824" max="13824" width="18.140625" style="59" customWidth="1"/>
    <col min="13825" max="13825" width="22.5703125" style="59" customWidth="1"/>
    <col min="13826" max="13826" width="21.140625" style="59" customWidth="1"/>
    <col min="13827" max="13827" width="0.5703125" style="59" customWidth="1"/>
    <col min="13828" max="13828" width="9" style="59"/>
    <col min="13829" max="13829" width="15.42578125" style="59" customWidth="1"/>
    <col min="13830" max="14072" width="9" style="59"/>
    <col min="14073" max="14073" width="32.5703125" style="59" customWidth="1"/>
    <col min="14074" max="14074" width="13.140625" style="59" customWidth="1"/>
    <col min="14075" max="14075" width="15.5703125" style="59" customWidth="1"/>
    <col min="14076" max="14076" width="5.85546875" style="59" customWidth="1"/>
    <col min="14077" max="14077" width="15.85546875" style="59" customWidth="1"/>
    <col min="14078" max="14078" width="14.5703125" style="59" customWidth="1"/>
    <col min="14079" max="14079" width="17.85546875" style="59" customWidth="1"/>
    <col min="14080" max="14080" width="18.140625" style="59" customWidth="1"/>
    <col min="14081" max="14081" width="22.5703125" style="59" customWidth="1"/>
    <col min="14082" max="14082" width="21.140625" style="59" customWidth="1"/>
    <col min="14083" max="14083" width="0.5703125" style="59" customWidth="1"/>
    <col min="14084" max="14084" width="9" style="59"/>
    <col min="14085" max="14085" width="15.42578125" style="59" customWidth="1"/>
    <col min="14086" max="14328" width="9" style="59"/>
    <col min="14329" max="14329" width="32.5703125" style="59" customWidth="1"/>
    <col min="14330" max="14330" width="13.140625" style="59" customWidth="1"/>
    <col min="14331" max="14331" width="15.5703125" style="59" customWidth="1"/>
    <col min="14332" max="14332" width="5.85546875" style="59" customWidth="1"/>
    <col min="14333" max="14333" width="15.85546875" style="59" customWidth="1"/>
    <col min="14334" max="14334" width="14.5703125" style="59" customWidth="1"/>
    <col min="14335" max="14335" width="17.85546875" style="59" customWidth="1"/>
    <col min="14336" max="14336" width="18.140625" style="59" customWidth="1"/>
    <col min="14337" max="14337" width="22.5703125" style="59" customWidth="1"/>
    <col min="14338" max="14338" width="21.140625" style="59" customWidth="1"/>
    <col min="14339" max="14339" width="0.5703125" style="59" customWidth="1"/>
    <col min="14340" max="14340" width="9" style="59"/>
    <col min="14341" max="14341" width="15.42578125" style="59" customWidth="1"/>
    <col min="14342" max="14584" width="9" style="59"/>
    <col min="14585" max="14585" width="32.5703125" style="59" customWidth="1"/>
    <col min="14586" max="14586" width="13.140625" style="59" customWidth="1"/>
    <col min="14587" max="14587" width="15.5703125" style="59" customWidth="1"/>
    <col min="14588" max="14588" width="5.85546875" style="59" customWidth="1"/>
    <col min="14589" max="14589" width="15.85546875" style="59" customWidth="1"/>
    <col min="14590" max="14590" width="14.5703125" style="59" customWidth="1"/>
    <col min="14591" max="14591" width="17.85546875" style="59" customWidth="1"/>
    <col min="14592" max="14592" width="18.140625" style="59" customWidth="1"/>
    <col min="14593" max="14593" width="22.5703125" style="59" customWidth="1"/>
    <col min="14594" max="14594" width="21.140625" style="59" customWidth="1"/>
    <col min="14595" max="14595" width="0.5703125" style="59" customWidth="1"/>
    <col min="14596" max="14596" width="9" style="59"/>
    <col min="14597" max="14597" width="15.42578125" style="59" customWidth="1"/>
    <col min="14598" max="14840" width="9" style="59"/>
    <col min="14841" max="14841" width="32.5703125" style="59" customWidth="1"/>
    <col min="14842" max="14842" width="13.140625" style="59" customWidth="1"/>
    <col min="14843" max="14843" width="15.5703125" style="59" customWidth="1"/>
    <col min="14844" max="14844" width="5.85546875" style="59" customWidth="1"/>
    <col min="14845" max="14845" width="15.85546875" style="59" customWidth="1"/>
    <col min="14846" max="14846" width="14.5703125" style="59" customWidth="1"/>
    <col min="14847" max="14847" width="17.85546875" style="59" customWidth="1"/>
    <col min="14848" max="14848" width="18.140625" style="59" customWidth="1"/>
    <col min="14849" max="14849" width="22.5703125" style="59" customWidth="1"/>
    <col min="14850" max="14850" width="21.140625" style="59" customWidth="1"/>
    <col min="14851" max="14851" width="0.5703125" style="59" customWidth="1"/>
    <col min="14852" max="14852" width="9" style="59"/>
    <col min="14853" max="14853" width="15.42578125" style="59" customWidth="1"/>
    <col min="14854" max="15096" width="9" style="59"/>
    <col min="15097" max="15097" width="32.5703125" style="59" customWidth="1"/>
    <col min="15098" max="15098" width="13.140625" style="59" customWidth="1"/>
    <col min="15099" max="15099" width="15.5703125" style="59" customWidth="1"/>
    <col min="15100" max="15100" width="5.85546875" style="59" customWidth="1"/>
    <col min="15101" max="15101" width="15.85546875" style="59" customWidth="1"/>
    <col min="15102" max="15102" width="14.5703125" style="59" customWidth="1"/>
    <col min="15103" max="15103" width="17.85546875" style="59" customWidth="1"/>
    <col min="15104" max="15104" width="18.140625" style="59" customWidth="1"/>
    <col min="15105" max="15105" width="22.5703125" style="59" customWidth="1"/>
    <col min="15106" max="15106" width="21.140625" style="59" customWidth="1"/>
    <col min="15107" max="15107" width="0.5703125" style="59" customWidth="1"/>
    <col min="15108" max="15108" width="9" style="59"/>
    <col min="15109" max="15109" width="15.42578125" style="59" customWidth="1"/>
    <col min="15110" max="15352" width="9" style="59"/>
    <col min="15353" max="15353" width="32.5703125" style="59" customWidth="1"/>
    <col min="15354" max="15354" width="13.140625" style="59" customWidth="1"/>
    <col min="15355" max="15355" width="15.5703125" style="59" customWidth="1"/>
    <col min="15356" max="15356" width="5.85546875" style="59" customWidth="1"/>
    <col min="15357" max="15357" width="15.85546875" style="59" customWidth="1"/>
    <col min="15358" max="15358" width="14.5703125" style="59" customWidth="1"/>
    <col min="15359" max="15359" width="17.85546875" style="59" customWidth="1"/>
    <col min="15360" max="15360" width="18.140625" style="59" customWidth="1"/>
    <col min="15361" max="15361" width="22.5703125" style="59" customWidth="1"/>
    <col min="15362" max="15362" width="21.140625" style="59" customWidth="1"/>
    <col min="15363" max="15363" width="0.5703125" style="59" customWidth="1"/>
    <col min="15364" max="15364" width="9" style="59"/>
    <col min="15365" max="15365" width="15.42578125" style="59" customWidth="1"/>
    <col min="15366" max="15608" width="9" style="59"/>
    <col min="15609" max="15609" width="32.5703125" style="59" customWidth="1"/>
    <col min="15610" max="15610" width="13.140625" style="59" customWidth="1"/>
    <col min="15611" max="15611" width="15.5703125" style="59" customWidth="1"/>
    <col min="15612" max="15612" width="5.85546875" style="59" customWidth="1"/>
    <col min="15613" max="15613" width="15.85546875" style="59" customWidth="1"/>
    <col min="15614" max="15614" width="14.5703125" style="59" customWidth="1"/>
    <col min="15615" max="15615" width="17.85546875" style="59" customWidth="1"/>
    <col min="15616" max="15616" width="18.140625" style="59" customWidth="1"/>
    <col min="15617" max="15617" width="22.5703125" style="59" customWidth="1"/>
    <col min="15618" max="15618" width="21.140625" style="59" customWidth="1"/>
    <col min="15619" max="15619" width="0.5703125" style="59" customWidth="1"/>
    <col min="15620" max="15620" width="9" style="59"/>
    <col min="15621" max="15621" width="15.42578125" style="59" customWidth="1"/>
    <col min="15622" max="15864" width="9" style="59"/>
    <col min="15865" max="15865" width="32.5703125" style="59" customWidth="1"/>
    <col min="15866" max="15866" width="13.140625" style="59" customWidth="1"/>
    <col min="15867" max="15867" width="15.5703125" style="59" customWidth="1"/>
    <col min="15868" max="15868" width="5.85546875" style="59" customWidth="1"/>
    <col min="15869" max="15869" width="15.85546875" style="59" customWidth="1"/>
    <col min="15870" max="15870" width="14.5703125" style="59" customWidth="1"/>
    <col min="15871" max="15871" width="17.85546875" style="59" customWidth="1"/>
    <col min="15872" max="15872" width="18.140625" style="59" customWidth="1"/>
    <col min="15873" max="15873" width="22.5703125" style="59" customWidth="1"/>
    <col min="15874" max="15874" width="21.140625" style="59" customWidth="1"/>
    <col min="15875" max="15875" width="0.5703125" style="59" customWidth="1"/>
    <col min="15876" max="15876" width="9" style="59"/>
    <col min="15877" max="15877" width="15.42578125" style="59" customWidth="1"/>
    <col min="15878" max="16120" width="9" style="59"/>
    <col min="16121" max="16121" width="32.5703125" style="59" customWidth="1"/>
    <col min="16122" max="16122" width="13.140625" style="59" customWidth="1"/>
    <col min="16123" max="16123" width="15.5703125" style="59" customWidth="1"/>
    <col min="16124" max="16124" width="5.85546875" style="59" customWidth="1"/>
    <col min="16125" max="16125" width="15.85546875" style="59" customWidth="1"/>
    <col min="16126" max="16126" width="14.5703125" style="59" customWidth="1"/>
    <col min="16127" max="16127" width="17.85546875" style="59" customWidth="1"/>
    <col min="16128" max="16128" width="18.140625" style="59" customWidth="1"/>
    <col min="16129" max="16129" width="22.5703125" style="59" customWidth="1"/>
    <col min="16130" max="16130" width="21.140625" style="59" customWidth="1"/>
    <col min="16131" max="16131" width="0.5703125" style="59" customWidth="1"/>
    <col min="16132" max="16132" width="9" style="59"/>
    <col min="16133" max="16133" width="15.42578125" style="59" customWidth="1"/>
    <col min="16134" max="16384" width="9" style="59"/>
  </cols>
  <sheetData>
    <row r="1" spans="1:27" s="56" customFormat="1" ht="38.25" customHeight="1">
      <c r="A1" s="481" t="s">
        <v>0</v>
      </c>
      <c r="B1" s="482"/>
      <c r="C1" s="482"/>
      <c r="D1" s="482"/>
      <c r="E1" s="482"/>
      <c r="F1" s="482"/>
      <c r="G1" s="482"/>
      <c r="H1" s="482"/>
      <c r="I1" s="482"/>
      <c r="J1" s="482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</row>
    <row r="2" spans="1:27" s="56" customFormat="1" ht="32.25" customHeight="1">
      <c r="A2" s="484" t="s">
        <v>1</v>
      </c>
      <c r="B2" s="485"/>
      <c r="C2" s="485"/>
      <c r="D2" s="485"/>
      <c r="E2" s="485"/>
      <c r="F2" s="485"/>
      <c r="G2" s="485"/>
      <c r="H2" s="485"/>
      <c r="I2" s="485"/>
      <c r="J2" s="107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</row>
    <row r="3" spans="1:27" s="56" customFormat="1" ht="38.25" customHeight="1">
      <c r="A3" s="487" t="s">
        <v>2</v>
      </c>
      <c r="B3" s="488"/>
      <c r="C3" s="488"/>
      <c r="D3" s="488"/>
      <c r="E3" s="488"/>
      <c r="F3" s="488"/>
      <c r="G3" s="488"/>
      <c r="H3" s="488"/>
      <c r="I3" s="488"/>
      <c r="J3" s="108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</row>
    <row r="4" spans="1:27" ht="44.45" customHeight="1">
      <c r="A4" s="578" t="s">
        <v>232</v>
      </c>
      <c r="B4" s="578"/>
      <c r="C4" s="578"/>
      <c r="D4" s="578"/>
      <c r="E4" s="578"/>
      <c r="F4" s="578"/>
      <c r="G4" s="578"/>
      <c r="H4" s="578"/>
      <c r="I4" s="578"/>
    </row>
    <row r="5" spans="1:27" ht="44.45" customHeight="1">
      <c r="A5" s="60"/>
      <c r="B5" s="60"/>
      <c r="C5" s="60"/>
      <c r="D5" s="60"/>
      <c r="E5" s="60"/>
      <c r="F5" s="60"/>
      <c r="G5" s="60"/>
      <c r="H5" s="60"/>
      <c r="I5" s="60"/>
    </row>
    <row r="6" spans="1:27" ht="44.45" customHeight="1">
      <c r="A6" s="61" t="s">
        <v>131</v>
      </c>
      <c r="B6" s="291"/>
      <c r="C6" s="62"/>
      <c r="D6" s="62"/>
      <c r="E6" s="62"/>
      <c r="F6" s="62"/>
      <c r="H6" s="63" t="s">
        <v>237</v>
      </c>
      <c r="I6" s="64" t="s">
        <v>233</v>
      </c>
    </row>
    <row r="7" spans="1:27" ht="27.75" customHeight="1">
      <c r="A7" s="579" t="s">
        <v>132</v>
      </c>
      <c r="B7" s="580"/>
      <c r="C7" s="580"/>
      <c r="D7" s="580"/>
      <c r="E7" s="580"/>
      <c r="F7" s="580"/>
      <c r="H7" s="65" t="s">
        <v>133</v>
      </c>
      <c r="I7" s="581">
        <v>46018</v>
      </c>
      <c r="J7" s="581"/>
    </row>
    <row r="8" spans="1:27" ht="14.25" customHeight="1">
      <c r="A8" s="66"/>
      <c r="B8" s="292"/>
      <c r="C8" s="67"/>
      <c r="D8" s="67"/>
      <c r="E8" s="67"/>
      <c r="F8" s="67"/>
      <c r="G8" s="68"/>
      <c r="H8" s="60"/>
      <c r="I8" s="60"/>
    </row>
    <row r="9" spans="1:27" ht="48" customHeight="1">
      <c r="A9" s="582" t="s">
        <v>235</v>
      </c>
      <c r="B9" s="583"/>
      <c r="C9" s="584"/>
      <c r="D9" s="584"/>
      <c r="E9" s="584"/>
      <c r="F9" s="584"/>
      <c r="G9" s="584"/>
      <c r="H9" s="71"/>
      <c r="I9" s="72"/>
    </row>
    <row r="10" spans="1:27" ht="35.25" customHeight="1">
      <c r="A10" s="73" t="s">
        <v>134</v>
      </c>
      <c r="B10" s="76"/>
      <c r="C10" s="67"/>
      <c r="D10" s="67"/>
      <c r="E10" s="67"/>
      <c r="F10" s="67"/>
      <c r="G10" s="67"/>
      <c r="H10" s="71"/>
      <c r="I10" s="72"/>
    </row>
    <row r="11" spans="1:27" ht="30.75" customHeight="1">
      <c r="A11" s="73" t="s">
        <v>135</v>
      </c>
      <c r="B11" s="76"/>
      <c r="C11" s="67"/>
      <c r="D11" s="67"/>
      <c r="E11" s="67"/>
      <c r="F11" s="67"/>
      <c r="G11" s="74"/>
      <c r="H11" s="71"/>
      <c r="I11" s="72"/>
    </row>
    <row r="12" spans="1:27" s="57" customFormat="1" ht="21.75" customHeight="1">
      <c r="A12" s="73" t="s">
        <v>136</v>
      </c>
      <c r="B12" s="76"/>
      <c r="C12" s="75" t="s">
        <v>111</v>
      </c>
      <c r="D12" s="67" t="s">
        <v>137</v>
      </c>
      <c r="E12" s="67"/>
      <c r="F12" s="67"/>
      <c r="G12" s="67"/>
      <c r="H12" s="74"/>
      <c r="I12" s="76"/>
    </row>
    <row r="13" spans="1:27" s="57" customFormat="1" ht="21.75" customHeight="1" thickBot="1">
      <c r="A13" s="76"/>
      <c r="B13" s="76"/>
      <c r="C13" s="75"/>
      <c r="D13" s="67"/>
      <c r="E13" s="67"/>
      <c r="F13" s="67"/>
      <c r="G13" s="67"/>
      <c r="H13" s="74"/>
      <c r="I13" s="76"/>
    </row>
    <row r="14" spans="1:27" s="57" customFormat="1" ht="54" customHeight="1">
      <c r="A14" s="278" t="s">
        <v>97</v>
      </c>
      <c r="B14" s="131" t="s">
        <v>98</v>
      </c>
      <c r="C14" s="132" t="s">
        <v>38</v>
      </c>
      <c r="D14" s="132" t="s">
        <v>99</v>
      </c>
      <c r="E14" s="132" t="s">
        <v>39</v>
      </c>
      <c r="F14" s="132" t="s">
        <v>40</v>
      </c>
      <c r="G14" s="297" t="s">
        <v>100</v>
      </c>
      <c r="H14" s="132" t="s">
        <v>101</v>
      </c>
      <c r="I14" s="132" t="s">
        <v>102</v>
      </c>
      <c r="J14" s="279" t="s">
        <v>103</v>
      </c>
    </row>
    <row r="15" spans="1:27" s="57" customFormat="1" ht="69.95" customHeight="1">
      <c r="A15" s="277" t="s">
        <v>60</v>
      </c>
      <c r="B15" s="277" t="s">
        <v>61</v>
      </c>
      <c r="C15" s="289">
        <v>1051120</v>
      </c>
      <c r="D15" s="277" t="s">
        <v>47</v>
      </c>
      <c r="E15" s="287" t="s">
        <v>48</v>
      </c>
      <c r="F15" s="285" t="s">
        <v>53</v>
      </c>
      <c r="G15" s="285">
        <v>41</v>
      </c>
      <c r="H15" s="285" t="s">
        <v>50</v>
      </c>
      <c r="I15" s="286">
        <v>0.17</v>
      </c>
      <c r="J15" s="288">
        <v>6.97</v>
      </c>
    </row>
    <row r="16" spans="1:27" ht="69.95" customHeight="1">
      <c r="A16" s="277" t="s">
        <v>60</v>
      </c>
      <c r="B16" s="277" t="s">
        <v>61</v>
      </c>
      <c r="C16" s="289">
        <v>1051120</v>
      </c>
      <c r="D16" s="277" t="s">
        <v>47</v>
      </c>
      <c r="E16" s="287" t="s">
        <v>48</v>
      </c>
      <c r="F16" s="285" t="s">
        <v>55</v>
      </c>
      <c r="G16" s="285">
        <v>12</v>
      </c>
      <c r="H16" s="285" t="s">
        <v>50</v>
      </c>
      <c r="I16" s="286">
        <v>0.17</v>
      </c>
      <c r="J16" s="288">
        <v>2.04</v>
      </c>
    </row>
    <row r="17" spans="1:10" s="57" customFormat="1" ht="69.95" customHeight="1">
      <c r="A17" s="277" t="s">
        <v>60</v>
      </c>
      <c r="B17" s="277" t="s">
        <v>61</v>
      </c>
      <c r="C17" s="289">
        <v>1051120</v>
      </c>
      <c r="D17" s="277" t="s">
        <v>47</v>
      </c>
      <c r="E17" s="287" t="s">
        <v>59</v>
      </c>
      <c r="F17" s="285" t="s">
        <v>51</v>
      </c>
      <c r="G17" s="285">
        <v>123</v>
      </c>
      <c r="H17" s="285" t="s">
        <v>50</v>
      </c>
      <c r="I17" s="286">
        <v>0.17</v>
      </c>
      <c r="J17" s="288">
        <v>20.91</v>
      </c>
    </row>
    <row r="18" spans="1:10" s="57" customFormat="1" ht="69.95" customHeight="1">
      <c r="A18" s="277" t="s">
        <v>60</v>
      </c>
      <c r="B18" s="277" t="s">
        <v>61</v>
      </c>
      <c r="C18" s="289">
        <v>1051120</v>
      </c>
      <c r="D18" s="277" t="s">
        <v>47</v>
      </c>
      <c r="E18" s="287" t="s">
        <v>59</v>
      </c>
      <c r="F18" s="285" t="s">
        <v>57</v>
      </c>
      <c r="G18" s="285">
        <v>52</v>
      </c>
      <c r="H18" s="285" t="s">
        <v>50</v>
      </c>
      <c r="I18" s="286">
        <v>0.17</v>
      </c>
      <c r="J18" s="288">
        <v>8.84</v>
      </c>
    </row>
    <row r="19" spans="1:10" ht="69.95" customHeight="1">
      <c r="A19" s="277" t="s">
        <v>60</v>
      </c>
      <c r="B19" s="277" t="s">
        <v>61</v>
      </c>
      <c r="C19" s="289">
        <v>1051120</v>
      </c>
      <c r="D19" s="277" t="s">
        <v>47</v>
      </c>
      <c r="E19" s="287" t="s">
        <v>59</v>
      </c>
      <c r="F19" s="285" t="s">
        <v>58</v>
      </c>
      <c r="G19" s="285">
        <v>31</v>
      </c>
      <c r="H19" s="285" t="s">
        <v>50</v>
      </c>
      <c r="I19" s="286">
        <v>0.17</v>
      </c>
      <c r="J19" s="288">
        <v>5.27</v>
      </c>
    </row>
    <row r="20" spans="1:10" ht="58.5" customHeight="1" thickBot="1">
      <c r="A20" s="77"/>
      <c r="B20" s="293"/>
      <c r="C20" s="78" t="s">
        <v>62</v>
      </c>
      <c r="D20" s="79"/>
      <c r="E20" s="80"/>
      <c r="F20" s="80"/>
      <c r="G20" s="81">
        <f>SUM(G15:G19)</f>
        <v>259</v>
      </c>
      <c r="H20" s="81" t="s">
        <v>50</v>
      </c>
      <c r="I20" s="82" t="s">
        <v>104</v>
      </c>
      <c r="J20" s="109">
        <f>SUM(J15:J19)</f>
        <v>44.03</v>
      </c>
    </row>
    <row r="21" spans="1:10" s="57" customFormat="1" ht="21.75" customHeight="1">
      <c r="A21" s="76"/>
      <c r="B21" s="76"/>
      <c r="C21" s="75"/>
      <c r="D21" s="67"/>
      <c r="E21" s="67"/>
      <c r="F21" s="67"/>
      <c r="G21" s="67"/>
      <c r="H21" s="74"/>
      <c r="I21" s="76"/>
    </row>
    <row r="22" spans="1:10" s="58" customFormat="1" ht="17.25" customHeight="1">
      <c r="A22" s="83"/>
      <c r="B22" s="83"/>
      <c r="C22" s="84"/>
      <c r="D22" s="85"/>
      <c r="E22" s="86"/>
      <c r="F22" s="86"/>
      <c r="G22" s="86"/>
      <c r="H22" s="87"/>
      <c r="I22" s="87"/>
      <c r="J22" s="110"/>
    </row>
    <row r="23" spans="1:10" s="57" customFormat="1" ht="21.75" customHeight="1">
      <c r="A23" s="73" t="s">
        <v>138</v>
      </c>
      <c r="B23" s="76"/>
      <c r="C23" s="75" t="s">
        <v>111</v>
      </c>
      <c r="D23" s="67" t="s">
        <v>139</v>
      </c>
      <c r="E23" s="67"/>
      <c r="F23" s="67"/>
      <c r="G23" s="74"/>
      <c r="H23" s="74"/>
      <c r="I23" s="76"/>
    </row>
    <row r="24" spans="1:10" s="57" customFormat="1" ht="21.75" customHeight="1">
      <c r="A24" s="73" t="s">
        <v>100</v>
      </c>
      <c r="B24" s="76"/>
      <c r="C24" s="75" t="s">
        <v>111</v>
      </c>
      <c r="D24" s="88">
        <f>G20</f>
        <v>259</v>
      </c>
      <c r="E24" s="88" t="s">
        <v>50</v>
      </c>
      <c r="F24" s="88"/>
      <c r="G24" s="89"/>
      <c r="H24" s="90"/>
      <c r="I24" s="76"/>
    </row>
    <row r="25" spans="1:10" s="57" customFormat="1" ht="21.75" customHeight="1">
      <c r="A25" s="73" t="s">
        <v>140</v>
      </c>
      <c r="B25" s="76"/>
      <c r="C25" s="75" t="s">
        <v>111</v>
      </c>
      <c r="D25" s="67" t="s">
        <v>141</v>
      </c>
      <c r="E25" s="67"/>
      <c r="F25" s="67"/>
      <c r="G25" s="67"/>
      <c r="H25" s="67"/>
      <c r="I25" s="76"/>
    </row>
    <row r="26" spans="1:10" s="57" customFormat="1" ht="21.75" customHeight="1">
      <c r="A26" s="73" t="s">
        <v>142</v>
      </c>
      <c r="B26" s="76"/>
      <c r="C26" s="75" t="s">
        <v>111</v>
      </c>
      <c r="D26" s="585">
        <f>J20</f>
        <v>44.03</v>
      </c>
      <c r="E26" s="585"/>
      <c r="F26" s="67"/>
      <c r="G26" s="67"/>
      <c r="H26" s="67"/>
      <c r="I26" s="76"/>
    </row>
    <row r="27" spans="1:10" s="57" customFormat="1" ht="21.75" customHeight="1">
      <c r="A27" s="73"/>
      <c r="B27" s="76"/>
      <c r="C27" s="91"/>
      <c r="D27" s="298" t="s">
        <v>236</v>
      </c>
      <c r="E27" s="67"/>
      <c r="F27" s="67"/>
      <c r="G27" s="67"/>
      <c r="H27" s="67"/>
      <c r="I27" s="76"/>
    </row>
    <row r="28" spans="1:10" s="57" customFormat="1" ht="21.75" customHeight="1">
      <c r="A28" s="92" t="s">
        <v>143</v>
      </c>
      <c r="B28" s="294"/>
      <c r="C28" s="93" t="s">
        <v>111</v>
      </c>
      <c r="D28" s="94" t="s">
        <v>33</v>
      </c>
      <c r="E28" s="94"/>
      <c r="F28" s="95"/>
      <c r="G28" s="95"/>
      <c r="H28" s="95"/>
      <c r="I28" s="96"/>
    </row>
    <row r="29" spans="1:10" s="57" customFormat="1" ht="21.75" customHeight="1">
      <c r="A29" s="92" t="s">
        <v>144</v>
      </c>
      <c r="B29" s="294"/>
      <c r="C29" s="93" t="s">
        <v>111</v>
      </c>
      <c r="D29" s="67" t="s">
        <v>145</v>
      </c>
      <c r="E29" s="67"/>
      <c r="F29" s="97"/>
      <c r="G29" s="97"/>
      <c r="H29" s="97"/>
      <c r="I29" s="98"/>
    </row>
    <row r="30" spans="1:10" s="57" customFormat="1" ht="21.75" customHeight="1">
      <c r="A30" s="69"/>
      <c r="B30" s="70"/>
      <c r="C30" s="93"/>
      <c r="D30" s="94" t="s">
        <v>16</v>
      </c>
      <c r="E30" s="94"/>
      <c r="F30" s="95"/>
      <c r="G30" s="95"/>
      <c r="H30" s="95"/>
      <c r="I30" s="96"/>
    </row>
    <row r="31" spans="1:10" s="57" customFormat="1" ht="21.75" customHeight="1">
      <c r="A31" s="69"/>
      <c r="B31" s="70"/>
      <c r="C31" s="93"/>
      <c r="D31" s="94" t="s">
        <v>17</v>
      </c>
      <c r="E31" s="94"/>
      <c r="F31" s="95"/>
      <c r="G31" s="95"/>
      <c r="H31" s="95"/>
      <c r="I31" s="96"/>
    </row>
    <row r="32" spans="1:10" s="57" customFormat="1" ht="22.5" customHeight="1">
      <c r="A32" s="69"/>
      <c r="B32" s="70"/>
      <c r="C32" s="93"/>
      <c r="D32" s="94" t="s">
        <v>18</v>
      </c>
      <c r="E32" s="94"/>
      <c r="F32" s="95"/>
      <c r="G32" s="95"/>
      <c r="H32" s="95"/>
      <c r="I32" s="96"/>
    </row>
    <row r="33" spans="1:10" s="57" customFormat="1" ht="21.75" customHeight="1">
      <c r="A33" s="69" t="s">
        <v>146</v>
      </c>
      <c r="B33" s="70"/>
      <c r="C33" s="93"/>
      <c r="D33" s="94" t="s">
        <v>24</v>
      </c>
      <c r="E33" s="94"/>
      <c r="F33" s="95"/>
      <c r="G33" s="95"/>
      <c r="H33" s="95"/>
      <c r="I33" s="96"/>
    </row>
    <row r="34" spans="1:10" s="57" customFormat="1" ht="21.75" customHeight="1">
      <c r="A34" s="69" t="s">
        <v>147</v>
      </c>
      <c r="B34" s="70"/>
      <c r="C34" s="93"/>
      <c r="D34" s="94" t="e">
        <f>PKL!#REF!</f>
        <v>#REF!</v>
      </c>
      <c r="E34" s="94"/>
      <c r="F34" s="95"/>
      <c r="G34" s="95"/>
      <c r="H34" s="95"/>
      <c r="I34" s="96"/>
    </row>
    <row r="35" spans="1:10" s="57" customFormat="1" ht="21.75" customHeight="1">
      <c r="A35" s="69"/>
      <c r="B35" s="70"/>
      <c r="C35" s="93"/>
      <c r="D35" s="586" t="e">
        <f>PKL!#REF!</f>
        <v>#REF!</v>
      </c>
      <c r="E35" s="586"/>
      <c r="F35" s="586"/>
      <c r="G35" s="586"/>
      <c r="H35" s="586"/>
      <c r="I35" s="586"/>
      <c r="J35" s="586"/>
    </row>
    <row r="36" spans="1:10" s="57" customFormat="1" ht="21.75" customHeight="1">
      <c r="A36" s="69"/>
      <c r="B36" s="70"/>
      <c r="C36" s="93"/>
      <c r="D36" s="586" t="e">
        <f>PKL!#REF!</f>
        <v>#REF!</v>
      </c>
      <c r="E36" s="586"/>
      <c r="F36" s="586"/>
      <c r="G36" s="586"/>
      <c r="H36" s="586"/>
      <c r="I36" s="586"/>
      <c r="J36" s="586"/>
    </row>
    <row r="37" spans="1:10" s="57" customFormat="1" ht="21.75" customHeight="1">
      <c r="A37" s="92" t="s">
        <v>148</v>
      </c>
      <c r="B37" s="294"/>
      <c r="C37" s="93" t="s">
        <v>111</v>
      </c>
      <c r="D37" s="584" t="s">
        <v>149</v>
      </c>
      <c r="E37" s="584"/>
      <c r="F37" s="584"/>
      <c r="G37" s="584"/>
      <c r="H37" s="584"/>
      <c r="I37" s="584"/>
    </row>
    <row r="38" spans="1:10" s="57" customFormat="1" ht="21.75" customHeight="1">
      <c r="A38" s="92" t="s">
        <v>150</v>
      </c>
      <c r="B38" s="294"/>
      <c r="C38" s="93" t="s">
        <v>111</v>
      </c>
      <c r="D38" s="584" t="s">
        <v>151</v>
      </c>
      <c r="E38" s="584"/>
      <c r="F38" s="584"/>
      <c r="G38" s="584"/>
      <c r="H38" s="584"/>
      <c r="I38" s="584"/>
    </row>
    <row r="39" spans="1:10" s="57" customFormat="1" ht="21.75" customHeight="1">
      <c r="A39" s="92" t="s">
        <v>152</v>
      </c>
      <c r="B39" s="294"/>
      <c r="C39" s="93" t="s">
        <v>111</v>
      </c>
      <c r="D39" s="587" t="s">
        <v>153</v>
      </c>
      <c r="E39" s="588"/>
      <c r="F39" s="95"/>
      <c r="G39" s="95"/>
      <c r="H39" s="95"/>
      <c r="I39" s="96"/>
    </row>
    <row r="40" spans="1:10" s="57" customFormat="1" ht="21.75" customHeight="1">
      <c r="A40" s="92" t="s">
        <v>154</v>
      </c>
      <c r="B40" s="294"/>
      <c r="C40" s="93" t="s">
        <v>111</v>
      </c>
      <c r="D40" s="588" t="s">
        <v>155</v>
      </c>
      <c r="E40" s="588"/>
      <c r="F40" s="95"/>
      <c r="G40" s="95"/>
      <c r="H40" s="95"/>
      <c r="I40" s="96"/>
    </row>
    <row r="41" spans="1:10" s="57" customFormat="1" ht="21.75" customHeight="1">
      <c r="A41" s="99" t="s">
        <v>156</v>
      </c>
      <c r="B41" s="295"/>
      <c r="C41" s="93" t="s">
        <v>111</v>
      </c>
      <c r="D41" s="589">
        <f>PKL!C28</f>
        <v>46125</v>
      </c>
      <c r="E41" s="589"/>
      <c r="F41" s="100"/>
      <c r="G41" s="94"/>
      <c r="H41" s="94"/>
      <c r="I41" s="76"/>
    </row>
    <row r="42" spans="1:10" s="57" customFormat="1" ht="21.75" customHeight="1">
      <c r="A42" s="92" t="s">
        <v>157</v>
      </c>
      <c r="B42" s="294"/>
      <c r="C42" s="93" t="s">
        <v>111</v>
      </c>
      <c r="D42" s="590" t="s">
        <v>25</v>
      </c>
      <c r="E42" s="590"/>
      <c r="F42" s="101"/>
      <c r="G42" s="101"/>
      <c r="H42" s="102"/>
      <c r="I42" s="103"/>
    </row>
    <row r="43" spans="1:10" s="57" customFormat="1" ht="32.25" customHeight="1">
      <c r="A43" s="92" t="s">
        <v>158</v>
      </c>
      <c r="B43" s="294"/>
      <c r="C43" s="93" t="s">
        <v>111</v>
      </c>
      <c r="D43" s="590" t="s">
        <v>26</v>
      </c>
      <c r="E43" s="590"/>
      <c r="F43" s="101"/>
      <c r="G43" s="101"/>
      <c r="H43" s="104"/>
      <c r="I43" s="96"/>
    </row>
    <row r="44" spans="1:10" s="57" customFormat="1" ht="20.25" customHeight="1">
      <c r="A44" s="92" t="s">
        <v>159</v>
      </c>
      <c r="B44" s="294"/>
      <c r="C44" s="93" t="s">
        <v>111</v>
      </c>
      <c r="D44" s="94" t="s">
        <v>160</v>
      </c>
      <c r="E44" s="94"/>
      <c r="F44" s="95"/>
      <c r="G44" s="95"/>
      <c r="H44" s="95"/>
      <c r="I44" s="96"/>
    </row>
    <row r="45" spans="1:10" s="57" customFormat="1" ht="20.25" customHeight="1">
      <c r="A45" s="92" t="s">
        <v>161</v>
      </c>
      <c r="B45" s="294"/>
      <c r="C45" s="93" t="s">
        <v>111</v>
      </c>
      <c r="D45" s="94" t="s">
        <v>162</v>
      </c>
      <c r="E45" s="94"/>
      <c r="F45" s="95"/>
      <c r="G45" s="95"/>
      <c r="H45" s="95"/>
      <c r="I45" s="96"/>
    </row>
    <row r="46" spans="1:10" s="57" customFormat="1" ht="20.25" customHeight="1">
      <c r="A46" s="73"/>
      <c r="B46" s="76"/>
      <c r="C46" s="94"/>
      <c r="D46" s="94" t="s">
        <v>163</v>
      </c>
      <c r="E46" s="94"/>
      <c r="F46" s="95"/>
      <c r="G46" s="95"/>
      <c r="H46" s="95"/>
      <c r="I46" s="96"/>
    </row>
    <row r="47" spans="1:10" s="57" customFormat="1" ht="20.25" customHeight="1">
      <c r="A47" s="105"/>
      <c r="B47" s="296"/>
      <c r="C47" s="94"/>
      <c r="D47" s="94" t="s">
        <v>164</v>
      </c>
      <c r="E47" s="94"/>
      <c r="F47" s="95"/>
      <c r="G47" s="95"/>
      <c r="H47" s="95"/>
      <c r="I47" s="96"/>
    </row>
    <row r="48" spans="1:10" s="57" customFormat="1" ht="20.25" customHeight="1">
      <c r="A48" s="591" t="s">
        <v>165</v>
      </c>
      <c r="B48" s="592"/>
      <c r="C48" s="593"/>
      <c r="D48" s="593"/>
      <c r="E48" s="94"/>
      <c r="F48" s="592" t="s">
        <v>165</v>
      </c>
      <c r="G48" s="592"/>
      <c r="H48" s="592"/>
      <c r="I48" s="592"/>
    </row>
    <row r="49" spans="1:10" s="57" customFormat="1" ht="20.25" customHeight="1">
      <c r="A49" s="594" t="s">
        <v>166</v>
      </c>
      <c r="B49" s="595"/>
      <c r="C49" s="596"/>
      <c r="D49" s="596"/>
      <c r="E49" s="94"/>
      <c r="F49" s="592" t="s">
        <v>167</v>
      </c>
      <c r="G49" s="592"/>
      <c r="H49" s="592"/>
      <c r="I49" s="592"/>
    </row>
    <row r="50" spans="1:10" s="57" customFormat="1" ht="20.25" customHeight="1">
      <c r="A50" s="73"/>
      <c r="B50" s="76"/>
      <c r="C50" s="94"/>
      <c r="D50" s="94"/>
      <c r="E50" s="94"/>
      <c r="F50" s="95"/>
      <c r="G50" s="95"/>
      <c r="H50" s="95"/>
      <c r="I50" s="96"/>
    </row>
    <row r="51" spans="1:10" s="57" customFormat="1" ht="20.25" customHeight="1">
      <c r="A51" s="73"/>
      <c r="B51" s="76"/>
      <c r="C51" s="111"/>
      <c r="D51" s="94"/>
      <c r="E51" s="94"/>
      <c r="F51" s="95"/>
      <c r="G51" s="95"/>
      <c r="H51" s="95"/>
      <c r="I51" s="96"/>
    </row>
    <row r="52" spans="1:10" ht="40.5" customHeight="1">
      <c r="A52" s="112"/>
      <c r="B52" s="112"/>
      <c r="C52" s="112"/>
      <c r="D52" s="113"/>
      <c r="E52" s="114"/>
      <c r="F52" s="114"/>
      <c r="G52" s="114"/>
      <c r="H52" s="115"/>
      <c r="I52" s="116"/>
      <c r="J52" s="112"/>
    </row>
    <row r="53" spans="1:10" ht="15.75">
      <c r="A53" s="112"/>
      <c r="B53" s="112"/>
      <c r="C53" s="112"/>
      <c r="D53" s="113"/>
      <c r="E53" s="113"/>
      <c r="F53" s="113"/>
      <c r="G53" s="113"/>
      <c r="H53" s="117"/>
      <c r="I53" s="117"/>
      <c r="J53" s="112"/>
    </row>
    <row r="54" spans="1:10" ht="18.75">
      <c r="A54" s="112"/>
      <c r="B54" s="112"/>
      <c r="C54" s="110"/>
      <c r="D54" s="113"/>
      <c r="E54" s="113"/>
      <c r="F54" s="113"/>
      <c r="G54" s="113"/>
      <c r="H54" s="117"/>
      <c r="I54" s="117"/>
      <c r="J54" s="112"/>
    </row>
    <row r="55" spans="1:10" ht="15.75">
      <c r="A55" s="112"/>
      <c r="B55" s="112"/>
      <c r="C55" s="112"/>
      <c r="D55" s="118"/>
      <c r="H55" s="119"/>
      <c r="I55" s="119"/>
      <c r="J55" s="112"/>
    </row>
    <row r="56" spans="1:10" ht="18.75">
      <c r="A56" s="112"/>
      <c r="B56" s="112"/>
      <c r="C56" s="112"/>
      <c r="D56" s="112"/>
      <c r="H56" s="118"/>
      <c r="I56" s="120"/>
      <c r="J56" s="112"/>
    </row>
    <row r="57" spans="1:10" ht="15.75">
      <c r="A57" s="112"/>
      <c r="B57" s="112"/>
      <c r="C57" s="112"/>
      <c r="E57" s="114"/>
      <c r="F57" s="114"/>
      <c r="G57" s="114"/>
      <c r="H57" s="115"/>
      <c r="I57" s="112"/>
      <c r="J57" s="112"/>
    </row>
    <row r="58" spans="1:10" ht="15.75">
      <c r="A58" s="112"/>
      <c r="B58" s="112"/>
      <c r="C58" s="112"/>
      <c r="D58" s="112"/>
      <c r="E58" s="121"/>
      <c r="F58" s="121"/>
      <c r="G58" s="121"/>
      <c r="H58" s="115"/>
      <c r="I58" s="112"/>
      <c r="J58" s="112"/>
    </row>
    <row r="59" spans="1:10" ht="15.75">
      <c r="A59" s="112"/>
      <c r="B59" s="112"/>
      <c r="C59" s="112"/>
      <c r="D59" s="112"/>
      <c r="E59" s="122"/>
      <c r="F59" s="122"/>
      <c r="G59" s="122"/>
      <c r="H59" s="115"/>
      <c r="I59" s="112"/>
      <c r="J59" s="112"/>
    </row>
    <row r="60" spans="1:10">
      <c r="A60" s="112"/>
      <c r="B60" s="112"/>
      <c r="C60" s="112"/>
      <c r="D60" s="112"/>
      <c r="E60" s="112"/>
      <c r="F60" s="112"/>
      <c r="G60" s="112"/>
      <c r="H60" s="112"/>
      <c r="I60" s="112"/>
      <c r="J60" s="112"/>
    </row>
    <row r="61" spans="1:10">
      <c r="A61" s="112"/>
      <c r="B61" s="112"/>
      <c r="C61" s="112"/>
      <c r="D61" s="112"/>
      <c r="E61" s="112"/>
      <c r="F61" s="112"/>
      <c r="G61" s="112"/>
      <c r="H61" s="112"/>
      <c r="I61" s="112"/>
      <c r="J61" s="112"/>
    </row>
    <row r="62" spans="1:10">
      <c r="A62" s="112"/>
      <c r="B62" s="112"/>
      <c r="C62" s="112"/>
      <c r="D62" s="112"/>
      <c r="E62" s="112"/>
      <c r="F62" s="112"/>
      <c r="G62" s="112"/>
      <c r="H62" s="112"/>
      <c r="I62" s="112"/>
      <c r="J62" s="112"/>
    </row>
    <row r="63" spans="1:10">
      <c r="A63" s="112"/>
      <c r="B63" s="112"/>
      <c r="C63" s="112"/>
      <c r="D63" s="112"/>
      <c r="E63" s="112"/>
      <c r="F63" s="112"/>
      <c r="G63" s="112"/>
      <c r="H63" s="112"/>
      <c r="I63" s="112"/>
      <c r="J63" s="112"/>
    </row>
    <row r="64" spans="1:10">
      <c r="A64" s="112"/>
      <c r="B64" s="112"/>
      <c r="C64" s="112"/>
      <c r="D64" s="112"/>
      <c r="E64" s="112"/>
      <c r="F64" s="112"/>
      <c r="G64" s="112"/>
      <c r="H64" s="112"/>
      <c r="I64" s="112"/>
      <c r="J64" s="112"/>
    </row>
    <row r="65" spans="1:10">
      <c r="A65" s="112"/>
      <c r="B65" s="112"/>
      <c r="C65" s="112"/>
      <c r="D65" s="112"/>
      <c r="E65" s="112"/>
      <c r="F65" s="112"/>
      <c r="G65" s="112"/>
      <c r="H65" s="112"/>
      <c r="I65" s="112"/>
      <c r="J65" s="112"/>
    </row>
    <row r="66" spans="1:10">
      <c r="A66" s="112"/>
      <c r="B66" s="112"/>
      <c r="C66" s="112"/>
      <c r="D66" s="112"/>
      <c r="E66" s="112"/>
      <c r="F66" s="112"/>
      <c r="G66" s="112"/>
      <c r="H66" s="112"/>
      <c r="I66" s="112"/>
      <c r="J66" s="112"/>
    </row>
    <row r="67" spans="1:10">
      <c r="A67" s="112"/>
      <c r="B67" s="112"/>
      <c r="C67" s="112"/>
      <c r="D67" s="112"/>
      <c r="E67" s="112"/>
      <c r="F67" s="112"/>
      <c r="G67" s="112"/>
      <c r="H67" s="112"/>
      <c r="I67" s="112"/>
      <c r="J67" s="112"/>
    </row>
    <row r="68" spans="1:10">
      <c r="A68" s="112"/>
      <c r="B68" s="112"/>
      <c r="C68" s="112"/>
      <c r="D68" s="112"/>
      <c r="E68" s="112"/>
      <c r="F68" s="112"/>
      <c r="G68" s="112"/>
      <c r="H68" s="112"/>
      <c r="I68" s="112"/>
      <c r="J68" s="112"/>
    </row>
    <row r="69" spans="1:10">
      <c r="A69" s="112"/>
      <c r="B69" s="112"/>
      <c r="C69" s="112"/>
      <c r="D69" s="112"/>
      <c r="E69" s="112"/>
      <c r="F69" s="112"/>
      <c r="G69" s="112"/>
      <c r="H69" s="112"/>
      <c r="I69" s="112"/>
      <c r="J69" s="112"/>
    </row>
    <row r="70" spans="1:10">
      <c r="A70" s="112"/>
      <c r="B70" s="112"/>
      <c r="C70" s="112"/>
      <c r="D70" s="112"/>
      <c r="E70" s="112"/>
      <c r="F70" s="112"/>
      <c r="G70" s="112"/>
      <c r="H70" s="112"/>
      <c r="I70" s="112"/>
      <c r="J70" s="112"/>
    </row>
    <row r="71" spans="1:10">
      <c r="A71" s="112"/>
      <c r="B71" s="112"/>
      <c r="C71" s="112"/>
      <c r="D71" s="112"/>
      <c r="E71" s="112"/>
      <c r="F71" s="112"/>
      <c r="G71" s="112"/>
      <c r="H71" s="112"/>
      <c r="I71" s="112"/>
      <c r="J71" s="112"/>
    </row>
    <row r="72" spans="1:10">
      <c r="A72" s="112"/>
      <c r="B72" s="112"/>
      <c r="C72" s="112"/>
      <c r="D72" s="112"/>
      <c r="E72" s="112"/>
      <c r="F72" s="112"/>
      <c r="G72" s="112"/>
      <c r="H72" s="112"/>
      <c r="I72" s="112"/>
      <c r="J72" s="112"/>
    </row>
    <row r="73" spans="1:10">
      <c r="A73" s="112"/>
      <c r="B73" s="112"/>
      <c r="C73" s="112"/>
      <c r="D73" s="112"/>
      <c r="E73" s="112"/>
      <c r="F73" s="112"/>
      <c r="G73" s="112"/>
      <c r="H73" s="112"/>
      <c r="I73" s="112"/>
      <c r="J73" s="112"/>
    </row>
    <row r="74" spans="1:10">
      <c r="A74" s="112"/>
      <c r="B74" s="112"/>
      <c r="C74" s="112"/>
      <c r="D74" s="112"/>
      <c r="E74" s="112"/>
      <c r="F74" s="112"/>
      <c r="G74" s="112"/>
      <c r="H74" s="112"/>
      <c r="I74" s="112"/>
      <c r="J74" s="112"/>
    </row>
    <row r="75" spans="1:10">
      <c r="A75" s="112"/>
      <c r="B75" s="112"/>
      <c r="C75" s="112"/>
      <c r="D75" s="112"/>
      <c r="E75" s="112"/>
      <c r="F75" s="112"/>
      <c r="G75" s="112"/>
      <c r="H75" s="112"/>
      <c r="I75" s="112"/>
      <c r="J75" s="112"/>
    </row>
    <row r="76" spans="1:10">
      <c r="A76" s="112"/>
      <c r="B76" s="112"/>
      <c r="C76" s="112"/>
      <c r="D76" s="112"/>
      <c r="E76" s="112"/>
      <c r="F76" s="112"/>
      <c r="G76" s="112"/>
      <c r="H76" s="112"/>
      <c r="I76" s="112"/>
      <c r="J76" s="112"/>
    </row>
    <row r="77" spans="1:10">
      <c r="A77" s="112"/>
      <c r="B77" s="112"/>
      <c r="C77" s="112"/>
      <c r="D77" s="112"/>
      <c r="E77" s="112"/>
      <c r="F77" s="112"/>
      <c r="G77" s="112"/>
      <c r="H77" s="112"/>
      <c r="I77" s="112"/>
      <c r="J77" s="112"/>
    </row>
    <row r="78" spans="1:10">
      <c r="A78" s="112"/>
      <c r="B78" s="112"/>
      <c r="C78" s="112"/>
      <c r="D78" s="112"/>
      <c r="E78" s="112"/>
      <c r="F78" s="112"/>
      <c r="G78" s="112"/>
      <c r="H78" s="112"/>
      <c r="I78" s="112"/>
      <c r="J78" s="112"/>
    </row>
    <row r="79" spans="1:10">
      <c r="A79" s="112"/>
      <c r="B79" s="112"/>
      <c r="C79" s="112"/>
      <c r="D79" s="112"/>
      <c r="E79" s="112"/>
      <c r="F79" s="112"/>
      <c r="G79" s="112"/>
      <c r="H79" s="112"/>
      <c r="I79" s="112"/>
      <c r="J79" s="112"/>
    </row>
    <row r="80" spans="1:10">
      <c r="A80" s="112"/>
      <c r="B80" s="112"/>
      <c r="C80" s="112"/>
      <c r="D80" s="112"/>
      <c r="E80" s="112"/>
      <c r="F80" s="112"/>
      <c r="G80" s="112"/>
      <c r="H80" s="112"/>
      <c r="I80" s="112"/>
      <c r="J80" s="112"/>
    </row>
    <row r="81" spans="1:10">
      <c r="A81" s="112"/>
      <c r="B81" s="112"/>
      <c r="C81" s="112"/>
      <c r="D81" s="112"/>
      <c r="E81" s="112"/>
      <c r="F81" s="112"/>
      <c r="G81" s="112"/>
      <c r="H81" s="112"/>
      <c r="I81" s="112"/>
      <c r="J81" s="112"/>
    </row>
    <row r="82" spans="1:10">
      <c r="A82" s="112"/>
      <c r="B82" s="112"/>
      <c r="C82" s="112"/>
      <c r="D82" s="112"/>
      <c r="E82" s="112"/>
      <c r="F82" s="112"/>
      <c r="G82" s="112"/>
      <c r="H82" s="112"/>
      <c r="I82" s="112"/>
      <c r="J82" s="112"/>
    </row>
    <row r="83" spans="1:10">
      <c r="A83" s="112"/>
      <c r="B83" s="112"/>
      <c r="C83" s="112"/>
      <c r="D83" s="112"/>
      <c r="E83" s="112"/>
      <c r="F83" s="112"/>
      <c r="G83" s="112"/>
      <c r="H83" s="112"/>
      <c r="I83" s="112"/>
      <c r="J83" s="112"/>
    </row>
    <row r="84" spans="1:10">
      <c r="A84" s="112"/>
      <c r="B84" s="112"/>
      <c r="C84" s="112"/>
      <c r="D84" s="112"/>
      <c r="E84" s="112"/>
      <c r="F84" s="112"/>
      <c r="G84" s="112"/>
      <c r="H84" s="112"/>
      <c r="I84" s="112"/>
      <c r="J84" s="112"/>
    </row>
    <row r="85" spans="1:10">
      <c r="A85" s="112"/>
      <c r="B85" s="112"/>
      <c r="C85" s="112"/>
      <c r="D85" s="112"/>
      <c r="E85" s="112"/>
      <c r="F85" s="112"/>
      <c r="G85" s="112"/>
      <c r="H85" s="112"/>
      <c r="I85" s="112"/>
      <c r="J85" s="112"/>
    </row>
    <row r="86" spans="1:10">
      <c r="A86" s="112"/>
      <c r="B86" s="112"/>
      <c r="C86" s="112"/>
      <c r="D86" s="112"/>
      <c r="E86" s="112"/>
      <c r="F86" s="112"/>
      <c r="G86" s="112"/>
      <c r="H86" s="112"/>
      <c r="I86" s="112"/>
      <c r="J86" s="112"/>
    </row>
    <row r="87" spans="1:10">
      <c r="A87" s="112"/>
      <c r="B87" s="112"/>
      <c r="C87" s="112"/>
      <c r="D87" s="112"/>
      <c r="E87" s="112"/>
      <c r="F87" s="112"/>
      <c r="G87" s="112"/>
      <c r="H87" s="112"/>
      <c r="I87" s="112"/>
      <c r="J87" s="112"/>
    </row>
    <row r="88" spans="1:10">
      <c r="A88" s="112"/>
      <c r="B88" s="112"/>
      <c r="C88" s="112"/>
      <c r="D88" s="112"/>
      <c r="E88" s="112"/>
      <c r="F88" s="112"/>
      <c r="G88" s="112"/>
      <c r="H88" s="112"/>
      <c r="I88" s="112"/>
      <c r="J88" s="112"/>
    </row>
    <row r="89" spans="1:10">
      <c r="A89" s="112"/>
      <c r="B89" s="112"/>
      <c r="C89" s="112"/>
      <c r="D89" s="112"/>
      <c r="E89" s="112"/>
      <c r="F89" s="112"/>
      <c r="G89" s="112"/>
      <c r="H89" s="112"/>
      <c r="I89" s="112"/>
      <c r="J89" s="112"/>
    </row>
    <row r="90" spans="1:10">
      <c r="A90" s="112"/>
      <c r="B90" s="112"/>
      <c r="C90" s="112"/>
      <c r="D90" s="112"/>
      <c r="E90" s="112"/>
      <c r="F90" s="112"/>
      <c r="G90" s="112"/>
      <c r="H90" s="112"/>
      <c r="I90" s="112"/>
      <c r="J90" s="112"/>
    </row>
    <row r="91" spans="1:10">
      <c r="A91" s="112"/>
      <c r="B91" s="112"/>
      <c r="C91" s="112"/>
      <c r="D91" s="112"/>
      <c r="E91" s="112"/>
      <c r="F91" s="112"/>
      <c r="G91" s="112"/>
      <c r="H91" s="112"/>
      <c r="I91" s="112"/>
      <c r="J91" s="112"/>
    </row>
    <row r="92" spans="1:10">
      <c r="A92" s="112"/>
      <c r="B92" s="112"/>
      <c r="C92" s="112"/>
      <c r="D92" s="112"/>
      <c r="E92" s="112"/>
      <c r="F92" s="112"/>
      <c r="G92" s="112"/>
      <c r="H92" s="112"/>
      <c r="I92" s="112"/>
      <c r="J92" s="112"/>
    </row>
    <row r="93" spans="1:10">
      <c r="A93" s="112"/>
      <c r="B93" s="112"/>
      <c r="C93" s="112"/>
      <c r="D93" s="112"/>
      <c r="E93" s="112"/>
      <c r="F93" s="112"/>
      <c r="G93" s="112"/>
      <c r="H93" s="112"/>
      <c r="I93" s="112"/>
      <c r="J93" s="112"/>
    </row>
    <row r="94" spans="1:10">
      <c r="A94" s="112"/>
      <c r="B94" s="112"/>
      <c r="C94" s="112"/>
      <c r="D94" s="112"/>
      <c r="E94" s="112"/>
      <c r="F94" s="112"/>
      <c r="G94" s="112"/>
      <c r="H94" s="112"/>
      <c r="I94" s="112"/>
      <c r="J94" s="112"/>
    </row>
    <row r="95" spans="1:10">
      <c r="A95" s="112"/>
      <c r="B95" s="112"/>
      <c r="C95" s="112"/>
      <c r="D95" s="112"/>
      <c r="E95" s="112"/>
      <c r="F95" s="112"/>
      <c r="G95" s="112"/>
      <c r="H95" s="112"/>
      <c r="I95" s="112"/>
      <c r="J95" s="112"/>
    </row>
    <row r="96" spans="1:10">
      <c r="A96" s="112"/>
      <c r="B96" s="112"/>
      <c r="C96" s="112"/>
      <c r="D96" s="112"/>
      <c r="E96" s="112"/>
      <c r="F96" s="112"/>
      <c r="G96" s="112"/>
      <c r="H96" s="112"/>
      <c r="I96" s="112"/>
      <c r="J96" s="112"/>
    </row>
    <row r="97" spans="1:10">
      <c r="A97" s="112"/>
      <c r="B97" s="112"/>
      <c r="C97" s="112"/>
      <c r="D97" s="112"/>
      <c r="E97" s="112"/>
      <c r="F97" s="112"/>
      <c r="G97" s="112"/>
      <c r="H97" s="112"/>
      <c r="I97" s="112"/>
      <c r="J97" s="112"/>
    </row>
    <row r="98" spans="1:10">
      <c r="A98" s="112"/>
      <c r="B98" s="112"/>
      <c r="C98" s="112"/>
      <c r="D98" s="112"/>
      <c r="E98" s="112"/>
      <c r="F98" s="112"/>
      <c r="G98" s="112"/>
      <c r="H98" s="112"/>
      <c r="I98" s="112"/>
      <c r="J98" s="112"/>
    </row>
    <row r="99" spans="1:10">
      <c r="A99" s="112"/>
      <c r="B99" s="112"/>
      <c r="C99" s="112"/>
      <c r="D99" s="112"/>
      <c r="E99" s="112"/>
      <c r="F99" s="112"/>
      <c r="G99" s="112"/>
      <c r="H99" s="112"/>
      <c r="I99" s="112"/>
      <c r="J99" s="112"/>
    </row>
    <row r="100" spans="1:10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</row>
    <row r="101" spans="1:10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</row>
    <row r="102" spans="1:10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</row>
    <row r="103" spans="1:10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</row>
    <row r="104" spans="1:10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</row>
    <row r="105" spans="1:10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</row>
    <row r="106" spans="1:10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</row>
    <row r="107" spans="1:10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</row>
    <row r="108" spans="1:10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</row>
    <row r="109" spans="1:10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</row>
    <row r="110" spans="1:10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</row>
    <row r="111" spans="1:10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</row>
    <row r="112" spans="1:10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</row>
    <row r="113" spans="1:10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</row>
    <row r="114" spans="1:10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</row>
    <row r="115" spans="1:10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</row>
    <row r="116" spans="1:10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</row>
    <row r="117" spans="1:10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</row>
    <row r="118" spans="1:10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</row>
    <row r="119" spans="1:10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</row>
    <row r="120" spans="1:10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</row>
    <row r="121" spans="1:10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</row>
    <row r="122" spans="1:10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</row>
    <row r="123" spans="1:10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</row>
    <row r="124" spans="1:10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</row>
    <row r="125" spans="1:10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</row>
    <row r="126" spans="1:10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</row>
    <row r="127" spans="1:10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</row>
    <row r="128" spans="1:10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</row>
    <row r="129" spans="1:10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</row>
    <row r="130" spans="1:10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</row>
    <row r="131" spans="1:10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</row>
    <row r="132" spans="1:10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</row>
    <row r="133" spans="1:10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</row>
    <row r="134" spans="1:10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</row>
    <row r="135" spans="1:10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</row>
    <row r="136" spans="1:10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</row>
    <row r="137" spans="1:10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</row>
    <row r="138" spans="1:10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</row>
    <row r="139" spans="1:10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</row>
    <row r="140" spans="1:10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</row>
    <row r="141" spans="1:10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</row>
    <row r="142" spans="1:10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</row>
    <row r="143" spans="1:10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</row>
    <row r="144" spans="1:10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</row>
    <row r="145" spans="1:10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</row>
    <row r="146" spans="1:10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</row>
    <row r="147" spans="1:10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</row>
    <row r="148" spans="1:10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</row>
    <row r="149" spans="1:10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</row>
    <row r="150" spans="1:10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</row>
    <row r="151" spans="1:10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</row>
    <row r="152" spans="1:10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</row>
    <row r="153" spans="1:10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</row>
    <row r="154" spans="1:10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</row>
    <row r="155" spans="1:10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</row>
    <row r="156" spans="1:10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</row>
    <row r="157" spans="1:10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</row>
    <row r="158" spans="1:10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</row>
    <row r="159" spans="1:10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</row>
    <row r="160" spans="1:10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</row>
    <row r="161" spans="1:10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</row>
    <row r="162" spans="1:10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</row>
    <row r="163" spans="1:10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</row>
    <row r="164" spans="1:10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</row>
    <row r="165" spans="1:10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</row>
    <row r="166" spans="1:10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</row>
    <row r="167" spans="1:10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</row>
    <row r="168" spans="1:10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</row>
    <row r="169" spans="1:10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</row>
    <row r="170" spans="1:10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</row>
    <row r="171" spans="1:10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</row>
    <row r="172" spans="1:10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</row>
    <row r="173" spans="1:10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</row>
    <row r="174" spans="1:10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</row>
    <row r="175" spans="1:10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</row>
    <row r="176" spans="1:10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</row>
    <row r="177" spans="1:10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</row>
    <row r="178" spans="1:10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</row>
    <row r="179" spans="1:10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</row>
    <row r="180" spans="1:10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</row>
    <row r="181" spans="1:10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</row>
    <row r="182" spans="1:10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</row>
    <row r="183" spans="1:10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</row>
    <row r="184" spans="1:10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</row>
    <row r="185" spans="1:10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</row>
    <row r="186" spans="1:10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</row>
    <row r="187" spans="1:10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</row>
    <row r="188" spans="1:10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</row>
    <row r="189" spans="1:10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</row>
    <row r="190" spans="1:10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</row>
    <row r="191" spans="1:10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</row>
    <row r="192" spans="1:10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</row>
    <row r="193" spans="1:10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</row>
    <row r="194" spans="1:10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</row>
    <row r="195" spans="1:10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</row>
    <row r="196" spans="1:10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</row>
    <row r="197" spans="1:10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</row>
    <row r="198" spans="1:10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</row>
    <row r="199" spans="1:10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</row>
    <row r="200" spans="1:10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</row>
    <row r="201" spans="1:10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</row>
    <row r="202" spans="1:10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</row>
    <row r="203" spans="1:10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</row>
    <row r="204" spans="1:10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</row>
    <row r="205" spans="1:10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</row>
    <row r="206" spans="1:10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</row>
    <row r="207" spans="1:10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</row>
    <row r="208" spans="1:10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</row>
    <row r="209" spans="1:10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</row>
    <row r="210" spans="1:10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</row>
    <row r="211" spans="1:10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</row>
    <row r="212" spans="1:10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</row>
    <row r="213" spans="1:10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</row>
    <row r="214" spans="1:10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</row>
    <row r="215" spans="1:10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</row>
    <row r="216" spans="1:10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</row>
    <row r="217" spans="1:10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</row>
    <row r="218" spans="1:10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</row>
    <row r="219" spans="1:10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</row>
    <row r="220" spans="1:10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</row>
    <row r="221" spans="1:10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</row>
    <row r="222" spans="1:10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</row>
    <row r="223" spans="1:10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</row>
    <row r="224" spans="1:10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</row>
    <row r="225" spans="1:10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</row>
    <row r="226" spans="1:10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</row>
    <row r="227" spans="1:10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</row>
    <row r="228" spans="1:10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</row>
    <row r="229" spans="1:10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</row>
    <row r="230" spans="1:10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</row>
    <row r="231" spans="1:10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</row>
    <row r="232" spans="1:10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</row>
    <row r="233" spans="1:10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</row>
    <row r="234" spans="1:10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</row>
    <row r="235" spans="1:10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</row>
    <row r="236" spans="1:10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</row>
    <row r="237" spans="1:10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</row>
    <row r="238" spans="1:10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</row>
    <row r="239" spans="1:10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</row>
    <row r="240" spans="1:10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</row>
    <row r="241" spans="1:10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</row>
    <row r="242" spans="1:10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</row>
    <row r="243" spans="1:10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</row>
    <row r="244" spans="1:10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</row>
    <row r="245" spans="1:10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</row>
    <row r="246" spans="1:10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</row>
    <row r="247" spans="1:10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</row>
    <row r="248" spans="1:10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</row>
    <row r="249" spans="1:10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</row>
    <row r="250" spans="1:10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</row>
    <row r="251" spans="1:10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</row>
    <row r="252" spans="1:10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</row>
    <row r="253" spans="1:10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</row>
    <row r="254" spans="1:10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</row>
    <row r="255" spans="1:10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</row>
    <row r="256" spans="1:10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</row>
    <row r="257" spans="1:10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</row>
    <row r="258" spans="1:10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</row>
    <row r="259" spans="1:10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</row>
    <row r="260" spans="1:10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</row>
    <row r="261" spans="1:10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</row>
    <row r="262" spans="1:10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</row>
    <row r="263" spans="1:10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</row>
    <row r="264" spans="1:10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</row>
    <row r="265" spans="1:10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</row>
    <row r="266" spans="1:10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</row>
    <row r="267" spans="1:10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</row>
    <row r="268" spans="1:10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</row>
    <row r="269" spans="1:10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</row>
    <row r="270" spans="1:10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</row>
    <row r="271" spans="1:10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</row>
    <row r="272" spans="1:10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</row>
    <row r="273" spans="1:10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</row>
    <row r="274" spans="1:10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</row>
    <row r="275" spans="1:10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</row>
    <row r="276" spans="1:10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</row>
    <row r="277" spans="1:10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</row>
    <row r="278" spans="1:10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</row>
    <row r="279" spans="1:10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</row>
    <row r="280" spans="1:10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</row>
    <row r="281" spans="1:10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</row>
    <row r="282" spans="1:10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</row>
    <row r="283" spans="1:10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</row>
    <row r="284" spans="1:10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</row>
    <row r="285" spans="1:10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</row>
    <row r="286" spans="1:10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</row>
    <row r="287" spans="1:10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</row>
    <row r="288" spans="1:10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</row>
    <row r="289" spans="1:10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</row>
    <row r="290" spans="1:10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</row>
    <row r="291" spans="1:10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</row>
    <row r="292" spans="1:10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</row>
    <row r="293" spans="1:10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</row>
    <row r="294" spans="1:10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</row>
    <row r="295" spans="1:10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</row>
    <row r="296" spans="1:10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</row>
    <row r="297" spans="1:10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</row>
    <row r="298" spans="1:10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</row>
    <row r="299" spans="1:10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</row>
    <row r="300" spans="1:10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</row>
    <row r="301" spans="1:10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</row>
    <row r="302" spans="1:10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</row>
    <row r="303" spans="1:10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</row>
    <row r="304" spans="1:10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</row>
    <row r="305" spans="1:10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</row>
    <row r="306" spans="1:10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</row>
    <row r="307" spans="1:10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</row>
    <row r="308" spans="1:10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</row>
    <row r="309" spans="1:10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</row>
    <row r="310" spans="1:10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</row>
    <row r="311" spans="1:10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</row>
    <row r="312" spans="1:10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</row>
    <row r="313" spans="1:10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</row>
    <row r="314" spans="1:10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</row>
    <row r="315" spans="1:10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</row>
    <row r="316" spans="1:10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</row>
    <row r="317" spans="1:10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</row>
    <row r="318" spans="1:10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</row>
    <row r="319" spans="1:10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</row>
    <row r="320" spans="1:10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</row>
    <row r="321" spans="1:10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</row>
    <row r="322" spans="1:10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</row>
    <row r="323" spans="1:10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</row>
    <row r="324" spans="1:10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</row>
    <row r="325" spans="1:10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</row>
    <row r="326" spans="1:10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</row>
    <row r="327" spans="1:10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</row>
    <row r="328" spans="1:10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</row>
    <row r="329" spans="1:10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</row>
    <row r="330" spans="1:10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</row>
    <row r="331" spans="1:10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</row>
    <row r="332" spans="1:10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</row>
    <row r="333" spans="1:10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</row>
    <row r="334" spans="1:10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</row>
    <row r="335" spans="1:10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</row>
    <row r="336" spans="1:10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</row>
    <row r="337" spans="1:10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</row>
    <row r="338" spans="1:10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</row>
    <row r="339" spans="1:10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</row>
    <row r="340" spans="1:10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</row>
    <row r="341" spans="1:10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</row>
    <row r="342" spans="1:10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</row>
    <row r="343" spans="1:10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</row>
    <row r="344" spans="1:10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</row>
    <row r="345" spans="1:10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</row>
    <row r="346" spans="1:10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</row>
    <row r="347" spans="1:10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</row>
    <row r="348" spans="1:10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</row>
    <row r="349" spans="1:10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</row>
    <row r="350" spans="1:10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</row>
    <row r="351" spans="1:10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</row>
    <row r="352" spans="1:10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</row>
    <row r="353" spans="1:10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</row>
    <row r="354" spans="1:10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</row>
    <row r="355" spans="1:10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</row>
    <row r="356" spans="1:10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</row>
    <row r="357" spans="1:10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</row>
    <row r="358" spans="1:10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</row>
    <row r="359" spans="1:10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</row>
    <row r="360" spans="1:10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</row>
    <row r="361" spans="1:10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</row>
    <row r="362" spans="1:10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</row>
    <row r="363" spans="1:10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</row>
    <row r="364" spans="1:10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</row>
    <row r="365" spans="1:10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</row>
    <row r="366" spans="1:10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</row>
    <row r="367" spans="1:10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</row>
    <row r="368" spans="1:10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</row>
    <row r="369" spans="1:10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</row>
    <row r="370" spans="1:10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</row>
    <row r="371" spans="1:10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</row>
    <row r="372" spans="1:10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</row>
    <row r="373" spans="1:10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</row>
    <row r="374" spans="1:10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</row>
    <row r="375" spans="1:10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</row>
    <row r="376" spans="1:10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</row>
    <row r="377" spans="1:10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</row>
    <row r="378" spans="1:10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</row>
    <row r="379" spans="1:10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</row>
    <row r="380" spans="1:10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</row>
    <row r="381" spans="1:10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</row>
    <row r="382" spans="1:10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</row>
    <row r="383" spans="1:10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</row>
    <row r="384" spans="1:10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</row>
    <row r="385" spans="1:10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</row>
    <row r="386" spans="1:10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</row>
    <row r="387" spans="1:10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</row>
    <row r="388" spans="1:10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</row>
    <row r="389" spans="1:10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</row>
    <row r="390" spans="1:10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</row>
    <row r="391" spans="1:10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</row>
    <row r="392" spans="1:10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</row>
    <row r="393" spans="1:10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</row>
    <row r="394" spans="1:10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</row>
    <row r="395" spans="1:10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</row>
    <row r="396" spans="1:10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</row>
    <row r="397" spans="1:10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</row>
    <row r="398" spans="1:10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</row>
    <row r="399" spans="1:10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</row>
    <row r="400" spans="1:10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</row>
    <row r="401" spans="1:10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</row>
    <row r="402" spans="1:10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</row>
    <row r="403" spans="1:10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</row>
    <row r="404" spans="1:10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</row>
    <row r="405" spans="1:10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</row>
    <row r="406" spans="1:10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</row>
    <row r="407" spans="1:10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</row>
    <row r="408" spans="1:10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</row>
    <row r="409" spans="1:10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</row>
    <row r="410" spans="1:10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</row>
    <row r="411" spans="1:10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</row>
    <row r="412" spans="1:10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</row>
    <row r="413" spans="1:10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</row>
    <row r="414" spans="1:10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</row>
    <row r="415" spans="1:10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</row>
    <row r="416" spans="1:10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</row>
    <row r="417" spans="1:10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</row>
    <row r="418" spans="1:10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</row>
    <row r="419" spans="1:10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</row>
    <row r="420" spans="1:10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</row>
    <row r="421" spans="1:10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</row>
    <row r="422" spans="1:10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</row>
    <row r="423" spans="1:10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</row>
    <row r="424" spans="1:10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</row>
    <row r="425" spans="1:10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</row>
    <row r="426" spans="1:10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</row>
    <row r="427" spans="1:10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</row>
    <row r="428" spans="1:10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</row>
    <row r="429" spans="1:10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</row>
    <row r="430" spans="1:10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</row>
    <row r="431" spans="1:10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</row>
    <row r="432" spans="1:10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</row>
    <row r="433" spans="1:10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</row>
    <row r="434" spans="1:10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</row>
    <row r="435" spans="1:10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</row>
    <row r="436" spans="1:10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</row>
    <row r="437" spans="1:10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</row>
    <row r="438" spans="1:10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</row>
    <row r="439" spans="1:10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</row>
    <row r="440" spans="1:10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</row>
    <row r="441" spans="1:10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</row>
    <row r="442" spans="1:10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</row>
    <row r="443" spans="1:10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</row>
    <row r="444" spans="1:10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</row>
    <row r="445" spans="1:10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</row>
    <row r="446" spans="1:10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</row>
    <row r="447" spans="1:10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</row>
    <row r="448" spans="1:10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</row>
    <row r="449" spans="1:10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</row>
    <row r="450" spans="1:10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</row>
    <row r="451" spans="1:10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</row>
    <row r="452" spans="1:10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</row>
    <row r="453" spans="1:10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</row>
    <row r="454" spans="1:10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</row>
    <row r="455" spans="1:10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</row>
    <row r="456" spans="1:10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</row>
    <row r="457" spans="1:10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</row>
    <row r="458" spans="1:10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</row>
    <row r="459" spans="1:10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</row>
    <row r="460" spans="1:10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</row>
    <row r="461" spans="1:10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</row>
    <row r="462" spans="1:10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</row>
    <row r="463" spans="1:10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</row>
    <row r="464" spans="1:10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</row>
    <row r="465" spans="1:10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</row>
    <row r="466" spans="1:10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</row>
    <row r="467" spans="1:10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</row>
    <row r="468" spans="1:10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</row>
    <row r="469" spans="1:10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</row>
    <row r="470" spans="1:10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</row>
    <row r="471" spans="1:10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</row>
    <row r="472" spans="1:10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</row>
    <row r="473" spans="1:10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</row>
    <row r="474" spans="1:10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</row>
    <row r="475" spans="1:10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</row>
    <row r="476" spans="1:10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</row>
    <row r="477" spans="1:10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</row>
    <row r="478" spans="1:10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</row>
    <row r="479" spans="1:10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</row>
    <row r="480" spans="1:10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</row>
    <row r="481" spans="1:10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</row>
    <row r="482" spans="1:10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</row>
    <row r="483" spans="1:10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</row>
    <row r="484" spans="1:10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</row>
    <row r="485" spans="1:10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</row>
    <row r="486" spans="1:10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</row>
    <row r="487" spans="1:10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</row>
    <row r="488" spans="1:10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</row>
    <row r="489" spans="1:10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</row>
    <row r="490" spans="1:10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</row>
    <row r="491" spans="1:10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</row>
    <row r="492" spans="1:10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</row>
    <row r="493" spans="1:10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</row>
    <row r="494" spans="1:10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</row>
    <row r="495" spans="1:10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</row>
    <row r="496" spans="1:10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</row>
    <row r="497" spans="1:10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</row>
    <row r="498" spans="1:10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</row>
    <row r="499" spans="1:10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</row>
    <row r="500" spans="1:10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</row>
    <row r="501" spans="1:10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</row>
    <row r="502" spans="1:10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</row>
    <row r="503" spans="1:10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</row>
    <row r="504" spans="1:10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</row>
    <row r="505" spans="1:10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</row>
    <row r="506" spans="1:10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</row>
    <row r="507" spans="1:10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</row>
    <row r="508" spans="1:10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</row>
    <row r="509" spans="1:10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</row>
    <row r="510" spans="1:10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</row>
    <row r="511" spans="1:10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</row>
    <row r="512" spans="1:10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</row>
    <row r="513" spans="1:10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</row>
    <row r="514" spans="1:10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</row>
    <row r="515" spans="1:10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</row>
    <row r="516" spans="1:10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</row>
    <row r="517" spans="1:10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</row>
    <row r="518" spans="1:10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</row>
    <row r="519" spans="1:10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</row>
    <row r="520" spans="1:10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</row>
    <row r="521" spans="1:10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</row>
    <row r="522" spans="1:10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</row>
    <row r="523" spans="1:10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</row>
    <row r="524" spans="1:10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</row>
    <row r="525" spans="1:10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</row>
    <row r="526" spans="1:10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</row>
    <row r="527" spans="1:10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</row>
    <row r="528" spans="1:10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</row>
    <row r="529" spans="1:10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</row>
    <row r="530" spans="1:10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</row>
    <row r="531" spans="1:10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</row>
    <row r="532" spans="1:10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</row>
    <row r="533" spans="1:10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</row>
    <row r="534" spans="1:10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</row>
    <row r="535" spans="1:10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</row>
    <row r="536" spans="1:10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</row>
    <row r="537" spans="1:10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</row>
    <row r="538" spans="1:10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</row>
    <row r="539" spans="1:10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</row>
    <row r="540" spans="1:10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</row>
    <row r="541" spans="1:10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</row>
    <row r="542" spans="1:10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</row>
    <row r="543" spans="1:10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</row>
    <row r="544" spans="1:10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</row>
    <row r="545" spans="1:10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</row>
    <row r="546" spans="1:10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</row>
    <row r="547" spans="1:10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</row>
    <row r="548" spans="1:10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</row>
    <row r="549" spans="1:10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</row>
    <row r="550" spans="1:10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</row>
    <row r="551" spans="1:10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</row>
    <row r="552" spans="1:10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</row>
    <row r="553" spans="1:10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</row>
    <row r="554" spans="1:10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</row>
    <row r="555" spans="1:10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</row>
    <row r="556" spans="1:10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</row>
    <row r="557" spans="1:10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</row>
    <row r="558" spans="1:10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</row>
    <row r="559" spans="1:10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</row>
    <row r="560" spans="1:10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</row>
    <row r="561" spans="1:10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</row>
    <row r="562" spans="1:10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</row>
    <row r="563" spans="1:10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</row>
    <row r="564" spans="1:10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</row>
    <row r="565" spans="1:10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</row>
    <row r="566" spans="1:10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</row>
    <row r="567" spans="1:10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</row>
    <row r="568" spans="1:10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</row>
    <row r="569" spans="1:10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</row>
    <row r="570" spans="1:10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</row>
    <row r="571" spans="1:10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</row>
    <row r="572" spans="1:10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</row>
    <row r="573" spans="1:10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</row>
    <row r="574" spans="1:10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</row>
    <row r="575" spans="1:10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</row>
    <row r="576" spans="1:10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</row>
    <row r="577" spans="1:10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</row>
    <row r="578" spans="1:10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</row>
    <row r="579" spans="1:10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</row>
    <row r="580" spans="1:10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</row>
    <row r="581" spans="1:10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</row>
    <row r="582" spans="1:10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</row>
    <row r="583" spans="1:10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</row>
    <row r="584" spans="1:10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</row>
    <row r="585" spans="1:10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</row>
    <row r="586" spans="1:10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</row>
    <row r="587" spans="1:10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</row>
    <row r="588" spans="1:10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</row>
    <row r="589" spans="1:10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</row>
    <row r="590" spans="1:10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</row>
    <row r="591" spans="1:10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</row>
    <row r="592" spans="1:10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</row>
    <row r="593" spans="1:10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</row>
    <row r="594" spans="1:10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</row>
    <row r="595" spans="1:10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</row>
    <row r="596" spans="1:10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</row>
    <row r="597" spans="1:10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</row>
    <row r="598" spans="1:10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</row>
    <row r="599" spans="1:10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</row>
    <row r="600" spans="1:10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</row>
    <row r="601" spans="1:10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</row>
    <row r="602" spans="1:10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</row>
    <row r="603" spans="1:10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</row>
    <row r="604" spans="1:10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</row>
    <row r="605" spans="1:10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</row>
    <row r="606" spans="1:10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</row>
    <row r="607" spans="1:10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</row>
    <row r="608" spans="1:10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</row>
    <row r="609" spans="1:10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</row>
    <row r="610" spans="1:10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</row>
    <row r="611" spans="1:10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</row>
    <row r="612" spans="1:10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</row>
    <row r="613" spans="1:10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</row>
    <row r="614" spans="1:10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</row>
    <row r="615" spans="1:10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</row>
    <row r="616" spans="1:10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</row>
    <row r="617" spans="1:10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</row>
    <row r="618" spans="1:10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</row>
    <row r="619" spans="1:10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</row>
    <row r="620" spans="1:10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</row>
    <row r="621" spans="1:10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</row>
    <row r="622" spans="1:10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</row>
    <row r="623" spans="1:10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</row>
    <row r="624" spans="1:10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</row>
    <row r="625" spans="1:10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</row>
    <row r="626" spans="1:10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</row>
    <row r="627" spans="1:10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</row>
    <row r="628" spans="1:10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</row>
    <row r="629" spans="1:10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</row>
    <row r="630" spans="1:10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</row>
    <row r="631" spans="1:10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</row>
    <row r="632" spans="1:10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</row>
    <row r="633" spans="1:10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</row>
    <row r="634" spans="1:10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</row>
    <row r="635" spans="1:10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</row>
    <row r="636" spans="1:10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</row>
    <row r="637" spans="1:10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</row>
    <row r="638" spans="1:10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</row>
    <row r="639" spans="1:10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</row>
    <row r="640" spans="1:10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</row>
    <row r="641" spans="1:10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</row>
    <row r="642" spans="1:10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</row>
    <row r="643" spans="1:10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</row>
    <row r="644" spans="1:10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</row>
    <row r="645" spans="1:10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</row>
    <row r="646" spans="1:10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</row>
    <row r="647" spans="1:10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</row>
    <row r="648" spans="1:10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</row>
    <row r="649" spans="1:10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</row>
    <row r="650" spans="1:10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</row>
    <row r="651" spans="1:10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</row>
    <row r="652" spans="1:10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</row>
    <row r="653" spans="1:10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</row>
    <row r="654" spans="1:10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</row>
    <row r="655" spans="1:10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</row>
    <row r="656" spans="1:10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</row>
    <row r="657" spans="1:10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</row>
    <row r="658" spans="1:10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</row>
    <row r="659" spans="1:10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</row>
    <row r="660" spans="1:10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</row>
    <row r="661" spans="1:10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</row>
    <row r="662" spans="1:10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</row>
    <row r="663" spans="1:10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</row>
    <row r="664" spans="1:10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</row>
    <row r="665" spans="1:10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</row>
    <row r="666" spans="1:10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</row>
    <row r="667" spans="1:10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</row>
    <row r="668" spans="1:10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</row>
    <row r="669" spans="1:10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</row>
    <row r="670" spans="1:10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</row>
    <row r="671" spans="1:10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</row>
    <row r="672" spans="1:10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</row>
    <row r="673" spans="1:10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</row>
    <row r="674" spans="1:10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</row>
    <row r="675" spans="1:10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</row>
    <row r="676" spans="1:10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</row>
    <row r="677" spans="1:10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</row>
    <row r="678" spans="1:10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</row>
    <row r="679" spans="1:10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</row>
    <row r="680" spans="1:10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</row>
    <row r="681" spans="1:10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</row>
    <row r="682" spans="1:10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</row>
    <row r="683" spans="1:10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</row>
    <row r="684" spans="1:10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</row>
    <row r="685" spans="1:10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</row>
    <row r="686" spans="1:10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</row>
    <row r="687" spans="1:10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</row>
    <row r="688" spans="1:10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</row>
    <row r="689" spans="1:10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</row>
    <row r="690" spans="1:10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</row>
    <row r="691" spans="1:10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</row>
    <row r="692" spans="1:10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</row>
    <row r="693" spans="1:10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</row>
    <row r="694" spans="1:10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</row>
    <row r="695" spans="1:10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</row>
    <row r="696" spans="1:10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</row>
    <row r="697" spans="1:10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</row>
    <row r="698" spans="1:10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</row>
    <row r="699" spans="1:10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</row>
    <row r="700" spans="1:10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</row>
    <row r="701" spans="1:10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</row>
    <row r="702" spans="1:10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</row>
    <row r="703" spans="1:10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</row>
    <row r="704" spans="1:10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</row>
    <row r="705" spans="1:10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</row>
    <row r="706" spans="1:10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</row>
    <row r="707" spans="1:10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</row>
    <row r="708" spans="1:10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</row>
    <row r="709" spans="1:10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</row>
    <row r="710" spans="1:10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</row>
    <row r="711" spans="1:10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</row>
    <row r="712" spans="1:10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</row>
    <row r="713" spans="1:10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</row>
    <row r="714" spans="1:10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</row>
    <row r="715" spans="1:10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</row>
    <row r="716" spans="1:10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</row>
    <row r="717" spans="1:10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</row>
    <row r="718" spans="1:10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</row>
    <row r="719" spans="1:10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</row>
    <row r="720" spans="1:10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</row>
    <row r="721" spans="1:10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</row>
    <row r="722" spans="1:10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</row>
    <row r="723" spans="1:10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</row>
    <row r="724" spans="1:10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</row>
    <row r="725" spans="1:10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</row>
    <row r="726" spans="1:10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</row>
    <row r="727" spans="1:10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</row>
    <row r="728" spans="1:10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</row>
    <row r="729" spans="1:10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</row>
    <row r="730" spans="1:10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</row>
    <row r="731" spans="1:10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</row>
    <row r="732" spans="1:10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</row>
    <row r="733" spans="1:10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</row>
    <row r="734" spans="1:10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</row>
    <row r="735" spans="1:10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</row>
    <row r="736" spans="1:10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</row>
    <row r="737" spans="1:10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</row>
    <row r="738" spans="1:10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</row>
    <row r="739" spans="1:10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</row>
    <row r="740" spans="1:10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</row>
    <row r="741" spans="1:10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</row>
    <row r="742" spans="1:10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</row>
    <row r="743" spans="1:10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</row>
    <row r="744" spans="1:10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</row>
    <row r="745" spans="1:10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</row>
    <row r="746" spans="1:10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</row>
    <row r="747" spans="1:10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</row>
    <row r="748" spans="1:10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</row>
    <row r="749" spans="1:10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</row>
    <row r="750" spans="1:10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</row>
    <row r="751" spans="1:10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</row>
    <row r="752" spans="1:10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</row>
    <row r="753" spans="1:10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</row>
    <row r="754" spans="1:10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</row>
    <row r="755" spans="1:10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</row>
    <row r="756" spans="1:10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</row>
    <row r="757" spans="1:10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</row>
    <row r="758" spans="1:10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</row>
    <row r="759" spans="1:10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</row>
    <row r="760" spans="1:10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</row>
    <row r="761" spans="1:10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</row>
    <row r="762" spans="1:10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</row>
    <row r="763" spans="1:10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</row>
    <row r="764" spans="1:10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</row>
    <row r="765" spans="1:10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</row>
    <row r="766" spans="1:10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</row>
    <row r="767" spans="1:10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</row>
    <row r="768" spans="1:10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</row>
    <row r="769" spans="1:10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</row>
    <row r="770" spans="1:10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</row>
    <row r="771" spans="1:10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</row>
    <row r="772" spans="1:10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</row>
    <row r="773" spans="1:10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</row>
    <row r="774" spans="1:10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</row>
    <row r="775" spans="1:10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</row>
    <row r="776" spans="1:10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</row>
    <row r="777" spans="1:10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</row>
    <row r="778" spans="1:10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</row>
    <row r="779" spans="1:10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</row>
    <row r="780" spans="1:10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</row>
    <row r="781" spans="1:10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</row>
    <row r="782" spans="1:10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</row>
    <row r="783" spans="1:10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</row>
    <row r="784" spans="1:10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</row>
    <row r="785" spans="1:10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</row>
    <row r="786" spans="1:10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</row>
    <row r="787" spans="1:10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</row>
    <row r="788" spans="1:10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</row>
    <row r="789" spans="1:10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</row>
    <row r="790" spans="1:10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</row>
    <row r="791" spans="1:10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</row>
    <row r="792" spans="1:10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</row>
    <row r="793" spans="1:10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</row>
    <row r="794" spans="1:10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</row>
    <row r="795" spans="1:10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</row>
    <row r="796" spans="1:10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</row>
    <row r="797" spans="1:10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</row>
    <row r="798" spans="1:10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</row>
    <row r="799" spans="1:10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</row>
    <row r="800" spans="1:10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</row>
    <row r="801" spans="1:10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</row>
    <row r="802" spans="1:10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</row>
    <row r="803" spans="1:10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</row>
    <row r="804" spans="1:10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</row>
    <row r="805" spans="1:10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</row>
    <row r="806" spans="1:10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</row>
    <row r="807" spans="1:10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</row>
    <row r="808" spans="1:10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</row>
    <row r="809" spans="1:10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</row>
    <row r="810" spans="1:10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</row>
    <row r="811" spans="1:10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</row>
    <row r="812" spans="1:10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</row>
    <row r="813" spans="1:10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</row>
    <row r="814" spans="1:10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</row>
    <row r="815" spans="1:10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</row>
    <row r="816" spans="1:10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</row>
    <row r="817" spans="1:10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</row>
    <row r="818" spans="1:10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</row>
    <row r="819" spans="1:10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</row>
    <row r="820" spans="1:10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</row>
    <row r="821" spans="1:10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</row>
    <row r="822" spans="1:10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</row>
    <row r="823" spans="1:10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</row>
    <row r="824" spans="1:10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</row>
    <row r="825" spans="1:10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</row>
    <row r="826" spans="1:10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</row>
    <row r="827" spans="1:10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</row>
    <row r="828" spans="1:10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</row>
    <row r="829" spans="1:10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</row>
    <row r="830" spans="1:10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</row>
    <row r="831" spans="1:10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</row>
    <row r="832" spans="1:10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</row>
    <row r="833" spans="1:10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</row>
    <row r="834" spans="1:10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</row>
    <row r="835" spans="1:10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</row>
    <row r="836" spans="1:10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</row>
    <row r="837" spans="1:10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</row>
    <row r="838" spans="1:10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</row>
    <row r="839" spans="1:10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</row>
    <row r="840" spans="1:10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</row>
    <row r="841" spans="1:10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</row>
    <row r="842" spans="1:10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</row>
    <row r="843" spans="1:10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</row>
    <row r="844" spans="1:10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</row>
    <row r="845" spans="1:10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</row>
    <row r="846" spans="1:10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</row>
    <row r="847" spans="1:10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</row>
    <row r="848" spans="1:10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</row>
    <row r="849" spans="1:10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</row>
    <row r="850" spans="1:10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</row>
    <row r="851" spans="1:10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</row>
    <row r="852" spans="1:10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</row>
    <row r="853" spans="1:10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</row>
    <row r="854" spans="1:10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</row>
    <row r="855" spans="1:10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</row>
    <row r="856" spans="1:10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</row>
    <row r="857" spans="1:10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</row>
    <row r="858" spans="1:10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</row>
    <row r="859" spans="1:10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</row>
    <row r="860" spans="1:10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</row>
    <row r="861" spans="1:10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</row>
    <row r="862" spans="1:10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</row>
    <row r="863" spans="1:10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</row>
    <row r="864" spans="1:10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</row>
    <row r="865" spans="1:10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</row>
    <row r="866" spans="1:10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</row>
    <row r="867" spans="1:10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</row>
    <row r="868" spans="1:10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</row>
    <row r="869" spans="1:10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</row>
    <row r="870" spans="1:10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</row>
    <row r="871" spans="1:10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</row>
    <row r="872" spans="1:10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</row>
    <row r="873" spans="1:10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</row>
    <row r="874" spans="1:10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</row>
    <row r="875" spans="1:10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</row>
    <row r="876" spans="1:10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</row>
    <row r="877" spans="1:10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</row>
    <row r="878" spans="1:10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</row>
    <row r="879" spans="1:10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</row>
    <row r="880" spans="1:10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</row>
    <row r="881" spans="1:10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</row>
    <row r="882" spans="1:10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</row>
    <row r="883" spans="1:10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</row>
    <row r="884" spans="1:10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</row>
    <row r="885" spans="1:10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</row>
    <row r="886" spans="1:10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</row>
    <row r="887" spans="1:10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</row>
    <row r="888" spans="1:10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</row>
    <row r="889" spans="1:10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</row>
    <row r="890" spans="1:10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</row>
    <row r="891" spans="1:10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</row>
    <row r="892" spans="1:10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</row>
    <row r="893" spans="1:10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</row>
    <row r="894" spans="1:10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</row>
    <row r="895" spans="1:10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</row>
    <row r="896" spans="1:10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</row>
    <row r="897" spans="1:10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</row>
    <row r="898" spans="1:10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</row>
    <row r="899" spans="1:10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</row>
    <row r="900" spans="1:10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</row>
    <row r="901" spans="1:10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</row>
    <row r="902" spans="1:10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</row>
    <row r="903" spans="1:10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</row>
    <row r="904" spans="1:10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</row>
    <row r="905" spans="1:10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</row>
    <row r="906" spans="1:10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</row>
    <row r="907" spans="1:10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</row>
    <row r="908" spans="1:10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</row>
    <row r="909" spans="1:10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</row>
    <row r="910" spans="1:10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</row>
    <row r="911" spans="1:10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</row>
    <row r="912" spans="1:10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</row>
    <row r="913" spans="1:10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</row>
    <row r="914" spans="1:10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</row>
    <row r="915" spans="1:10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</row>
    <row r="916" spans="1:10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</row>
    <row r="917" spans="1:10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</row>
    <row r="918" spans="1:10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</row>
    <row r="919" spans="1:10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</row>
    <row r="920" spans="1:10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</row>
    <row r="921" spans="1:10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</row>
    <row r="922" spans="1:10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</row>
    <row r="923" spans="1:10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</row>
    <row r="924" spans="1:10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</row>
    <row r="925" spans="1:10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</row>
    <row r="926" spans="1:10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</row>
    <row r="927" spans="1:10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</row>
    <row r="928" spans="1:10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</row>
    <row r="929" spans="1:10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</row>
    <row r="930" spans="1:10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</row>
    <row r="931" spans="1:10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</row>
    <row r="932" spans="1:10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</row>
    <row r="933" spans="1:10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</row>
    <row r="934" spans="1:10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</row>
    <row r="935" spans="1:10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</row>
    <row r="936" spans="1:10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</row>
    <row r="937" spans="1:10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</row>
    <row r="938" spans="1:10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</row>
    <row r="939" spans="1:10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</row>
    <row r="940" spans="1:10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</row>
    <row r="941" spans="1:10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</row>
    <row r="942" spans="1:10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</row>
    <row r="943" spans="1:10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</row>
    <row r="944" spans="1:10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</row>
    <row r="945" spans="1:10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</row>
    <row r="946" spans="1:10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</row>
    <row r="947" spans="1:10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</row>
    <row r="948" spans="1:10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</row>
    <row r="949" spans="1:10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</row>
    <row r="950" spans="1:10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</row>
    <row r="951" spans="1:10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</row>
    <row r="952" spans="1:10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</row>
    <row r="953" spans="1:10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</row>
    <row r="954" spans="1:10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</row>
    <row r="955" spans="1:10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</row>
    <row r="956" spans="1:10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</row>
    <row r="957" spans="1:10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</row>
    <row r="958" spans="1:10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</row>
    <row r="959" spans="1:10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</row>
    <row r="960" spans="1:10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</row>
    <row r="961" spans="1:10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</row>
    <row r="962" spans="1:10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</row>
    <row r="963" spans="1:10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</row>
    <row r="964" spans="1:10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</row>
    <row r="965" spans="1:10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</row>
    <row r="966" spans="1:10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</row>
    <row r="967" spans="1:10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</row>
    <row r="968" spans="1:10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</row>
    <row r="969" spans="1:10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</row>
    <row r="970" spans="1:10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</row>
    <row r="971" spans="1:10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</row>
    <row r="972" spans="1:10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</row>
    <row r="973" spans="1:10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</row>
    <row r="974" spans="1:10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</row>
    <row r="975" spans="1:10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</row>
    <row r="976" spans="1:10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</row>
    <row r="977" spans="1:10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</row>
    <row r="978" spans="1:10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</row>
    <row r="979" spans="1:10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</row>
    <row r="980" spans="1:10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</row>
    <row r="981" spans="1:10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</row>
    <row r="982" spans="1:10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</row>
    <row r="983" spans="1:10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</row>
    <row r="984" spans="1:10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</row>
    <row r="985" spans="1:10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</row>
    <row r="986" spans="1:10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</row>
    <row r="987" spans="1:10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</row>
    <row r="988" spans="1:10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</row>
    <row r="989" spans="1:10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</row>
    <row r="990" spans="1:10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</row>
    <row r="991" spans="1:10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</row>
    <row r="992" spans="1:10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</row>
    <row r="993" spans="1:10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</row>
    <row r="994" spans="1:10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</row>
    <row r="995" spans="1:10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</row>
    <row r="996" spans="1:10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</row>
    <row r="997" spans="1:10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</row>
    <row r="998" spans="1:10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</row>
    <row r="999" spans="1:10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</row>
    <row r="1000" spans="1:10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</row>
    <row r="1001" spans="1:10">
      <c r="A1001" s="123"/>
      <c r="B1001" s="123"/>
      <c r="C1001" s="123"/>
      <c r="D1001" s="123"/>
      <c r="E1001" s="123"/>
      <c r="F1001" s="123"/>
      <c r="G1001" s="123"/>
      <c r="H1001" s="123"/>
      <c r="I1001" s="123"/>
      <c r="J1001" s="123"/>
    </row>
    <row r="1002" spans="1:10">
      <c r="A1002" s="123"/>
      <c r="B1002" s="123"/>
      <c r="C1002" s="123"/>
      <c r="D1002" s="123"/>
      <c r="E1002" s="123"/>
      <c r="F1002" s="123"/>
      <c r="G1002" s="123"/>
      <c r="H1002" s="123"/>
      <c r="I1002" s="123"/>
      <c r="J1002" s="123"/>
    </row>
    <row r="1003" spans="1:10">
      <c r="A1003" s="123"/>
      <c r="B1003" s="123"/>
      <c r="C1003" s="123"/>
      <c r="D1003" s="123"/>
      <c r="E1003" s="123"/>
      <c r="F1003" s="123"/>
      <c r="G1003" s="123"/>
      <c r="H1003" s="123"/>
      <c r="I1003" s="123"/>
      <c r="J1003" s="123"/>
    </row>
    <row r="1004" spans="1:10">
      <c r="A1004" s="123"/>
      <c r="B1004" s="123"/>
      <c r="C1004" s="123"/>
      <c r="D1004" s="123"/>
      <c r="E1004" s="123"/>
      <c r="F1004" s="123"/>
      <c r="G1004" s="123"/>
      <c r="H1004" s="123"/>
      <c r="I1004" s="123"/>
      <c r="J1004" s="123"/>
    </row>
    <row r="1005" spans="1:10">
      <c r="A1005" s="123"/>
      <c r="B1005" s="123"/>
      <c r="C1005" s="123"/>
      <c r="D1005" s="123"/>
      <c r="E1005" s="123"/>
      <c r="F1005" s="123"/>
      <c r="G1005" s="123"/>
      <c r="H1005" s="123"/>
      <c r="I1005" s="123"/>
      <c r="J1005" s="123"/>
    </row>
    <row r="1006" spans="1:10">
      <c r="A1006" s="123"/>
      <c r="B1006" s="123"/>
      <c r="C1006" s="123"/>
      <c r="D1006" s="123"/>
      <c r="E1006" s="123"/>
      <c r="F1006" s="123"/>
      <c r="G1006" s="123"/>
      <c r="H1006" s="123"/>
      <c r="I1006" s="123"/>
      <c r="J1006" s="123"/>
    </row>
    <row r="1007" spans="1:10">
      <c r="A1007" s="123"/>
      <c r="B1007" s="123"/>
      <c r="C1007" s="123"/>
      <c r="D1007" s="123"/>
      <c r="E1007" s="123"/>
      <c r="F1007" s="123"/>
      <c r="G1007" s="123"/>
      <c r="H1007" s="123"/>
      <c r="I1007" s="123"/>
      <c r="J1007" s="123"/>
    </row>
    <row r="1008" spans="1:10">
      <c r="A1008" s="123"/>
      <c r="B1008" s="123"/>
      <c r="C1008" s="123"/>
      <c r="D1008" s="123"/>
      <c r="E1008" s="123"/>
      <c r="F1008" s="123"/>
      <c r="G1008" s="123"/>
      <c r="H1008" s="123"/>
      <c r="I1008" s="123"/>
      <c r="J1008" s="123"/>
    </row>
    <row r="1009" spans="1:10">
      <c r="A1009" s="123"/>
      <c r="B1009" s="123"/>
      <c r="C1009" s="123"/>
      <c r="D1009" s="123"/>
      <c r="E1009" s="123"/>
      <c r="F1009" s="123"/>
      <c r="G1009" s="123"/>
      <c r="H1009" s="123"/>
      <c r="I1009" s="123"/>
      <c r="J1009" s="123"/>
    </row>
    <row r="1010" spans="1:10">
      <c r="A1010" s="123"/>
      <c r="B1010" s="123"/>
      <c r="C1010" s="123"/>
      <c r="D1010" s="123"/>
      <c r="E1010" s="123"/>
      <c r="F1010" s="123"/>
      <c r="G1010" s="123"/>
      <c r="H1010" s="123"/>
      <c r="I1010" s="123"/>
      <c r="J1010" s="123"/>
    </row>
    <row r="1011" spans="1:10">
      <c r="A1011" s="123"/>
      <c r="B1011" s="123"/>
      <c r="C1011" s="123"/>
      <c r="D1011" s="123"/>
      <c r="E1011" s="123"/>
      <c r="F1011" s="123"/>
      <c r="G1011" s="123"/>
      <c r="H1011" s="123"/>
      <c r="I1011" s="123"/>
      <c r="J1011" s="123"/>
    </row>
    <row r="1012" spans="1:10">
      <c r="A1012" s="123"/>
      <c r="B1012" s="123"/>
      <c r="C1012" s="123"/>
      <c r="D1012" s="123"/>
      <c r="E1012" s="123"/>
      <c r="F1012" s="123"/>
      <c r="G1012" s="123"/>
      <c r="H1012" s="123"/>
      <c r="I1012" s="123"/>
      <c r="J1012" s="123"/>
    </row>
    <row r="1013" spans="1:10">
      <c r="A1013" s="123"/>
      <c r="B1013" s="123"/>
      <c r="C1013" s="123"/>
      <c r="D1013" s="123"/>
      <c r="E1013" s="123"/>
      <c r="F1013" s="123"/>
      <c r="G1013" s="123"/>
      <c r="H1013" s="123"/>
      <c r="I1013" s="123"/>
      <c r="J1013" s="123"/>
    </row>
    <row r="1014" spans="1:10">
      <c r="A1014" s="123"/>
      <c r="B1014" s="123"/>
      <c r="C1014" s="123"/>
      <c r="D1014" s="123"/>
      <c r="E1014" s="123"/>
      <c r="F1014" s="123"/>
      <c r="G1014" s="123"/>
      <c r="H1014" s="123"/>
      <c r="I1014" s="123"/>
      <c r="J1014" s="123"/>
    </row>
    <row r="1015" spans="1:10">
      <c r="A1015" s="123"/>
      <c r="B1015" s="123"/>
      <c r="C1015" s="123"/>
      <c r="D1015" s="123"/>
      <c r="E1015" s="123"/>
      <c r="F1015" s="123"/>
      <c r="G1015" s="123"/>
      <c r="H1015" s="123"/>
      <c r="I1015" s="123"/>
      <c r="J1015" s="123"/>
    </row>
    <row r="1016" spans="1:10">
      <c r="A1016" s="123"/>
      <c r="B1016" s="123"/>
      <c r="C1016" s="123"/>
      <c r="D1016" s="123"/>
      <c r="E1016" s="123"/>
      <c r="F1016" s="123"/>
      <c r="G1016" s="123"/>
      <c r="H1016" s="123"/>
      <c r="I1016" s="123"/>
      <c r="J1016" s="123"/>
    </row>
    <row r="1017" spans="1:10">
      <c r="A1017" s="123"/>
      <c r="B1017" s="123"/>
      <c r="C1017" s="123"/>
      <c r="D1017" s="123"/>
      <c r="E1017" s="123"/>
      <c r="F1017" s="123"/>
      <c r="G1017" s="123"/>
      <c r="H1017" s="123"/>
      <c r="I1017" s="123"/>
      <c r="J1017" s="123"/>
    </row>
    <row r="1018" spans="1:10">
      <c r="A1018" s="123"/>
      <c r="B1018" s="123"/>
      <c r="C1018" s="123"/>
      <c r="D1018" s="123"/>
      <c r="E1018" s="123"/>
      <c r="F1018" s="123"/>
      <c r="G1018" s="123"/>
      <c r="H1018" s="123"/>
      <c r="I1018" s="123"/>
      <c r="J1018" s="123"/>
    </row>
    <row r="1019" spans="1:10">
      <c r="A1019" s="123"/>
      <c r="B1019" s="123"/>
      <c r="C1019" s="123"/>
      <c r="D1019" s="123"/>
      <c r="E1019" s="123"/>
      <c r="F1019" s="123"/>
      <c r="G1019" s="123"/>
      <c r="H1019" s="123"/>
      <c r="I1019" s="123"/>
      <c r="J1019" s="123"/>
    </row>
    <row r="1020" spans="1:10">
      <c r="A1020" s="123"/>
      <c r="B1020" s="123"/>
      <c r="C1020" s="123"/>
      <c r="D1020" s="123"/>
      <c r="E1020" s="123"/>
      <c r="F1020" s="123"/>
      <c r="G1020" s="123"/>
      <c r="H1020" s="123"/>
      <c r="I1020" s="123"/>
      <c r="J1020" s="123"/>
    </row>
    <row r="1021" spans="1:10">
      <c r="A1021" s="123"/>
      <c r="B1021" s="123"/>
      <c r="C1021" s="123"/>
      <c r="D1021" s="123"/>
      <c r="E1021" s="123"/>
      <c r="F1021" s="123"/>
      <c r="G1021" s="123"/>
      <c r="H1021" s="123"/>
      <c r="I1021" s="123"/>
      <c r="J1021" s="123"/>
    </row>
    <row r="1022" spans="1:10">
      <c r="A1022" s="123"/>
      <c r="B1022" s="123"/>
      <c r="C1022" s="123"/>
      <c r="D1022" s="123"/>
      <c r="E1022" s="123"/>
      <c r="F1022" s="123"/>
      <c r="G1022" s="123"/>
      <c r="H1022" s="123"/>
      <c r="I1022" s="123"/>
      <c r="J1022" s="123"/>
    </row>
    <row r="1023" spans="1:10">
      <c r="A1023" s="123"/>
      <c r="B1023" s="123"/>
      <c r="C1023" s="123"/>
      <c r="D1023" s="123"/>
      <c r="E1023" s="123"/>
      <c r="F1023" s="123"/>
      <c r="G1023" s="123"/>
      <c r="H1023" s="123"/>
      <c r="I1023" s="123"/>
      <c r="J1023" s="123"/>
    </row>
    <row r="1024" spans="1:10">
      <c r="A1024" s="123"/>
      <c r="B1024" s="123"/>
      <c r="C1024" s="123"/>
      <c r="D1024" s="123"/>
      <c r="E1024" s="123"/>
      <c r="F1024" s="123"/>
      <c r="G1024" s="123"/>
      <c r="H1024" s="123"/>
      <c r="I1024" s="123"/>
      <c r="J1024" s="123"/>
    </row>
    <row r="1025" spans="1:10">
      <c r="A1025" s="123"/>
      <c r="B1025" s="123"/>
      <c r="C1025" s="123"/>
      <c r="D1025" s="123"/>
      <c r="E1025" s="123"/>
      <c r="F1025" s="123"/>
      <c r="G1025" s="123"/>
      <c r="H1025" s="123"/>
      <c r="I1025" s="123"/>
      <c r="J1025" s="123"/>
    </row>
    <row r="1026" spans="1:10">
      <c r="A1026" s="123"/>
      <c r="B1026" s="123"/>
      <c r="C1026" s="123"/>
      <c r="D1026" s="123"/>
      <c r="E1026" s="123"/>
      <c r="F1026" s="123"/>
      <c r="G1026" s="123"/>
      <c r="H1026" s="123"/>
      <c r="I1026" s="123"/>
      <c r="J1026" s="123"/>
    </row>
    <row r="1027" spans="1:10">
      <c r="A1027" s="123"/>
      <c r="B1027" s="123"/>
      <c r="C1027" s="123"/>
      <c r="D1027" s="123"/>
      <c r="E1027" s="123"/>
      <c r="F1027" s="123"/>
      <c r="G1027" s="123"/>
      <c r="H1027" s="123"/>
      <c r="I1027" s="123"/>
      <c r="J1027" s="123"/>
    </row>
    <row r="1028" spans="1:10">
      <c r="A1028" s="123"/>
      <c r="B1028" s="123"/>
      <c r="C1028" s="123"/>
      <c r="D1028" s="123"/>
      <c r="E1028" s="123"/>
      <c r="F1028" s="123"/>
      <c r="G1028" s="123"/>
      <c r="H1028" s="123"/>
      <c r="I1028" s="123"/>
      <c r="J1028" s="123"/>
    </row>
    <row r="1029" spans="1:10">
      <c r="A1029" s="123"/>
      <c r="B1029" s="123"/>
      <c r="C1029" s="123"/>
      <c r="D1029" s="123"/>
      <c r="E1029" s="123"/>
      <c r="F1029" s="123"/>
      <c r="G1029" s="123"/>
      <c r="H1029" s="123"/>
      <c r="I1029" s="123"/>
      <c r="J1029" s="123"/>
    </row>
    <row r="1030" spans="1:10">
      <c r="A1030" s="123"/>
      <c r="B1030" s="123"/>
      <c r="C1030" s="123"/>
      <c r="D1030" s="123"/>
      <c r="E1030" s="123"/>
      <c r="F1030" s="123"/>
      <c r="G1030" s="123"/>
      <c r="H1030" s="123"/>
      <c r="I1030" s="123"/>
      <c r="J1030" s="123"/>
    </row>
    <row r="1031" spans="1:10">
      <c r="A1031" s="123"/>
      <c r="B1031" s="123"/>
      <c r="C1031" s="123"/>
      <c r="D1031" s="123"/>
      <c r="E1031" s="123"/>
      <c r="F1031" s="123"/>
      <c r="G1031" s="123"/>
      <c r="H1031" s="123"/>
      <c r="I1031" s="123"/>
      <c r="J1031" s="123"/>
    </row>
    <row r="1032" spans="1:10">
      <c r="A1032" s="123"/>
      <c r="B1032" s="123"/>
      <c r="C1032" s="123"/>
      <c r="D1032" s="123"/>
      <c r="E1032" s="123"/>
      <c r="F1032" s="123"/>
      <c r="G1032" s="123"/>
      <c r="H1032" s="123"/>
      <c r="I1032" s="123"/>
      <c r="J1032" s="123"/>
    </row>
    <row r="1033" spans="1:10">
      <c r="A1033" s="123"/>
      <c r="B1033" s="123"/>
      <c r="C1033" s="123"/>
      <c r="D1033" s="123"/>
      <c r="E1033" s="123"/>
      <c r="F1033" s="123"/>
      <c r="G1033" s="123"/>
      <c r="H1033" s="123"/>
      <c r="I1033" s="123"/>
      <c r="J1033" s="123"/>
    </row>
    <row r="1034" spans="1:10">
      <c r="A1034" s="123"/>
      <c r="B1034" s="123"/>
      <c r="C1034" s="123"/>
      <c r="D1034" s="123"/>
      <c r="E1034" s="123"/>
      <c r="F1034" s="123"/>
      <c r="G1034" s="123"/>
      <c r="H1034" s="123"/>
      <c r="I1034" s="123"/>
      <c r="J1034" s="123"/>
    </row>
    <row r="1035" spans="1:10">
      <c r="A1035" s="123"/>
      <c r="B1035" s="123"/>
      <c r="C1035" s="123"/>
      <c r="D1035" s="123"/>
      <c r="E1035" s="123"/>
      <c r="F1035" s="123"/>
      <c r="G1035" s="123"/>
      <c r="H1035" s="123"/>
      <c r="I1035" s="123"/>
      <c r="J1035" s="123"/>
    </row>
    <row r="1036" spans="1:10">
      <c r="A1036" s="123"/>
      <c r="B1036" s="123"/>
      <c r="C1036" s="123"/>
      <c r="D1036" s="123"/>
      <c r="E1036" s="123"/>
      <c r="F1036" s="123"/>
      <c r="G1036" s="123"/>
      <c r="H1036" s="123"/>
      <c r="I1036" s="123"/>
      <c r="J1036" s="123"/>
    </row>
    <row r="1037" spans="1:10">
      <c r="A1037" s="123"/>
      <c r="B1037" s="123"/>
      <c r="C1037" s="123"/>
      <c r="D1037" s="123"/>
      <c r="E1037" s="123"/>
      <c r="F1037" s="123"/>
      <c r="G1037" s="123"/>
      <c r="H1037" s="123"/>
      <c r="I1037" s="123"/>
      <c r="J1037" s="123"/>
    </row>
    <row r="1038" spans="1:10">
      <c r="A1038" s="123"/>
      <c r="B1038" s="123"/>
      <c r="C1038" s="123"/>
      <c r="D1038" s="123"/>
      <c r="E1038" s="123"/>
      <c r="F1038" s="123"/>
      <c r="G1038" s="123"/>
      <c r="H1038" s="123"/>
      <c r="I1038" s="123"/>
      <c r="J1038" s="123"/>
    </row>
    <row r="1039" spans="1:10">
      <c r="A1039" s="123"/>
      <c r="B1039" s="123"/>
      <c r="C1039" s="123"/>
      <c r="D1039" s="123"/>
      <c r="E1039" s="123"/>
      <c r="F1039" s="123"/>
      <c r="G1039" s="123"/>
      <c r="H1039" s="123"/>
      <c r="I1039" s="123"/>
      <c r="J1039" s="123"/>
    </row>
    <row r="1040" spans="1:10">
      <c r="A1040" s="123"/>
      <c r="B1040" s="123"/>
      <c r="C1040" s="123"/>
      <c r="D1040" s="123"/>
      <c r="E1040" s="123"/>
      <c r="F1040" s="123"/>
      <c r="G1040" s="123"/>
      <c r="H1040" s="123"/>
      <c r="I1040" s="123"/>
      <c r="J1040" s="123"/>
    </row>
    <row r="1041" spans="1:10">
      <c r="A1041" s="123"/>
      <c r="B1041" s="123"/>
      <c r="C1041" s="123"/>
      <c r="D1041" s="123"/>
      <c r="E1041" s="123"/>
      <c r="F1041" s="123"/>
      <c r="G1041" s="123"/>
      <c r="H1041" s="123"/>
      <c r="I1041" s="123"/>
      <c r="J1041" s="123"/>
    </row>
    <row r="1042" spans="1:10">
      <c r="A1042" s="123"/>
      <c r="B1042" s="123"/>
      <c r="C1042" s="123"/>
      <c r="D1042" s="123"/>
      <c r="E1042" s="123"/>
      <c r="F1042" s="123"/>
      <c r="G1042" s="123"/>
      <c r="H1042" s="123"/>
      <c r="I1042" s="123"/>
      <c r="J1042" s="123"/>
    </row>
    <row r="1043" spans="1:10">
      <c r="A1043" s="123"/>
      <c r="B1043" s="123"/>
      <c r="C1043" s="123"/>
      <c r="D1043" s="123"/>
      <c r="E1043" s="123"/>
      <c r="F1043" s="123"/>
      <c r="G1043" s="123"/>
      <c r="H1043" s="123"/>
      <c r="I1043" s="123"/>
      <c r="J1043" s="123"/>
    </row>
    <row r="1044" spans="1:10">
      <c r="A1044" s="123"/>
      <c r="B1044" s="123"/>
      <c r="C1044" s="123"/>
      <c r="D1044" s="123"/>
      <c r="E1044" s="123"/>
      <c r="F1044" s="123"/>
      <c r="G1044" s="123"/>
      <c r="H1044" s="123"/>
      <c r="I1044" s="123"/>
      <c r="J1044" s="123"/>
    </row>
    <row r="1045" spans="1:10">
      <c r="A1045" s="123"/>
      <c r="B1045" s="123"/>
      <c r="C1045" s="123"/>
      <c r="D1045" s="123"/>
      <c r="E1045" s="123"/>
      <c r="F1045" s="123"/>
      <c r="G1045" s="123"/>
      <c r="H1045" s="123"/>
      <c r="I1045" s="123"/>
      <c r="J1045" s="123"/>
    </row>
    <row r="1046" spans="1:10">
      <c r="A1046" s="123"/>
      <c r="B1046" s="123"/>
      <c r="C1046" s="123"/>
      <c r="D1046" s="123"/>
      <c r="E1046" s="123"/>
      <c r="F1046" s="123"/>
      <c r="G1046" s="123"/>
      <c r="H1046" s="123"/>
      <c r="I1046" s="123"/>
      <c r="J1046" s="123"/>
    </row>
    <row r="1047" spans="1:10">
      <c r="A1047" s="123"/>
      <c r="B1047" s="123"/>
      <c r="C1047" s="123"/>
      <c r="D1047" s="123"/>
      <c r="E1047" s="123"/>
      <c r="F1047" s="123"/>
      <c r="G1047" s="123"/>
      <c r="H1047" s="123"/>
      <c r="I1047" s="123"/>
      <c r="J1047" s="123"/>
    </row>
    <row r="1048" spans="1:10">
      <c r="A1048" s="123"/>
      <c r="B1048" s="123"/>
      <c r="C1048" s="123"/>
      <c r="D1048" s="123"/>
      <c r="E1048" s="123"/>
      <c r="F1048" s="123"/>
      <c r="G1048" s="123"/>
      <c r="H1048" s="123"/>
      <c r="I1048" s="123"/>
      <c r="J1048" s="123"/>
    </row>
    <row r="1049" spans="1:10">
      <c r="A1049" s="123"/>
      <c r="B1049" s="123"/>
      <c r="C1049" s="123"/>
      <c r="D1049" s="123"/>
      <c r="E1049" s="123"/>
      <c r="F1049" s="123"/>
      <c r="G1049" s="123"/>
      <c r="H1049" s="123"/>
      <c r="I1049" s="123"/>
      <c r="J1049" s="123"/>
    </row>
    <row r="1050" spans="1:10">
      <c r="A1050" s="123"/>
      <c r="B1050" s="123"/>
      <c r="C1050" s="123"/>
      <c r="D1050" s="123"/>
      <c r="E1050" s="123"/>
      <c r="F1050" s="123"/>
      <c r="G1050" s="123"/>
      <c r="H1050" s="123"/>
      <c r="I1050" s="123"/>
      <c r="J1050" s="123"/>
    </row>
    <row r="1051" spans="1:10">
      <c r="A1051" s="123"/>
      <c r="B1051" s="123"/>
      <c r="C1051" s="123"/>
      <c r="D1051" s="123"/>
      <c r="E1051" s="123"/>
      <c r="F1051" s="123"/>
      <c r="G1051" s="123"/>
      <c r="H1051" s="123"/>
      <c r="I1051" s="123"/>
      <c r="J1051" s="123"/>
    </row>
    <row r="1052" spans="1:10">
      <c r="A1052" s="123"/>
      <c r="B1052" s="123"/>
      <c r="C1052" s="123"/>
      <c r="D1052" s="123"/>
      <c r="E1052" s="123"/>
      <c r="F1052" s="123"/>
      <c r="G1052" s="123"/>
      <c r="H1052" s="123"/>
      <c r="I1052" s="123"/>
      <c r="J1052" s="123"/>
    </row>
    <row r="1053" spans="1:10">
      <c r="A1053" s="123"/>
      <c r="B1053" s="123"/>
      <c r="C1053" s="123"/>
      <c r="D1053" s="123"/>
      <c r="E1053" s="123"/>
      <c r="F1053" s="123"/>
      <c r="G1053" s="123"/>
      <c r="H1053" s="123"/>
      <c r="I1053" s="123"/>
      <c r="J1053" s="123"/>
    </row>
    <row r="1054" spans="1:10">
      <c r="A1054" s="123"/>
      <c r="B1054" s="123"/>
      <c r="C1054" s="123"/>
      <c r="D1054" s="123"/>
      <c r="E1054" s="123"/>
      <c r="F1054" s="123"/>
      <c r="G1054" s="123"/>
      <c r="H1054" s="123"/>
      <c r="I1054" s="123"/>
      <c r="J1054" s="123"/>
    </row>
    <row r="1055" spans="1:10">
      <c r="A1055" s="123"/>
      <c r="B1055" s="123"/>
      <c r="C1055" s="123"/>
      <c r="D1055" s="123"/>
      <c r="E1055" s="123"/>
      <c r="F1055" s="123"/>
      <c r="G1055" s="123"/>
      <c r="H1055" s="123"/>
      <c r="I1055" s="123"/>
      <c r="J1055" s="123"/>
    </row>
    <row r="1056" spans="1:10">
      <c r="A1056" s="123"/>
      <c r="B1056" s="123"/>
      <c r="C1056" s="123"/>
      <c r="D1056" s="123"/>
      <c r="E1056" s="123"/>
      <c r="F1056" s="123"/>
      <c r="G1056" s="123"/>
      <c r="H1056" s="123"/>
      <c r="I1056" s="123"/>
      <c r="J1056" s="123"/>
    </row>
    <row r="1057" spans="1:10">
      <c r="A1057" s="123"/>
      <c r="B1057" s="123"/>
      <c r="C1057" s="123"/>
      <c r="D1057" s="123"/>
      <c r="E1057" s="123"/>
      <c r="F1057" s="123"/>
      <c r="G1057" s="123"/>
      <c r="H1057" s="123"/>
      <c r="I1057" s="123"/>
      <c r="J1057" s="123"/>
    </row>
    <row r="1058" spans="1:10">
      <c r="A1058" s="123"/>
      <c r="B1058" s="123"/>
      <c r="C1058" s="123"/>
      <c r="D1058" s="123"/>
      <c r="E1058" s="123"/>
      <c r="F1058" s="123"/>
      <c r="G1058" s="123"/>
      <c r="H1058" s="123"/>
      <c r="I1058" s="123"/>
      <c r="J1058" s="123"/>
    </row>
    <row r="1059" spans="1:10">
      <c r="A1059" s="123"/>
      <c r="B1059" s="123"/>
      <c r="C1059" s="123"/>
      <c r="D1059" s="123"/>
      <c r="E1059" s="123"/>
      <c r="F1059" s="123"/>
      <c r="G1059" s="123"/>
      <c r="H1059" s="123"/>
      <c r="I1059" s="123"/>
      <c r="J1059" s="123"/>
    </row>
    <row r="1060" spans="1:10">
      <c r="A1060" s="123"/>
      <c r="B1060" s="123"/>
      <c r="C1060" s="123"/>
      <c r="D1060" s="123"/>
      <c r="E1060" s="123"/>
      <c r="F1060" s="123"/>
      <c r="G1060" s="123"/>
      <c r="H1060" s="123"/>
      <c r="I1060" s="123"/>
      <c r="J1060" s="123"/>
    </row>
    <row r="1061" spans="1:10">
      <c r="A1061" s="123"/>
      <c r="B1061" s="123"/>
      <c r="C1061" s="123"/>
      <c r="D1061" s="123"/>
      <c r="E1061" s="123"/>
      <c r="F1061" s="123"/>
      <c r="G1061" s="123"/>
      <c r="H1061" s="123"/>
      <c r="I1061" s="123"/>
      <c r="J1061" s="123"/>
    </row>
    <row r="1062" spans="1:10">
      <c r="A1062" s="123"/>
      <c r="B1062" s="123"/>
      <c r="C1062" s="123"/>
      <c r="D1062" s="123"/>
      <c r="E1062" s="123"/>
      <c r="F1062" s="123"/>
      <c r="G1062" s="123"/>
      <c r="H1062" s="123"/>
      <c r="I1062" s="123"/>
      <c r="J1062" s="123"/>
    </row>
    <row r="1063" spans="1:10">
      <c r="A1063" s="123"/>
      <c r="B1063" s="123"/>
      <c r="C1063" s="123"/>
      <c r="D1063" s="123"/>
      <c r="E1063" s="123"/>
      <c r="F1063" s="123"/>
      <c r="G1063" s="123"/>
      <c r="H1063" s="123"/>
      <c r="I1063" s="123"/>
      <c r="J1063" s="123"/>
    </row>
    <row r="1064" spans="1:10">
      <c r="A1064" s="123"/>
      <c r="B1064" s="123"/>
      <c r="C1064" s="123"/>
      <c r="D1064" s="123"/>
      <c r="E1064" s="123"/>
      <c r="F1064" s="123"/>
      <c r="G1064" s="123"/>
      <c r="H1064" s="123"/>
      <c r="I1064" s="123"/>
      <c r="J1064" s="123"/>
    </row>
    <row r="1065" spans="1:10">
      <c r="A1065" s="123"/>
      <c r="B1065" s="123"/>
      <c r="C1065" s="123"/>
      <c r="D1065" s="123"/>
      <c r="E1065" s="123"/>
      <c r="F1065" s="123"/>
      <c r="G1065" s="123"/>
      <c r="H1065" s="123"/>
      <c r="I1065" s="123"/>
      <c r="J1065" s="123"/>
    </row>
    <row r="1066" spans="1:10">
      <c r="A1066" s="123"/>
      <c r="B1066" s="123"/>
      <c r="C1066" s="123"/>
      <c r="D1066" s="123"/>
      <c r="E1066" s="123"/>
      <c r="F1066" s="123"/>
      <c r="G1066" s="123"/>
      <c r="H1066" s="123"/>
      <c r="I1066" s="123"/>
      <c r="J1066" s="123"/>
    </row>
    <row r="1067" spans="1:10">
      <c r="A1067" s="123"/>
      <c r="B1067" s="123"/>
      <c r="C1067" s="123"/>
      <c r="D1067" s="123"/>
      <c r="E1067" s="123"/>
      <c r="F1067" s="123"/>
      <c r="G1067" s="123"/>
      <c r="H1067" s="123"/>
      <c r="I1067" s="123"/>
      <c r="J1067" s="123"/>
    </row>
    <row r="1068" spans="1:10">
      <c r="A1068" s="123"/>
      <c r="B1068" s="123"/>
      <c r="C1068" s="123"/>
      <c r="D1068" s="123"/>
      <c r="E1068" s="123"/>
      <c r="F1068" s="123"/>
      <c r="G1068" s="123"/>
      <c r="H1068" s="123"/>
      <c r="I1068" s="123"/>
      <c r="J1068" s="123"/>
    </row>
    <row r="1069" spans="1:10">
      <c r="A1069" s="123"/>
      <c r="B1069" s="123"/>
      <c r="C1069" s="123"/>
      <c r="D1069" s="123"/>
      <c r="E1069" s="123"/>
      <c r="F1069" s="123"/>
      <c r="G1069" s="123"/>
      <c r="H1069" s="123"/>
      <c r="I1069" s="123"/>
      <c r="J1069" s="123"/>
    </row>
    <row r="1070" spans="1:10">
      <c r="A1070" s="123"/>
      <c r="B1070" s="123"/>
      <c r="C1070" s="123"/>
      <c r="D1070" s="123"/>
      <c r="E1070" s="123"/>
      <c r="F1070" s="123"/>
      <c r="G1070" s="123"/>
      <c r="H1070" s="123"/>
      <c r="I1070" s="123"/>
      <c r="J1070" s="123"/>
    </row>
    <row r="1071" spans="1:10">
      <c r="A1071" s="123"/>
      <c r="B1071" s="123"/>
      <c r="C1071" s="123"/>
      <c r="D1071" s="123"/>
      <c r="E1071" s="123"/>
      <c r="F1071" s="123"/>
      <c r="G1071" s="123"/>
      <c r="H1071" s="123"/>
      <c r="I1071" s="123"/>
      <c r="J1071" s="123"/>
    </row>
    <row r="1072" spans="1:10">
      <c r="A1072" s="123"/>
      <c r="B1072" s="123"/>
      <c r="C1072" s="123"/>
      <c r="D1072" s="123"/>
      <c r="E1072" s="123"/>
      <c r="F1072" s="123"/>
      <c r="G1072" s="123"/>
      <c r="H1072" s="123"/>
      <c r="I1072" s="123"/>
      <c r="J1072" s="123"/>
    </row>
    <row r="1073" spans="1:10">
      <c r="A1073" s="123"/>
      <c r="B1073" s="123"/>
      <c r="C1073" s="123"/>
      <c r="D1073" s="123"/>
      <c r="E1073" s="123"/>
      <c r="F1073" s="123"/>
      <c r="G1073" s="123"/>
      <c r="H1073" s="123"/>
      <c r="I1073" s="123"/>
      <c r="J1073" s="123"/>
    </row>
    <row r="1074" spans="1:10">
      <c r="A1074" s="123"/>
      <c r="B1074" s="123"/>
      <c r="C1074" s="123"/>
      <c r="D1074" s="123"/>
      <c r="E1074" s="123"/>
      <c r="F1074" s="123"/>
      <c r="G1074" s="123"/>
      <c r="H1074" s="123"/>
      <c r="I1074" s="123"/>
      <c r="J1074" s="123"/>
    </row>
    <row r="1075" spans="1:10">
      <c r="A1075" s="123"/>
      <c r="B1075" s="123"/>
      <c r="C1075" s="123"/>
      <c r="D1075" s="123"/>
      <c r="E1075" s="123"/>
      <c r="F1075" s="123"/>
      <c r="G1075" s="123"/>
      <c r="H1075" s="123"/>
      <c r="I1075" s="123"/>
      <c r="J1075" s="123"/>
    </row>
    <row r="1076" spans="1:10">
      <c r="A1076" s="123"/>
      <c r="B1076" s="123"/>
      <c r="C1076" s="123"/>
      <c r="D1076" s="123"/>
      <c r="E1076" s="123"/>
      <c r="F1076" s="123"/>
      <c r="G1076" s="123"/>
      <c r="H1076" s="123"/>
      <c r="I1076" s="123"/>
      <c r="J1076" s="123"/>
    </row>
    <row r="1077" spans="1:10">
      <c r="A1077" s="123"/>
      <c r="B1077" s="123"/>
      <c r="C1077" s="123"/>
      <c r="D1077" s="123"/>
      <c r="E1077" s="123"/>
      <c r="F1077" s="123"/>
      <c r="G1077" s="123"/>
      <c r="H1077" s="123"/>
      <c r="I1077" s="123"/>
      <c r="J1077" s="123"/>
    </row>
    <row r="1078" spans="1:10">
      <c r="A1078" s="123"/>
      <c r="B1078" s="123"/>
      <c r="C1078" s="123"/>
      <c r="D1078" s="123"/>
      <c r="E1078" s="123"/>
      <c r="F1078" s="123"/>
      <c r="G1078" s="123"/>
      <c r="H1078" s="123"/>
      <c r="I1078" s="123"/>
      <c r="J1078" s="123"/>
    </row>
    <row r="1079" spans="1:10">
      <c r="A1079" s="123"/>
      <c r="B1079" s="123"/>
      <c r="C1079" s="123"/>
      <c r="D1079" s="123"/>
      <c r="E1079" s="123"/>
      <c r="F1079" s="123"/>
      <c r="G1079" s="123"/>
      <c r="H1079" s="123"/>
      <c r="I1079" s="123"/>
      <c r="J1079" s="123"/>
    </row>
    <row r="1080" spans="1:10">
      <c r="A1080" s="123"/>
      <c r="B1080" s="123"/>
      <c r="C1080" s="123"/>
      <c r="D1080" s="123"/>
      <c r="E1080" s="123"/>
      <c r="F1080" s="123"/>
      <c r="G1080" s="123"/>
      <c r="H1080" s="123"/>
      <c r="I1080" s="123"/>
      <c r="J1080" s="123"/>
    </row>
    <row r="1081" spans="1:10">
      <c r="A1081" s="123"/>
      <c r="B1081" s="123"/>
      <c r="C1081" s="123"/>
      <c r="D1081" s="123"/>
      <c r="E1081" s="123"/>
      <c r="F1081" s="123"/>
      <c r="G1081" s="123"/>
      <c r="H1081" s="123"/>
      <c r="I1081" s="123"/>
      <c r="J1081" s="123"/>
    </row>
    <row r="1082" spans="1:10">
      <c r="A1082" s="123"/>
      <c r="B1082" s="123"/>
      <c r="C1082" s="123"/>
      <c r="D1082" s="123"/>
      <c r="E1082" s="123"/>
      <c r="F1082" s="123"/>
      <c r="G1082" s="123"/>
      <c r="H1082" s="123"/>
      <c r="I1082" s="123"/>
      <c r="J1082" s="123"/>
    </row>
    <row r="1083" spans="1:10">
      <c r="A1083" s="123"/>
      <c r="B1083" s="123"/>
      <c r="C1083" s="123"/>
      <c r="D1083" s="123"/>
      <c r="E1083" s="123"/>
      <c r="F1083" s="123"/>
      <c r="G1083" s="123"/>
      <c r="H1083" s="123"/>
      <c r="I1083" s="123"/>
      <c r="J1083" s="123"/>
    </row>
    <row r="1084" spans="1:10">
      <c r="A1084" s="123"/>
      <c r="B1084" s="123"/>
      <c r="C1084" s="123"/>
      <c r="D1084" s="123"/>
      <c r="E1084" s="123"/>
      <c r="F1084" s="123"/>
      <c r="G1084" s="123"/>
      <c r="H1084" s="123"/>
      <c r="I1084" s="123"/>
      <c r="J1084" s="123"/>
    </row>
    <row r="1085" spans="1:10">
      <c r="A1085" s="123"/>
      <c r="B1085" s="123"/>
      <c r="C1085" s="123"/>
      <c r="D1085" s="123"/>
      <c r="E1085" s="123"/>
      <c r="F1085" s="123"/>
      <c r="G1085" s="123"/>
      <c r="H1085" s="123"/>
      <c r="I1085" s="123"/>
      <c r="J1085" s="123"/>
    </row>
    <row r="1086" spans="1:10">
      <c r="A1086" s="123"/>
      <c r="B1086" s="123"/>
      <c r="C1086" s="123"/>
      <c r="D1086" s="123"/>
      <c r="E1086" s="123"/>
      <c r="F1086" s="123"/>
      <c r="G1086" s="123"/>
      <c r="H1086" s="123"/>
      <c r="I1086" s="123"/>
      <c r="J1086" s="123"/>
    </row>
    <row r="1087" spans="1:10">
      <c r="A1087" s="123"/>
      <c r="B1087" s="123"/>
      <c r="C1087" s="123"/>
      <c r="D1087" s="123"/>
      <c r="E1087" s="123"/>
      <c r="F1087" s="123"/>
      <c r="G1087" s="123"/>
      <c r="H1087" s="123"/>
      <c r="I1087" s="123"/>
      <c r="J1087" s="123"/>
    </row>
    <row r="1088" spans="1:10">
      <c r="A1088" s="123"/>
      <c r="B1088" s="123"/>
      <c r="C1088" s="123"/>
      <c r="D1088" s="123"/>
      <c r="E1088" s="123"/>
      <c r="F1088" s="123"/>
      <c r="G1088" s="123"/>
      <c r="H1088" s="123"/>
      <c r="I1088" s="123"/>
      <c r="J1088" s="123"/>
    </row>
    <row r="1089" spans="1:10">
      <c r="A1089" s="123"/>
      <c r="B1089" s="123"/>
      <c r="C1089" s="123"/>
      <c r="D1089" s="123"/>
      <c r="E1089" s="123"/>
      <c r="F1089" s="123"/>
      <c r="G1089" s="123"/>
      <c r="H1089" s="123"/>
      <c r="I1089" s="123"/>
      <c r="J1089" s="123"/>
    </row>
    <row r="1090" spans="1:10">
      <c r="A1090" s="123"/>
      <c r="B1090" s="123"/>
      <c r="C1090" s="123"/>
      <c r="D1090" s="123"/>
      <c r="E1090" s="123"/>
      <c r="F1090" s="123"/>
      <c r="G1090" s="123"/>
      <c r="H1090" s="123"/>
      <c r="I1090" s="123"/>
      <c r="J1090" s="123"/>
    </row>
    <row r="1091" spans="1:10">
      <c r="A1091" s="123"/>
      <c r="B1091" s="123"/>
      <c r="C1091" s="123"/>
      <c r="D1091" s="123"/>
      <c r="E1091" s="123"/>
      <c r="F1091" s="123"/>
      <c r="G1091" s="123"/>
      <c r="H1091" s="123"/>
      <c r="I1091" s="123"/>
      <c r="J1091" s="123"/>
    </row>
    <row r="1092" spans="1:10">
      <c r="A1092" s="123"/>
      <c r="B1092" s="123"/>
      <c r="C1092" s="123"/>
      <c r="D1092" s="123"/>
      <c r="E1092" s="123"/>
      <c r="F1092" s="123"/>
      <c r="G1092" s="123"/>
      <c r="H1092" s="123"/>
      <c r="I1092" s="123"/>
      <c r="J1092" s="123"/>
    </row>
    <row r="1093" spans="1:10">
      <c r="A1093" s="123"/>
      <c r="B1093" s="123"/>
      <c r="C1093" s="123"/>
      <c r="D1093" s="123"/>
      <c r="E1093" s="123"/>
      <c r="F1093" s="123"/>
      <c r="G1093" s="123"/>
      <c r="H1093" s="123"/>
      <c r="I1093" s="123"/>
      <c r="J1093" s="123"/>
    </row>
    <row r="1094" spans="1:10">
      <c r="A1094" s="123"/>
      <c r="B1094" s="123"/>
      <c r="C1094" s="123"/>
      <c r="D1094" s="123"/>
      <c r="E1094" s="123"/>
      <c r="F1094" s="123"/>
      <c r="G1094" s="123"/>
      <c r="H1094" s="123"/>
      <c r="I1094" s="123"/>
      <c r="J1094" s="123"/>
    </row>
    <row r="1095" spans="1:10">
      <c r="A1095" s="123"/>
      <c r="B1095" s="123"/>
      <c r="C1095" s="123"/>
      <c r="D1095" s="123"/>
      <c r="E1095" s="123"/>
      <c r="F1095" s="123"/>
      <c r="G1095" s="123"/>
      <c r="H1095" s="123"/>
      <c r="I1095" s="123"/>
      <c r="J1095" s="123"/>
    </row>
    <row r="1096" spans="1:10">
      <c r="A1096" s="123"/>
      <c r="B1096" s="123"/>
      <c r="C1096" s="123"/>
      <c r="D1096" s="123"/>
      <c r="E1096" s="123"/>
      <c r="F1096" s="123"/>
      <c r="G1096" s="123"/>
      <c r="H1096" s="123"/>
      <c r="I1096" s="123"/>
      <c r="J1096" s="123"/>
    </row>
    <row r="1097" spans="1:10">
      <c r="A1097" s="123"/>
      <c r="B1097" s="123"/>
      <c r="C1097" s="123"/>
      <c r="D1097" s="123"/>
      <c r="E1097" s="123"/>
      <c r="F1097" s="123"/>
      <c r="G1097" s="123"/>
      <c r="H1097" s="123"/>
      <c r="I1097" s="123"/>
      <c r="J1097" s="123"/>
    </row>
    <row r="1098" spans="1:10">
      <c r="A1098" s="123"/>
      <c r="B1098" s="123"/>
      <c r="C1098" s="123"/>
      <c r="D1098" s="123"/>
      <c r="E1098" s="123"/>
      <c r="F1098" s="123"/>
      <c r="G1098" s="123"/>
      <c r="H1098" s="123"/>
      <c r="I1098" s="123"/>
      <c r="J1098" s="123"/>
    </row>
    <row r="1099" spans="1:10">
      <c r="A1099" s="123"/>
      <c r="B1099" s="123"/>
      <c r="C1099" s="123"/>
      <c r="D1099" s="123"/>
      <c r="E1099" s="123"/>
      <c r="F1099" s="123"/>
      <c r="G1099" s="123"/>
      <c r="H1099" s="123"/>
      <c r="I1099" s="123"/>
      <c r="J1099" s="123"/>
    </row>
    <row r="1100" spans="1:10">
      <c r="A1100" s="123"/>
      <c r="B1100" s="123"/>
      <c r="C1100" s="123"/>
      <c r="D1100" s="123"/>
      <c r="E1100" s="123"/>
      <c r="F1100" s="123"/>
      <c r="G1100" s="123"/>
      <c r="H1100" s="123"/>
      <c r="I1100" s="123"/>
      <c r="J1100" s="123"/>
    </row>
    <row r="1101" spans="1:10">
      <c r="A1101" s="123"/>
      <c r="B1101" s="123"/>
      <c r="C1101" s="123"/>
      <c r="D1101" s="123"/>
      <c r="E1101" s="123"/>
      <c r="F1101" s="123"/>
      <c r="G1101" s="123"/>
      <c r="H1101" s="123"/>
      <c r="I1101" s="123"/>
      <c r="J1101" s="123"/>
    </row>
    <row r="1102" spans="1:10">
      <c r="A1102" s="123"/>
      <c r="B1102" s="123"/>
      <c r="C1102" s="123"/>
      <c r="D1102" s="123"/>
      <c r="E1102" s="123"/>
      <c r="F1102" s="123"/>
      <c r="G1102" s="123"/>
      <c r="H1102" s="123"/>
      <c r="I1102" s="123"/>
      <c r="J1102" s="123"/>
    </row>
    <row r="1103" spans="1:10">
      <c r="A1103" s="123"/>
      <c r="B1103" s="123"/>
      <c r="C1103" s="123"/>
      <c r="D1103" s="123"/>
      <c r="E1103" s="123"/>
      <c r="F1103" s="123"/>
      <c r="G1103" s="123"/>
      <c r="H1103" s="123"/>
      <c r="I1103" s="123"/>
      <c r="J1103" s="123"/>
    </row>
    <row r="1104" spans="1:10">
      <c r="A1104" s="123"/>
      <c r="B1104" s="123"/>
      <c r="C1104" s="123"/>
      <c r="D1104" s="123"/>
      <c r="E1104" s="123"/>
      <c r="F1104" s="123"/>
      <c r="G1104" s="123"/>
      <c r="H1104" s="123"/>
      <c r="I1104" s="123"/>
      <c r="J1104" s="123"/>
    </row>
    <row r="1105" spans="1:10">
      <c r="A1105" s="123"/>
      <c r="B1105" s="123"/>
      <c r="C1105" s="123"/>
      <c r="D1105" s="123"/>
      <c r="E1105" s="123"/>
      <c r="F1105" s="123"/>
      <c r="G1105" s="123"/>
      <c r="H1105" s="123"/>
      <c r="I1105" s="123"/>
      <c r="J1105" s="123"/>
    </row>
    <row r="1106" spans="1:10">
      <c r="A1106" s="123"/>
      <c r="B1106" s="123"/>
      <c r="C1106" s="123"/>
      <c r="D1106" s="123"/>
      <c r="E1106" s="123"/>
      <c r="F1106" s="123"/>
      <c r="G1106" s="123"/>
      <c r="H1106" s="123"/>
      <c r="I1106" s="123"/>
      <c r="J1106" s="123"/>
    </row>
    <row r="1107" spans="1:10">
      <c r="A1107" s="123"/>
      <c r="B1107" s="123"/>
      <c r="C1107" s="123"/>
      <c r="D1107" s="123"/>
      <c r="E1107" s="123"/>
      <c r="F1107" s="123"/>
      <c r="G1107" s="123"/>
      <c r="H1107" s="123"/>
      <c r="I1107" s="123"/>
      <c r="J1107" s="123"/>
    </row>
    <row r="1108" spans="1:10">
      <c r="A1108" s="123"/>
      <c r="B1108" s="123"/>
      <c r="C1108" s="123"/>
      <c r="D1108" s="123"/>
      <c r="E1108" s="123"/>
      <c r="F1108" s="123"/>
      <c r="G1108" s="123"/>
      <c r="H1108" s="123"/>
      <c r="I1108" s="123"/>
      <c r="J1108" s="123"/>
    </row>
    <row r="1109" spans="1:10">
      <c r="A1109" s="123"/>
      <c r="B1109" s="123"/>
      <c r="C1109" s="123"/>
      <c r="D1109" s="123"/>
      <c r="E1109" s="123"/>
      <c r="F1109" s="123"/>
      <c r="G1109" s="123"/>
      <c r="H1109" s="123"/>
      <c r="I1109" s="123"/>
      <c r="J1109" s="123"/>
    </row>
    <row r="1110" spans="1:10">
      <c r="A1110" s="123"/>
      <c r="B1110" s="123"/>
      <c r="C1110" s="123"/>
      <c r="D1110" s="123"/>
      <c r="E1110" s="123"/>
      <c r="F1110" s="123"/>
      <c r="G1110" s="123"/>
      <c r="H1110" s="123"/>
      <c r="I1110" s="123"/>
      <c r="J1110" s="123"/>
    </row>
    <row r="1111" spans="1:10">
      <c r="A1111" s="123"/>
      <c r="B1111" s="123"/>
      <c r="C1111" s="123"/>
      <c r="D1111" s="123"/>
      <c r="E1111" s="123"/>
      <c r="F1111" s="123"/>
      <c r="G1111" s="123"/>
      <c r="H1111" s="123"/>
      <c r="I1111" s="123"/>
      <c r="J1111" s="123"/>
    </row>
    <row r="1112" spans="1:10">
      <c r="A1112" s="123"/>
      <c r="B1112" s="123"/>
      <c r="C1112" s="123"/>
      <c r="D1112" s="123"/>
      <c r="E1112" s="123"/>
      <c r="F1112" s="123"/>
      <c r="G1112" s="123"/>
      <c r="H1112" s="123"/>
      <c r="I1112" s="123"/>
      <c r="J1112" s="123"/>
    </row>
    <row r="1113" spans="1:10">
      <c r="A1113" s="123"/>
      <c r="B1113" s="123"/>
      <c r="C1113" s="123"/>
      <c r="D1113" s="123"/>
      <c r="E1113" s="123"/>
      <c r="F1113" s="123"/>
      <c r="G1113" s="123"/>
      <c r="H1113" s="123"/>
      <c r="I1113" s="123"/>
      <c r="J1113" s="123"/>
    </row>
    <row r="1114" spans="1:10">
      <c r="A1114" s="123"/>
      <c r="B1114" s="123"/>
      <c r="C1114" s="123"/>
      <c r="D1114" s="123"/>
      <c r="E1114" s="123"/>
      <c r="F1114" s="123"/>
      <c r="G1114" s="123"/>
      <c r="H1114" s="123"/>
      <c r="I1114" s="123"/>
      <c r="J1114" s="123"/>
    </row>
    <row r="1115" spans="1:10">
      <c r="A1115" s="123"/>
      <c r="B1115" s="123"/>
      <c r="C1115" s="123"/>
      <c r="D1115" s="123"/>
      <c r="E1115" s="123"/>
      <c r="F1115" s="123"/>
      <c r="G1115" s="123"/>
      <c r="H1115" s="123"/>
      <c r="I1115" s="123"/>
      <c r="J1115" s="123"/>
    </row>
    <row r="1116" spans="1:10">
      <c r="A1116" s="123"/>
      <c r="B1116" s="123"/>
      <c r="C1116" s="123"/>
      <c r="D1116" s="123"/>
      <c r="E1116" s="123"/>
      <c r="F1116" s="123"/>
      <c r="G1116" s="123"/>
      <c r="H1116" s="123"/>
      <c r="I1116" s="123"/>
      <c r="J1116" s="123"/>
    </row>
    <row r="1117" spans="1:10">
      <c r="A1117" s="123"/>
      <c r="B1117" s="123"/>
      <c r="C1117" s="123"/>
      <c r="D1117" s="123"/>
      <c r="E1117" s="123"/>
      <c r="F1117" s="123"/>
      <c r="G1117" s="123"/>
      <c r="H1117" s="123"/>
      <c r="I1117" s="123"/>
      <c r="J1117" s="123"/>
    </row>
    <row r="1118" spans="1:10">
      <c r="A1118" s="123"/>
      <c r="B1118" s="123"/>
      <c r="C1118" s="123"/>
      <c r="D1118" s="123"/>
      <c r="E1118" s="123"/>
      <c r="F1118" s="123"/>
      <c r="G1118" s="123"/>
      <c r="H1118" s="123"/>
      <c r="I1118" s="123"/>
      <c r="J1118" s="123"/>
    </row>
    <row r="1119" spans="1:10">
      <c r="A1119" s="123"/>
      <c r="B1119" s="123"/>
      <c r="C1119" s="123"/>
      <c r="D1119" s="123"/>
      <c r="E1119" s="123"/>
      <c r="F1119" s="123"/>
      <c r="G1119" s="123"/>
      <c r="H1119" s="123"/>
      <c r="I1119" s="123"/>
      <c r="J1119" s="123"/>
    </row>
    <row r="1120" spans="1:10">
      <c r="A1120" s="123"/>
      <c r="B1120" s="123"/>
      <c r="C1120" s="123"/>
      <c r="D1120" s="123"/>
      <c r="E1120" s="123"/>
      <c r="F1120" s="123"/>
      <c r="G1120" s="123"/>
      <c r="H1120" s="123"/>
      <c r="I1120" s="123"/>
      <c r="J1120" s="123"/>
    </row>
    <row r="1121" spans="1:10">
      <c r="A1121" s="123"/>
      <c r="B1121" s="123"/>
      <c r="C1121" s="123"/>
      <c r="D1121" s="123"/>
      <c r="E1121" s="123"/>
      <c r="F1121" s="123"/>
      <c r="G1121" s="123"/>
      <c r="H1121" s="123"/>
      <c r="I1121" s="123"/>
      <c r="J1121" s="123"/>
    </row>
    <row r="1122" spans="1:10">
      <c r="A1122" s="123"/>
      <c r="B1122" s="123"/>
      <c r="C1122" s="123"/>
      <c r="D1122" s="123"/>
      <c r="E1122" s="123"/>
      <c r="F1122" s="123"/>
      <c r="G1122" s="123"/>
      <c r="H1122" s="123"/>
      <c r="I1122" s="123"/>
      <c r="J1122" s="123"/>
    </row>
    <row r="1123" spans="1:10">
      <c r="A1123" s="123"/>
      <c r="B1123" s="123"/>
      <c r="C1123" s="123"/>
      <c r="D1123" s="123"/>
      <c r="E1123" s="123"/>
      <c r="F1123" s="123"/>
      <c r="G1123" s="123"/>
      <c r="H1123" s="123"/>
      <c r="I1123" s="123"/>
      <c r="J1123" s="123"/>
    </row>
    <row r="1124" spans="1:10">
      <c r="A1124" s="123"/>
      <c r="B1124" s="123"/>
      <c r="C1124" s="123"/>
      <c r="D1124" s="123"/>
      <c r="E1124" s="123"/>
      <c r="F1124" s="123"/>
      <c r="G1124" s="123"/>
      <c r="H1124" s="123"/>
      <c r="I1124" s="123"/>
      <c r="J1124" s="123"/>
    </row>
    <row r="1125" spans="1:10">
      <c r="A1125" s="123"/>
      <c r="B1125" s="123"/>
      <c r="C1125" s="123"/>
      <c r="D1125" s="123"/>
      <c r="E1125" s="123"/>
      <c r="F1125" s="123"/>
      <c r="G1125" s="123"/>
      <c r="H1125" s="123"/>
      <c r="I1125" s="123"/>
      <c r="J1125" s="123"/>
    </row>
    <row r="1126" spans="1:10">
      <c r="A1126" s="123"/>
      <c r="B1126" s="123"/>
      <c r="C1126" s="123"/>
      <c r="D1126" s="123"/>
      <c r="E1126" s="123"/>
      <c r="F1126" s="123"/>
      <c r="G1126" s="123"/>
      <c r="H1126" s="123"/>
      <c r="I1126" s="123"/>
      <c r="J1126" s="123"/>
    </row>
    <row r="1127" spans="1:10">
      <c r="A1127" s="123"/>
      <c r="B1127" s="123"/>
      <c r="C1127" s="123"/>
      <c r="D1127" s="123"/>
      <c r="E1127" s="123"/>
      <c r="F1127" s="123"/>
      <c r="G1127" s="123"/>
      <c r="H1127" s="123"/>
      <c r="I1127" s="123"/>
      <c r="J1127" s="123"/>
    </row>
    <row r="1128" spans="1:10">
      <c r="A1128" s="123"/>
      <c r="B1128" s="123"/>
      <c r="C1128" s="123"/>
      <c r="D1128" s="123"/>
      <c r="E1128" s="123"/>
      <c r="F1128" s="123"/>
      <c r="G1128" s="123"/>
      <c r="H1128" s="123"/>
      <c r="I1128" s="123"/>
      <c r="J1128" s="123"/>
    </row>
    <row r="1129" spans="1:10">
      <c r="A1129" s="123"/>
      <c r="B1129" s="123"/>
      <c r="C1129" s="123"/>
      <c r="D1129" s="123"/>
      <c r="E1129" s="123"/>
      <c r="F1129" s="123"/>
      <c r="G1129" s="123"/>
      <c r="H1129" s="123"/>
      <c r="I1129" s="123"/>
      <c r="J1129" s="123"/>
    </row>
    <row r="1130" spans="1:10">
      <c r="A1130" s="123"/>
      <c r="B1130" s="123"/>
      <c r="C1130" s="123"/>
      <c r="D1130" s="123"/>
      <c r="E1130" s="123"/>
      <c r="F1130" s="123"/>
      <c r="G1130" s="123"/>
      <c r="H1130" s="123"/>
      <c r="I1130" s="123"/>
      <c r="J1130" s="123"/>
    </row>
    <row r="1131" spans="1:10">
      <c r="A1131" s="123"/>
      <c r="B1131" s="123"/>
      <c r="C1131" s="123"/>
      <c r="D1131" s="123"/>
      <c r="E1131" s="123"/>
      <c r="F1131" s="123"/>
      <c r="G1131" s="123"/>
      <c r="H1131" s="123"/>
      <c r="I1131" s="123"/>
      <c r="J1131" s="123"/>
    </row>
    <row r="1132" spans="1:10">
      <c r="A1132" s="123"/>
      <c r="B1132" s="123"/>
      <c r="C1132" s="123"/>
      <c r="D1132" s="123"/>
      <c r="E1132" s="123"/>
      <c r="F1132" s="123"/>
      <c r="G1132" s="123"/>
      <c r="H1132" s="123"/>
      <c r="I1132" s="123"/>
      <c r="J1132" s="123"/>
    </row>
    <row r="1133" spans="1:10">
      <c r="A1133" s="123"/>
      <c r="B1133" s="123"/>
      <c r="C1133" s="123"/>
      <c r="D1133" s="123"/>
      <c r="E1133" s="123"/>
      <c r="F1133" s="123"/>
      <c r="G1133" s="123"/>
      <c r="H1133" s="123"/>
      <c r="I1133" s="123"/>
      <c r="J1133" s="123"/>
    </row>
    <row r="1134" spans="1:10">
      <c r="A1134" s="123"/>
      <c r="B1134" s="123"/>
      <c r="C1134" s="123"/>
      <c r="D1134" s="123"/>
      <c r="E1134" s="123"/>
      <c r="F1134" s="123"/>
      <c r="G1134" s="123"/>
      <c r="H1134" s="123"/>
      <c r="I1134" s="123"/>
      <c r="J1134" s="123"/>
    </row>
    <row r="1135" spans="1:10">
      <c r="A1135" s="123"/>
      <c r="B1135" s="123"/>
      <c r="C1135" s="123"/>
      <c r="D1135" s="123"/>
      <c r="E1135" s="123"/>
      <c r="F1135" s="123"/>
      <c r="G1135" s="123"/>
      <c r="H1135" s="123"/>
      <c r="I1135" s="123"/>
      <c r="J1135" s="123"/>
    </row>
    <row r="1136" spans="1:10">
      <c r="A1136" s="123"/>
      <c r="B1136" s="123"/>
      <c r="C1136" s="123"/>
      <c r="D1136" s="123"/>
      <c r="E1136" s="123"/>
      <c r="F1136" s="123"/>
      <c r="G1136" s="123"/>
      <c r="H1136" s="123"/>
      <c r="I1136" s="123"/>
      <c r="J1136" s="123"/>
    </row>
    <row r="1137" spans="1:10">
      <c r="A1137" s="123"/>
      <c r="B1137" s="123"/>
      <c r="C1137" s="123"/>
      <c r="D1137" s="123"/>
      <c r="E1137" s="123"/>
      <c r="F1137" s="123"/>
      <c r="G1137" s="123"/>
      <c r="H1137" s="123"/>
      <c r="I1137" s="123"/>
      <c r="J1137" s="123"/>
    </row>
    <row r="1138" spans="1:10">
      <c r="A1138" s="123"/>
      <c r="B1138" s="123"/>
      <c r="C1138" s="123"/>
      <c r="D1138" s="123"/>
      <c r="E1138" s="123"/>
      <c r="F1138" s="123"/>
      <c r="G1138" s="123"/>
      <c r="H1138" s="123"/>
      <c r="I1138" s="123"/>
      <c r="J1138" s="123"/>
    </row>
    <row r="1139" spans="1:10">
      <c r="A1139" s="123"/>
      <c r="B1139" s="123"/>
      <c r="C1139" s="123"/>
      <c r="D1139" s="123"/>
      <c r="E1139" s="123"/>
      <c r="F1139" s="123"/>
      <c r="G1139" s="123"/>
      <c r="H1139" s="123"/>
      <c r="I1139" s="123"/>
      <c r="J1139" s="123"/>
    </row>
    <row r="1140" spans="1:10">
      <c r="A1140" s="123"/>
      <c r="B1140" s="123"/>
      <c r="C1140" s="123"/>
      <c r="D1140" s="123"/>
      <c r="E1140" s="123"/>
      <c r="F1140" s="123"/>
      <c r="G1140" s="123"/>
      <c r="H1140" s="123"/>
      <c r="I1140" s="123"/>
      <c r="J1140" s="123"/>
    </row>
    <row r="1141" spans="1:10">
      <c r="A1141" s="123"/>
      <c r="B1141" s="123"/>
      <c r="C1141" s="123"/>
      <c r="D1141" s="123"/>
      <c r="E1141" s="123"/>
      <c r="F1141" s="123"/>
      <c r="G1141" s="123"/>
      <c r="H1141" s="123"/>
      <c r="I1141" s="123"/>
      <c r="J1141" s="123"/>
    </row>
    <row r="1142" spans="1:10">
      <c r="A1142" s="123"/>
      <c r="B1142" s="123"/>
      <c r="C1142" s="123"/>
      <c r="D1142" s="123"/>
      <c r="E1142" s="123"/>
      <c r="F1142" s="123"/>
      <c r="G1142" s="123"/>
      <c r="H1142" s="123"/>
      <c r="I1142" s="123"/>
      <c r="J1142" s="123"/>
    </row>
    <row r="1143" spans="1:10">
      <c r="A1143" s="123"/>
      <c r="B1143" s="123"/>
      <c r="C1143" s="123"/>
      <c r="D1143" s="123"/>
      <c r="E1143" s="123"/>
      <c r="F1143" s="123"/>
      <c r="G1143" s="123"/>
      <c r="H1143" s="123"/>
      <c r="I1143" s="123"/>
      <c r="J1143" s="123"/>
    </row>
    <row r="1144" spans="1:10">
      <c r="A1144" s="123"/>
      <c r="B1144" s="123"/>
      <c r="C1144" s="123"/>
      <c r="D1144" s="123"/>
      <c r="E1144" s="123"/>
      <c r="F1144" s="123"/>
      <c r="G1144" s="123"/>
      <c r="H1144" s="123"/>
      <c r="I1144" s="123"/>
      <c r="J1144" s="123"/>
    </row>
    <row r="1145" spans="1:10">
      <c r="A1145" s="123"/>
      <c r="B1145" s="123"/>
      <c r="C1145" s="123"/>
      <c r="D1145" s="123"/>
      <c r="E1145" s="123"/>
      <c r="F1145" s="123"/>
      <c r="G1145" s="123"/>
      <c r="H1145" s="123"/>
      <c r="I1145" s="123"/>
      <c r="J1145" s="123"/>
    </row>
    <row r="1146" spans="1:10">
      <c r="A1146" s="123"/>
      <c r="B1146" s="123"/>
      <c r="C1146" s="123"/>
      <c r="D1146" s="123"/>
      <c r="E1146" s="123"/>
      <c r="F1146" s="123"/>
      <c r="G1146" s="123"/>
      <c r="H1146" s="123"/>
      <c r="I1146" s="123"/>
      <c r="J1146" s="123"/>
    </row>
    <row r="1147" spans="1:10">
      <c r="A1147" s="123"/>
      <c r="B1147" s="123"/>
      <c r="C1147" s="123"/>
      <c r="D1147" s="123"/>
      <c r="E1147" s="123"/>
      <c r="F1147" s="123"/>
      <c r="G1147" s="123"/>
      <c r="H1147" s="123"/>
      <c r="I1147" s="123"/>
      <c r="J1147" s="123"/>
    </row>
    <row r="1148" spans="1:10">
      <c r="A1148" s="123"/>
      <c r="B1148" s="123"/>
      <c r="C1148" s="123"/>
      <c r="D1148" s="123"/>
      <c r="E1148" s="123"/>
      <c r="F1148" s="123"/>
      <c r="G1148" s="123"/>
      <c r="H1148" s="123"/>
      <c r="I1148" s="123"/>
      <c r="J1148" s="123"/>
    </row>
    <row r="1149" spans="1:10">
      <c r="A1149" s="123"/>
      <c r="B1149" s="123"/>
      <c r="C1149" s="123"/>
      <c r="D1149" s="123"/>
      <c r="E1149" s="123"/>
      <c r="F1149" s="123"/>
      <c r="G1149" s="123"/>
      <c r="H1149" s="123"/>
      <c r="I1149" s="123"/>
      <c r="J1149" s="123"/>
    </row>
    <row r="1150" spans="1:10">
      <c r="A1150" s="123"/>
      <c r="B1150" s="123"/>
      <c r="C1150" s="123"/>
      <c r="D1150" s="123"/>
      <c r="E1150" s="123"/>
      <c r="F1150" s="123"/>
      <c r="G1150" s="123"/>
      <c r="H1150" s="123"/>
      <c r="I1150" s="123"/>
      <c r="J1150" s="123"/>
    </row>
    <row r="1151" spans="1:10">
      <c r="A1151" s="123"/>
      <c r="B1151" s="123"/>
      <c r="C1151" s="123"/>
      <c r="D1151" s="123"/>
      <c r="E1151" s="123"/>
      <c r="F1151" s="123"/>
      <c r="G1151" s="123"/>
      <c r="H1151" s="123"/>
      <c r="I1151" s="123"/>
      <c r="J1151" s="123"/>
    </row>
    <row r="1152" spans="1:10">
      <c r="A1152" s="123"/>
      <c r="B1152" s="123"/>
      <c r="C1152" s="123"/>
      <c r="D1152" s="123"/>
      <c r="E1152" s="123"/>
      <c r="F1152" s="123"/>
      <c r="G1152" s="123"/>
      <c r="H1152" s="123"/>
      <c r="I1152" s="123"/>
      <c r="J1152" s="123"/>
    </row>
    <row r="1153" spans="1:10">
      <c r="A1153" s="123"/>
      <c r="B1153" s="123"/>
      <c r="C1153" s="123"/>
      <c r="D1153" s="123"/>
      <c r="E1153" s="123"/>
      <c r="F1153" s="123"/>
      <c r="G1153" s="123"/>
      <c r="H1153" s="123"/>
      <c r="I1153" s="123"/>
      <c r="J1153" s="123"/>
    </row>
    <row r="1154" spans="1:10">
      <c r="A1154" s="123"/>
      <c r="B1154" s="123"/>
      <c r="C1154" s="123"/>
      <c r="D1154" s="123"/>
      <c r="E1154" s="123"/>
      <c r="F1154" s="123"/>
      <c r="G1154" s="123"/>
      <c r="H1154" s="123"/>
      <c r="I1154" s="123"/>
      <c r="J1154" s="123"/>
    </row>
    <row r="1155" spans="1:10">
      <c r="A1155" s="123"/>
      <c r="B1155" s="123"/>
      <c r="C1155" s="123"/>
      <c r="D1155" s="123"/>
      <c r="E1155" s="123"/>
      <c r="F1155" s="123"/>
      <c r="G1155" s="123"/>
      <c r="H1155" s="123"/>
      <c r="I1155" s="123"/>
      <c r="J1155" s="123"/>
    </row>
    <row r="1156" spans="1:10">
      <c r="A1156" s="123"/>
      <c r="B1156" s="123"/>
      <c r="C1156" s="123"/>
      <c r="D1156" s="123"/>
      <c r="E1156" s="123"/>
      <c r="F1156" s="123"/>
      <c r="G1156" s="123"/>
      <c r="H1156" s="123"/>
      <c r="I1156" s="123"/>
      <c r="J1156" s="123"/>
    </row>
    <row r="1157" spans="1:10">
      <c r="A1157" s="123"/>
      <c r="B1157" s="123"/>
      <c r="C1157" s="123"/>
      <c r="D1157" s="123"/>
      <c r="E1157" s="123"/>
      <c r="F1157" s="123"/>
      <c r="G1157" s="123"/>
      <c r="H1157" s="123"/>
      <c r="I1157" s="123"/>
      <c r="J1157" s="123"/>
    </row>
    <row r="1158" spans="1:10">
      <c r="A1158" s="123"/>
      <c r="B1158" s="123"/>
      <c r="C1158" s="123"/>
      <c r="D1158" s="123"/>
      <c r="E1158" s="123"/>
      <c r="F1158" s="123"/>
      <c r="G1158" s="123"/>
      <c r="H1158" s="123"/>
      <c r="I1158" s="123"/>
      <c r="J1158" s="123"/>
    </row>
    <row r="1159" spans="1:10">
      <c r="A1159" s="123"/>
      <c r="B1159" s="123"/>
      <c r="C1159" s="123"/>
      <c r="D1159" s="123"/>
      <c r="E1159" s="123"/>
      <c r="F1159" s="123"/>
      <c r="G1159" s="123"/>
      <c r="H1159" s="123"/>
      <c r="I1159" s="123"/>
      <c r="J1159" s="123"/>
    </row>
    <row r="1160" spans="1:10">
      <c r="A1160" s="123"/>
      <c r="B1160" s="123"/>
      <c r="C1160" s="123"/>
      <c r="D1160" s="123"/>
      <c r="E1160" s="123"/>
      <c r="F1160" s="123"/>
      <c r="G1160" s="123"/>
      <c r="H1160" s="123"/>
      <c r="I1160" s="123"/>
      <c r="J1160" s="123"/>
    </row>
    <row r="1161" spans="1:10">
      <c r="A1161" s="123"/>
      <c r="B1161" s="123"/>
      <c r="C1161" s="123"/>
      <c r="D1161" s="123"/>
      <c r="E1161" s="123"/>
      <c r="F1161" s="123"/>
      <c r="G1161" s="123"/>
      <c r="H1161" s="123"/>
      <c r="I1161" s="123"/>
      <c r="J1161" s="123"/>
    </row>
    <row r="1162" spans="1:10">
      <c r="A1162" s="123"/>
      <c r="B1162" s="123"/>
      <c r="C1162" s="123"/>
      <c r="D1162" s="123"/>
      <c r="E1162" s="123"/>
      <c r="F1162" s="123"/>
      <c r="G1162" s="123"/>
      <c r="H1162" s="123"/>
      <c r="I1162" s="123"/>
      <c r="J1162" s="123"/>
    </row>
    <row r="1163" spans="1:10">
      <c r="A1163" s="123"/>
      <c r="B1163" s="123"/>
      <c r="C1163" s="123"/>
      <c r="D1163" s="123"/>
      <c r="E1163" s="123"/>
      <c r="F1163" s="123"/>
      <c r="G1163" s="123"/>
      <c r="H1163" s="123"/>
      <c r="I1163" s="123"/>
      <c r="J1163" s="123"/>
    </row>
    <row r="1164" spans="1:10">
      <c r="A1164" s="123"/>
      <c r="B1164" s="123"/>
      <c r="C1164" s="123"/>
      <c r="D1164" s="123"/>
      <c r="E1164" s="123"/>
      <c r="F1164" s="123"/>
      <c r="G1164" s="123"/>
      <c r="H1164" s="123"/>
      <c r="I1164" s="123"/>
      <c r="J1164" s="123"/>
    </row>
    <row r="1165" spans="1:10">
      <c r="A1165" s="123"/>
      <c r="B1165" s="123"/>
      <c r="C1165" s="123"/>
      <c r="D1165" s="123"/>
      <c r="E1165" s="123"/>
      <c r="F1165" s="123"/>
      <c r="G1165" s="123"/>
      <c r="H1165" s="123"/>
      <c r="I1165" s="123"/>
      <c r="J1165" s="123"/>
    </row>
    <row r="1166" spans="1:10">
      <c r="A1166" s="123"/>
      <c r="B1166" s="123"/>
      <c r="C1166" s="123"/>
      <c r="D1166" s="123"/>
      <c r="E1166" s="123"/>
      <c r="F1166" s="123"/>
      <c r="G1166" s="123"/>
      <c r="H1166" s="123"/>
      <c r="I1166" s="123"/>
      <c r="J1166" s="123"/>
    </row>
    <row r="1167" spans="1:10">
      <c r="A1167" s="123"/>
      <c r="B1167" s="123"/>
      <c r="C1167" s="123"/>
      <c r="D1167" s="123"/>
      <c r="E1167" s="123"/>
      <c r="F1167" s="123"/>
      <c r="G1167" s="123"/>
      <c r="H1167" s="123"/>
      <c r="I1167" s="123"/>
      <c r="J1167" s="123"/>
    </row>
    <row r="1168" spans="1:10">
      <c r="A1168" s="123"/>
      <c r="B1168" s="123"/>
      <c r="C1168" s="123"/>
      <c r="D1168" s="123"/>
      <c r="E1168" s="123"/>
      <c r="F1168" s="123"/>
      <c r="G1168" s="123"/>
      <c r="H1168" s="123"/>
      <c r="I1168" s="123"/>
      <c r="J1168" s="123"/>
    </row>
    <row r="1169" spans="1:10">
      <c r="A1169" s="123"/>
      <c r="B1169" s="123"/>
      <c r="C1169" s="123"/>
      <c r="D1169" s="123"/>
      <c r="E1169" s="123"/>
      <c r="F1169" s="123"/>
      <c r="G1169" s="123"/>
      <c r="H1169" s="123"/>
      <c r="I1169" s="123"/>
      <c r="J1169" s="123"/>
    </row>
    <row r="1170" spans="1:10">
      <c r="A1170" s="123"/>
      <c r="B1170" s="123"/>
      <c r="C1170" s="123"/>
      <c r="D1170" s="123"/>
      <c r="E1170" s="123"/>
      <c r="F1170" s="123"/>
      <c r="G1170" s="123"/>
      <c r="H1170" s="123"/>
      <c r="I1170" s="123"/>
      <c r="J1170" s="123"/>
    </row>
    <row r="1171" spans="1:10">
      <c r="A1171" s="123"/>
      <c r="B1171" s="123"/>
      <c r="C1171" s="123"/>
      <c r="D1171" s="123"/>
      <c r="E1171" s="123"/>
      <c r="F1171" s="123"/>
      <c r="G1171" s="123"/>
      <c r="H1171" s="123"/>
      <c r="I1171" s="123"/>
      <c r="J1171" s="123"/>
    </row>
    <row r="1172" spans="1:10">
      <c r="A1172" s="123"/>
      <c r="B1172" s="123"/>
      <c r="C1172" s="123"/>
      <c r="D1172" s="123"/>
      <c r="E1172" s="123"/>
      <c r="F1172" s="123"/>
      <c r="G1172" s="123"/>
      <c r="H1172" s="123"/>
      <c r="I1172" s="123"/>
      <c r="J1172" s="123"/>
    </row>
    <row r="1173" spans="1:10">
      <c r="A1173" s="123"/>
      <c r="B1173" s="123"/>
      <c r="C1173" s="123"/>
      <c r="D1173" s="123"/>
      <c r="E1173" s="123"/>
      <c r="F1173" s="123"/>
      <c r="G1173" s="123"/>
      <c r="H1173" s="123"/>
      <c r="I1173" s="123"/>
      <c r="J1173" s="123"/>
    </row>
    <row r="1174" spans="1:10">
      <c r="A1174" s="123"/>
      <c r="B1174" s="123"/>
      <c r="C1174" s="123"/>
      <c r="D1174" s="123"/>
      <c r="E1174" s="123"/>
      <c r="F1174" s="123"/>
      <c r="G1174" s="123"/>
      <c r="H1174" s="123"/>
      <c r="I1174" s="123"/>
      <c r="J1174" s="123"/>
    </row>
    <row r="1175" spans="1:10">
      <c r="A1175" s="123"/>
      <c r="B1175" s="123"/>
      <c r="C1175" s="123"/>
      <c r="D1175" s="123"/>
      <c r="E1175" s="123"/>
      <c r="F1175" s="123"/>
      <c r="G1175" s="123"/>
      <c r="H1175" s="123"/>
      <c r="I1175" s="123"/>
      <c r="J1175" s="123"/>
    </row>
    <row r="1176" spans="1:10">
      <c r="A1176" s="123"/>
      <c r="B1176" s="123"/>
      <c r="C1176" s="123"/>
      <c r="D1176" s="123"/>
      <c r="E1176" s="123"/>
      <c r="F1176" s="123"/>
      <c r="G1176" s="123"/>
      <c r="H1176" s="123"/>
      <c r="I1176" s="123"/>
      <c r="J1176" s="123"/>
    </row>
    <row r="1177" spans="1:10">
      <c r="A1177" s="123"/>
      <c r="B1177" s="123"/>
      <c r="C1177" s="123"/>
      <c r="D1177" s="123"/>
      <c r="E1177" s="123"/>
      <c r="F1177" s="123"/>
      <c r="G1177" s="123"/>
      <c r="H1177" s="123"/>
      <c r="I1177" s="123"/>
      <c r="J1177" s="123"/>
    </row>
    <row r="1178" spans="1:10">
      <c r="A1178" s="123"/>
      <c r="B1178" s="123"/>
      <c r="C1178" s="123"/>
      <c r="D1178" s="123"/>
      <c r="E1178" s="123"/>
      <c r="F1178" s="123"/>
      <c r="G1178" s="123"/>
      <c r="H1178" s="123"/>
      <c r="I1178" s="123"/>
      <c r="J1178" s="123"/>
    </row>
    <row r="1179" spans="1:10">
      <c r="A1179" s="123"/>
      <c r="B1179" s="123"/>
      <c r="C1179" s="123"/>
      <c r="D1179" s="123"/>
      <c r="E1179" s="123"/>
      <c r="F1179" s="123"/>
      <c r="G1179" s="123"/>
      <c r="H1179" s="123"/>
      <c r="I1179" s="123"/>
      <c r="J1179" s="123"/>
    </row>
    <row r="1180" spans="1:10">
      <c r="A1180" s="123"/>
      <c r="B1180" s="123"/>
      <c r="C1180" s="123"/>
      <c r="D1180" s="123"/>
      <c r="E1180" s="123"/>
      <c r="F1180" s="123"/>
      <c r="G1180" s="123"/>
      <c r="H1180" s="123"/>
      <c r="I1180" s="123"/>
      <c r="J1180" s="123"/>
    </row>
    <row r="1181" spans="1:10">
      <c r="A1181" s="123"/>
      <c r="B1181" s="123"/>
      <c r="C1181" s="123"/>
      <c r="D1181" s="123"/>
      <c r="E1181" s="123"/>
      <c r="F1181" s="123"/>
      <c r="G1181" s="123"/>
      <c r="H1181" s="123"/>
      <c r="I1181" s="123"/>
      <c r="J1181" s="123"/>
    </row>
    <row r="1182" spans="1:10">
      <c r="A1182" s="123"/>
      <c r="B1182" s="123"/>
      <c r="C1182" s="123"/>
      <c r="D1182" s="123"/>
      <c r="E1182" s="123"/>
      <c r="F1182" s="123"/>
      <c r="G1182" s="123"/>
      <c r="H1182" s="123"/>
      <c r="I1182" s="123"/>
      <c r="J1182" s="123"/>
    </row>
    <row r="1183" spans="1:10">
      <c r="A1183" s="123"/>
      <c r="B1183" s="123"/>
      <c r="C1183" s="123"/>
      <c r="D1183" s="123"/>
      <c r="E1183" s="123"/>
      <c r="F1183" s="123"/>
      <c r="G1183" s="123"/>
      <c r="H1183" s="123"/>
      <c r="I1183" s="123"/>
      <c r="J1183" s="123"/>
    </row>
    <row r="1184" spans="1:10">
      <c r="A1184" s="123"/>
      <c r="B1184" s="123"/>
      <c r="C1184" s="123"/>
      <c r="D1184" s="123"/>
      <c r="E1184" s="123"/>
      <c r="F1184" s="123"/>
      <c r="G1184" s="123"/>
      <c r="H1184" s="123"/>
      <c r="I1184" s="123"/>
      <c r="J1184" s="123"/>
    </row>
    <row r="1185" spans="1:10">
      <c r="A1185" s="123"/>
      <c r="B1185" s="123"/>
      <c r="C1185" s="123"/>
      <c r="D1185" s="123"/>
      <c r="E1185" s="123"/>
      <c r="F1185" s="123"/>
      <c r="G1185" s="123"/>
      <c r="H1185" s="123"/>
      <c r="I1185" s="123"/>
      <c r="J1185" s="123"/>
    </row>
    <row r="1186" spans="1:10">
      <c r="A1186" s="123"/>
      <c r="B1186" s="123"/>
      <c r="C1186" s="123"/>
      <c r="D1186" s="123"/>
      <c r="E1186" s="123"/>
      <c r="F1186" s="123"/>
      <c r="G1186" s="123"/>
      <c r="H1186" s="123"/>
      <c r="I1186" s="123"/>
      <c r="J1186" s="123"/>
    </row>
    <row r="1187" spans="1:10">
      <c r="A1187" s="123"/>
      <c r="B1187" s="123"/>
      <c r="C1187" s="123"/>
      <c r="D1187" s="123"/>
      <c r="E1187" s="123"/>
      <c r="F1187" s="123"/>
      <c r="G1187" s="123"/>
      <c r="H1187" s="123"/>
      <c r="I1187" s="123"/>
      <c r="J1187" s="123"/>
    </row>
    <row r="1188" spans="1:10">
      <c r="A1188" s="123"/>
      <c r="B1188" s="123"/>
      <c r="C1188" s="123"/>
      <c r="D1188" s="123"/>
      <c r="E1188" s="123"/>
      <c r="F1188" s="123"/>
      <c r="G1188" s="123"/>
      <c r="H1188" s="123"/>
      <c r="I1188" s="123"/>
      <c r="J1188" s="123"/>
    </row>
    <row r="1189" spans="1:10">
      <c r="A1189" s="123"/>
      <c r="B1189" s="123"/>
      <c r="C1189" s="123"/>
      <c r="D1189" s="123"/>
      <c r="E1189" s="123"/>
      <c r="F1189" s="123"/>
      <c r="G1189" s="123"/>
      <c r="H1189" s="123"/>
      <c r="I1189" s="123"/>
      <c r="J1189" s="123"/>
    </row>
    <row r="1190" spans="1:10">
      <c r="A1190" s="123"/>
      <c r="B1190" s="123"/>
      <c r="C1190" s="123"/>
      <c r="D1190" s="123"/>
      <c r="E1190" s="123"/>
      <c r="F1190" s="123"/>
      <c r="G1190" s="123"/>
      <c r="H1190" s="123"/>
      <c r="I1190" s="123"/>
      <c r="J1190" s="123"/>
    </row>
    <row r="1191" spans="1:10">
      <c r="A1191" s="123"/>
      <c r="B1191" s="123"/>
      <c r="C1191" s="123"/>
      <c r="D1191" s="123"/>
      <c r="E1191" s="123"/>
      <c r="F1191" s="123"/>
      <c r="G1191" s="123"/>
      <c r="H1191" s="123"/>
      <c r="I1191" s="123"/>
      <c r="J1191" s="123"/>
    </row>
    <row r="1192" spans="1:10">
      <c r="A1192" s="123"/>
      <c r="B1192" s="123"/>
      <c r="C1192" s="123"/>
      <c r="D1192" s="123"/>
      <c r="E1192" s="123"/>
      <c r="F1192" s="123"/>
      <c r="G1192" s="123"/>
      <c r="H1192" s="123"/>
      <c r="I1192" s="123"/>
      <c r="J1192" s="123"/>
    </row>
    <row r="1193" spans="1:10">
      <c r="A1193" s="123"/>
      <c r="B1193" s="123"/>
      <c r="C1193" s="123"/>
      <c r="D1193" s="123"/>
      <c r="E1193" s="123"/>
      <c r="F1193" s="123"/>
      <c r="G1193" s="123"/>
      <c r="H1193" s="123"/>
      <c r="I1193" s="123"/>
      <c r="J1193" s="123"/>
    </row>
    <row r="1194" spans="1:10">
      <c r="A1194" s="123"/>
      <c r="B1194" s="123"/>
      <c r="C1194" s="123"/>
      <c r="D1194" s="123"/>
      <c r="E1194" s="123"/>
      <c r="F1194" s="123"/>
      <c r="G1194" s="123"/>
      <c r="H1194" s="123"/>
      <c r="I1194" s="123"/>
      <c r="J1194" s="123"/>
    </row>
    <row r="1195" spans="1:10">
      <c r="A1195" s="123"/>
      <c r="B1195" s="123"/>
      <c r="C1195" s="123"/>
      <c r="D1195" s="123"/>
      <c r="E1195" s="123"/>
      <c r="F1195" s="123"/>
      <c r="G1195" s="123"/>
      <c r="H1195" s="123"/>
      <c r="I1195" s="123"/>
      <c r="J1195" s="123"/>
    </row>
    <row r="1196" spans="1:10">
      <c r="A1196" s="123"/>
      <c r="B1196" s="123"/>
      <c r="C1196" s="123"/>
      <c r="D1196" s="123"/>
      <c r="E1196" s="123"/>
      <c r="F1196" s="123"/>
      <c r="G1196" s="123"/>
      <c r="H1196" s="123"/>
      <c r="I1196" s="123"/>
      <c r="J1196" s="123"/>
    </row>
    <row r="1197" spans="1:10">
      <c r="A1197" s="123"/>
      <c r="B1197" s="123"/>
      <c r="C1197" s="123"/>
      <c r="D1197" s="123"/>
      <c r="E1197" s="123"/>
      <c r="F1197" s="123"/>
      <c r="G1197" s="123"/>
      <c r="H1197" s="123"/>
      <c r="I1197" s="123"/>
      <c r="J1197" s="123"/>
    </row>
    <row r="1198" spans="1:10">
      <c r="A1198" s="123"/>
      <c r="B1198" s="123"/>
      <c r="C1198" s="123"/>
      <c r="D1198" s="123"/>
      <c r="E1198" s="123"/>
      <c r="F1198" s="123"/>
      <c r="G1198" s="123"/>
      <c r="H1198" s="123"/>
      <c r="I1198" s="123"/>
      <c r="J1198" s="123"/>
    </row>
    <row r="1199" spans="1:10">
      <c r="A1199" s="123"/>
      <c r="B1199" s="123"/>
      <c r="C1199" s="123"/>
      <c r="D1199" s="123"/>
      <c r="E1199" s="123"/>
      <c r="F1199" s="123"/>
      <c r="G1199" s="123"/>
      <c r="H1199" s="123"/>
      <c r="I1199" s="123"/>
      <c r="J1199" s="123"/>
    </row>
    <row r="1200" spans="1:10">
      <c r="A1200" s="123"/>
      <c r="B1200" s="123"/>
      <c r="C1200" s="123"/>
      <c r="D1200" s="123"/>
      <c r="E1200" s="123"/>
      <c r="F1200" s="123"/>
      <c r="G1200" s="123"/>
      <c r="H1200" s="123"/>
      <c r="I1200" s="123"/>
      <c r="J1200" s="123"/>
    </row>
    <row r="1201" spans="1:10">
      <c r="A1201" s="123"/>
      <c r="B1201" s="123"/>
      <c r="C1201" s="123"/>
      <c r="D1201" s="123"/>
      <c r="E1201" s="123"/>
      <c r="F1201" s="123"/>
      <c r="G1201" s="123"/>
      <c r="H1201" s="123"/>
      <c r="I1201" s="123"/>
      <c r="J1201" s="123"/>
    </row>
    <row r="1202" spans="1:10">
      <c r="A1202" s="123"/>
      <c r="B1202" s="123"/>
      <c r="C1202" s="123"/>
      <c r="D1202" s="123"/>
      <c r="E1202" s="123"/>
      <c r="F1202" s="123"/>
      <c r="G1202" s="123"/>
      <c r="H1202" s="123"/>
      <c r="I1202" s="123"/>
      <c r="J1202" s="123"/>
    </row>
    <row r="1203" spans="1:10">
      <c r="A1203" s="123"/>
      <c r="B1203" s="123"/>
      <c r="C1203" s="123"/>
      <c r="D1203" s="123"/>
      <c r="E1203" s="123"/>
      <c r="F1203" s="123"/>
      <c r="G1203" s="123"/>
      <c r="H1203" s="123"/>
      <c r="I1203" s="123"/>
      <c r="J1203" s="123"/>
    </row>
    <row r="1204" spans="1:10">
      <c r="A1204" s="123"/>
      <c r="B1204" s="123"/>
      <c r="C1204" s="123"/>
      <c r="D1204" s="123"/>
      <c r="E1204" s="123"/>
      <c r="F1204" s="123"/>
      <c r="G1204" s="123"/>
      <c r="H1204" s="123"/>
      <c r="I1204" s="123"/>
      <c r="J1204" s="123"/>
    </row>
    <row r="1205" spans="1:10">
      <c r="A1205" s="123"/>
      <c r="B1205" s="123"/>
      <c r="C1205" s="123"/>
      <c r="D1205" s="123"/>
      <c r="E1205" s="123"/>
      <c r="F1205" s="123"/>
      <c r="G1205" s="123"/>
      <c r="H1205" s="123"/>
      <c r="I1205" s="123"/>
      <c r="J1205" s="123"/>
    </row>
    <row r="1206" spans="1:10">
      <c r="A1206" s="123"/>
      <c r="B1206" s="123"/>
      <c r="C1206" s="123"/>
      <c r="D1206" s="123"/>
      <c r="E1206" s="123"/>
      <c r="F1206" s="123"/>
      <c r="G1206" s="123"/>
      <c r="H1206" s="123"/>
      <c r="I1206" s="123"/>
      <c r="J1206" s="123"/>
    </row>
    <row r="1207" spans="1:10">
      <c r="A1207" s="123"/>
      <c r="B1207" s="123"/>
      <c r="C1207" s="123"/>
      <c r="D1207" s="123"/>
      <c r="E1207" s="123"/>
      <c r="F1207" s="123"/>
      <c r="G1207" s="123"/>
      <c r="H1207" s="123"/>
      <c r="I1207" s="123"/>
      <c r="J1207" s="123"/>
    </row>
    <row r="1208" spans="1:10">
      <c r="A1208" s="123"/>
      <c r="B1208" s="123"/>
      <c r="C1208" s="123"/>
      <c r="D1208" s="123"/>
      <c r="E1208" s="123"/>
      <c r="F1208" s="123"/>
      <c r="G1208" s="123"/>
      <c r="H1208" s="123"/>
      <c r="I1208" s="123"/>
      <c r="J1208" s="123"/>
    </row>
    <row r="1209" spans="1:10">
      <c r="A1209" s="123"/>
      <c r="B1209" s="123"/>
      <c r="C1209" s="123"/>
      <c r="D1209" s="123"/>
      <c r="E1209" s="123"/>
      <c r="F1209" s="123"/>
      <c r="G1209" s="123"/>
      <c r="H1209" s="123"/>
      <c r="I1209" s="123"/>
      <c r="J1209" s="123"/>
    </row>
    <row r="1210" spans="1:10">
      <c r="A1210" s="123"/>
      <c r="B1210" s="123"/>
      <c r="C1210" s="123"/>
      <c r="D1210" s="123"/>
      <c r="E1210" s="123"/>
      <c r="F1210" s="123"/>
      <c r="G1210" s="123"/>
      <c r="H1210" s="123"/>
      <c r="I1210" s="123"/>
      <c r="J1210" s="123"/>
    </row>
    <row r="1211" spans="1:10">
      <c r="A1211" s="123"/>
      <c r="B1211" s="123"/>
      <c r="C1211" s="123"/>
      <c r="D1211" s="123"/>
      <c r="E1211" s="123"/>
      <c r="F1211" s="123"/>
      <c r="G1211" s="123"/>
      <c r="H1211" s="123"/>
      <c r="I1211" s="123"/>
      <c r="J1211" s="123"/>
    </row>
    <row r="1212" spans="1:10">
      <c r="A1212" s="123"/>
      <c r="B1212" s="123"/>
      <c r="C1212" s="123"/>
      <c r="D1212" s="123"/>
      <c r="E1212" s="123"/>
      <c r="F1212" s="123"/>
      <c r="G1212" s="123"/>
      <c r="H1212" s="123"/>
      <c r="I1212" s="123"/>
      <c r="J1212" s="123"/>
    </row>
    <row r="1213" spans="1:10">
      <c r="A1213" s="123"/>
      <c r="B1213" s="123"/>
      <c r="C1213" s="123"/>
      <c r="D1213" s="123"/>
      <c r="E1213" s="123"/>
      <c r="F1213" s="123"/>
      <c r="G1213" s="123"/>
      <c r="H1213" s="123"/>
      <c r="I1213" s="123"/>
      <c r="J1213" s="123"/>
    </row>
    <row r="1214" spans="1:10">
      <c r="A1214" s="123"/>
      <c r="B1214" s="123"/>
      <c r="C1214" s="123"/>
      <c r="D1214" s="123"/>
      <c r="E1214" s="123"/>
      <c r="F1214" s="123"/>
      <c r="G1214" s="123"/>
      <c r="H1214" s="123"/>
      <c r="I1214" s="123"/>
      <c r="J1214" s="123"/>
    </row>
    <row r="1215" spans="1:10">
      <c r="A1215" s="123"/>
      <c r="B1215" s="123"/>
      <c r="C1215" s="123"/>
      <c r="D1215" s="123"/>
      <c r="E1215" s="123"/>
      <c r="F1215" s="123"/>
      <c r="G1215" s="123"/>
      <c r="H1215" s="123"/>
      <c r="I1215" s="123"/>
      <c r="J1215" s="123"/>
    </row>
    <row r="1216" spans="1:10">
      <c r="A1216" s="123"/>
      <c r="B1216" s="123"/>
      <c r="C1216" s="123"/>
      <c r="D1216" s="123"/>
      <c r="E1216" s="123"/>
      <c r="F1216" s="123"/>
      <c r="G1216" s="123"/>
      <c r="H1216" s="123"/>
      <c r="I1216" s="123"/>
      <c r="J1216" s="123"/>
    </row>
    <row r="1217" spans="1:10">
      <c r="A1217" s="123"/>
      <c r="B1217" s="123"/>
      <c r="C1217" s="123"/>
      <c r="D1217" s="123"/>
      <c r="E1217" s="123"/>
      <c r="F1217" s="123"/>
      <c r="G1217" s="123"/>
      <c r="H1217" s="123"/>
      <c r="I1217" s="123"/>
      <c r="J1217" s="123"/>
    </row>
    <row r="1218" spans="1:10">
      <c r="A1218" s="123"/>
      <c r="B1218" s="123"/>
      <c r="C1218" s="123"/>
      <c r="D1218" s="123"/>
      <c r="E1218" s="123"/>
      <c r="F1218" s="123"/>
      <c r="G1218" s="123"/>
      <c r="H1218" s="123"/>
      <c r="I1218" s="123"/>
      <c r="J1218" s="123"/>
    </row>
    <row r="1219" spans="1:10">
      <c r="A1219" s="123"/>
      <c r="B1219" s="123"/>
      <c r="C1219" s="123"/>
      <c r="D1219" s="123"/>
      <c r="E1219" s="123"/>
      <c r="F1219" s="123"/>
      <c r="G1219" s="123"/>
      <c r="H1219" s="123"/>
      <c r="I1219" s="123"/>
      <c r="J1219" s="123"/>
    </row>
    <row r="1220" spans="1:10">
      <c r="A1220" s="123"/>
      <c r="B1220" s="123"/>
      <c r="C1220" s="123"/>
      <c r="D1220" s="123"/>
      <c r="E1220" s="123"/>
      <c r="F1220" s="123"/>
      <c r="G1220" s="123"/>
      <c r="H1220" s="123"/>
      <c r="I1220" s="123"/>
      <c r="J1220" s="123"/>
    </row>
    <row r="1221" spans="1:10">
      <c r="A1221" s="123"/>
      <c r="B1221" s="123"/>
      <c r="C1221" s="123"/>
      <c r="D1221" s="123"/>
      <c r="E1221" s="123"/>
      <c r="F1221" s="123"/>
      <c r="G1221" s="123"/>
      <c r="H1221" s="123"/>
      <c r="I1221" s="123"/>
      <c r="J1221" s="123"/>
    </row>
    <row r="1222" spans="1:10">
      <c r="A1222" s="123"/>
      <c r="B1222" s="123"/>
      <c r="C1222" s="123"/>
      <c r="D1222" s="123"/>
      <c r="E1222" s="123"/>
      <c r="F1222" s="123"/>
      <c r="G1222" s="123"/>
      <c r="H1222" s="123"/>
      <c r="I1222" s="123"/>
      <c r="J1222" s="123"/>
    </row>
    <row r="1223" spans="1:10">
      <c r="A1223" s="123"/>
      <c r="B1223" s="123"/>
      <c r="C1223" s="123"/>
      <c r="D1223" s="123"/>
      <c r="E1223" s="123"/>
      <c r="F1223" s="123"/>
      <c r="G1223" s="123"/>
      <c r="H1223" s="123"/>
      <c r="I1223" s="123"/>
      <c r="J1223" s="123"/>
    </row>
    <row r="1224" spans="1:10">
      <c r="A1224" s="123"/>
      <c r="B1224" s="123"/>
      <c r="C1224" s="123"/>
      <c r="D1224" s="123"/>
      <c r="E1224" s="123"/>
      <c r="F1224" s="123"/>
      <c r="G1224" s="123"/>
      <c r="H1224" s="123"/>
      <c r="I1224" s="123"/>
      <c r="J1224" s="123"/>
    </row>
    <row r="1225" spans="1:10">
      <c r="A1225" s="123"/>
      <c r="B1225" s="123"/>
      <c r="C1225" s="123"/>
      <c r="D1225" s="123"/>
      <c r="E1225" s="123"/>
      <c r="F1225" s="123"/>
      <c r="G1225" s="123"/>
      <c r="H1225" s="123"/>
      <c r="I1225" s="123"/>
      <c r="J1225" s="123"/>
    </row>
    <row r="1226" spans="1:10">
      <c r="A1226" s="123"/>
      <c r="B1226" s="123"/>
      <c r="C1226" s="123"/>
      <c r="D1226" s="123"/>
      <c r="E1226" s="123"/>
      <c r="F1226" s="123"/>
      <c r="G1226" s="123"/>
      <c r="H1226" s="123"/>
      <c r="I1226" s="123"/>
      <c r="J1226" s="123"/>
    </row>
    <row r="1227" spans="1:10">
      <c r="A1227" s="123"/>
      <c r="B1227" s="123"/>
      <c r="C1227" s="123"/>
      <c r="D1227" s="123"/>
      <c r="E1227" s="123"/>
      <c r="F1227" s="123"/>
      <c r="G1227" s="123"/>
      <c r="H1227" s="123"/>
      <c r="I1227" s="123"/>
      <c r="J1227" s="123"/>
    </row>
    <row r="1228" spans="1:10">
      <c r="A1228" s="123"/>
      <c r="B1228" s="123"/>
      <c r="C1228" s="123"/>
      <c r="D1228" s="123"/>
      <c r="E1228" s="123"/>
      <c r="F1228" s="123"/>
      <c r="G1228" s="123"/>
      <c r="H1228" s="123"/>
      <c r="I1228" s="123"/>
      <c r="J1228" s="123"/>
    </row>
    <row r="1229" spans="1:10">
      <c r="A1229" s="123"/>
      <c r="B1229" s="123"/>
      <c r="C1229" s="123"/>
      <c r="D1229" s="123"/>
      <c r="E1229" s="123"/>
      <c r="F1229" s="123"/>
      <c r="G1229" s="123"/>
      <c r="H1229" s="123"/>
      <c r="I1229" s="123"/>
      <c r="J1229" s="123"/>
    </row>
    <row r="1230" spans="1:10">
      <c r="A1230" s="123"/>
      <c r="B1230" s="123"/>
      <c r="C1230" s="123"/>
      <c r="D1230" s="123"/>
      <c r="E1230" s="123"/>
      <c r="F1230" s="123"/>
      <c r="G1230" s="123"/>
      <c r="H1230" s="123"/>
      <c r="I1230" s="123"/>
      <c r="J1230" s="123"/>
    </row>
    <row r="1231" spans="1:10">
      <c r="A1231" s="123"/>
      <c r="B1231" s="123"/>
      <c r="C1231" s="123"/>
      <c r="D1231" s="123"/>
      <c r="E1231" s="123"/>
      <c r="F1231" s="123"/>
      <c r="G1231" s="123"/>
      <c r="H1231" s="123"/>
      <c r="I1231" s="123"/>
      <c r="J1231" s="123"/>
    </row>
    <row r="1232" spans="1:10">
      <c r="A1232" s="123"/>
      <c r="B1232" s="123"/>
      <c r="C1232" s="123"/>
      <c r="D1232" s="123"/>
      <c r="E1232" s="123"/>
      <c r="F1232" s="123"/>
      <c r="G1232" s="123"/>
      <c r="H1232" s="123"/>
      <c r="I1232" s="123"/>
      <c r="J1232" s="123"/>
    </row>
    <row r="1233" spans="1:10">
      <c r="A1233" s="123"/>
      <c r="B1233" s="123"/>
      <c r="C1233" s="123"/>
      <c r="D1233" s="123"/>
      <c r="E1233" s="123"/>
      <c r="F1233" s="123"/>
      <c r="G1233" s="123"/>
      <c r="H1233" s="123"/>
      <c r="I1233" s="123"/>
      <c r="J1233" s="123"/>
    </row>
    <row r="1234" spans="1:10">
      <c r="A1234" s="123"/>
      <c r="B1234" s="123"/>
      <c r="C1234" s="123"/>
      <c r="D1234" s="123"/>
      <c r="E1234" s="123"/>
      <c r="F1234" s="123"/>
      <c r="G1234" s="123"/>
      <c r="H1234" s="123"/>
      <c r="I1234" s="123"/>
      <c r="J1234" s="123"/>
    </row>
    <row r="1235" spans="1:10">
      <c r="A1235" s="123"/>
      <c r="B1235" s="123"/>
      <c r="C1235" s="123"/>
      <c r="D1235" s="123"/>
      <c r="E1235" s="123"/>
      <c r="F1235" s="123"/>
      <c r="G1235" s="123"/>
      <c r="H1235" s="123"/>
      <c r="I1235" s="123"/>
      <c r="J1235" s="123"/>
    </row>
    <row r="1236" spans="1:10">
      <c r="A1236" s="123"/>
      <c r="B1236" s="123"/>
      <c r="C1236" s="123"/>
      <c r="D1236" s="123"/>
      <c r="E1236" s="123"/>
      <c r="F1236" s="123"/>
      <c r="G1236" s="123"/>
      <c r="H1236" s="123"/>
      <c r="I1236" s="123"/>
      <c r="J1236" s="123"/>
    </row>
    <row r="1237" spans="1:10">
      <c r="A1237" s="123"/>
      <c r="B1237" s="123"/>
      <c r="C1237" s="123"/>
      <c r="D1237" s="123"/>
      <c r="E1237" s="123"/>
      <c r="F1237" s="123"/>
      <c r="G1237" s="123"/>
      <c r="H1237" s="123"/>
      <c r="I1237" s="123"/>
      <c r="J1237" s="123"/>
    </row>
    <row r="1238" spans="1:10">
      <c r="A1238" s="123"/>
      <c r="B1238" s="123"/>
      <c r="C1238" s="123"/>
      <c r="D1238" s="123"/>
      <c r="E1238" s="123"/>
      <c r="F1238" s="123"/>
      <c r="G1238" s="123"/>
      <c r="H1238" s="123"/>
      <c r="I1238" s="123"/>
      <c r="J1238" s="123"/>
    </row>
    <row r="1239" spans="1:10">
      <c r="A1239" s="123"/>
      <c r="B1239" s="123"/>
      <c r="C1239" s="123"/>
      <c r="D1239" s="123"/>
      <c r="E1239" s="123"/>
      <c r="F1239" s="123"/>
      <c r="G1239" s="123"/>
      <c r="H1239" s="123"/>
      <c r="I1239" s="123"/>
      <c r="J1239" s="123"/>
    </row>
    <row r="1240" spans="1:10">
      <c r="A1240" s="123"/>
      <c r="B1240" s="123"/>
      <c r="C1240" s="123"/>
      <c r="D1240" s="123"/>
      <c r="E1240" s="123"/>
      <c r="F1240" s="123"/>
      <c r="G1240" s="123"/>
      <c r="H1240" s="123"/>
      <c r="I1240" s="123"/>
      <c r="J1240" s="123"/>
    </row>
    <row r="1241" spans="1:10">
      <c r="A1241" s="123"/>
      <c r="B1241" s="123"/>
      <c r="C1241" s="123"/>
      <c r="D1241" s="123"/>
      <c r="E1241" s="123"/>
      <c r="F1241" s="123"/>
      <c r="G1241" s="123"/>
      <c r="H1241" s="123"/>
      <c r="I1241" s="123"/>
      <c r="J1241" s="123"/>
    </row>
    <row r="1242" spans="1:10">
      <c r="A1242" s="123"/>
      <c r="B1242" s="123"/>
      <c r="C1242" s="123"/>
      <c r="D1242" s="123"/>
      <c r="E1242" s="123"/>
      <c r="F1242" s="123"/>
      <c r="G1242" s="123"/>
      <c r="H1242" s="123"/>
      <c r="I1242" s="123"/>
      <c r="J1242" s="123"/>
    </row>
    <row r="1243" spans="1:10">
      <c r="A1243" s="123"/>
      <c r="B1243" s="123"/>
      <c r="C1243" s="123"/>
      <c r="D1243" s="123"/>
      <c r="E1243" s="123"/>
      <c r="F1243" s="123"/>
      <c r="G1243" s="123"/>
      <c r="H1243" s="123"/>
      <c r="I1243" s="123"/>
      <c r="J1243" s="123"/>
    </row>
    <row r="1244" spans="1:10">
      <c r="A1244" s="123"/>
      <c r="B1244" s="123"/>
      <c r="C1244" s="123"/>
      <c r="D1244" s="123"/>
      <c r="E1244" s="123"/>
      <c r="F1244" s="123"/>
      <c r="G1244" s="123"/>
      <c r="H1244" s="123"/>
      <c r="I1244" s="123"/>
      <c r="J1244" s="123"/>
    </row>
    <row r="1245" spans="1:10">
      <c r="A1245" s="123"/>
      <c r="B1245" s="123"/>
      <c r="C1245" s="123"/>
      <c r="D1245" s="123"/>
      <c r="E1245" s="123"/>
      <c r="F1245" s="123"/>
      <c r="G1245" s="123"/>
      <c r="H1245" s="123"/>
      <c r="I1245" s="123"/>
      <c r="J1245" s="123"/>
    </row>
    <row r="1246" spans="1:10">
      <c r="A1246" s="123"/>
      <c r="B1246" s="123"/>
      <c r="C1246" s="123"/>
      <c r="D1246" s="123"/>
      <c r="E1246" s="123"/>
      <c r="F1246" s="123"/>
      <c r="G1246" s="123"/>
      <c r="H1246" s="123"/>
      <c r="I1246" s="123"/>
      <c r="J1246" s="123"/>
    </row>
    <row r="1247" spans="1:10">
      <c r="A1247" s="123"/>
      <c r="B1247" s="123"/>
      <c r="C1247" s="123"/>
      <c r="D1247" s="123"/>
      <c r="E1247" s="123"/>
      <c r="F1247" s="123"/>
      <c r="G1247" s="123"/>
      <c r="H1247" s="123"/>
      <c r="I1247" s="123"/>
      <c r="J1247" s="123"/>
    </row>
    <row r="1248" spans="1:10">
      <c r="A1248" s="123"/>
      <c r="B1248" s="123"/>
      <c r="C1248" s="123"/>
      <c r="D1248" s="123"/>
      <c r="E1248" s="123"/>
      <c r="F1248" s="123"/>
      <c r="G1248" s="123"/>
      <c r="H1248" s="123"/>
      <c r="I1248" s="123"/>
      <c r="J1248" s="123"/>
    </row>
    <row r="1249" spans="1:10">
      <c r="A1249" s="123"/>
      <c r="B1249" s="123"/>
      <c r="C1249" s="123"/>
      <c r="D1249" s="123"/>
      <c r="E1249" s="123"/>
      <c r="F1249" s="123"/>
      <c r="G1249" s="123"/>
      <c r="H1249" s="123"/>
      <c r="I1249" s="123"/>
      <c r="J1249" s="123"/>
    </row>
    <row r="1250" spans="1:10">
      <c r="A1250" s="123"/>
      <c r="B1250" s="123"/>
      <c r="C1250" s="123"/>
      <c r="D1250" s="123"/>
      <c r="E1250" s="123"/>
      <c r="F1250" s="123"/>
      <c r="G1250" s="123"/>
      <c r="H1250" s="123"/>
      <c r="I1250" s="123"/>
      <c r="J1250" s="123"/>
    </row>
    <row r="1251" spans="1:10">
      <c r="A1251" s="123"/>
      <c r="B1251" s="123"/>
      <c r="C1251" s="123"/>
      <c r="D1251" s="123"/>
      <c r="E1251" s="123"/>
      <c r="F1251" s="123"/>
      <c r="G1251" s="123"/>
      <c r="H1251" s="123"/>
      <c r="I1251" s="123"/>
      <c r="J1251" s="123"/>
    </row>
    <row r="1252" spans="1:10">
      <c r="A1252" s="123"/>
      <c r="B1252" s="123"/>
      <c r="C1252" s="123"/>
      <c r="D1252" s="123"/>
      <c r="E1252" s="123"/>
      <c r="F1252" s="123"/>
      <c r="G1252" s="123"/>
      <c r="H1252" s="123"/>
      <c r="I1252" s="123"/>
      <c r="J1252" s="123"/>
    </row>
    <row r="1253" spans="1:10">
      <c r="A1253" s="123"/>
      <c r="B1253" s="123"/>
      <c r="C1253" s="123"/>
      <c r="D1253" s="123"/>
      <c r="E1253" s="123"/>
      <c r="F1253" s="123"/>
      <c r="G1253" s="123"/>
      <c r="H1253" s="123"/>
      <c r="I1253" s="123"/>
      <c r="J1253" s="123"/>
    </row>
    <row r="1254" spans="1:10">
      <c r="A1254" s="123"/>
      <c r="B1254" s="123"/>
      <c r="C1254" s="123"/>
      <c r="D1254" s="123"/>
      <c r="E1254" s="123"/>
      <c r="F1254" s="123"/>
      <c r="G1254" s="123"/>
      <c r="H1254" s="123"/>
      <c r="I1254" s="123"/>
      <c r="J1254" s="123"/>
    </row>
    <row r="1255" spans="1:10">
      <c r="A1255" s="123"/>
      <c r="B1255" s="123"/>
      <c r="C1255" s="123"/>
      <c r="D1255" s="123"/>
      <c r="E1255" s="123"/>
      <c r="F1255" s="123"/>
      <c r="G1255" s="123"/>
      <c r="H1255" s="123"/>
      <c r="I1255" s="123"/>
      <c r="J1255" s="123"/>
    </row>
    <row r="1256" spans="1:10">
      <c r="A1256" s="123"/>
      <c r="B1256" s="123"/>
      <c r="C1256" s="123"/>
      <c r="D1256" s="123"/>
      <c r="E1256" s="123"/>
      <c r="F1256" s="123"/>
      <c r="G1256" s="123"/>
      <c r="H1256" s="123"/>
      <c r="I1256" s="123"/>
      <c r="J1256" s="123"/>
    </row>
    <row r="1257" spans="1:10">
      <c r="A1257" s="123"/>
      <c r="B1257" s="123"/>
      <c r="C1257" s="123"/>
      <c r="D1257" s="123"/>
      <c r="E1257" s="123"/>
      <c r="F1257" s="123"/>
      <c r="G1257" s="123"/>
      <c r="H1257" s="123"/>
      <c r="I1257" s="123"/>
      <c r="J1257" s="123"/>
    </row>
    <row r="1258" spans="1:10">
      <c r="A1258" s="123"/>
      <c r="B1258" s="123"/>
      <c r="C1258" s="123"/>
      <c r="D1258" s="123"/>
      <c r="E1258" s="123"/>
      <c r="F1258" s="123"/>
      <c r="G1258" s="123"/>
      <c r="H1258" s="123"/>
      <c r="I1258" s="123"/>
      <c r="J1258" s="123"/>
    </row>
    <row r="1259" spans="1:10">
      <c r="A1259" s="123"/>
      <c r="B1259" s="123"/>
      <c r="C1259" s="123"/>
      <c r="D1259" s="123"/>
      <c r="E1259" s="123"/>
      <c r="F1259" s="123"/>
      <c r="G1259" s="123"/>
      <c r="H1259" s="123"/>
      <c r="I1259" s="123"/>
      <c r="J1259" s="123"/>
    </row>
    <row r="1260" spans="1:10">
      <c r="A1260" s="123"/>
      <c r="B1260" s="123"/>
      <c r="C1260" s="123"/>
      <c r="D1260" s="123"/>
      <c r="E1260" s="123"/>
      <c r="F1260" s="123"/>
      <c r="G1260" s="123"/>
      <c r="H1260" s="123"/>
      <c r="I1260" s="123"/>
      <c r="J1260" s="123"/>
    </row>
    <row r="1261" spans="1:10">
      <c r="A1261" s="123"/>
      <c r="B1261" s="123"/>
      <c r="C1261" s="123"/>
      <c r="D1261" s="123"/>
      <c r="E1261" s="123"/>
      <c r="F1261" s="123"/>
      <c r="G1261" s="123"/>
      <c r="H1261" s="123"/>
      <c r="I1261" s="123"/>
      <c r="J1261" s="123"/>
    </row>
    <row r="1262" spans="1:10">
      <c r="A1262" s="123"/>
      <c r="B1262" s="123"/>
      <c r="C1262" s="123"/>
      <c r="D1262" s="123"/>
      <c r="E1262" s="123"/>
      <c r="F1262" s="123"/>
      <c r="G1262" s="123"/>
      <c r="H1262" s="123"/>
      <c r="I1262" s="123"/>
      <c r="J1262" s="123"/>
    </row>
    <row r="1263" spans="1:10">
      <c r="A1263" s="123"/>
      <c r="B1263" s="123"/>
      <c r="C1263" s="123"/>
      <c r="D1263" s="123"/>
      <c r="E1263" s="123"/>
      <c r="F1263" s="123"/>
      <c r="G1263" s="123"/>
      <c r="H1263" s="123"/>
      <c r="I1263" s="123"/>
      <c r="J1263" s="123"/>
    </row>
    <row r="1264" spans="1:10">
      <c r="A1264" s="123"/>
      <c r="B1264" s="123"/>
      <c r="C1264" s="123"/>
      <c r="D1264" s="123"/>
      <c r="E1264" s="123"/>
      <c r="F1264" s="123"/>
      <c r="G1264" s="123"/>
      <c r="H1264" s="123"/>
      <c r="I1264" s="123"/>
      <c r="J1264" s="123"/>
    </row>
    <row r="1265" spans="1:10">
      <c r="A1265" s="123"/>
      <c r="B1265" s="123"/>
      <c r="C1265" s="123"/>
      <c r="D1265" s="123"/>
      <c r="E1265" s="123"/>
      <c r="F1265" s="123"/>
      <c r="G1265" s="123"/>
      <c r="H1265" s="123"/>
      <c r="I1265" s="123"/>
      <c r="J1265" s="123"/>
    </row>
    <row r="1266" spans="1:10">
      <c r="A1266" s="123"/>
      <c r="B1266" s="123"/>
      <c r="C1266" s="123"/>
      <c r="D1266" s="123"/>
      <c r="E1266" s="123"/>
      <c r="F1266" s="123"/>
      <c r="G1266" s="123"/>
      <c r="H1266" s="123"/>
      <c r="I1266" s="123"/>
      <c r="J1266" s="123"/>
    </row>
    <row r="1267" spans="1:10">
      <c r="A1267" s="123"/>
      <c r="B1267" s="123"/>
      <c r="C1267" s="123"/>
      <c r="D1267" s="123"/>
      <c r="E1267" s="123"/>
      <c r="F1267" s="123"/>
      <c r="G1267" s="123"/>
      <c r="H1267" s="123"/>
      <c r="I1267" s="123"/>
      <c r="J1267" s="123"/>
    </row>
    <row r="1268" spans="1:10">
      <c r="A1268" s="123"/>
      <c r="B1268" s="123"/>
      <c r="C1268" s="123"/>
      <c r="D1268" s="123"/>
      <c r="E1268" s="123"/>
      <c r="F1268" s="123"/>
      <c r="G1268" s="123"/>
      <c r="H1268" s="123"/>
      <c r="I1268" s="123"/>
      <c r="J1268" s="123"/>
    </row>
    <row r="1269" spans="1:10">
      <c r="A1269" s="123"/>
      <c r="B1269" s="123"/>
      <c r="C1269" s="123"/>
      <c r="D1269" s="123"/>
      <c r="E1269" s="123"/>
      <c r="F1269" s="123"/>
      <c r="G1269" s="123"/>
      <c r="H1269" s="123"/>
      <c r="I1269" s="123"/>
      <c r="J1269" s="123"/>
    </row>
    <row r="1270" spans="1:10">
      <c r="A1270" s="123"/>
      <c r="B1270" s="123"/>
      <c r="C1270" s="123"/>
      <c r="D1270" s="123"/>
      <c r="E1270" s="123"/>
      <c r="F1270" s="123"/>
      <c r="G1270" s="123"/>
      <c r="H1270" s="123"/>
      <c r="I1270" s="123"/>
      <c r="J1270" s="123"/>
    </row>
    <row r="1271" spans="1:10">
      <c r="A1271" s="123"/>
      <c r="B1271" s="123"/>
      <c r="C1271" s="123"/>
      <c r="D1271" s="123"/>
      <c r="E1271" s="123"/>
      <c r="F1271" s="123"/>
      <c r="G1271" s="123"/>
      <c r="H1271" s="123"/>
      <c r="I1271" s="123"/>
      <c r="J1271" s="123"/>
    </row>
    <row r="1272" spans="1:10">
      <c r="A1272" s="123"/>
      <c r="B1272" s="123"/>
      <c r="C1272" s="123"/>
      <c r="D1272" s="123"/>
      <c r="E1272" s="123"/>
      <c r="F1272" s="123"/>
      <c r="G1272" s="123"/>
      <c r="H1272" s="123"/>
      <c r="I1272" s="123"/>
      <c r="J1272" s="123"/>
    </row>
    <row r="1273" spans="1:10">
      <c r="A1273" s="123"/>
      <c r="B1273" s="123"/>
      <c r="C1273" s="123"/>
      <c r="D1273" s="123"/>
      <c r="E1273" s="123"/>
      <c r="F1273" s="123"/>
      <c r="G1273" s="123"/>
      <c r="H1273" s="123"/>
      <c r="I1273" s="123"/>
      <c r="J1273" s="123"/>
    </row>
    <row r="1274" spans="1:10">
      <c r="A1274" s="123"/>
      <c r="B1274" s="123"/>
      <c r="C1274" s="123"/>
      <c r="D1274" s="123"/>
      <c r="E1274" s="123"/>
      <c r="F1274" s="123"/>
      <c r="G1274" s="123"/>
      <c r="H1274" s="123"/>
      <c r="I1274" s="123"/>
      <c r="J1274" s="123"/>
    </row>
    <row r="1275" spans="1:10">
      <c r="A1275" s="123"/>
      <c r="B1275" s="123"/>
      <c r="C1275" s="123"/>
      <c r="D1275" s="123"/>
      <c r="E1275" s="123"/>
      <c r="F1275" s="123"/>
      <c r="G1275" s="123"/>
      <c r="H1275" s="123"/>
      <c r="I1275" s="123"/>
      <c r="J1275" s="123"/>
    </row>
    <row r="1276" spans="1:10">
      <c r="A1276" s="123"/>
      <c r="B1276" s="123"/>
      <c r="C1276" s="123"/>
      <c r="D1276" s="123"/>
      <c r="E1276" s="123"/>
      <c r="F1276" s="123"/>
      <c r="G1276" s="123"/>
      <c r="H1276" s="123"/>
      <c r="I1276" s="123"/>
      <c r="J1276" s="123"/>
    </row>
    <row r="1277" spans="1:10">
      <c r="A1277" s="123"/>
      <c r="B1277" s="123"/>
      <c r="C1277" s="123"/>
      <c r="D1277" s="123"/>
      <c r="E1277" s="123"/>
      <c r="F1277" s="123"/>
      <c r="G1277" s="123"/>
      <c r="H1277" s="123"/>
      <c r="I1277" s="123"/>
      <c r="J1277" s="123"/>
    </row>
    <row r="1278" spans="1:10">
      <c r="A1278" s="123"/>
      <c r="B1278" s="123"/>
      <c r="C1278" s="123"/>
      <c r="D1278" s="123"/>
      <c r="E1278" s="123"/>
      <c r="F1278" s="123"/>
      <c r="G1278" s="123"/>
      <c r="H1278" s="123"/>
      <c r="I1278" s="123"/>
      <c r="J1278" s="123"/>
    </row>
    <row r="1279" spans="1:10">
      <c r="A1279" s="123"/>
      <c r="B1279" s="123"/>
      <c r="C1279" s="123"/>
      <c r="D1279" s="123"/>
      <c r="E1279" s="123"/>
      <c r="F1279" s="123"/>
      <c r="G1279" s="123"/>
      <c r="H1279" s="123"/>
      <c r="I1279" s="123"/>
      <c r="J1279" s="123"/>
    </row>
    <row r="1280" spans="1:10">
      <c r="A1280" s="123"/>
      <c r="B1280" s="123"/>
      <c r="C1280" s="123"/>
      <c r="D1280" s="123"/>
      <c r="E1280" s="123"/>
      <c r="F1280" s="123"/>
      <c r="G1280" s="123"/>
      <c r="H1280" s="123"/>
      <c r="I1280" s="123"/>
      <c r="J1280" s="123"/>
    </row>
    <row r="1281" spans="1:10">
      <c r="A1281" s="123"/>
      <c r="B1281" s="123"/>
      <c r="C1281" s="123"/>
      <c r="D1281" s="123"/>
      <c r="E1281" s="123"/>
      <c r="F1281" s="123"/>
      <c r="G1281" s="123"/>
      <c r="H1281" s="123"/>
      <c r="I1281" s="123"/>
      <c r="J1281" s="123"/>
    </row>
    <row r="1282" spans="1:10">
      <c r="A1282" s="123"/>
      <c r="B1282" s="123"/>
      <c r="C1282" s="123"/>
      <c r="D1282" s="123"/>
      <c r="E1282" s="123"/>
      <c r="F1282" s="123"/>
      <c r="G1282" s="123"/>
      <c r="H1282" s="123"/>
      <c r="I1282" s="123"/>
      <c r="J1282" s="123"/>
    </row>
    <row r="1283" spans="1:10">
      <c r="A1283" s="123"/>
      <c r="B1283" s="123"/>
      <c r="C1283" s="123"/>
      <c r="D1283" s="123"/>
      <c r="E1283" s="123"/>
      <c r="F1283" s="123"/>
      <c r="G1283" s="123"/>
      <c r="H1283" s="123"/>
      <c r="I1283" s="123"/>
      <c r="J1283" s="123"/>
    </row>
    <row r="1284" spans="1:10">
      <c r="A1284" s="123"/>
      <c r="B1284" s="123"/>
      <c r="C1284" s="123"/>
      <c r="D1284" s="123"/>
      <c r="E1284" s="123"/>
      <c r="F1284" s="123"/>
      <c r="G1284" s="123"/>
      <c r="H1284" s="123"/>
      <c r="I1284" s="123"/>
      <c r="J1284" s="123"/>
    </row>
    <row r="1285" spans="1:10">
      <c r="A1285" s="123"/>
      <c r="B1285" s="123"/>
      <c r="C1285" s="123"/>
      <c r="D1285" s="123"/>
      <c r="E1285" s="123"/>
      <c r="F1285" s="123"/>
      <c r="G1285" s="123"/>
      <c r="H1285" s="123"/>
      <c r="I1285" s="123"/>
      <c r="J1285" s="123"/>
    </row>
    <row r="1286" spans="1:10">
      <c r="A1286" s="123"/>
      <c r="B1286" s="123"/>
      <c r="C1286" s="123"/>
      <c r="D1286" s="123"/>
      <c r="E1286" s="123"/>
      <c r="F1286" s="123"/>
      <c r="G1286" s="123"/>
      <c r="H1286" s="123"/>
      <c r="I1286" s="123"/>
      <c r="J1286" s="123"/>
    </row>
    <row r="1287" spans="1:10">
      <c r="A1287" s="123"/>
      <c r="B1287" s="123"/>
      <c r="C1287" s="123"/>
      <c r="D1287" s="123"/>
      <c r="E1287" s="123"/>
      <c r="F1287" s="123"/>
      <c r="G1287" s="123"/>
      <c r="H1287" s="123"/>
      <c r="I1287" s="123"/>
      <c r="J1287" s="123"/>
    </row>
    <row r="1288" spans="1:10">
      <c r="A1288" s="123"/>
      <c r="B1288" s="123"/>
      <c r="C1288" s="123"/>
      <c r="D1288" s="123"/>
      <c r="E1288" s="123"/>
      <c r="F1288" s="123"/>
      <c r="G1288" s="123"/>
      <c r="H1288" s="123"/>
      <c r="I1288" s="123"/>
      <c r="J1288" s="123"/>
    </row>
    <row r="1289" spans="1:10">
      <c r="A1289" s="123"/>
      <c r="B1289" s="123"/>
      <c r="C1289" s="123"/>
      <c r="D1289" s="123"/>
      <c r="E1289" s="123"/>
      <c r="F1289" s="123"/>
      <c r="G1289" s="123"/>
      <c r="H1289" s="123"/>
      <c r="I1289" s="123"/>
      <c r="J1289" s="123"/>
    </row>
    <row r="1290" spans="1:10">
      <c r="A1290" s="123"/>
      <c r="B1290" s="123"/>
      <c r="C1290" s="123"/>
      <c r="D1290" s="123"/>
      <c r="E1290" s="123"/>
      <c r="F1290" s="123"/>
      <c r="G1290" s="123"/>
      <c r="H1290" s="123"/>
      <c r="I1290" s="123"/>
      <c r="J1290" s="123"/>
    </row>
    <row r="1291" spans="1:10">
      <c r="A1291" s="123"/>
      <c r="B1291" s="123"/>
      <c r="C1291" s="123"/>
      <c r="D1291" s="123"/>
      <c r="E1291" s="123"/>
      <c r="F1291" s="123"/>
      <c r="G1291" s="123"/>
      <c r="H1291" s="123"/>
      <c r="I1291" s="123"/>
      <c r="J1291" s="123"/>
    </row>
    <row r="1292" spans="1:10">
      <c r="A1292" s="123"/>
      <c r="B1292" s="123"/>
      <c r="C1292" s="123"/>
      <c r="D1292" s="123"/>
      <c r="E1292" s="123"/>
      <c r="F1292" s="123"/>
      <c r="G1292" s="123"/>
      <c r="H1292" s="123"/>
      <c r="I1292" s="123"/>
      <c r="J1292" s="123"/>
    </row>
    <row r="1293" spans="1:10">
      <c r="A1293" s="123"/>
      <c r="B1293" s="123"/>
      <c r="C1293" s="123"/>
      <c r="D1293" s="123"/>
      <c r="E1293" s="123"/>
      <c r="F1293" s="123"/>
      <c r="G1293" s="123"/>
      <c r="H1293" s="123"/>
      <c r="I1293" s="123"/>
      <c r="J1293" s="123"/>
    </row>
    <row r="1294" spans="1:10">
      <c r="A1294" s="123"/>
      <c r="B1294" s="123"/>
      <c r="C1294" s="123"/>
      <c r="D1294" s="123"/>
      <c r="E1294" s="123"/>
      <c r="F1294" s="123"/>
      <c r="G1294" s="123"/>
      <c r="H1294" s="123"/>
      <c r="I1294" s="123"/>
      <c r="J1294" s="123"/>
    </row>
    <row r="1295" spans="1:10">
      <c r="A1295" s="123"/>
      <c r="B1295" s="123"/>
      <c r="C1295" s="123"/>
      <c r="D1295" s="123"/>
      <c r="E1295" s="123"/>
      <c r="F1295" s="123"/>
      <c r="G1295" s="123"/>
      <c r="H1295" s="123"/>
      <c r="I1295" s="123"/>
      <c r="J1295" s="123"/>
    </row>
    <row r="1296" spans="1:10">
      <c r="A1296" s="123"/>
      <c r="B1296" s="123"/>
      <c r="C1296" s="123"/>
      <c r="D1296" s="123"/>
      <c r="E1296" s="123"/>
      <c r="F1296" s="123"/>
      <c r="G1296" s="123"/>
      <c r="H1296" s="123"/>
      <c r="I1296" s="123"/>
      <c r="J1296" s="123"/>
    </row>
    <row r="1297" spans="1:10">
      <c r="A1297" s="123"/>
      <c r="B1297" s="123"/>
      <c r="C1297" s="123"/>
      <c r="D1297" s="123"/>
      <c r="E1297" s="123"/>
      <c r="F1297" s="123"/>
      <c r="G1297" s="123"/>
      <c r="H1297" s="123"/>
      <c r="I1297" s="123"/>
      <c r="J1297" s="123"/>
    </row>
    <row r="1298" spans="1:10">
      <c r="A1298" s="123"/>
      <c r="B1298" s="123"/>
      <c r="C1298" s="123"/>
      <c r="D1298" s="123"/>
      <c r="E1298" s="123"/>
      <c r="F1298" s="123"/>
      <c r="G1298" s="123"/>
      <c r="H1298" s="123"/>
      <c r="I1298" s="123"/>
      <c r="J1298" s="123"/>
    </row>
    <row r="1299" spans="1:10">
      <c r="A1299" s="123"/>
      <c r="B1299" s="123"/>
      <c r="C1299" s="123"/>
      <c r="D1299" s="123"/>
      <c r="E1299" s="123"/>
      <c r="F1299" s="123"/>
      <c r="G1299" s="123"/>
      <c r="H1299" s="123"/>
      <c r="I1299" s="123"/>
      <c r="J1299" s="123"/>
    </row>
    <row r="1300" spans="1:10">
      <c r="A1300" s="123"/>
      <c r="B1300" s="123"/>
      <c r="C1300" s="123"/>
      <c r="D1300" s="123"/>
      <c r="E1300" s="123"/>
      <c r="F1300" s="123"/>
      <c r="G1300" s="123"/>
      <c r="H1300" s="123"/>
      <c r="I1300" s="123"/>
      <c r="J1300" s="123"/>
    </row>
    <row r="1301" spans="1:10">
      <c r="A1301" s="123"/>
      <c r="B1301" s="123"/>
      <c r="C1301" s="123"/>
      <c r="D1301" s="123"/>
      <c r="E1301" s="123"/>
      <c r="F1301" s="123"/>
      <c r="G1301" s="123"/>
      <c r="H1301" s="123"/>
      <c r="I1301" s="123"/>
      <c r="J1301" s="123"/>
    </row>
    <row r="1302" spans="1:10">
      <c r="A1302" s="123"/>
      <c r="B1302" s="123"/>
      <c r="C1302" s="123"/>
      <c r="D1302" s="123"/>
      <c r="E1302" s="123"/>
      <c r="F1302" s="123"/>
      <c r="G1302" s="123"/>
      <c r="H1302" s="123"/>
      <c r="I1302" s="123"/>
      <c r="J1302" s="123"/>
    </row>
    <row r="1303" spans="1:10">
      <c r="A1303" s="123"/>
      <c r="B1303" s="123"/>
      <c r="C1303" s="123"/>
      <c r="D1303" s="123"/>
      <c r="E1303" s="123"/>
      <c r="F1303" s="123"/>
      <c r="G1303" s="123"/>
      <c r="H1303" s="123"/>
      <c r="I1303" s="123"/>
      <c r="J1303" s="123"/>
    </row>
    <row r="1304" spans="1:10">
      <c r="A1304" s="123"/>
      <c r="B1304" s="123"/>
      <c r="C1304" s="123"/>
      <c r="D1304" s="123"/>
      <c r="E1304" s="123"/>
      <c r="F1304" s="123"/>
      <c r="G1304" s="123"/>
      <c r="H1304" s="123"/>
      <c r="I1304" s="123"/>
      <c r="J1304" s="123"/>
    </row>
    <row r="1305" spans="1:10">
      <c r="A1305" s="123"/>
      <c r="B1305" s="123"/>
      <c r="C1305" s="123"/>
      <c r="D1305" s="123"/>
      <c r="E1305" s="123"/>
      <c r="F1305" s="123"/>
      <c r="G1305" s="123"/>
      <c r="H1305" s="123"/>
      <c r="I1305" s="123"/>
      <c r="J1305" s="123"/>
    </row>
    <row r="1306" spans="1:10">
      <c r="A1306" s="123"/>
      <c r="B1306" s="123"/>
      <c r="C1306" s="123"/>
      <c r="D1306" s="123"/>
      <c r="E1306" s="123"/>
      <c r="F1306" s="123"/>
      <c r="G1306" s="123"/>
      <c r="H1306" s="123"/>
      <c r="I1306" s="123"/>
      <c r="J1306" s="123"/>
    </row>
    <row r="1307" spans="1:10">
      <c r="A1307" s="123"/>
      <c r="B1307" s="123"/>
      <c r="C1307" s="123"/>
      <c r="D1307" s="123"/>
      <c r="E1307" s="123"/>
      <c r="F1307" s="123"/>
      <c r="G1307" s="123"/>
      <c r="H1307" s="123"/>
      <c r="I1307" s="123"/>
      <c r="J1307" s="123"/>
    </row>
    <row r="1308" spans="1:10">
      <c r="A1308" s="123"/>
      <c r="B1308" s="123"/>
      <c r="C1308" s="123"/>
      <c r="D1308" s="123"/>
      <c r="E1308" s="123"/>
      <c r="F1308" s="123"/>
      <c r="G1308" s="123"/>
      <c r="H1308" s="123"/>
      <c r="I1308" s="123"/>
      <c r="J1308" s="123"/>
    </row>
    <row r="1309" spans="1:10">
      <c r="A1309" s="123"/>
      <c r="B1309" s="123"/>
      <c r="C1309" s="123"/>
      <c r="D1309" s="123"/>
      <c r="E1309" s="123"/>
      <c r="F1309" s="123"/>
      <c r="G1309" s="123"/>
      <c r="H1309" s="123"/>
      <c r="I1309" s="123"/>
      <c r="J1309" s="123"/>
    </row>
    <row r="1310" spans="1:10">
      <c r="A1310" s="123"/>
      <c r="B1310" s="123"/>
      <c r="C1310" s="123"/>
      <c r="D1310" s="123"/>
      <c r="E1310" s="123"/>
      <c r="F1310" s="123"/>
      <c r="G1310" s="123"/>
      <c r="H1310" s="123"/>
      <c r="I1310" s="123"/>
      <c r="J1310" s="123"/>
    </row>
    <row r="1311" spans="1:10">
      <c r="A1311" s="123"/>
      <c r="B1311" s="123"/>
      <c r="C1311" s="123"/>
      <c r="D1311" s="123"/>
      <c r="E1311" s="123"/>
      <c r="F1311" s="123"/>
      <c r="G1311" s="123"/>
      <c r="H1311" s="123"/>
      <c r="I1311" s="123"/>
      <c r="J1311" s="123"/>
    </row>
    <row r="1312" spans="1:10">
      <c r="A1312" s="123"/>
      <c r="B1312" s="123"/>
      <c r="C1312" s="123"/>
      <c r="D1312" s="123"/>
      <c r="E1312" s="123"/>
      <c r="F1312" s="123"/>
      <c r="G1312" s="123"/>
      <c r="H1312" s="123"/>
      <c r="I1312" s="123"/>
      <c r="J1312" s="123"/>
    </row>
    <row r="1313" spans="1:10">
      <c r="A1313" s="123"/>
      <c r="B1313" s="123"/>
      <c r="C1313" s="123"/>
      <c r="D1313" s="123"/>
      <c r="E1313" s="123"/>
      <c r="F1313" s="123"/>
      <c r="G1313" s="123"/>
      <c r="H1313" s="123"/>
      <c r="I1313" s="123"/>
      <c r="J1313" s="123"/>
    </row>
    <row r="1314" spans="1:10">
      <c r="A1314" s="123"/>
      <c r="B1314" s="123"/>
      <c r="C1314" s="123"/>
      <c r="D1314" s="123"/>
      <c r="E1314" s="123"/>
      <c r="F1314" s="123"/>
      <c r="G1314" s="123"/>
      <c r="H1314" s="123"/>
      <c r="I1314" s="123"/>
      <c r="J1314" s="123"/>
    </row>
    <row r="1315" spans="1:10">
      <c r="A1315" s="123"/>
      <c r="B1315" s="123"/>
      <c r="C1315" s="123"/>
      <c r="D1315" s="123"/>
      <c r="E1315" s="123"/>
      <c r="F1315" s="123"/>
      <c r="G1315" s="123"/>
      <c r="H1315" s="123"/>
      <c r="I1315" s="123"/>
      <c r="J1315" s="123"/>
    </row>
    <row r="1316" spans="1:10">
      <c r="A1316" s="123"/>
      <c r="B1316" s="123"/>
      <c r="C1316" s="123"/>
      <c r="D1316" s="123"/>
      <c r="E1316" s="123"/>
      <c r="F1316" s="123"/>
      <c r="G1316" s="123"/>
      <c r="H1316" s="123"/>
      <c r="I1316" s="123"/>
      <c r="J1316" s="123"/>
    </row>
    <row r="1317" spans="1:10">
      <c r="A1317" s="123"/>
      <c r="B1317" s="123"/>
      <c r="C1317" s="123"/>
      <c r="D1317" s="123"/>
      <c r="E1317" s="123"/>
      <c r="F1317" s="123"/>
      <c r="G1317" s="123"/>
      <c r="H1317" s="123"/>
      <c r="I1317" s="123"/>
      <c r="J1317" s="123"/>
    </row>
    <row r="1318" spans="1:10">
      <c r="A1318" s="123"/>
      <c r="B1318" s="123"/>
      <c r="C1318" s="123"/>
      <c r="D1318" s="123"/>
      <c r="E1318" s="123"/>
      <c r="F1318" s="123"/>
      <c r="G1318" s="123"/>
      <c r="H1318" s="123"/>
      <c r="I1318" s="123"/>
      <c r="J1318" s="123"/>
    </row>
    <row r="1319" spans="1:10">
      <c r="A1319" s="123"/>
      <c r="B1319" s="123"/>
      <c r="C1319" s="123"/>
      <c r="D1319" s="123"/>
      <c r="E1319" s="123"/>
      <c r="F1319" s="123"/>
      <c r="G1319" s="123"/>
      <c r="H1319" s="123"/>
      <c r="I1319" s="123"/>
      <c r="J1319" s="123"/>
    </row>
    <row r="1320" spans="1:10">
      <c r="A1320" s="123"/>
      <c r="B1320" s="123"/>
      <c r="C1320" s="123"/>
      <c r="D1320" s="123"/>
      <c r="E1320" s="123"/>
      <c r="F1320" s="123"/>
      <c r="G1320" s="123"/>
      <c r="H1320" s="123"/>
      <c r="I1320" s="123"/>
      <c r="J1320" s="123"/>
    </row>
    <row r="1321" spans="1:10">
      <c r="A1321" s="123"/>
      <c r="B1321" s="123"/>
      <c r="C1321" s="123"/>
      <c r="D1321" s="123"/>
      <c r="E1321" s="123"/>
      <c r="F1321" s="123"/>
      <c r="G1321" s="123"/>
      <c r="H1321" s="123"/>
      <c r="I1321" s="123"/>
      <c r="J1321" s="123"/>
    </row>
    <row r="1322" spans="1:10">
      <c r="A1322" s="123"/>
      <c r="B1322" s="123"/>
      <c r="C1322" s="123"/>
      <c r="D1322" s="123"/>
      <c r="E1322" s="123"/>
      <c r="F1322" s="123"/>
      <c r="G1322" s="123"/>
      <c r="H1322" s="123"/>
      <c r="I1322" s="123"/>
      <c r="J1322" s="123"/>
    </row>
    <row r="1323" spans="1:10">
      <c r="A1323" s="123"/>
      <c r="B1323" s="123"/>
      <c r="C1323" s="123"/>
      <c r="D1323" s="123"/>
      <c r="E1323" s="123"/>
      <c r="F1323" s="123"/>
      <c r="G1323" s="123"/>
      <c r="H1323" s="123"/>
      <c r="I1323" s="123"/>
      <c r="J1323" s="123"/>
    </row>
    <row r="1324" spans="1:10">
      <c r="A1324" s="123"/>
      <c r="B1324" s="123"/>
      <c r="C1324" s="123"/>
      <c r="D1324" s="123"/>
      <c r="E1324" s="123"/>
      <c r="F1324" s="123"/>
      <c r="G1324" s="123"/>
      <c r="H1324" s="123"/>
      <c r="I1324" s="123"/>
      <c r="J1324" s="123"/>
    </row>
    <row r="1325" spans="1:10">
      <c r="A1325" s="123"/>
      <c r="B1325" s="123"/>
      <c r="C1325" s="123"/>
      <c r="D1325" s="123"/>
      <c r="E1325" s="123"/>
      <c r="F1325" s="123"/>
      <c r="G1325" s="123"/>
      <c r="H1325" s="123"/>
      <c r="I1325" s="123"/>
      <c r="J1325" s="123"/>
    </row>
    <row r="1326" spans="1:10">
      <c r="A1326" s="123"/>
      <c r="B1326" s="123"/>
      <c r="C1326" s="123"/>
      <c r="D1326" s="123"/>
      <c r="E1326" s="123"/>
      <c r="F1326" s="123"/>
      <c r="G1326" s="123"/>
      <c r="H1326" s="123"/>
      <c r="I1326" s="123"/>
      <c r="J1326" s="123"/>
    </row>
    <row r="1327" spans="1:10">
      <c r="A1327" s="123"/>
      <c r="B1327" s="123"/>
      <c r="C1327" s="123"/>
      <c r="D1327" s="123"/>
      <c r="E1327" s="123"/>
      <c r="F1327" s="123"/>
      <c r="G1327" s="123"/>
      <c r="H1327" s="123"/>
      <c r="I1327" s="123"/>
      <c r="J1327" s="123"/>
    </row>
    <row r="1328" spans="1:10">
      <c r="A1328" s="123"/>
      <c r="B1328" s="123"/>
      <c r="C1328" s="123"/>
      <c r="D1328" s="123"/>
      <c r="E1328" s="123"/>
      <c r="F1328" s="123"/>
      <c r="G1328" s="123"/>
      <c r="H1328" s="123"/>
      <c r="I1328" s="123"/>
      <c r="J1328" s="123"/>
    </row>
    <row r="1329" spans="1:10">
      <c r="A1329" s="123"/>
      <c r="B1329" s="123"/>
      <c r="C1329" s="123"/>
      <c r="D1329" s="123"/>
      <c r="E1329" s="123"/>
      <c r="F1329" s="123"/>
      <c r="G1329" s="123"/>
      <c r="H1329" s="123"/>
      <c r="I1329" s="123"/>
      <c r="J1329" s="123"/>
    </row>
    <row r="1330" spans="1:10">
      <c r="A1330" s="123"/>
      <c r="B1330" s="123"/>
      <c r="C1330" s="123"/>
      <c r="D1330" s="123"/>
      <c r="E1330" s="123"/>
      <c r="F1330" s="123"/>
      <c r="G1330" s="123"/>
      <c r="H1330" s="123"/>
      <c r="I1330" s="123"/>
      <c r="J1330" s="123"/>
    </row>
    <row r="1331" spans="1:10">
      <c r="A1331" s="123"/>
      <c r="B1331" s="123"/>
      <c r="C1331" s="123"/>
      <c r="D1331" s="123"/>
      <c r="E1331" s="123"/>
      <c r="F1331" s="123"/>
      <c r="G1331" s="123"/>
      <c r="H1331" s="123"/>
      <c r="I1331" s="123"/>
      <c r="J1331" s="123"/>
    </row>
    <row r="1332" spans="1:10">
      <c r="A1332" s="123"/>
      <c r="B1332" s="123"/>
      <c r="C1332" s="123"/>
      <c r="D1332" s="123"/>
      <c r="E1332" s="123"/>
      <c r="F1332" s="123"/>
      <c r="G1332" s="123"/>
      <c r="H1332" s="123"/>
      <c r="I1332" s="123"/>
      <c r="J1332" s="123"/>
    </row>
    <row r="1333" spans="1:10">
      <c r="A1333" s="123"/>
      <c r="B1333" s="123"/>
      <c r="C1333" s="123"/>
      <c r="D1333" s="123"/>
      <c r="E1333" s="123"/>
      <c r="F1333" s="123"/>
      <c r="G1333" s="123"/>
      <c r="H1333" s="123"/>
      <c r="I1333" s="123"/>
      <c r="J1333" s="123"/>
    </row>
    <row r="1334" spans="1:10">
      <c r="A1334" s="123"/>
      <c r="B1334" s="123"/>
      <c r="C1334" s="123"/>
      <c r="D1334" s="123"/>
      <c r="E1334" s="123"/>
      <c r="F1334" s="123"/>
      <c r="G1334" s="123"/>
      <c r="H1334" s="123"/>
      <c r="I1334" s="123"/>
      <c r="J1334" s="123"/>
    </row>
    <row r="1335" spans="1:10">
      <c r="A1335" s="123"/>
      <c r="B1335" s="123"/>
      <c r="C1335" s="123"/>
      <c r="D1335" s="123"/>
      <c r="E1335" s="123"/>
      <c r="F1335" s="123"/>
      <c r="G1335" s="123"/>
      <c r="H1335" s="123"/>
      <c r="I1335" s="123"/>
      <c r="J1335" s="123"/>
    </row>
    <row r="1336" spans="1:10">
      <c r="A1336" s="123"/>
      <c r="B1336" s="123"/>
      <c r="C1336" s="123"/>
      <c r="D1336" s="123"/>
      <c r="E1336" s="123"/>
      <c r="F1336" s="123"/>
      <c r="G1336" s="123"/>
      <c r="H1336" s="123"/>
      <c r="I1336" s="123"/>
      <c r="J1336" s="123"/>
    </row>
    <row r="1337" spans="1:10">
      <c r="A1337" s="123"/>
      <c r="B1337" s="123"/>
      <c r="C1337" s="123"/>
      <c r="D1337" s="123"/>
      <c r="E1337" s="123"/>
      <c r="F1337" s="123"/>
      <c r="G1337" s="123"/>
      <c r="H1337" s="123"/>
      <c r="I1337" s="123"/>
      <c r="J1337" s="123"/>
    </row>
    <row r="1338" spans="1:10">
      <c r="A1338" s="123"/>
      <c r="B1338" s="123"/>
      <c r="C1338" s="123"/>
      <c r="D1338" s="123"/>
      <c r="E1338" s="123"/>
      <c r="F1338" s="123"/>
      <c r="G1338" s="123"/>
      <c r="H1338" s="123"/>
      <c r="I1338" s="123"/>
      <c r="J1338" s="123"/>
    </row>
    <row r="1339" spans="1:10">
      <c r="A1339" s="123"/>
      <c r="B1339" s="123"/>
      <c r="C1339" s="123"/>
      <c r="D1339" s="123"/>
      <c r="E1339" s="123"/>
      <c r="F1339" s="123"/>
      <c r="G1339" s="123"/>
      <c r="H1339" s="123"/>
      <c r="I1339" s="123"/>
      <c r="J1339" s="123"/>
    </row>
    <row r="1340" spans="1:10">
      <c r="A1340" s="123"/>
      <c r="B1340" s="123"/>
      <c r="C1340" s="123"/>
      <c r="D1340" s="123"/>
      <c r="E1340" s="123"/>
      <c r="F1340" s="123"/>
      <c r="G1340" s="123"/>
      <c r="H1340" s="123"/>
      <c r="I1340" s="123"/>
      <c r="J1340" s="123"/>
    </row>
    <row r="1341" spans="1:10">
      <c r="A1341" s="123"/>
      <c r="B1341" s="123"/>
      <c r="C1341" s="123"/>
      <c r="D1341" s="123"/>
      <c r="E1341" s="123"/>
      <c r="F1341" s="123"/>
      <c r="G1341" s="123"/>
      <c r="H1341" s="123"/>
      <c r="I1341" s="123"/>
      <c r="J1341" s="123"/>
    </row>
    <row r="1342" spans="1:10">
      <c r="A1342" s="123"/>
      <c r="B1342" s="123"/>
      <c r="C1342" s="123"/>
      <c r="D1342" s="123"/>
      <c r="E1342" s="123"/>
      <c r="F1342" s="123"/>
      <c r="G1342" s="123"/>
      <c r="H1342" s="123"/>
      <c r="I1342" s="123"/>
      <c r="J1342" s="123"/>
    </row>
    <row r="1343" spans="1:10">
      <c r="A1343" s="123"/>
      <c r="B1343" s="123"/>
      <c r="C1343" s="123"/>
      <c r="D1343" s="123"/>
      <c r="E1343" s="123"/>
      <c r="F1343" s="123"/>
      <c r="G1343" s="123"/>
      <c r="H1343" s="123"/>
      <c r="I1343" s="123"/>
      <c r="J1343" s="123"/>
    </row>
    <row r="1344" spans="1:10">
      <c r="A1344" s="123"/>
      <c r="B1344" s="123"/>
      <c r="C1344" s="123"/>
      <c r="D1344" s="123"/>
      <c r="E1344" s="123"/>
      <c r="F1344" s="123"/>
      <c r="G1344" s="123"/>
      <c r="H1344" s="123"/>
      <c r="I1344" s="123"/>
      <c r="J1344" s="123"/>
    </row>
    <row r="1345" spans="1:10">
      <c r="A1345" s="123"/>
      <c r="B1345" s="123"/>
      <c r="C1345" s="123"/>
      <c r="D1345" s="123"/>
      <c r="E1345" s="123"/>
      <c r="F1345" s="123"/>
      <c r="G1345" s="123"/>
      <c r="H1345" s="123"/>
      <c r="I1345" s="123"/>
      <c r="J1345" s="123"/>
    </row>
    <row r="1346" spans="1:10">
      <c r="A1346" s="123"/>
      <c r="B1346" s="123"/>
      <c r="C1346" s="123"/>
      <c r="D1346" s="123"/>
      <c r="E1346" s="123"/>
      <c r="F1346" s="123"/>
      <c r="G1346" s="123"/>
      <c r="H1346" s="123"/>
      <c r="I1346" s="123"/>
      <c r="J1346" s="123"/>
    </row>
    <row r="1347" spans="1:10">
      <c r="A1347" s="123"/>
      <c r="B1347" s="123"/>
      <c r="C1347" s="123"/>
      <c r="D1347" s="123"/>
      <c r="E1347" s="123"/>
      <c r="F1347" s="123"/>
      <c r="G1347" s="123"/>
      <c r="H1347" s="123"/>
      <c r="I1347" s="123"/>
      <c r="J1347" s="123"/>
    </row>
    <row r="1348" spans="1:10">
      <c r="A1348" s="123"/>
      <c r="B1348" s="123"/>
      <c r="C1348" s="123"/>
      <c r="D1348" s="123"/>
      <c r="E1348" s="123"/>
      <c r="F1348" s="123"/>
      <c r="G1348" s="123"/>
      <c r="H1348" s="123"/>
      <c r="I1348" s="123"/>
      <c r="J1348" s="123"/>
    </row>
    <row r="1349" spans="1:10">
      <c r="A1349" s="123"/>
      <c r="B1349" s="123"/>
      <c r="C1349" s="123"/>
      <c r="D1349" s="123"/>
      <c r="E1349" s="123"/>
      <c r="F1349" s="123"/>
      <c r="G1349" s="123"/>
      <c r="H1349" s="123"/>
      <c r="I1349" s="123"/>
      <c r="J1349" s="123"/>
    </row>
    <row r="1350" spans="1:10">
      <c r="A1350" s="123"/>
      <c r="B1350" s="123"/>
      <c r="C1350" s="123"/>
      <c r="D1350" s="123"/>
      <c r="E1350" s="123"/>
      <c r="F1350" s="123"/>
      <c r="G1350" s="123"/>
      <c r="H1350" s="123"/>
      <c r="I1350" s="123"/>
      <c r="J1350" s="123"/>
    </row>
    <row r="1351" spans="1:10">
      <c r="A1351" s="123"/>
      <c r="B1351" s="123"/>
      <c r="C1351" s="123"/>
      <c r="D1351" s="123"/>
      <c r="E1351" s="123"/>
      <c r="F1351" s="123"/>
      <c r="G1351" s="123"/>
      <c r="H1351" s="123"/>
      <c r="I1351" s="123"/>
      <c r="J1351" s="123"/>
    </row>
    <row r="1352" spans="1:10">
      <c r="A1352" s="123"/>
      <c r="B1352" s="123"/>
      <c r="C1352" s="123"/>
      <c r="D1352" s="123"/>
      <c r="E1352" s="123"/>
      <c r="F1352" s="123"/>
      <c r="G1352" s="123"/>
      <c r="H1352" s="123"/>
      <c r="I1352" s="123"/>
      <c r="J1352" s="123"/>
    </row>
    <row r="1353" spans="1:10">
      <c r="A1353" s="123"/>
      <c r="B1353" s="123"/>
      <c r="C1353" s="123"/>
      <c r="D1353" s="123"/>
      <c r="E1353" s="123"/>
      <c r="F1353" s="123"/>
      <c r="G1353" s="123"/>
      <c r="H1353" s="123"/>
      <c r="I1353" s="123"/>
      <c r="J1353" s="123"/>
    </row>
    <row r="1354" spans="1:10">
      <c r="A1354" s="123"/>
      <c r="B1354" s="123"/>
      <c r="C1354" s="123"/>
      <c r="D1354" s="123"/>
      <c r="E1354" s="123"/>
      <c r="F1354" s="123"/>
      <c r="G1354" s="123"/>
      <c r="H1354" s="123"/>
      <c r="I1354" s="123"/>
      <c r="J1354" s="123"/>
    </row>
    <row r="1355" spans="1:10">
      <c r="A1355" s="123"/>
      <c r="B1355" s="123"/>
      <c r="C1355" s="123"/>
      <c r="D1355" s="123"/>
      <c r="E1355" s="123"/>
      <c r="F1355" s="123"/>
      <c r="G1355" s="123"/>
      <c r="H1355" s="123"/>
      <c r="I1355" s="123"/>
      <c r="J1355" s="123"/>
    </row>
    <row r="1356" spans="1:10">
      <c r="A1356" s="123"/>
      <c r="B1356" s="123"/>
      <c r="C1356" s="123"/>
      <c r="D1356" s="123"/>
      <c r="E1356" s="123"/>
      <c r="F1356" s="123"/>
      <c r="G1356" s="123"/>
      <c r="H1356" s="123"/>
      <c r="I1356" s="123"/>
      <c r="J1356" s="123"/>
    </row>
    <row r="1357" spans="1:10">
      <c r="A1357" s="123"/>
      <c r="B1357" s="123"/>
      <c r="C1357" s="123"/>
      <c r="D1357" s="123"/>
      <c r="E1357" s="123"/>
      <c r="F1357" s="123"/>
      <c r="G1357" s="123"/>
      <c r="H1357" s="123"/>
      <c r="I1357" s="123"/>
      <c r="J1357" s="123"/>
    </row>
    <row r="1358" spans="1:10">
      <c r="A1358" s="123"/>
      <c r="B1358" s="123"/>
      <c r="C1358" s="123"/>
      <c r="D1358" s="123"/>
      <c r="E1358" s="123"/>
      <c r="F1358" s="123"/>
      <c r="G1358" s="123"/>
      <c r="H1358" s="123"/>
      <c r="I1358" s="123"/>
      <c r="J1358" s="123"/>
    </row>
    <row r="1359" spans="1:10">
      <c r="A1359" s="123"/>
      <c r="B1359" s="123"/>
      <c r="C1359" s="123"/>
      <c r="D1359" s="123"/>
      <c r="E1359" s="123"/>
      <c r="F1359" s="123"/>
      <c r="G1359" s="123"/>
      <c r="H1359" s="123"/>
      <c r="I1359" s="123"/>
      <c r="J1359" s="123"/>
    </row>
    <row r="1360" spans="1:10">
      <c r="A1360" s="123"/>
      <c r="B1360" s="123"/>
      <c r="C1360" s="123"/>
      <c r="D1360" s="123"/>
      <c r="E1360" s="123"/>
      <c r="F1360" s="123"/>
      <c r="G1360" s="123"/>
      <c r="H1360" s="123"/>
      <c r="I1360" s="123"/>
      <c r="J1360" s="123"/>
    </row>
    <row r="1361" spans="1:10">
      <c r="A1361" s="123"/>
      <c r="B1361" s="123"/>
      <c r="C1361" s="123"/>
      <c r="D1361" s="123"/>
      <c r="E1361" s="123"/>
      <c r="F1361" s="123"/>
      <c r="G1361" s="123"/>
      <c r="H1361" s="123"/>
      <c r="I1361" s="123"/>
      <c r="J1361" s="123"/>
    </row>
    <row r="1362" spans="1:10">
      <c r="A1362" s="123"/>
      <c r="B1362" s="123"/>
      <c r="C1362" s="123"/>
      <c r="D1362" s="123"/>
      <c r="E1362" s="123"/>
      <c r="F1362" s="123"/>
      <c r="G1362" s="123"/>
      <c r="H1362" s="123"/>
      <c r="I1362" s="123"/>
      <c r="J1362" s="123"/>
    </row>
    <row r="1363" spans="1:10">
      <c r="A1363" s="123"/>
      <c r="B1363" s="123"/>
      <c r="C1363" s="123"/>
      <c r="D1363" s="123"/>
      <c r="E1363" s="123"/>
      <c r="F1363" s="123"/>
      <c r="G1363" s="123"/>
      <c r="H1363" s="123"/>
      <c r="I1363" s="123"/>
      <c r="J1363" s="123"/>
    </row>
    <row r="1364" spans="1:10">
      <c r="A1364" s="123"/>
      <c r="B1364" s="123"/>
      <c r="C1364" s="123"/>
      <c r="D1364" s="123"/>
      <c r="E1364" s="123"/>
      <c r="F1364" s="123"/>
      <c r="G1364" s="123"/>
      <c r="H1364" s="123"/>
      <c r="I1364" s="123"/>
      <c r="J1364" s="123"/>
    </row>
    <row r="1365" spans="1:10">
      <c r="A1365" s="123"/>
      <c r="B1365" s="123"/>
      <c r="C1365" s="123"/>
      <c r="D1365" s="123"/>
      <c r="E1365" s="123"/>
      <c r="F1365" s="123"/>
      <c r="G1365" s="123"/>
      <c r="H1365" s="123"/>
      <c r="I1365" s="123"/>
      <c r="J1365" s="123"/>
    </row>
    <row r="1366" spans="1:10">
      <c r="A1366" s="123"/>
      <c r="B1366" s="123"/>
      <c r="C1366" s="123"/>
      <c r="D1366" s="123"/>
      <c r="E1366" s="123"/>
      <c r="F1366" s="123"/>
      <c r="G1366" s="123"/>
      <c r="H1366" s="123"/>
      <c r="I1366" s="123"/>
      <c r="J1366" s="123"/>
    </row>
    <row r="1367" spans="1:10">
      <c r="A1367" s="123"/>
      <c r="B1367" s="123"/>
      <c r="C1367" s="123"/>
      <c r="D1367" s="123"/>
      <c r="E1367" s="123"/>
      <c r="F1367" s="123"/>
      <c r="G1367" s="123"/>
      <c r="H1367" s="123"/>
      <c r="I1367" s="123"/>
      <c r="J1367" s="123"/>
    </row>
    <row r="1368" spans="1:10">
      <c r="A1368" s="123"/>
      <c r="B1368" s="123"/>
      <c r="C1368" s="123"/>
      <c r="D1368" s="123"/>
      <c r="E1368" s="123"/>
      <c r="F1368" s="123"/>
      <c r="G1368" s="123"/>
      <c r="H1368" s="123"/>
      <c r="I1368" s="123"/>
      <c r="J1368" s="123"/>
    </row>
    <row r="1369" spans="1:10">
      <c r="A1369" s="123"/>
      <c r="B1369" s="123"/>
      <c r="C1369" s="123"/>
      <c r="D1369" s="123"/>
      <c r="E1369" s="123"/>
      <c r="F1369" s="123"/>
      <c r="G1369" s="123"/>
      <c r="H1369" s="123"/>
      <c r="I1369" s="123"/>
      <c r="J1369" s="123"/>
    </row>
    <row r="1370" spans="1:10">
      <c r="A1370" s="123"/>
      <c r="B1370" s="123"/>
      <c r="C1370" s="123"/>
      <c r="D1370" s="123"/>
      <c r="E1370" s="123"/>
      <c r="F1370" s="123"/>
      <c r="G1370" s="123"/>
      <c r="H1370" s="123"/>
      <c r="I1370" s="123"/>
      <c r="J1370" s="123"/>
    </row>
    <row r="1371" spans="1:10">
      <c r="A1371" s="123"/>
      <c r="B1371" s="123"/>
      <c r="C1371" s="123"/>
      <c r="D1371" s="123"/>
      <c r="E1371" s="123"/>
      <c r="F1371" s="123"/>
      <c r="G1371" s="123"/>
      <c r="H1371" s="123"/>
      <c r="I1371" s="123"/>
      <c r="J1371" s="123"/>
    </row>
    <row r="1372" spans="1:10">
      <c r="A1372" s="123"/>
      <c r="B1372" s="123"/>
      <c r="C1372" s="123"/>
      <c r="D1372" s="123"/>
      <c r="E1372" s="123"/>
      <c r="F1372" s="123"/>
      <c r="G1372" s="123"/>
      <c r="H1372" s="123"/>
      <c r="I1372" s="123"/>
      <c r="J1372" s="123"/>
    </row>
    <row r="1373" spans="1:10">
      <c r="A1373" s="123"/>
      <c r="B1373" s="123"/>
      <c r="C1373" s="123"/>
      <c r="D1373" s="123"/>
      <c r="E1373" s="123"/>
      <c r="F1373" s="123"/>
      <c r="G1373" s="123"/>
      <c r="H1373" s="123"/>
      <c r="I1373" s="123"/>
      <c r="J1373" s="123"/>
    </row>
    <row r="1374" spans="1:10">
      <c r="A1374" s="123"/>
      <c r="B1374" s="123"/>
      <c r="C1374" s="123"/>
      <c r="D1374" s="123"/>
      <c r="E1374" s="123"/>
      <c r="F1374" s="123"/>
      <c r="G1374" s="123"/>
      <c r="H1374" s="123"/>
      <c r="I1374" s="123"/>
      <c r="J1374" s="123"/>
    </row>
    <row r="1375" spans="1:10">
      <c r="A1375" s="123"/>
      <c r="B1375" s="123"/>
      <c r="C1375" s="123"/>
      <c r="D1375" s="123"/>
      <c r="E1375" s="123"/>
      <c r="F1375" s="123"/>
      <c r="G1375" s="123"/>
      <c r="H1375" s="123"/>
      <c r="I1375" s="123"/>
      <c r="J1375" s="123"/>
    </row>
    <row r="1376" spans="1:10">
      <c r="A1376" s="123"/>
      <c r="B1376" s="123"/>
      <c r="C1376" s="123"/>
      <c r="D1376" s="123"/>
      <c r="E1376" s="123"/>
      <c r="F1376" s="123"/>
      <c r="G1376" s="123"/>
      <c r="H1376" s="123"/>
      <c r="I1376" s="123"/>
      <c r="J1376" s="123"/>
    </row>
    <row r="1377" spans="1:10">
      <c r="A1377" s="123"/>
      <c r="B1377" s="123"/>
      <c r="C1377" s="123"/>
      <c r="D1377" s="123"/>
      <c r="E1377" s="123"/>
      <c r="F1377" s="123"/>
      <c r="G1377" s="123"/>
      <c r="H1377" s="123"/>
      <c r="I1377" s="123"/>
      <c r="J1377" s="123"/>
    </row>
    <row r="1378" spans="1:10">
      <c r="A1378" s="123"/>
      <c r="B1378" s="123"/>
      <c r="C1378" s="123"/>
      <c r="D1378" s="123"/>
      <c r="E1378" s="123"/>
      <c r="F1378" s="123"/>
      <c r="G1378" s="123"/>
      <c r="H1378" s="123"/>
      <c r="I1378" s="123"/>
      <c r="J1378" s="123"/>
    </row>
    <row r="1379" spans="1:10">
      <c r="A1379" s="123"/>
      <c r="B1379" s="123"/>
      <c r="C1379" s="123"/>
      <c r="D1379" s="123"/>
      <c r="E1379" s="123"/>
      <c r="F1379" s="123"/>
      <c r="G1379" s="123"/>
      <c r="H1379" s="123"/>
      <c r="I1379" s="123"/>
      <c r="J1379" s="123"/>
    </row>
    <row r="1380" spans="1:10">
      <c r="A1380" s="123"/>
      <c r="B1380" s="123"/>
      <c r="C1380" s="123"/>
      <c r="D1380" s="123"/>
      <c r="E1380" s="123"/>
      <c r="F1380" s="123"/>
      <c r="G1380" s="123"/>
      <c r="H1380" s="123"/>
      <c r="I1380" s="123"/>
      <c r="J1380" s="123"/>
    </row>
    <row r="1381" spans="1:10">
      <c r="A1381" s="123"/>
      <c r="B1381" s="123"/>
      <c r="C1381" s="123"/>
      <c r="D1381" s="123"/>
      <c r="E1381" s="123"/>
      <c r="F1381" s="123"/>
      <c r="G1381" s="123"/>
      <c r="H1381" s="123"/>
      <c r="I1381" s="123"/>
      <c r="J1381" s="123"/>
    </row>
    <row r="1382" spans="1:10">
      <c r="A1382" s="123"/>
      <c r="B1382" s="123"/>
      <c r="C1382" s="123"/>
      <c r="D1382" s="123"/>
      <c r="E1382" s="123"/>
      <c r="F1382" s="123"/>
      <c r="G1382" s="123"/>
      <c r="H1382" s="123"/>
      <c r="I1382" s="123"/>
      <c r="J1382" s="123"/>
    </row>
    <row r="1383" spans="1:10">
      <c r="A1383" s="123"/>
      <c r="B1383" s="123"/>
      <c r="C1383" s="123"/>
      <c r="D1383" s="123"/>
      <c r="E1383" s="123"/>
      <c r="F1383" s="123"/>
      <c r="G1383" s="123"/>
      <c r="H1383" s="123"/>
      <c r="I1383" s="123"/>
      <c r="J1383" s="123"/>
    </row>
    <row r="1384" spans="1:10">
      <c r="A1384" s="123"/>
      <c r="B1384" s="123"/>
      <c r="C1384" s="123"/>
      <c r="D1384" s="123"/>
      <c r="E1384" s="123"/>
      <c r="F1384" s="123"/>
      <c r="G1384" s="123"/>
      <c r="H1384" s="123"/>
      <c r="I1384" s="123"/>
      <c r="J1384" s="123"/>
    </row>
    <row r="1385" spans="1:10">
      <c r="A1385" s="123"/>
      <c r="B1385" s="123"/>
      <c r="C1385" s="123"/>
      <c r="D1385" s="123"/>
      <c r="E1385" s="123"/>
      <c r="F1385" s="123"/>
      <c r="G1385" s="123"/>
      <c r="H1385" s="123"/>
      <c r="I1385" s="123"/>
      <c r="J1385" s="123"/>
    </row>
    <row r="1386" spans="1:10">
      <c r="A1386" s="123"/>
      <c r="B1386" s="123"/>
      <c r="C1386" s="123"/>
      <c r="D1386" s="123"/>
      <c r="E1386" s="123"/>
      <c r="F1386" s="123"/>
      <c r="G1386" s="123"/>
      <c r="H1386" s="123"/>
      <c r="I1386" s="123"/>
      <c r="J1386" s="123"/>
    </row>
    <row r="1387" spans="1:10">
      <c r="A1387" s="123"/>
      <c r="B1387" s="123"/>
      <c r="C1387" s="123"/>
      <c r="D1387" s="123"/>
      <c r="E1387" s="123"/>
      <c r="F1387" s="123"/>
      <c r="G1387" s="123"/>
      <c r="H1387" s="123"/>
      <c r="I1387" s="123"/>
      <c r="J1387" s="123"/>
    </row>
    <row r="1388" spans="1:10">
      <c r="A1388" s="123"/>
      <c r="B1388" s="123"/>
      <c r="C1388" s="123"/>
      <c r="D1388" s="123"/>
      <c r="E1388" s="123"/>
      <c r="F1388" s="123"/>
      <c r="G1388" s="123"/>
      <c r="H1388" s="123"/>
      <c r="I1388" s="123"/>
      <c r="J1388" s="123"/>
    </row>
    <row r="1389" spans="1:10">
      <c r="A1389" s="123"/>
      <c r="B1389" s="123"/>
      <c r="C1389" s="123"/>
      <c r="D1389" s="123"/>
      <c r="E1389" s="123"/>
      <c r="F1389" s="123"/>
      <c r="G1389" s="123"/>
      <c r="H1389" s="123"/>
      <c r="I1389" s="123"/>
      <c r="J1389" s="123"/>
    </row>
    <row r="1390" spans="1:10">
      <c r="A1390" s="123"/>
      <c r="B1390" s="123"/>
      <c r="C1390" s="123"/>
      <c r="D1390" s="123"/>
      <c r="E1390" s="123"/>
      <c r="F1390" s="123"/>
      <c r="G1390" s="123"/>
      <c r="H1390" s="123"/>
      <c r="I1390" s="123"/>
      <c r="J1390" s="123"/>
    </row>
    <row r="1391" spans="1:10">
      <c r="A1391" s="123"/>
      <c r="B1391" s="123"/>
      <c r="C1391" s="123"/>
      <c r="D1391" s="123"/>
      <c r="E1391" s="123"/>
      <c r="F1391" s="123"/>
      <c r="G1391" s="123"/>
      <c r="H1391" s="123"/>
      <c r="I1391" s="123"/>
      <c r="J1391" s="123"/>
    </row>
    <row r="1392" spans="1:10">
      <c r="A1392" s="123"/>
      <c r="B1392" s="123"/>
      <c r="C1392" s="123"/>
      <c r="D1392" s="123"/>
      <c r="E1392" s="123"/>
      <c r="F1392" s="123"/>
      <c r="G1392" s="123"/>
      <c r="H1392" s="123"/>
      <c r="I1392" s="123"/>
      <c r="J1392" s="123"/>
    </row>
    <row r="1393" spans="1:10">
      <c r="A1393" s="123"/>
      <c r="B1393" s="123"/>
      <c r="C1393" s="123"/>
      <c r="D1393" s="123"/>
      <c r="E1393" s="123"/>
      <c r="F1393" s="123"/>
      <c r="G1393" s="123"/>
      <c r="H1393" s="123"/>
      <c r="I1393" s="123"/>
      <c r="J1393" s="123"/>
    </row>
    <row r="1394" spans="1:10">
      <c r="A1394" s="123"/>
      <c r="B1394" s="123"/>
      <c r="C1394" s="123"/>
      <c r="D1394" s="123"/>
      <c r="E1394" s="123"/>
      <c r="F1394" s="123"/>
      <c r="G1394" s="123"/>
      <c r="H1394" s="123"/>
      <c r="I1394" s="123"/>
      <c r="J1394" s="123"/>
    </row>
    <row r="1395" spans="1:10">
      <c r="A1395" s="123"/>
      <c r="B1395" s="123"/>
      <c r="C1395" s="123"/>
      <c r="D1395" s="123"/>
      <c r="E1395" s="123"/>
      <c r="F1395" s="123"/>
      <c r="G1395" s="123"/>
      <c r="H1395" s="123"/>
      <c r="I1395" s="123"/>
      <c r="J1395" s="123"/>
    </row>
    <row r="1396" spans="1:10">
      <c r="A1396" s="123"/>
      <c r="B1396" s="123"/>
      <c r="C1396" s="123"/>
      <c r="D1396" s="123"/>
      <c r="E1396" s="123"/>
      <c r="F1396" s="123"/>
      <c r="G1396" s="123"/>
      <c r="H1396" s="123"/>
      <c r="I1396" s="123"/>
      <c r="J1396" s="123"/>
    </row>
    <row r="1397" spans="1:10">
      <c r="A1397" s="123"/>
      <c r="B1397" s="123"/>
      <c r="C1397" s="123"/>
      <c r="D1397" s="123"/>
      <c r="E1397" s="123"/>
      <c r="F1397" s="123"/>
      <c r="G1397" s="123"/>
      <c r="H1397" s="123"/>
      <c r="I1397" s="123"/>
      <c r="J1397" s="123"/>
    </row>
    <row r="1398" spans="1:10">
      <c r="A1398" s="123"/>
      <c r="B1398" s="123"/>
      <c r="C1398" s="123"/>
      <c r="D1398" s="123"/>
      <c r="E1398" s="123"/>
      <c r="F1398" s="123"/>
      <c r="G1398" s="123"/>
      <c r="H1398" s="123"/>
      <c r="I1398" s="123"/>
      <c r="J1398" s="123"/>
    </row>
    <row r="1399" spans="1:10">
      <c r="A1399" s="123"/>
      <c r="B1399" s="123"/>
      <c r="C1399" s="123"/>
      <c r="D1399" s="123"/>
      <c r="E1399" s="123"/>
      <c r="F1399" s="123"/>
      <c r="G1399" s="123"/>
      <c r="H1399" s="123"/>
      <c r="I1399" s="123"/>
      <c r="J1399" s="123"/>
    </row>
    <row r="1400" spans="1:10">
      <c r="A1400" s="123"/>
      <c r="B1400" s="123"/>
      <c r="C1400" s="123"/>
      <c r="D1400" s="123"/>
      <c r="E1400" s="123"/>
      <c r="F1400" s="123"/>
      <c r="G1400" s="123"/>
      <c r="H1400" s="123"/>
      <c r="I1400" s="123"/>
      <c r="J1400" s="123"/>
    </row>
    <row r="1401" spans="1:10">
      <c r="A1401" s="123"/>
      <c r="B1401" s="123"/>
      <c r="C1401" s="123"/>
      <c r="D1401" s="123"/>
      <c r="E1401" s="123"/>
      <c r="F1401" s="123"/>
      <c r="G1401" s="123"/>
      <c r="H1401" s="123"/>
      <c r="I1401" s="123"/>
      <c r="J1401" s="123"/>
    </row>
  </sheetData>
  <mergeCells count="21">
    <mergeCell ref="D43:E43"/>
    <mergeCell ref="A48:D48"/>
    <mergeCell ref="F48:I48"/>
    <mergeCell ref="A49:D49"/>
    <mergeCell ref="F49:I49"/>
    <mergeCell ref="D38:I38"/>
    <mergeCell ref="D39:E39"/>
    <mergeCell ref="D40:E40"/>
    <mergeCell ref="D41:E41"/>
    <mergeCell ref="D42:E42"/>
    <mergeCell ref="A9:G9"/>
    <mergeCell ref="D26:E26"/>
    <mergeCell ref="D35:J35"/>
    <mergeCell ref="D36:J36"/>
    <mergeCell ref="D37:I37"/>
    <mergeCell ref="A1:J1"/>
    <mergeCell ref="A2:I2"/>
    <mergeCell ref="A3:I3"/>
    <mergeCell ref="A4:I4"/>
    <mergeCell ref="A7:F7"/>
    <mergeCell ref="I7:J7"/>
  </mergeCells>
  <hyperlinks>
    <hyperlink ref="A3" r:id="rId1"/>
  </hyperlinks>
  <printOptions horizontalCentered="1"/>
  <pageMargins left="0.2" right="0.2" top="0" bottom="0" header="0" footer="0"/>
  <pageSetup paperSize="9" scale="50" orientation="portrait" r:id="rId2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34998626667073579"/>
    <pageSetUpPr fitToPage="1"/>
  </sheetPr>
  <dimension ref="A1:T77"/>
  <sheetViews>
    <sheetView showGridLines="0" topLeftCell="A49" zoomScale="90" zoomScaleNormal="90" workbookViewId="0">
      <selection activeCell="C71" sqref="C71"/>
    </sheetView>
  </sheetViews>
  <sheetFormatPr defaultColWidth="9" defaultRowHeight="18.75"/>
  <cols>
    <col min="1" max="1" width="5" style="6" customWidth="1"/>
    <col min="2" max="2" width="22.5703125" style="6" customWidth="1"/>
    <col min="3" max="3" width="16" style="6" customWidth="1"/>
    <col min="4" max="4" width="18.42578125" style="6" customWidth="1"/>
    <col min="5" max="5" width="6.140625" style="6" customWidth="1"/>
    <col min="6" max="6" width="18.42578125" style="6" customWidth="1"/>
    <col min="7" max="7" width="11.42578125" style="7" customWidth="1"/>
    <col min="8" max="8" width="13.140625" style="8" customWidth="1"/>
    <col min="9" max="9" width="12.42578125" style="9" customWidth="1"/>
    <col min="10" max="10" width="10.85546875" style="9" customWidth="1"/>
    <col min="11" max="13" width="9" style="10"/>
    <col min="14" max="16" width="9.28515625" style="10" customWidth="1"/>
    <col min="17" max="16384" width="9" style="10"/>
  </cols>
  <sheetData>
    <row r="1" spans="1:12" s="1" customFormat="1" ht="20.25" customHeight="1">
      <c r="A1" s="11"/>
      <c r="B1" s="11"/>
      <c r="C1" s="12"/>
      <c r="D1" s="12"/>
      <c r="E1" s="12"/>
      <c r="F1" s="12"/>
      <c r="G1" s="13"/>
      <c r="H1" s="14"/>
      <c r="I1" s="597" t="s">
        <v>168</v>
      </c>
      <c r="J1" s="597"/>
    </row>
    <row r="2" spans="1:12" s="1" customFormat="1" ht="15.75" customHeight="1">
      <c r="A2" s="11"/>
      <c r="B2" s="11"/>
      <c r="C2" s="15"/>
      <c r="D2" s="601" t="s">
        <v>169</v>
      </c>
      <c r="E2" s="601"/>
      <c r="F2" s="601"/>
      <c r="G2" s="601"/>
      <c r="H2" s="16"/>
      <c r="I2" s="40" t="s">
        <v>170</v>
      </c>
      <c r="J2" s="41"/>
    </row>
    <row r="3" spans="1:12" s="1" customFormat="1" ht="31.5" customHeight="1">
      <c r="A3" s="598" t="s">
        <v>171</v>
      </c>
      <c r="B3" s="598"/>
      <c r="C3" s="598"/>
      <c r="D3" s="601"/>
      <c r="E3" s="601"/>
      <c r="F3" s="601"/>
      <c r="G3" s="601"/>
      <c r="H3" s="16"/>
      <c r="I3" s="40" t="s">
        <v>172</v>
      </c>
      <c r="J3" s="41"/>
    </row>
    <row r="4" spans="1:12" s="1" customFormat="1" ht="23.25" customHeight="1">
      <c r="A4" s="17"/>
      <c r="B4" s="17"/>
      <c r="C4" s="599">
        <f ca="1">NOW()</f>
        <v>46123.426117708332</v>
      </c>
      <c r="D4" s="599"/>
      <c r="E4" s="599"/>
      <c r="F4" s="599"/>
      <c r="G4" s="599"/>
      <c r="H4" s="599"/>
      <c r="I4" s="42" t="s">
        <v>173</v>
      </c>
    </row>
    <row r="5" spans="1:12" ht="24" customHeight="1">
      <c r="A5" s="17"/>
      <c r="B5" s="17"/>
      <c r="C5" s="599" t="s">
        <v>174</v>
      </c>
      <c r="D5" s="599"/>
      <c r="E5" s="599"/>
      <c r="F5" s="599"/>
      <c r="G5" s="599"/>
      <c r="H5" s="599"/>
      <c r="I5" s="42" t="s">
        <v>175</v>
      </c>
      <c r="L5" s="2"/>
    </row>
    <row r="6" spans="1:12" ht="31.5" customHeight="1">
      <c r="A6" s="6" t="s">
        <v>176</v>
      </c>
      <c r="C6" s="18"/>
      <c r="D6" s="18"/>
      <c r="E6" s="18"/>
      <c r="H6" s="19" t="s">
        <v>177</v>
      </c>
      <c r="I6" s="600"/>
      <c r="J6" s="600"/>
      <c r="K6" s="43"/>
    </row>
    <row r="7" spans="1:12" ht="31.5" customHeight="1">
      <c r="A7" s="6" t="s">
        <v>178</v>
      </c>
      <c r="H7" s="602" t="s">
        <v>179</v>
      </c>
      <c r="I7" s="602"/>
      <c r="J7" s="18"/>
      <c r="K7" s="44"/>
    </row>
    <row r="8" spans="1:12" ht="31.5" customHeight="1">
      <c r="A8" s="6" t="s">
        <v>180</v>
      </c>
      <c r="C8" s="20"/>
      <c r="D8" s="20"/>
      <c r="E8" s="20"/>
      <c r="F8" s="18"/>
      <c r="G8" s="18"/>
      <c r="H8" s="21"/>
      <c r="I8" s="10"/>
      <c r="J8" s="10"/>
    </row>
    <row r="9" spans="1:12" ht="31.5" customHeight="1">
      <c r="A9" s="6" t="s">
        <v>181</v>
      </c>
      <c r="C9" s="603" t="s">
        <v>182</v>
      </c>
      <c r="D9" s="603"/>
      <c r="E9" s="603"/>
      <c r="F9" s="603"/>
      <c r="G9" s="603"/>
      <c r="H9" s="603"/>
      <c r="I9" s="603"/>
      <c r="J9" s="603"/>
      <c r="K9" s="603"/>
      <c r="L9" s="603"/>
    </row>
    <row r="10" spans="1:12" ht="31.5" customHeight="1">
      <c r="A10" s="6" t="s">
        <v>183</v>
      </c>
      <c r="C10" s="10" t="s">
        <v>184</v>
      </c>
      <c r="D10" s="10"/>
      <c r="E10" s="10"/>
      <c r="J10" s="9" t="s">
        <v>185</v>
      </c>
    </row>
    <row r="11" spans="1:12" ht="31.5" customHeight="1">
      <c r="A11" s="6" t="s">
        <v>186</v>
      </c>
      <c r="C11" s="22"/>
      <c r="D11" s="22"/>
      <c r="E11" s="22"/>
      <c r="F11" s="22"/>
      <c r="G11" s="22"/>
      <c r="H11" s="22"/>
      <c r="I11" s="22"/>
      <c r="J11" s="22"/>
    </row>
    <row r="12" spans="1:12" s="2" customFormat="1" ht="23.25" customHeight="1">
      <c r="A12" s="619" t="s">
        <v>187</v>
      </c>
      <c r="B12" s="621" t="s">
        <v>97</v>
      </c>
      <c r="C12" s="621" t="s">
        <v>188</v>
      </c>
      <c r="D12" s="621" t="s">
        <v>189</v>
      </c>
      <c r="E12" s="624" t="s">
        <v>190</v>
      </c>
      <c r="F12" s="624"/>
      <c r="G12" s="621" t="s">
        <v>191</v>
      </c>
      <c r="H12" s="23" t="s">
        <v>192</v>
      </c>
      <c r="I12" s="626" t="s">
        <v>193</v>
      </c>
      <c r="J12" s="627"/>
    </row>
    <row r="13" spans="1:12" s="2" customFormat="1" ht="23.25" customHeight="1">
      <c r="A13" s="620"/>
      <c r="B13" s="622"/>
      <c r="C13" s="622"/>
      <c r="D13" s="622"/>
      <c r="E13" s="625"/>
      <c r="F13" s="625"/>
      <c r="G13" s="623"/>
      <c r="H13" s="24" t="s">
        <v>194</v>
      </c>
      <c r="I13" s="628"/>
      <c r="J13" s="629"/>
    </row>
    <row r="14" spans="1:12" s="2" customFormat="1" ht="19.5" customHeight="1">
      <c r="A14" s="25">
        <v>1</v>
      </c>
      <c r="B14" s="26" t="s">
        <v>195</v>
      </c>
      <c r="C14" s="27" t="s">
        <v>196</v>
      </c>
      <c r="D14" s="28" t="s">
        <v>197</v>
      </c>
      <c r="E14" s="604" t="s">
        <v>198</v>
      </c>
      <c r="F14" s="605"/>
      <c r="G14" s="29" t="s">
        <v>50</v>
      </c>
      <c r="H14" s="30">
        <v>238</v>
      </c>
      <c r="I14" s="606"/>
      <c r="J14" s="607"/>
    </row>
    <row r="15" spans="1:12" s="2" customFormat="1" ht="19.5" customHeight="1">
      <c r="A15" s="25">
        <v>2</v>
      </c>
      <c r="B15" s="26" t="s">
        <v>195</v>
      </c>
      <c r="C15" s="27" t="s">
        <v>199</v>
      </c>
      <c r="D15" s="28" t="s">
        <v>200</v>
      </c>
      <c r="E15" s="604" t="s">
        <v>198</v>
      </c>
      <c r="F15" s="605"/>
      <c r="G15" s="29" t="s">
        <v>50</v>
      </c>
      <c r="H15" s="30">
        <v>361</v>
      </c>
      <c r="I15" s="45"/>
      <c r="J15" s="46"/>
    </row>
    <row r="16" spans="1:12" s="2" customFormat="1" ht="19.5" customHeight="1">
      <c r="A16" s="25">
        <v>3</v>
      </c>
      <c r="B16" s="26" t="s">
        <v>195</v>
      </c>
      <c r="C16" s="27" t="s">
        <v>201</v>
      </c>
      <c r="D16" s="28" t="s">
        <v>202</v>
      </c>
      <c r="E16" s="604" t="s">
        <v>198</v>
      </c>
      <c r="F16" s="605"/>
      <c r="G16" s="29" t="s">
        <v>50</v>
      </c>
      <c r="H16" s="30">
        <v>64</v>
      </c>
      <c r="I16" s="45"/>
      <c r="J16" s="46"/>
    </row>
    <row r="17" spans="1:10" s="2" customFormat="1" ht="19.5" customHeight="1">
      <c r="A17" s="25">
        <v>4</v>
      </c>
      <c r="B17" s="31" t="s">
        <v>203</v>
      </c>
      <c r="C17" s="27" t="s">
        <v>204</v>
      </c>
      <c r="D17" s="28" t="s">
        <v>205</v>
      </c>
      <c r="E17" s="32" t="s">
        <v>52</v>
      </c>
      <c r="F17" s="32" t="s">
        <v>206</v>
      </c>
      <c r="G17" s="29" t="s">
        <v>50</v>
      </c>
      <c r="H17" s="30">
        <v>214</v>
      </c>
      <c r="I17" s="45"/>
      <c r="J17" s="46"/>
    </row>
    <row r="18" spans="1:10" s="2" customFormat="1" ht="19.5" customHeight="1">
      <c r="A18" s="25">
        <v>5</v>
      </c>
      <c r="B18" s="31" t="s">
        <v>203</v>
      </c>
      <c r="C18" s="27" t="s">
        <v>204</v>
      </c>
      <c r="D18" s="28" t="s">
        <v>205</v>
      </c>
      <c r="E18" s="32" t="s">
        <v>54</v>
      </c>
      <c r="F18" s="32" t="s">
        <v>206</v>
      </c>
      <c r="G18" s="29" t="s">
        <v>50</v>
      </c>
      <c r="H18" s="30">
        <v>353</v>
      </c>
      <c r="I18" s="45"/>
      <c r="J18" s="46"/>
    </row>
    <row r="19" spans="1:10" s="2" customFormat="1" ht="19.5" customHeight="1">
      <c r="A19" s="25">
        <v>6</v>
      </c>
      <c r="B19" s="31" t="s">
        <v>203</v>
      </c>
      <c r="C19" s="27" t="s">
        <v>204</v>
      </c>
      <c r="D19" s="28" t="s">
        <v>205</v>
      </c>
      <c r="E19" s="32" t="s">
        <v>80</v>
      </c>
      <c r="F19" s="32" t="s">
        <v>206</v>
      </c>
      <c r="G19" s="29" t="s">
        <v>50</v>
      </c>
      <c r="H19" s="30">
        <v>177</v>
      </c>
      <c r="I19" s="45"/>
      <c r="J19" s="46"/>
    </row>
    <row r="20" spans="1:10" s="2" customFormat="1" ht="19.5" customHeight="1">
      <c r="A20" s="25">
        <v>7</v>
      </c>
      <c r="B20" s="31" t="s">
        <v>203</v>
      </c>
      <c r="C20" s="27" t="s">
        <v>204</v>
      </c>
      <c r="D20" s="28" t="s">
        <v>205</v>
      </c>
      <c r="E20" s="32" t="s">
        <v>88</v>
      </c>
      <c r="F20" s="32" t="s">
        <v>206</v>
      </c>
      <c r="G20" s="29" t="s">
        <v>50</v>
      </c>
      <c r="H20" s="30">
        <v>96</v>
      </c>
      <c r="I20" s="45"/>
      <c r="J20" s="46"/>
    </row>
    <row r="21" spans="1:10" s="2" customFormat="1" ht="19.5" customHeight="1">
      <c r="A21" s="25">
        <v>8</v>
      </c>
      <c r="B21" s="31" t="s">
        <v>203</v>
      </c>
      <c r="C21" s="27" t="s">
        <v>207</v>
      </c>
      <c r="D21" s="28" t="s">
        <v>205</v>
      </c>
      <c r="E21" s="32" t="s">
        <v>52</v>
      </c>
      <c r="F21" s="32" t="s">
        <v>206</v>
      </c>
      <c r="G21" s="29" t="s">
        <v>50</v>
      </c>
      <c r="H21" s="30">
        <v>298</v>
      </c>
      <c r="I21" s="45"/>
      <c r="J21" s="46"/>
    </row>
    <row r="22" spans="1:10" s="2" customFormat="1" ht="19.5" customHeight="1">
      <c r="A22" s="25">
        <v>9</v>
      </c>
      <c r="B22" s="31" t="s">
        <v>203</v>
      </c>
      <c r="C22" s="27" t="s">
        <v>207</v>
      </c>
      <c r="D22" s="28" t="s">
        <v>205</v>
      </c>
      <c r="E22" s="32" t="s">
        <v>54</v>
      </c>
      <c r="F22" s="32" t="s">
        <v>206</v>
      </c>
      <c r="G22" s="29" t="s">
        <v>50</v>
      </c>
      <c r="H22" s="30">
        <v>496</v>
      </c>
      <c r="I22" s="45"/>
      <c r="J22" s="46"/>
    </row>
    <row r="23" spans="1:10" s="2" customFormat="1" ht="19.5" customHeight="1">
      <c r="A23" s="25">
        <v>10</v>
      </c>
      <c r="B23" s="31" t="s">
        <v>203</v>
      </c>
      <c r="C23" s="27" t="s">
        <v>207</v>
      </c>
      <c r="D23" s="28" t="s">
        <v>205</v>
      </c>
      <c r="E23" s="32" t="s">
        <v>80</v>
      </c>
      <c r="F23" s="32" t="s">
        <v>206</v>
      </c>
      <c r="G23" s="29" t="s">
        <v>50</v>
      </c>
      <c r="H23" s="30">
        <v>247</v>
      </c>
      <c r="I23" s="45"/>
      <c r="J23" s="46"/>
    </row>
    <row r="24" spans="1:10" s="2" customFormat="1" ht="19.5" customHeight="1">
      <c r="A24" s="25">
        <v>11</v>
      </c>
      <c r="B24" s="31" t="s">
        <v>203</v>
      </c>
      <c r="C24" s="27" t="s">
        <v>207</v>
      </c>
      <c r="D24" s="28" t="s">
        <v>205</v>
      </c>
      <c r="E24" s="32" t="s">
        <v>88</v>
      </c>
      <c r="F24" s="32" t="s">
        <v>206</v>
      </c>
      <c r="G24" s="29" t="s">
        <v>50</v>
      </c>
      <c r="H24" s="30">
        <v>129</v>
      </c>
      <c r="I24" s="45"/>
      <c r="J24" s="46"/>
    </row>
    <row r="25" spans="1:10" s="2" customFormat="1" ht="19.5" customHeight="1">
      <c r="A25" s="25">
        <v>12</v>
      </c>
      <c r="B25" s="31" t="s">
        <v>203</v>
      </c>
      <c r="C25" s="27" t="s">
        <v>208</v>
      </c>
      <c r="D25" s="28" t="s">
        <v>205</v>
      </c>
      <c r="E25" s="32" t="s">
        <v>52</v>
      </c>
      <c r="F25" s="32" t="s">
        <v>206</v>
      </c>
      <c r="G25" s="29" t="s">
        <v>50</v>
      </c>
      <c r="H25" s="30">
        <v>162</v>
      </c>
      <c r="I25" s="45"/>
      <c r="J25" s="46"/>
    </row>
    <row r="26" spans="1:10" s="2" customFormat="1" ht="19.5" customHeight="1">
      <c r="A26" s="25">
        <v>13</v>
      </c>
      <c r="B26" s="31" t="s">
        <v>203</v>
      </c>
      <c r="C26" s="27" t="s">
        <v>208</v>
      </c>
      <c r="D26" s="28" t="s">
        <v>205</v>
      </c>
      <c r="E26" s="32" t="s">
        <v>54</v>
      </c>
      <c r="F26" s="32" t="s">
        <v>206</v>
      </c>
      <c r="G26" s="29" t="s">
        <v>50</v>
      </c>
      <c r="H26" s="30">
        <v>272</v>
      </c>
      <c r="I26" s="45"/>
      <c r="J26" s="46"/>
    </row>
    <row r="27" spans="1:10" s="2" customFormat="1" ht="19.5" customHeight="1">
      <c r="A27" s="25">
        <v>14</v>
      </c>
      <c r="B27" s="31" t="s">
        <v>203</v>
      </c>
      <c r="C27" s="27" t="s">
        <v>208</v>
      </c>
      <c r="D27" s="28" t="s">
        <v>205</v>
      </c>
      <c r="E27" s="32" t="s">
        <v>80</v>
      </c>
      <c r="F27" s="32" t="s">
        <v>206</v>
      </c>
      <c r="G27" s="29" t="s">
        <v>50</v>
      </c>
      <c r="H27" s="30">
        <v>135</v>
      </c>
      <c r="I27" s="45"/>
      <c r="J27" s="46"/>
    </row>
    <row r="28" spans="1:10" s="2" customFormat="1" ht="19.5" customHeight="1">
      <c r="A28" s="25">
        <v>15</v>
      </c>
      <c r="B28" s="31" t="s">
        <v>203</v>
      </c>
      <c r="C28" s="27" t="s">
        <v>208</v>
      </c>
      <c r="D28" s="28" t="s">
        <v>205</v>
      </c>
      <c r="E28" s="32" t="s">
        <v>88</v>
      </c>
      <c r="F28" s="32" t="s">
        <v>206</v>
      </c>
      <c r="G28" s="29" t="s">
        <v>50</v>
      </c>
      <c r="H28" s="30">
        <v>71</v>
      </c>
      <c r="I28" s="45"/>
      <c r="J28" s="46"/>
    </row>
    <row r="29" spans="1:10" s="2" customFormat="1" ht="19.5" customHeight="1">
      <c r="A29" s="25">
        <v>16</v>
      </c>
      <c r="B29" s="31" t="s">
        <v>203</v>
      </c>
      <c r="C29" s="27" t="s">
        <v>209</v>
      </c>
      <c r="D29" s="28" t="s">
        <v>205</v>
      </c>
      <c r="E29" s="32" t="s">
        <v>52</v>
      </c>
      <c r="F29" s="32" t="s">
        <v>206</v>
      </c>
      <c r="G29" s="29" t="s">
        <v>50</v>
      </c>
      <c r="H29" s="30">
        <v>102</v>
      </c>
      <c r="I29" s="45"/>
      <c r="J29" s="46"/>
    </row>
    <row r="30" spans="1:10" s="2" customFormat="1" ht="19.5" customHeight="1">
      <c r="A30" s="25">
        <v>17</v>
      </c>
      <c r="B30" s="31" t="s">
        <v>203</v>
      </c>
      <c r="C30" s="27" t="s">
        <v>209</v>
      </c>
      <c r="D30" s="28" t="s">
        <v>205</v>
      </c>
      <c r="E30" s="32" t="s">
        <v>54</v>
      </c>
      <c r="F30" s="32" t="s">
        <v>206</v>
      </c>
      <c r="G30" s="29" t="s">
        <v>50</v>
      </c>
      <c r="H30" s="30">
        <v>171</v>
      </c>
      <c r="I30" s="45"/>
      <c r="J30" s="46"/>
    </row>
    <row r="31" spans="1:10" s="2" customFormat="1" ht="19.5" customHeight="1">
      <c r="A31" s="25">
        <v>18</v>
      </c>
      <c r="B31" s="31" t="s">
        <v>203</v>
      </c>
      <c r="C31" s="27" t="s">
        <v>209</v>
      </c>
      <c r="D31" s="28" t="s">
        <v>205</v>
      </c>
      <c r="E31" s="32" t="s">
        <v>80</v>
      </c>
      <c r="F31" s="32" t="s">
        <v>206</v>
      </c>
      <c r="G31" s="29" t="s">
        <v>50</v>
      </c>
      <c r="H31" s="30">
        <v>85</v>
      </c>
      <c r="I31" s="45"/>
      <c r="J31" s="46"/>
    </row>
    <row r="32" spans="1:10" s="2" customFormat="1" ht="19.5" customHeight="1">
      <c r="A32" s="25">
        <v>19</v>
      </c>
      <c r="B32" s="31" t="s">
        <v>203</v>
      </c>
      <c r="C32" s="27" t="s">
        <v>209</v>
      </c>
      <c r="D32" s="28" t="s">
        <v>205</v>
      </c>
      <c r="E32" s="32" t="s">
        <v>88</v>
      </c>
      <c r="F32" s="32" t="s">
        <v>206</v>
      </c>
      <c r="G32" s="29" t="s">
        <v>50</v>
      </c>
      <c r="H32" s="30">
        <v>47</v>
      </c>
      <c r="I32" s="45"/>
      <c r="J32" s="46"/>
    </row>
    <row r="33" spans="1:10" s="2" customFormat="1" ht="19.5" customHeight="1">
      <c r="A33" s="25">
        <v>20</v>
      </c>
      <c r="B33" s="31" t="s">
        <v>71</v>
      </c>
      <c r="C33" s="33">
        <v>1030</v>
      </c>
      <c r="D33" s="28" t="s">
        <v>76</v>
      </c>
      <c r="E33" s="32" t="s">
        <v>51</v>
      </c>
      <c r="F33" s="32" t="s">
        <v>75</v>
      </c>
      <c r="G33" s="29" t="s">
        <v>50</v>
      </c>
      <c r="H33" s="30">
        <v>98</v>
      </c>
      <c r="I33" s="45"/>
      <c r="J33" s="46"/>
    </row>
    <row r="34" spans="1:10" s="2" customFormat="1" ht="19.5" customHeight="1">
      <c r="A34" s="25">
        <v>21</v>
      </c>
      <c r="B34" s="31" t="s">
        <v>71</v>
      </c>
      <c r="C34" s="33">
        <v>1030</v>
      </c>
      <c r="D34" s="28" t="s">
        <v>76</v>
      </c>
      <c r="E34" s="32" t="s">
        <v>52</v>
      </c>
      <c r="F34" s="32" t="s">
        <v>78</v>
      </c>
      <c r="G34" s="29" t="s">
        <v>50</v>
      </c>
      <c r="H34" s="30">
        <v>219</v>
      </c>
      <c r="I34" s="45"/>
      <c r="J34" s="46"/>
    </row>
    <row r="35" spans="1:10" s="2" customFormat="1" ht="19.5" customHeight="1">
      <c r="A35" s="25">
        <v>22</v>
      </c>
      <c r="B35" s="31" t="s">
        <v>71</v>
      </c>
      <c r="C35" s="33">
        <v>1030</v>
      </c>
      <c r="D35" s="28" t="s">
        <v>76</v>
      </c>
      <c r="E35" s="32" t="s">
        <v>54</v>
      </c>
      <c r="F35" s="32" t="s">
        <v>79</v>
      </c>
      <c r="G35" s="29" t="s">
        <v>50</v>
      </c>
      <c r="H35" s="30">
        <v>208</v>
      </c>
      <c r="I35" s="45"/>
      <c r="J35" s="46"/>
    </row>
    <row r="36" spans="1:10" s="2" customFormat="1" ht="19.5" customHeight="1">
      <c r="A36" s="25">
        <v>23</v>
      </c>
      <c r="B36" s="31" t="s">
        <v>71</v>
      </c>
      <c r="C36" s="33">
        <v>1030</v>
      </c>
      <c r="D36" s="28" t="s">
        <v>76</v>
      </c>
      <c r="E36" s="32" t="s">
        <v>80</v>
      </c>
      <c r="F36" s="32" t="s">
        <v>81</v>
      </c>
      <c r="G36" s="29" t="s">
        <v>50</v>
      </c>
      <c r="H36" s="30">
        <v>84</v>
      </c>
      <c r="I36" s="45"/>
      <c r="J36" s="46"/>
    </row>
    <row r="37" spans="1:10" s="2" customFormat="1" ht="19.5" customHeight="1">
      <c r="A37" s="25">
        <v>24</v>
      </c>
      <c r="B37" s="31" t="s">
        <v>82</v>
      </c>
      <c r="C37" s="33">
        <v>1030</v>
      </c>
      <c r="D37" s="28" t="s">
        <v>76</v>
      </c>
      <c r="E37" s="32" t="s">
        <v>52</v>
      </c>
      <c r="F37" s="32" t="s">
        <v>85</v>
      </c>
      <c r="G37" s="29" t="s">
        <v>50</v>
      </c>
      <c r="H37" s="30">
        <v>209</v>
      </c>
      <c r="I37" s="45"/>
      <c r="J37" s="46"/>
    </row>
    <row r="38" spans="1:10" s="2" customFormat="1" ht="19.5" customHeight="1">
      <c r="A38" s="25">
        <v>25</v>
      </c>
      <c r="B38" s="31" t="s">
        <v>82</v>
      </c>
      <c r="C38" s="33">
        <v>1030</v>
      </c>
      <c r="D38" s="28" t="s">
        <v>76</v>
      </c>
      <c r="E38" s="32" t="s">
        <v>54</v>
      </c>
      <c r="F38" s="32" t="s">
        <v>86</v>
      </c>
      <c r="G38" s="29" t="s">
        <v>50</v>
      </c>
      <c r="H38" s="30">
        <v>412</v>
      </c>
      <c r="I38" s="45"/>
      <c r="J38" s="46"/>
    </row>
    <row r="39" spans="1:10" s="2" customFormat="1" ht="19.5" customHeight="1">
      <c r="A39" s="25">
        <v>26</v>
      </c>
      <c r="B39" s="31" t="s">
        <v>82</v>
      </c>
      <c r="C39" s="33">
        <v>1030</v>
      </c>
      <c r="D39" s="28" t="s">
        <v>76</v>
      </c>
      <c r="E39" s="32" t="s">
        <v>80</v>
      </c>
      <c r="F39" s="32" t="s">
        <v>87</v>
      </c>
      <c r="G39" s="29" t="s">
        <v>50</v>
      </c>
      <c r="H39" s="30">
        <v>330</v>
      </c>
      <c r="I39" s="45"/>
      <c r="J39" s="46"/>
    </row>
    <row r="40" spans="1:10" s="2" customFormat="1" ht="19.5" customHeight="1">
      <c r="A40" s="25">
        <v>27</v>
      </c>
      <c r="B40" s="31" t="s">
        <v>82</v>
      </c>
      <c r="C40" s="33">
        <v>1030</v>
      </c>
      <c r="D40" s="28" t="s">
        <v>76</v>
      </c>
      <c r="E40" s="32" t="s">
        <v>88</v>
      </c>
      <c r="F40" s="32" t="s">
        <v>89</v>
      </c>
      <c r="G40" s="29" t="s">
        <v>50</v>
      </c>
      <c r="H40" s="30">
        <v>199</v>
      </c>
      <c r="I40" s="45"/>
      <c r="J40" s="46"/>
    </row>
    <row r="41" spans="1:10" s="2" customFormat="1" ht="19.5" customHeight="1">
      <c r="A41" s="25">
        <v>28</v>
      </c>
      <c r="B41" s="31" t="s">
        <v>71</v>
      </c>
      <c r="C41" s="33">
        <v>1120</v>
      </c>
      <c r="D41" s="28" t="s">
        <v>76</v>
      </c>
      <c r="E41" s="32" t="s">
        <v>51</v>
      </c>
      <c r="F41" s="32" t="s">
        <v>75</v>
      </c>
      <c r="G41" s="29" t="s">
        <v>50</v>
      </c>
      <c r="H41" s="30">
        <v>42</v>
      </c>
      <c r="I41" s="45"/>
      <c r="J41" s="46"/>
    </row>
    <row r="42" spans="1:10" s="2" customFormat="1" ht="19.5" customHeight="1">
      <c r="A42" s="25">
        <v>29</v>
      </c>
      <c r="B42" s="31" t="s">
        <v>71</v>
      </c>
      <c r="C42" s="33">
        <v>1120</v>
      </c>
      <c r="D42" s="28" t="s">
        <v>76</v>
      </c>
      <c r="E42" s="32" t="s">
        <v>52</v>
      </c>
      <c r="F42" s="32" t="s">
        <v>78</v>
      </c>
      <c r="G42" s="29" t="s">
        <v>50</v>
      </c>
      <c r="H42" s="30">
        <v>112</v>
      </c>
      <c r="I42" s="45"/>
      <c r="J42" s="46"/>
    </row>
    <row r="43" spans="1:10" s="2" customFormat="1" ht="19.5" customHeight="1">
      <c r="A43" s="25">
        <v>30</v>
      </c>
      <c r="B43" s="31" t="s">
        <v>71</v>
      </c>
      <c r="C43" s="33">
        <v>1120</v>
      </c>
      <c r="D43" s="28" t="s">
        <v>76</v>
      </c>
      <c r="E43" s="32" t="s">
        <v>54</v>
      </c>
      <c r="F43" s="32" t="s">
        <v>79</v>
      </c>
      <c r="G43" s="29" t="s">
        <v>50</v>
      </c>
      <c r="H43" s="30">
        <v>105</v>
      </c>
      <c r="I43" s="45"/>
      <c r="J43" s="46"/>
    </row>
    <row r="44" spans="1:10" s="2" customFormat="1" ht="19.5" customHeight="1">
      <c r="A44" s="25">
        <v>31</v>
      </c>
      <c r="B44" s="31" t="s">
        <v>71</v>
      </c>
      <c r="C44" s="33">
        <v>1120</v>
      </c>
      <c r="D44" s="28" t="s">
        <v>76</v>
      </c>
      <c r="E44" s="32" t="s">
        <v>80</v>
      </c>
      <c r="F44" s="32" t="s">
        <v>81</v>
      </c>
      <c r="G44" s="29" t="s">
        <v>50</v>
      </c>
      <c r="H44" s="30">
        <v>40</v>
      </c>
      <c r="I44" s="45"/>
      <c r="J44" s="46"/>
    </row>
    <row r="45" spans="1:10" s="2" customFormat="1" ht="19.5" customHeight="1">
      <c r="A45" s="25">
        <v>32</v>
      </c>
      <c r="B45" s="31" t="s">
        <v>82</v>
      </c>
      <c r="C45" s="33">
        <v>1120</v>
      </c>
      <c r="D45" s="28" t="s">
        <v>76</v>
      </c>
      <c r="E45" s="32" t="s">
        <v>52</v>
      </c>
      <c r="F45" s="32" t="s">
        <v>85</v>
      </c>
      <c r="G45" s="29" t="s">
        <v>50</v>
      </c>
      <c r="H45" s="30">
        <v>128</v>
      </c>
      <c r="I45" s="45"/>
      <c r="J45" s="46"/>
    </row>
    <row r="46" spans="1:10" s="2" customFormat="1" ht="19.5" customHeight="1">
      <c r="A46" s="25">
        <v>33</v>
      </c>
      <c r="B46" s="31" t="s">
        <v>82</v>
      </c>
      <c r="C46" s="33">
        <v>1120</v>
      </c>
      <c r="D46" s="28" t="s">
        <v>76</v>
      </c>
      <c r="E46" s="32" t="s">
        <v>54</v>
      </c>
      <c r="F46" s="32" t="s">
        <v>86</v>
      </c>
      <c r="G46" s="29" t="s">
        <v>50</v>
      </c>
      <c r="H46" s="30">
        <v>200</v>
      </c>
      <c r="I46" s="45"/>
      <c r="J46" s="46"/>
    </row>
    <row r="47" spans="1:10" s="2" customFormat="1" ht="19.5" customHeight="1">
      <c r="A47" s="25">
        <v>34</v>
      </c>
      <c r="B47" s="31" t="s">
        <v>82</v>
      </c>
      <c r="C47" s="33">
        <v>1120</v>
      </c>
      <c r="D47" s="28" t="s">
        <v>76</v>
      </c>
      <c r="E47" s="32" t="s">
        <v>80</v>
      </c>
      <c r="F47" s="32" t="s">
        <v>87</v>
      </c>
      <c r="G47" s="29" t="s">
        <v>50</v>
      </c>
      <c r="H47" s="30">
        <v>150</v>
      </c>
      <c r="I47" s="45"/>
      <c r="J47" s="46"/>
    </row>
    <row r="48" spans="1:10" s="2" customFormat="1" ht="19.5" customHeight="1">
      <c r="A48" s="25">
        <v>35</v>
      </c>
      <c r="B48" s="31" t="s">
        <v>82</v>
      </c>
      <c r="C48" s="33">
        <v>1120</v>
      </c>
      <c r="D48" s="28" t="s">
        <v>76</v>
      </c>
      <c r="E48" s="32" t="s">
        <v>88</v>
      </c>
      <c r="F48" s="32" t="s">
        <v>89</v>
      </c>
      <c r="G48" s="29" t="s">
        <v>50</v>
      </c>
      <c r="H48" s="30">
        <v>86</v>
      </c>
      <c r="I48" s="45"/>
      <c r="J48" s="46"/>
    </row>
    <row r="49" spans="1:17" s="2" customFormat="1" ht="19.5" customHeight="1">
      <c r="A49" s="25">
        <v>36</v>
      </c>
      <c r="B49" s="31" t="s">
        <v>82</v>
      </c>
      <c r="C49" s="33">
        <v>1120</v>
      </c>
      <c r="D49" s="28" t="s">
        <v>205</v>
      </c>
      <c r="E49" s="32" t="s">
        <v>54</v>
      </c>
      <c r="F49" s="32" t="s">
        <v>86</v>
      </c>
      <c r="G49" s="29" t="s">
        <v>50</v>
      </c>
      <c r="H49" s="30">
        <v>50</v>
      </c>
      <c r="I49" s="45"/>
      <c r="J49" s="46"/>
    </row>
    <row r="50" spans="1:17" s="2" customFormat="1" ht="19.5" customHeight="1">
      <c r="A50" s="25">
        <v>37</v>
      </c>
      <c r="B50" s="31" t="s">
        <v>82</v>
      </c>
      <c r="C50" s="33">
        <v>1120</v>
      </c>
      <c r="D50" s="28" t="s">
        <v>205</v>
      </c>
      <c r="E50" s="32" t="s">
        <v>80</v>
      </c>
      <c r="F50" s="32" t="s">
        <v>87</v>
      </c>
      <c r="G50" s="29" t="s">
        <v>50</v>
      </c>
      <c r="H50" s="30">
        <v>50</v>
      </c>
      <c r="I50" s="45"/>
      <c r="J50" s="46"/>
    </row>
    <row r="51" spans="1:17" s="2" customFormat="1" ht="19.5" customHeight="1">
      <c r="A51" s="25">
        <v>38</v>
      </c>
      <c r="B51" s="31" t="s">
        <v>82</v>
      </c>
      <c r="C51" s="33">
        <v>1120</v>
      </c>
      <c r="D51" s="28" t="s">
        <v>205</v>
      </c>
      <c r="E51" s="32" t="s">
        <v>88</v>
      </c>
      <c r="F51" s="32" t="s">
        <v>89</v>
      </c>
      <c r="G51" s="29" t="s">
        <v>50</v>
      </c>
      <c r="H51" s="30">
        <v>35</v>
      </c>
      <c r="I51" s="45"/>
      <c r="J51" s="46"/>
    </row>
    <row r="52" spans="1:17" s="2" customFormat="1" ht="19.5" customHeight="1">
      <c r="A52" s="25">
        <v>39</v>
      </c>
      <c r="B52" s="31" t="s">
        <v>71</v>
      </c>
      <c r="C52" s="33">
        <v>1120</v>
      </c>
      <c r="D52" s="28" t="s">
        <v>205</v>
      </c>
      <c r="E52" s="32" t="s">
        <v>51</v>
      </c>
      <c r="F52" s="32" t="s">
        <v>75</v>
      </c>
      <c r="G52" s="29" t="s">
        <v>50</v>
      </c>
      <c r="H52" s="30">
        <v>9</v>
      </c>
      <c r="I52" s="45"/>
      <c r="J52" s="46"/>
    </row>
    <row r="53" spans="1:17" s="2" customFormat="1" ht="19.5" customHeight="1">
      <c r="A53" s="25">
        <v>40</v>
      </c>
      <c r="B53" s="31" t="s">
        <v>71</v>
      </c>
      <c r="C53" s="33">
        <v>1120</v>
      </c>
      <c r="D53" s="28" t="s">
        <v>205</v>
      </c>
      <c r="E53" s="32" t="s">
        <v>80</v>
      </c>
      <c r="F53" s="32" t="s">
        <v>81</v>
      </c>
      <c r="G53" s="29" t="s">
        <v>50</v>
      </c>
      <c r="H53" s="30">
        <v>7</v>
      </c>
      <c r="I53" s="45"/>
      <c r="J53" s="46"/>
    </row>
    <row r="54" spans="1:17" s="2" customFormat="1" ht="31.5" customHeight="1">
      <c r="A54" s="25">
        <v>41</v>
      </c>
      <c r="B54" s="31" t="s">
        <v>210</v>
      </c>
      <c r="C54" s="33" t="s">
        <v>201</v>
      </c>
      <c r="D54" s="34" t="s">
        <v>211</v>
      </c>
      <c r="E54" s="608" t="s">
        <v>212</v>
      </c>
      <c r="F54" s="609"/>
      <c r="G54" s="29" t="s">
        <v>50</v>
      </c>
      <c r="H54" s="30">
        <v>1917</v>
      </c>
      <c r="I54" s="45" t="s">
        <v>213</v>
      </c>
      <c r="J54" s="46"/>
    </row>
    <row r="55" spans="1:17" s="2" customFormat="1" ht="31.5" customHeight="1">
      <c r="A55" s="25">
        <v>42</v>
      </c>
      <c r="B55" s="31" t="s">
        <v>210</v>
      </c>
      <c r="C55" s="33" t="s">
        <v>214</v>
      </c>
      <c r="D55" s="34" t="s">
        <v>215</v>
      </c>
      <c r="E55" s="608" t="s">
        <v>212</v>
      </c>
      <c r="F55" s="609"/>
      <c r="G55" s="29" t="s">
        <v>50</v>
      </c>
      <c r="H55" s="30">
        <v>1231</v>
      </c>
      <c r="I55" s="45"/>
      <c r="J55" s="46"/>
    </row>
    <row r="56" spans="1:17" s="2" customFormat="1" ht="33" customHeight="1">
      <c r="A56" s="25">
        <v>43</v>
      </c>
      <c r="B56" s="31" t="s">
        <v>210</v>
      </c>
      <c r="C56" s="27" t="s">
        <v>199</v>
      </c>
      <c r="D56" s="34" t="s">
        <v>215</v>
      </c>
      <c r="E56" s="608" t="s">
        <v>212</v>
      </c>
      <c r="F56" s="609"/>
      <c r="G56" s="29" t="s">
        <v>50</v>
      </c>
      <c r="H56" s="30">
        <v>1658</v>
      </c>
      <c r="I56" s="45" t="s">
        <v>216</v>
      </c>
      <c r="J56" s="46"/>
    </row>
    <row r="57" spans="1:17" s="2" customFormat="1" ht="33" customHeight="1">
      <c r="A57" s="25">
        <v>44</v>
      </c>
      <c r="B57" s="31" t="s">
        <v>210</v>
      </c>
      <c r="C57" s="27" t="s">
        <v>217</v>
      </c>
      <c r="D57" s="34" t="s">
        <v>211</v>
      </c>
      <c r="E57" s="608" t="s">
        <v>212</v>
      </c>
      <c r="F57" s="609"/>
      <c r="G57" s="29" t="s">
        <v>50</v>
      </c>
      <c r="H57" s="30">
        <v>3545</v>
      </c>
      <c r="I57" s="45"/>
      <c r="J57" s="46"/>
      <c r="L57" s="2">
        <f>1300+16749</f>
        <v>18049</v>
      </c>
    </row>
    <row r="58" spans="1:17" s="2" customFormat="1" ht="33.75" customHeight="1">
      <c r="A58" s="25">
        <v>45</v>
      </c>
      <c r="B58" s="31" t="s">
        <v>210</v>
      </c>
      <c r="C58" s="27" t="s">
        <v>217</v>
      </c>
      <c r="D58" s="34" t="s">
        <v>218</v>
      </c>
      <c r="E58" s="604" t="s">
        <v>219</v>
      </c>
      <c r="F58" s="605"/>
      <c r="G58" s="29" t="s">
        <v>50</v>
      </c>
      <c r="H58" s="30">
        <v>1907</v>
      </c>
      <c r="I58" s="45" t="s">
        <v>220</v>
      </c>
      <c r="J58" s="46"/>
    </row>
    <row r="59" spans="1:17">
      <c r="A59" s="610" t="s">
        <v>221</v>
      </c>
      <c r="B59" s="611"/>
      <c r="C59" s="611"/>
      <c r="D59" s="611"/>
      <c r="E59" s="611"/>
      <c r="F59" s="611"/>
      <c r="G59" s="611"/>
      <c r="H59" s="35">
        <f>SUM(H14:H58)</f>
        <v>16749</v>
      </c>
      <c r="I59" s="612"/>
      <c r="J59" s="613"/>
    </row>
    <row r="60" spans="1:17" s="3" customFormat="1" ht="27" hidden="1" customHeight="1">
      <c r="B60" s="36" t="s">
        <v>222</v>
      </c>
      <c r="C60" s="614" t="str">
        <f>F66</f>
        <v>Không đồng.</v>
      </c>
      <c r="D60" s="614"/>
      <c r="E60" s="614"/>
      <c r="F60" s="614"/>
      <c r="G60" s="614"/>
      <c r="H60" s="614"/>
      <c r="I60" s="614"/>
      <c r="J60" s="614"/>
    </row>
    <row r="61" spans="1:17" s="4" customFormat="1" hidden="1">
      <c r="A61" s="615">
        <f>J59</f>
        <v>0</v>
      </c>
      <c r="B61" s="616"/>
      <c r="C61" s="37" t="str">
        <f>RIGHT("000000000000"&amp;ROUND(A61,0),12)</f>
        <v>000000000000</v>
      </c>
      <c r="D61" s="37"/>
      <c r="E61" s="37"/>
      <c r="F61" s="37">
        <v>1</v>
      </c>
      <c r="G61" s="38">
        <v>2</v>
      </c>
      <c r="H61" s="39">
        <v>3</v>
      </c>
      <c r="I61" s="37">
        <v>4</v>
      </c>
      <c r="J61" s="37">
        <v>5</v>
      </c>
      <c r="K61" s="37">
        <v>6</v>
      </c>
      <c r="L61" s="4">
        <v>7</v>
      </c>
      <c r="M61" s="4">
        <v>8</v>
      </c>
      <c r="N61" s="4">
        <v>9</v>
      </c>
      <c r="O61" s="4">
        <v>10</v>
      </c>
      <c r="P61" s="4">
        <v>11</v>
      </c>
      <c r="Q61" s="4">
        <v>12</v>
      </c>
    </row>
    <row r="62" spans="1:17" s="4" customFormat="1" hidden="1">
      <c r="A62" s="37"/>
      <c r="B62" s="37"/>
      <c r="C62" s="37"/>
      <c r="D62" s="37"/>
      <c r="E62" s="37"/>
      <c r="F62" s="37">
        <f>VALUE(MID(C61,F61,1))</f>
        <v>0</v>
      </c>
      <c r="G62" s="38">
        <f>VALUE(MID(C61,G61,1))</f>
        <v>0</v>
      </c>
      <c r="H62" s="39">
        <f>VALUE(MID(C61,H61,1))</f>
        <v>0</v>
      </c>
      <c r="I62" s="37">
        <f>VALUE(MID(C61,I61,1))</f>
        <v>0</v>
      </c>
      <c r="J62" s="37">
        <f>VALUE(MID(C61,J61,1))</f>
        <v>0</v>
      </c>
      <c r="K62" s="37">
        <f>VALUE(MID(C61,K61,1))</f>
        <v>0</v>
      </c>
      <c r="L62" s="4">
        <f>VALUE(MID(C61,L61,1))</f>
        <v>0</v>
      </c>
      <c r="M62" s="4">
        <f>VALUE(MID(C61,M61,1))</f>
        <v>0</v>
      </c>
      <c r="N62" s="4">
        <f>VALUE(MID(C61,N61,1))</f>
        <v>0</v>
      </c>
      <c r="O62" s="4">
        <f>VALUE(MID(C61,O61,1))</f>
        <v>0</v>
      </c>
      <c r="P62" s="4">
        <f>VALUE(MID(C61,P61,1))</f>
        <v>0</v>
      </c>
      <c r="Q62" s="4">
        <f>VALUE(MID(C61,Q61,1))</f>
        <v>0</v>
      </c>
    </row>
    <row r="63" spans="1:17" s="4" customFormat="1" hidden="1">
      <c r="A63" s="37"/>
      <c r="B63" s="37"/>
      <c r="C63" s="37"/>
      <c r="D63" s="37"/>
      <c r="E63" s="37"/>
      <c r="F63" s="37">
        <f>SUM(F62:F62)</f>
        <v>0</v>
      </c>
      <c r="G63" s="38">
        <f>SUM(F62:G62)</f>
        <v>0</v>
      </c>
      <c r="H63" s="39">
        <f>SUM(F62:H62)</f>
        <v>0</v>
      </c>
      <c r="I63" s="37">
        <f>SUM(I62:I62)</f>
        <v>0</v>
      </c>
      <c r="J63" s="37">
        <f>SUM(I62:J62)</f>
        <v>0</v>
      </c>
      <c r="K63" s="37">
        <f>SUM(I62:K62)</f>
        <v>0</v>
      </c>
      <c r="L63" s="4">
        <f>SUM(L62:L62)</f>
        <v>0</v>
      </c>
      <c r="M63" s="4">
        <f>SUM(L62:M62)</f>
        <v>0</v>
      </c>
      <c r="N63" s="4">
        <f>SUM(L62:N62)</f>
        <v>0</v>
      </c>
      <c r="O63" s="4">
        <f>SUM(O62:O62)</f>
        <v>0</v>
      </c>
      <c r="P63" s="4">
        <f>SUM(O62:P62)</f>
        <v>0</v>
      </c>
      <c r="Q63" s="4">
        <f>SUM(O62:Q62)</f>
        <v>0</v>
      </c>
    </row>
    <row r="64" spans="1:17" s="4" customFormat="1" hidden="1">
      <c r="A64" s="37"/>
      <c r="B64" s="37"/>
      <c r="C64" s="37"/>
      <c r="D64" s="37"/>
      <c r="E64" s="37"/>
      <c r="F64" s="37" t="str">
        <f>IF(F62=0,"",CHOOSE(F62,"một","hai","ba","bốn","năm","sáu","bảy","tám","chín"))</f>
        <v/>
      </c>
      <c r="G64" s="38" t="str">
        <f>IF(G62=0,IF(AND(F62&lt;&gt;0,H62&lt;&gt;0),"lẻ",""),CHOOSE(G62,"mười","hai","ba","bốn","năm","sáu","bảy","tám","chín"))</f>
        <v/>
      </c>
      <c r="H64" s="39" t="str">
        <f>IF(H62=0,"",CHOOSE(H62,IF(G62&gt;1,"mốt","một"),"hai","ba","bốn",IF(G62=0,"năm","lăm"),"sáu","bảy","tám","chín"))</f>
        <v/>
      </c>
      <c r="I64" s="37" t="str">
        <f>IF(I62=0,"",CHOOSE(I62,"một","hai","ba","bốn","năm","sáu","bảy","tám","chín"))</f>
        <v/>
      </c>
      <c r="J64" s="37" t="str">
        <f>IF(J62=0,IF(AND(I62&lt;&gt;0,K62&lt;&gt;0),"lẻ",""),CHOOSE(J62,"mười","hai","ba","bốn","năm","sáu","bảy","tám","chín"))</f>
        <v/>
      </c>
      <c r="K64" s="37" t="str">
        <f>IF(K62=0,"",CHOOSE(K62,IF(J62&gt;1,"mốt","một"),"hai","ba","bốn",IF(J62=0,"năm","lăm"),"sáu","bảy","tám","chín"))</f>
        <v/>
      </c>
      <c r="L64" s="4" t="str">
        <f>IF(L62=0,"",CHOOSE(L62,"một","hai","ba","bốn","năm","sáu","bảy","tám","chín"))</f>
        <v/>
      </c>
      <c r="M64" s="4" t="str">
        <f>IF(M62=0,IF(AND(L62&lt;&gt;0,N62&lt;&gt;0),"lẻ",""),CHOOSE(M62,"mười","hai","ba","bốn","năm","sáu","bảy","tám","chín"))</f>
        <v/>
      </c>
      <c r="N64" s="4" t="str">
        <f>IF(N62=0,"",CHOOSE(N62,IF(M62&gt;1,"mốt","một"),"hai","ba","bốn",IF(M62=0,"năm","lăm"),"sáu","bảy","tám","chín"))</f>
        <v/>
      </c>
      <c r="O64" s="4" t="str">
        <f>IF(O62=0,"",CHOOSE(O62,"một","hai","ba","bốn","năm","sáu","bảy","tám","chín"))</f>
        <v/>
      </c>
      <c r="P64" s="4" t="str">
        <f>IF(P62=0,IF(AND(O62&lt;&gt;0,Q62&lt;&gt;0),"lẻ",""),CHOOSE(P62,"mười","hai","ba","bốn","năm","sáu","bảy","tám","chín"))</f>
        <v/>
      </c>
      <c r="Q64" s="4" t="str">
        <f>IF(Q62=0,"",CHOOSE(Q62,IF(P62&gt;1,"mốt","một"),"hai","ba","bốn",IF(P62=0,"năm","lăm"),"sáu","bảy","tám","chín"))</f>
        <v/>
      </c>
    </row>
    <row r="65" spans="1:20" s="4" customFormat="1" hidden="1">
      <c r="A65" s="37"/>
      <c r="B65" s="37"/>
      <c r="C65" s="37"/>
      <c r="D65" s="37"/>
      <c r="E65" s="37"/>
      <c r="F65" s="37" t="str">
        <f>IF(F62=0,"","trăm")</f>
        <v/>
      </c>
      <c r="G65" s="38" t="str">
        <f>IF(G62=0,"",IF(G62=1,"","mươi"))</f>
        <v/>
      </c>
      <c r="H65" s="39" t="str">
        <f>IF(AND(H62=0,H63=0),"","tỷ")</f>
        <v/>
      </c>
      <c r="I65" s="37" t="str">
        <f>IF(I62=0,"","trăm")</f>
        <v/>
      </c>
      <c r="J65" s="37" t="str">
        <f>IF(J62=0,"",IF(J62=1,"","mươi"))</f>
        <v/>
      </c>
      <c r="K65" s="37" t="str">
        <f>IF(AND(K62=0,K63=0),"","triệu")</f>
        <v/>
      </c>
      <c r="L65" s="4" t="str">
        <f>IF(L62=0,"","trăm")</f>
        <v/>
      </c>
      <c r="M65" s="4" t="str">
        <f>IF(M62=0,"",IF(M62=1,"","mươi"))</f>
        <v/>
      </c>
      <c r="N65" s="4" t="str">
        <f>IF(AND(N62=0,N63=0),"","nghìn")</f>
        <v/>
      </c>
      <c r="O65" s="4" t="str">
        <f>IF(O62=0,"","trăm")</f>
        <v/>
      </c>
      <c r="P65" s="4" t="str">
        <f>IF(P62=0,"",IF(P62=1,"","mươi"))</f>
        <v/>
      </c>
      <c r="Q65" s="4" t="s">
        <v>223</v>
      </c>
    </row>
    <row r="66" spans="1:20" s="4" customFormat="1" hidden="1">
      <c r="A66" s="37"/>
      <c r="B66" s="37"/>
      <c r="C66" s="37"/>
      <c r="D66" s="37"/>
      <c r="E66" s="37"/>
      <c r="F66" s="37" t="str">
        <f>UPPER(LEFT(TRIM(IF(A61=0,"không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"&amp;Q65)),1))&amp;RIGHT(TRIM(IF(A61=0,"không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"&amp;Q65)),LEN(TRIM(IF(A61=0,"không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"&amp;Q65)))-1)</f>
        <v>Không đồng.</v>
      </c>
      <c r="G66" s="38"/>
      <c r="H66" s="39"/>
      <c r="I66" s="37"/>
      <c r="J66" s="37"/>
      <c r="K66" s="37"/>
    </row>
    <row r="67" spans="1:20" s="3" customFormat="1" ht="47.25" customHeight="1">
      <c r="A67" s="630" t="s">
        <v>224</v>
      </c>
      <c r="B67" s="630"/>
      <c r="C67" s="630" t="s">
        <v>225</v>
      </c>
      <c r="D67" s="630"/>
      <c r="E67" s="630"/>
      <c r="F67" s="631" t="s">
        <v>226</v>
      </c>
      <c r="G67" s="631"/>
      <c r="H67" s="631"/>
      <c r="I67" s="48"/>
      <c r="J67" s="54" t="s">
        <v>227</v>
      </c>
      <c r="K67" s="54"/>
    </row>
    <row r="68" spans="1:20" ht="22.5" customHeight="1">
      <c r="A68" s="47"/>
      <c r="B68" s="48"/>
      <c r="C68" s="48"/>
      <c r="D68" s="48"/>
      <c r="E68" s="48"/>
      <c r="F68" s="48"/>
      <c r="G68" s="48"/>
      <c r="H68" s="49"/>
      <c r="I68" s="48"/>
      <c r="J68" s="48"/>
      <c r="K68" s="55"/>
    </row>
    <row r="69" spans="1:20">
      <c r="A69" s="632"/>
      <c r="B69" s="632"/>
      <c r="C69" s="632"/>
      <c r="D69" s="632"/>
      <c r="E69" s="632"/>
      <c r="F69" s="632"/>
      <c r="G69" s="632"/>
      <c r="H69" s="632"/>
      <c r="I69" s="632"/>
      <c r="J69" s="632"/>
    </row>
    <row r="70" spans="1:20" s="5" customFormat="1">
      <c r="A70" s="50"/>
      <c r="B70" s="50"/>
      <c r="C70" s="633" t="s">
        <v>228</v>
      </c>
      <c r="D70" s="633"/>
      <c r="E70" s="633"/>
      <c r="F70" s="633" t="s">
        <v>229</v>
      </c>
      <c r="G70" s="633"/>
      <c r="H70" s="633"/>
      <c r="I70" s="634">
        <f ca="1">NOW()</f>
        <v>46123.426117708332</v>
      </c>
      <c r="J70" s="634"/>
    </row>
    <row r="71" spans="1:20">
      <c r="C71" s="51"/>
      <c r="D71" s="51"/>
      <c r="E71" s="51"/>
      <c r="I71" s="617" t="s">
        <v>230</v>
      </c>
      <c r="J71" s="617"/>
    </row>
    <row r="72" spans="1:20">
      <c r="A72" s="52"/>
    </row>
    <row r="74" spans="1:20">
      <c r="A74" s="618" t="s">
        <v>231</v>
      </c>
      <c r="B74" s="618"/>
      <c r="C74" s="618"/>
      <c r="D74" s="618"/>
      <c r="E74" s="618"/>
      <c r="F74" s="618"/>
      <c r="G74" s="618"/>
      <c r="H74" s="618"/>
      <c r="I74" s="618"/>
      <c r="J74" s="618"/>
      <c r="K74" s="618"/>
      <c r="T74" s="10" t="s">
        <v>185</v>
      </c>
    </row>
    <row r="76" spans="1:20">
      <c r="C76" s="53"/>
      <c r="D76" s="53"/>
      <c r="E76" s="53"/>
    </row>
    <row r="77" spans="1:20" s="6" customFormat="1">
      <c r="C77" s="53"/>
      <c r="D77" s="53"/>
      <c r="E77" s="53"/>
      <c r="G77" s="7"/>
      <c r="H77" s="8"/>
      <c r="I77" s="9"/>
      <c r="J77" s="9"/>
      <c r="K77" s="10"/>
      <c r="L77" s="10"/>
      <c r="M77" s="10"/>
      <c r="N77" s="10"/>
      <c r="O77" s="10"/>
      <c r="P77" s="10"/>
      <c r="Q77" s="10"/>
      <c r="R77" s="10"/>
      <c r="S77" s="10"/>
      <c r="T77" s="10"/>
    </row>
  </sheetData>
  <mergeCells count="37">
    <mergeCell ref="I71:J71"/>
    <mergeCell ref="A74:K74"/>
    <mergeCell ref="A12:A13"/>
    <mergeCell ref="B12:B13"/>
    <mergeCell ref="C12:C13"/>
    <mergeCell ref="D12:D13"/>
    <mergeCell ref="G12:G13"/>
    <mergeCell ref="E12:F13"/>
    <mergeCell ref="I12:J13"/>
    <mergeCell ref="A67:B67"/>
    <mergeCell ref="C67:E67"/>
    <mergeCell ref="F67:H67"/>
    <mergeCell ref="A69:J69"/>
    <mergeCell ref="C70:E70"/>
    <mergeCell ref="F70:H70"/>
    <mergeCell ref="I70:J70"/>
    <mergeCell ref="E58:F58"/>
    <mergeCell ref="A59:G59"/>
    <mergeCell ref="I59:J59"/>
    <mergeCell ref="C60:J60"/>
    <mergeCell ref="A61:B61"/>
    <mergeCell ref="E16:F16"/>
    <mergeCell ref="E54:F54"/>
    <mergeCell ref="E55:F55"/>
    <mergeCell ref="E56:F56"/>
    <mergeCell ref="E57:F57"/>
    <mergeCell ref="H7:I7"/>
    <mergeCell ref="C9:L9"/>
    <mergeCell ref="E14:F14"/>
    <mergeCell ref="I14:J14"/>
    <mergeCell ref="E15:F15"/>
    <mergeCell ref="I1:J1"/>
    <mergeCell ref="A3:C3"/>
    <mergeCell ref="C4:H4"/>
    <mergeCell ref="C5:H5"/>
    <mergeCell ref="I6:J6"/>
    <mergeCell ref="D2:G3"/>
  </mergeCells>
  <pageMargins left="0.25" right="0" top="0.16" bottom="0.24" header="0.1" footer="0.3"/>
  <pageSetup paperSize="11" scale="72" fitToHeight="0" orientation="landscape"/>
  <colBreaks count="1" manualBreakCount="1">
    <brk id="10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PKL</vt:lpstr>
      <vt:lpstr>INV</vt:lpstr>
      <vt:lpstr>TEM</vt:lpstr>
      <vt:lpstr>DELIVERY INSTRUCTION</vt:lpstr>
      <vt:lpstr>SC</vt:lpstr>
      <vt:lpstr>IN PHIẾU XUẤT </vt:lpstr>
      <vt:lpstr>'IN PHIẾU XUẤT '!Print_Area</vt:lpstr>
      <vt:lpstr>INV!Print_Area</vt:lpstr>
      <vt:lpstr>PKL!Print_Area</vt:lpstr>
      <vt:lpstr>SC!Print_Area</vt:lpstr>
      <vt:lpstr>TEM!Print_Area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2025-12-31T02:29:11Z</cp:lastPrinted>
  <dcterms:created xsi:type="dcterms:W3CDTF">2025-02-05T09:50:00Z</dcterms:created>
  <dcterms:modified xsi:type="dcterms:W3CDTF">2026-04-11T03:14:13Z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61BDF50E8D934AA182C92DE72AEFE3C5_12</vt:lpwstr>
  </property>
  <property fmtid="{D5CDD505-2E9C-101B-9397-08002B2CF9AE}" pid="3" name="KSOProductBuildVer">
    <vt:lpwstr>1033-12.2.0.23155</vt:lpwstr>
  </property>
</Properties>
</file>