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要發出布文件\9 月2026年\60 Pkgs VN to Nirwana(Sep 17 ETC  Sep 21 delay to 25 ) Universal\"/>
    </mc:Choice>
  </mc:AlternateContent>
  <xr:revisionPtr revIDLastSave="0" documentId="13_ncr:1_{A5243262-B646-4462-9C09-BBC60340B5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VOICE" sheetId="2" r:id="rId1"/>
    <sheet name="PACKING LIST" sheetId="4" r:id="rId2"/>
  </sheets>
  <calcPr calcId="181029"/>
</workbook>
</file>

<file path=xl/calcChain.xml><?xml version="1.0" encoding="utf-8"?>
<calcChain xmlns="http://schemas.openxmlformats.org/spreadsheetml/2006/main">
  <c r="J76" i="2" l="1"/>
  <c r="F76" i="2"/>
  <c r="C76" i="2"/>
  <c r="K147" i="4"/>
  <c r="F148" i="4"/>
  <c r="J147" i="4"/>
  <c r="F147" i="4"/>
  <c r="E147" i="4"/>
  <c r="E76" i="2"/>
  <c r="E77" i="2"/>
  <c r="J73" i="2"/>
  <c r="F137" i="4"/>
  <c r="F134" i="4"/>
  <c r="E70" i="2"/>
  <c r="J70" i="2" s="1"/>
  <c r="E67" i="2"/>
  <c r="J67" i="2" s="1"/>
  <c r="J68" i="2"/>
  <c r="J69" i="2"/>
</calcChain>
</file>

<file path=xl/sharedStrings.xml><?xml version="1.0" encoding="utf-8"?>
<sst xmlns="http://schemas.openxmlformats.org/spreadsheetml/2006/main" count="504" uniqueCount="212">
  <si>
    <t xml:space="preserve">UNIVERSAL STAR CORPORATION </t>
  </si>
  <si>
    <t>Unit 25, 2nd Floor, Nia Mall, Saleufi Street, Apia, Samoa
  TEL:+886-3-4653870  FAX:+886-3-4378135</t>
  </si>
  <si>
    <t>COMMERCIAL INVOICE</t>
  </si>
  <si>
    <t>INVOICE NO:</t>
  </si>
  <si>
    <t>DATE:</t>
  </si>
  <si>
    <t>17/SEP/2026</t>
  </si>
  <si>
    <t>INVOICE OF AS DESCRIPTION</t>
  </si>
  <si>
    <t>CONSIGNEE:</t>
  </si>
  <si>
    <t>PT. NIRWANA ALABARE GARMENT</t>
  </si>
  <si>
    <t>JL. RAYA RANCAEKEK - MAJALAYA NO.289, DESA SOLOKAN JERUK, KEC.SOLOKAN JERUK, KABUPATEN BANDUNG, JAWA BARAT 40382 INDONESIA. TAX Code: 0745 4069 2644 4000</t>
  </si>
  <si>
    <t>TEL:6222 85962076</t>
  </si>
  <si>
    <t>BENEFICIARY</t>
  </si>
  <si>
    <t>SHIPPER</t>
  </si>
  <si>
    <t>HUGE – BAMBOO ENTERPRISE  Co., LTD</t>
  </si>
  <si>
    <t xml:space="preserve">LOT H-2-CN, LOT H-1B-CN MY PHUOC INDUSTRIAL PARK, BEN CAT WARD, HO CHI MINH CITY, VIETNAM. </t>
  </si>
  <si>
    <t>TEL:+84-274-3566566 FAX:+84-274-3566588</t>
  </si>
  <si>
    <t>SAILING ON OR ABOUT:</t>
  </si>
  <si>
    <t>TO:</t>
  </si>
  <si>
    <t>DESCRIPTION OF GOOD</t>
  </si>
  <si>
    <t>KNITTED FABRIC</t>
  </si>
  <si>
    <t>QUANTITY</t>
  </si>
  <si>
    <t>UNIT PRICE</t>
  </si>
  <si>
    <t>COLOR</t>
  </si>
  <si>
    <t>ROLLS</t>
  </si>
  <si>
    <t>METER</t>
  </si>
  <si>
    <t>NET WEIGHT</t>
  </si>
  <si>
    <t>(USD/YD)</t>
  </si>
  <si>
    <t>AMOUNT</t>
  </si>
  <si>
    <t>FOC</t>
  </si>
  <si>
    <t>Container NO:</t>
  </si>
  <si>
    <t/>
  </si>
  <si>
    <t>S.C.NO:</t>
  </si>
  <si>
    <t>T2613107C1</t>
  </si>
  <si>
    <t>P.O.:</t>
  </si>
  <si>
    <t>6K060504A07~A09/O01~O02/R04;6K060816A01~A05;6K060Q01A14~AA15/C10~C11/D11~D13/…</t>
  </si>
  <si>
    <t>STYLE NO:</t>
  </si>
  <si>
    <t>CU1100;AY9687;XM6930</t>
  </si>
  <si>
    <t>CONTENTS:</t>
  </si>
  <si>
    <t>100% POLYESTER</t>
  </si>
  <si>
    <t>#200001 100% Polyester Lining Mesh-Warp Knit 60inch x62gsm   &lt; HS CODE: 60053790 &gt;</t>
  </si>
  <si>
    <t>Black</t>
  </si>
  <si>
    <t>KGS</t>
  </si>
  <si>
    <t>USD</t>
  </si>
  <si>
    <t>Marine Light</t>
  </si>
  <si>
    <t>Nocturnal</t>
  </si>
  <si>
    <t>Vintage Blue</t>
  </si>
  <si>
    <t>88% NYLON+12% ELASTANE</t>
  </si>
  <si>
    <t>#035904 88% Nylon 12% Elastane Power Mesh 54inch x145gsm &lt; HS CODE: 60041010 &gt;</t>
  </si>
  <si>
    <t>Columbia Grey</t>
  </si>
  <si>
    <t>White</t>
  </si>
  <si>
    <t>88% POLYESTER+12% ELASTANE</t>
  </si>
  <si>
    <t>#093536 88% Polyester 12% Elastane S19 Y Jersey base for rash guards 58inch x205gsm   &lt; HS CODE: 60041010 &gt;</t>
  </si>
  <si>
    <t>Aura</t>
  </si>
  <si>
    <t>Canyon Blue</t>
  </si>
  <si>
    <t>Guava Pink</t>
  </si>
  <si>
    <t>Phoenix Blue</t>
  </si>
  <si>
    <t>Satin Pink</t>
  </si>
  <si>
    <t>Violet Haze</t>
  </si>
  <si>
    <t>T2613107C1-01</t>
  </si>
  <si>
    <t>6K060Q01K05~K06</t>
  </si>
  <si>
    <t>CU1100</t>
  </si>
  <si>
    <t>TOTAL:</t>
  </si>
  <si>
    <t>SHIPPING MARK</t>
  </si>
  <si>
    <t>P.O:</t>
  </si>
  <si>
    <t>S.C:</t>
  </si>
  <si>
    <t>STYLE:</t>
  </si>
  <si>
    <t>COLOR:</t>
  </si>
  <si>
    <t>BUY DATE:</t>
  </si>
  <si>
    <t>ITEM:</t>
  </si>
  <si>
    <t>MADE IN VIET NAM</t>
  </si>
  <si>
    <t>PACKING LIST</t>
  </si>
  <si>
    <t>ROLL NO.</t>
  </si>
  <si>
    <t>CUS_NW</t>
  </si>
  <si>
    <t>NW</t>
  </si>
  <si>
    <t>LBS</t>
  </si>
  <si>
    <t>GW</t>
  </si>
  <si>
    <t>Container No:</t>
  </si>
  <si>
    <t>DESCRIPTION:</t>
  </si>
  <si>
    <t>226818200</t>
  </si>
  <si>
    <t>1-22</t>
  </si>
  <si>
    <t>2VE</t>
  </si>
  <si>
    <t xml:space="preserve">subTot: </t>
  </si>
  <si>
    <t>226714022-1</t>
  </si>
  <si>
    <t>1-2</t>
  </si>
  <si>
    <t>2BG</t>
  </si>
  <si>
    <t>226718056-5</t>
  </si>
  <si>
    <t>1-9</t>
  </si>
  <si>
    <t>6OW</t>
  </si>
  <si>
    <t>226718056-4</t>
  </si>
  <si>
    <t>58MN</t>
  </si>
  <si>
    <t>226713145-1</t>
  </si>
  <si>
    <t>1-6</t>
  </si>
  <si>
    <t>2GY</t>
  </si>
  <si>
    <t>226818201</t>
  </si>
  <si>
    <t>1-8</t>
  </si>
  <si>
    <t>2VI</t>
  </si>
  <si>
    <t>126702309-3</t>
  </si>
  <si>
    <t>1UV</t>
  </si>
  <si>
    <t>126817251</t>
  </si>
  <si>
    <t>1-4</t>
  </si>
  <si>
    <t>1UW</t>
  </si>
  <si>
    <t>126817245</t>
  </si>
  <si>
    <t>1UX</t>
  </si>
  <si>
    <t>126818009</t>
  </si>
  <si>
    <t>1UY</t>
  </si>
  <si>
    <t>2UY</t>
  </si>
  <si>
    <t>3UY</t>
  </si>
  <si>
    <t>4UY</t>
  </si>
  <si>
    <t>5UY</t>
  </si>
  <si>
    <t>126811173</t>
  </si>
  <si>
    <t>1-3</t>
  </si>
  <si>
    <t>1UZ</t>
  </si>
  <si>
    <t>2UZ</t>
  </si>
  <si>
    <t>3UZ</t>
  </si>
  <si>
    <t>4UZ</t>
  </si>
  <si>
    <t>5UZ</t>
  </si>
  <si>
    <t>6UZ</t>
  </si>
  <si>
    <t>126916003</t>
  </si>
  <si>
    <t>7UZ</t>
  </si>
  <si>
    <t>126811210</t>
  </si>
  <si>
    <t>1VA</t>
  </si>
  <si>
    <t>2VA</t>
  </si>
  <si>
    <t>3VA</t>
  </si>
  <si>
    <t>4VA</t>
  </si>
  <si>
    <t>126828004</t>
  </si>
  <si>
    <t>1-5</t>
  </si>
  <si>
    <t>1VB</t>
  </si>
  <si>
    <t>2VB</t>
  </si>
  <si>
    <t>3VB</t>
  </si>
  <si>
    <t>4VB</t>
  </si>
  <si>
    <t>5VB</t>
  </si>
  <si>
    <t>126912172</t>
  </si>
  <si>
    <t>6VB</t>
  </si>
  <si>
    <t>126811215</t>
  </si>
  <si>
    <t>1-11</t>
  </si>
  <si>
    <t>1VC</t>
  </si>
  <si>
    <t>2VC</t>
  </si>
  <si>
    <t>3VC</t>
  </si>
  <si>
    <t>126916002</t>
  </si>
  <si>
    <t>1-12</t>
  </si>
  <si>
    <t>4VC</t>
  </si>
  <si>
    <t>126811191</t>
  </si>
  <si>
    <t>1VD</t>
  </si>
  <si>
    <t>2VD</t>
  </si>
  <si>
    <t>3VD</t>
  </si>
  <si>
    <t>4VD</t>
  </si>
  <si>
    <t>126821089</t>
  </si>
  <si>
    <t>1VJ</t>
  </si>
  <si>
    <t>126821091</t>
  </si>
  <si>
    <t>1VK</t>
  </si>
  <si>
    <t>126702309-6</t>
  </si>
  <si>
    <t>DS3</t>
  </si>
  <si>
    <t>126829028</t>
  </si>
  <si>
    <t>1HV</t>
  </si>
  <si>
    <t>SAY TOTAL Q'TY</t>
  </si>
  <si>
    <t>1,340.6 LBS</t>
  </si>
  <si>
    <t>2,135.13 MTS</t>
  </si>
  <si>
    <r>
      <rPr>
        <b/>
        <sz val="10"/>
        <color theme="1"/>
        <rFont val="Body Font"/>
        <family val="2"/>
      </rPr>
      <t>SHIPMENT OF (GOODS):</t>
    </r>
    <r>
      <rPr>
        <sz val="10"/>
        <color theme="1"/>
        <rFont val="Body Font"/>
        <family val="2"/>
      </rPr>
      <t xml:space="preserve"> AS BELOW</t>
    </r>
    <phoneticPr fontId="1" type="noConversion"/>
  </si>
  <si>
    <t>T2613107C1</t>
    <phoneticPr fontId="1" type="noConversion"/>
  </si>
  <si>
    <t>T2613107C1-01</t>
    <phoneticPr fontId="1" type="noConversion"/>
  </si>
  <si>
    <t>6K060504A07~A09/O01~O02/R04;6K060816A01~A05;6K060Q01A14~AA15/C10~C11/D11~D13/…</t>
    <phoneticPr fontId="1" type="noConversion"/>
  </si>
  <si>
    <t>6K060Q01K05~K06</t>
    <phoneticPr fontId="1" type="noConversion"/>
  </si>
  <si>
    <t>#200001 100% Polyester Lining Mesh-Warp Knit 60inch x62gsm   &lt; HS CODE: 60053790 &gt;</t>
    <phoneticPr fontId="1" type="noConversion"/>
  </si>
  <si>
    <t>CU1100;AY9687;XM6930</t>
    <phoneticPr fontId="1" type="noConversion"/>
  </si>
  <si>
    <t>HB/PTNAG2609167</t>
    <phoneticPr fontId="1" type="noConversion"/>
  </si>
  <si>
    <t>CS S27 0729 BUY</t>
    <phoneticPr fontId="1" type="noConversion"/>
  </si>
  <si>
    <t>FU KWOK KNITTING &amp; GARMENT CO., LTD.</t>
    <phoneticPr fontId="1" type="noConversion"/>
  </si>
  <si>
    <t>No. 110, Nanzih Dist., Kaohsiung City 811, Taiwan (R.O.C.)</t>
    <phoneticPr fontId="1" type="noConversion"/>
  </si>
  <si>
    <t xml:space="preserve">Shipped by </t>
    <phoneticPr fontId="1" type="noConversion"/>
  </si>
  <si>
    <t>NIRWANA-S27-0729UY / 6K060253.807 / AJ1495/XE2196</t>
    <phoneticPr fontId="17" type="noConversion"/>
  </si>
  <si>
    <t>BUTTON</t>
    <phoneticPr fontId="1" type="noConversion"/>
  </si>
  <si>
    <t>#400070- P51212 RODS P3 GV,4HOLES,L20 V32807 MATT</t>
    <phoneticPr fontId="1" type="noConversion"/>
  </si>
  <si>
    <t>#097383- P57385 RODS P2 GV,4HOLES,L20,M32151 MATT</t>
    <phoneticPr fontId="1" type="noConversion"/>
  </si>
  <si>
    <t>#001601- P5155 RODS P1 GV,4HOLES,L20,V13560 MATT</t>
    <phoneticPr fontId="1" type="noConversion"/>
  </si>
  <si>
    <t>#097376- P57531 GALASTIL  GV,4HOLES,L20,M38368 MATT</t>
    <phoneticPr fontId="1" type="noConversion"/>
  </si>
  <si>
    <t>1-15</t>
    <phoneticPr fontId="1" type="noConversion"/>
  </si>
  <si>
    <t>ELASTIC WITH SILCONE DOT</t>
    <phoneticPr fontId="1" type="noConversion"/>
  </si>
  <si>
    <t xml:space="preserve">#114718-1 W:20mm </t>
    <phoneticPr fontId="1" type="noConversion"/>
  </si>
  <si>
    <t>NIRWANA-S27-0729UY / 6K060Q01</t>
    <phoneticPr fontId="17" type="noConversion"/>
  </si>
  <si>
    <t>1-2</t>
    <phoneticPr fontId="1" type="noConversion"/>
  </si>
  <si>
    <t>43 ROLLS + 17 CTNS</t>
    <phoneticPr fontId="1" type="noConversion"/>
  </si>
  <si>
    <t>4,757 YARDS</t>
    <phoneticPr fontId="1" type="noConversion"/>
  </si>
  <si>
    <t>356,806 PCS</t>
    <phoneticPr fontId="1" type="noConversion"/>
  </si>
  <si>
    <t>800.12 G.W</t>
    <phoneticPr fontId="1" type="noConversion"/>
  </si>
  <si>
    <t>768.42 N.W</t>
    <phoneticPr fontId="1" type="noConversion"/>
  </si>
  <si>
    <t>PT. NIRWANA ALABARE</t>
  </si>
  <si>
    <t>GARMENT</t>
  </si>
  <si>
    <t>BUY DATE:S27 0729BUY</t>
  </si>
  <si>
    <r>
      <t>6K060504A07</t>
    </r>
    <r>
      <rPr>
        <b/>
        <sz val="9"/>
        <color rgb="FF000000"/>
        <rFont val="新細明體"/>
        <family val="1"/>
        <charset val="136"/>
      </rPr>
      <t>〜</t>
    </r>
    <r>
      <rPr>
        <b/>
        <sz val="9"/>
        <color rgb="FF000000"/>
        <rFont val="Arial"/>
        <family val="2"/>
      </rPr>
      <t>A09/O01</t>
    </r>
    <r>
      <rPr>
        <b/>
        <sz val="9"/>
        <color rgb="FF000000"/>
        <rFont val="新細明體"/>
        <family val="1"/>
        <charset val="136"/>
      </rPr>
      <t xml:space="preserve">〜 </t>
    </r>
    <r>
      <rPr>
        <b/>
        <sz val="9"/>
        <color rgb="FF000000"/>
        <rFont val="Arial"/>
        <family val="2"/>
      </rPr>
      <t>002/R04;6K060816A01</t>
    </r>
    <r>
      <rPr>
        <b/>
        <sz val="9"/>
        <color rgb="FF000000"/>
        <rFont val="新細明體"/>
        <family val="1"/>
        <charset val="136"/>
      </rPr>
      <t xml:space="preserve">〜 </t>
    </r>
    <r>
      <rPr>
        <b/>
        <sz val="9"/>
        <color rgb="FF000000"/>
        <rFont val="Arial"/>
        <family val="2"/>
      </rPr>
      <t>A05;6K060Q01A14</t>
    </r>
    <r>
      <rPr>
        <b/>
        <sz val="9"/>
        <color rgb="FF000000"/>
        <rFont val="新細明體"/>
        <family val="1"/>
        <charset val="136"/>
      </rPr>
      <t>〜</t>
    </r>
    <r>
      <rPr>
        <b/>
        <sz val="9"/>
        <color rgb="FF000000"/>
        <rFont val="Arial"/>
        <family val="2"/>
      </rPr>
      <t>AA15/ C10</t>
    </r>
    <r>
      <rPr>
        <b/>
        <sz val="9"/>
        <color rgb="FF000000"/>
        <rFont val="新細明體"/>
        <family val="1"/>
        <charset val="136"/>
      </rPr>
      <t>〜</t>
    </r>
    <r>
      <rPr>
        <b/>
        <sz val="9"/>
        <color rgb="FF000000"/>
        <rFont val="Arial"/>
        <family val="2"/>
      </rPr>
      <t>C11/D11</t>
    </r>
    <r>
      <rPr>
        <b/>
        <sz val="9"/>
        <color rgb="FF000000"/>
        <rFont val="新細明體"/>
        <family val="1"/>
        <charset val="136"/>
      </rPr>
      <t>〜</t>
    </r>
    <r>
      <rPr>
        <b/>
        <sz val="9"/>
        <color rgb="FF000000"/>
        <rFont val="Arial"/>
        <family val="2"/>
      </rPr>
      <t>D13/...; 6K060Q01K05</t>
    </r>
    <r>
      <rPr>
        <b/>
        <sz val="9"/>
        <color rgb="FF000000"/>
        <rFont val="新細明體"/>
        <family val="1"/>
        <charset val="136"/>
      </rPr>
      <t>〜</t>
    </r>
    <r>
      <rPr>
        <b/>
        <sz val="9"/>
        <color rgb="FF000000"/>
        <rFont val="Arial"/>
        <family val="2"/>
      </rPr>
      <t>K06 S.C: T2613107C1; T2613107C1-01 STYLE:</t>
    </r>
  </si>
  <si>
    <t>54"X145GSM; 093536</t>
  </si>
  <si>
    <t>58"X205GSM; 200001</t>
  </si>
  <si>
    <t>60"X62GSM</t>
  </si>
  <si>
    <t>ITEM: 035904</t>
    <phoneticPr fontId="1" type="noConversion"/>
  </si>
  <si>
    <t>MADE IN VIETNAM</t>
    <phoneticPr fontId="1" type="noConversion"/>
  </si>
  <si>
    <t>NIRWANA</t>
  </si>
  <si>
    <t>PT NIRWANA ALABARE</t>
  </si>
  <si>
    <t>P.O: 6K060Q01Z03</t>
  </si>
  <si>
    <t>STYLE: ELASTIC WITH SILICONE</t>
  </si>
  <si>
    <t>DOT</t>
  </si>
  <si>
    <t>COLOR: WHITE-BLACK ITEM/PDM: #114718-1 ROLL:</t>
  </si>
  <si>
    <t>N.W.: 36.02 G.W.: 39.02 CTN NO.: 2</t>
  </si>
  <si>
    <t>BUY DATE: 11-09-2026 MADE IN: VIETNAM</t>
  </si>
  <si>
    <t>GRITTI VIETNAM CO., LTD PACKING LIST NO. 41123 DATE 12.SEP.2026 SHIP-TO-PARTY:</t>
  </si>
  <si>
    <t>CTN NO ARTICLE PI NO</t>
  </si>
  <si>
    <t>CUSTOMER ARTICLE CUSTOMER ORDER NO HEADQUARTER ORDER QTY FOC</t>
  </si>
  <si>
    <t>NET WEIGHT GROSS WEIGHT MADE IN VIETNAM BY GRITTI VIETNAM CO., LTD PACKING LIST NO. 41139 DATE 14.SEP.2026 SHIP-TO-PARTY:</t>
  </si>
  <si>
    <t xml:space="preserve">CTN NO ARTICLE  </t>
    <phoneticPr fontId="1" type="noConversion"/>
  </si>
  <si>
    <t>YARDS/PCS</t>
    <phoneticPr fontId="1" type="noConversion"/>
  </si>
  <si>
    <t>R/CTN</t>
    <phoneticPr fontId="1" type="noConversion"/>
  </si>
  <si>
    <t>SAY TOTAL US DOLLARS: FIFTEEN THOUSAND SEVENTY SEVEN AND CENTS EIGHTY SEVEN ONLY.</t>
    <phoneticPr fontId="1" type="noConversion"/>
  </si>
  <si>
    <t>KMTC SURABAYA 2607S</t>
    <phoneticPr fontId="1" type="noConversion"/>
  </si>
  <si>
    <t>PKGS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</si>
</sst>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&quot;$&quot;#,##0_);\(&quot;$&quot;#,##0\)"/>
    <numFmt numFmtId="177" formatCode="_(* #,##0.00_);_(* \(#,##0.00\);_(* &quot;-&quot;??_);_(@_)"/>
    <numFmt numFmtId="178" formatCode="#,##0_ "/>
    <numFmt numFmtId="179" formatCode="#,##0.00_ "/>
    <numFmt numFmtId="180" formatCode="#,##0.000_ "/>
    <numFmt numFmtId="181" formatCode="0.0_ "/>
    <numFmt numFmtId="182" formatCode="0_ "/>
    <numFmt numFmtId="183" formatCode="yyyy/m/d;@"/>
    <numFmt numFmtId="184" formatCode="#,##0.0;[Red]#,##0.0"/>
    <numFmt numFmtId="185" formatCode="0.00_);[Red]\(0.00\)"/>
    <numFmt numFmtId="186" formatCode="##\ &quot;Y&quot;"/>
    <numFmt numFmtId="187" formatCode="#,###\ &quot;PCS&quot;"/>
    <numFmt numFmtId="188" formatCode="#,###\ &quot;Y&quot;"/>
    <numFmt numFmtId="189" formatCode="#,##0.00;[Red]#,##0.00"/>
    <numFmt numFmtId="190" formatCode="0.00_ "/>
  </numFmts>
  <fonts count="25">
    <font>
      <sz val="12"/>
      <color theme="1"/>
      <name val="Body Font"/>
      <family val="2"/>
    </font>
    <font>
      <sz val="12"/>
      <color indexed="8"/>
      <name val="新細明體"/>
      <family val="1"/>
    </font>
    <font>
      <sz val="10"/>
      <name val="Arial"/>
      <family val="2"/>
    </font>
    <font>
      <sz val="12"/>
      <name val="新細明體"/>
      <family val="1"/>
    </font>
    <font>
      <sz val="12"/>
      <color theme="1"/>
      <name val="新細明體"/>
      <family val="1"/>
      <scheme val="minor"/>
    </font>
    <font>
      <sz val="12"/>
      <color theme="1"/>
      <name val="新細明體"/>
      <family val="2"/>
      <scheme val="minor"/>
    </font>
    <font>
      <sz val="12"/>
      <color theme="1"/>
      <name val="Body Font"/>
      <family val="1"/>
    </font>
    <font>
      <b/>
      <sz val="12"/>
      <color theme="1"/>
      <name val="Body Font"/>
      <family val="1"/>
    </font>
    <font>
      <sz val="10"/>
      <color theme="1"/>
      <name val="Body Font"/>
      <family val="1"/>
    </font>
    <font>
      <sz val="10"/>
      <color theme="1"/>
      <name val="Body Font"/>
      <family val="2"/>
    </font>
    <font>
      <sz val="12"/>
      <color theme="1"/>
      <name val="Body Font"/>
      <family val="2"/>
    </font>
    <font>
      <sz val="12"/>
      <color theme="1"/>
      <name val="Body Font"/>
      <family val="2"/>
    </font>
    <font>
      <b/>
      <sz val="10"/>
      <color theme="1"/>
      <name val="Body Font"/>
    </font>
    <font>
      <b/>
      <sz val="10"/>
      <color theme="1"/>
      <name val="Body Font"/>
      <family val="2"/>
    </font>
    <font>
      <b/>
      <u/>
      <sz val="10"/>
      <color theme="1"/>
      <name val="Body Font"/>
      <family val="2"/>
    </font>
    <font>
      <u/>
      <sz val="10"/>
      <color theme="1"/>
      <name val="Body Font"/>
      <family val="2"/>
    </font>
    <font>
      <b/>
      <sz val="10"/>
      <color rgb="FFFF0000"/>
      <name val="Body Font"/>
      <family val="1"/>
      <charset val="136"/>
    </font>
    <font>
      <sz val="9"/>
      <name val="新細明體"/>
      <family val="1"/>
      <charset val="136"/>
    </font>
    <font>
      <sz val="12"/>
      <color theme="1"/>
      <name val="Arial Unicode MS"/>
      <family val="1"/>
      <charset val="136"/>
    </font>
    <font>
      <sz val="12"/>
      <color theme="1"/>
      <name val="新細明體"/>
      <family val="1"/>
      <charset val="136"/>
    </font>
    <font>
      <sz val="10"/>
      <color theme="1"/>
      <name val="新細明體"/>
      <family val="1"/>
      <charset val="136"/>
    </font>
    <font>
      <b/>
      <sz val="10"/>
      <color theme="1"/>
      <name val="Body Font"/>
      <family val="1"/>
      <charset val="136"/>
    </font>
    <font>
      <b/>
      <sz val="9"/>
      <color rgb="FF000000"/>
      <name val="Arial"/>
      <family val="2"/>
    </font>
    <font>
      <b/>
      <sz val="9"/>
      <color rgb="FF000000"/>
      <name val="新細明體"/>
      <family val="1"/>
      <charset val="136"/>
    </font>
    <font>
      <sz val="10"/>
      <color theme="1"/>
      <name val="Body Font"/>
      <family val="1"/>
      <charset val="136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dashDot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/>
      <bottom style="medium">
        <color indexed="64"/>
      </bottom>
      <diagonal/>
    </border>
  </borders>
  <cellStyleXfs count="39">
    <xf numFmtId="0" fontId="0" fillId="0" borderId="0">
      <alignment vertical="center"/>
    </xf>
    <xf numFmtId="0" fontId="2" fillId="0" borderId="0"/>
    <xf numFmtId="0" fontId="1" fillId="0" borderId="0">
      <alignment vertical="center"/>
    </xf>
    <xf numFmtId="0" fontId="3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7" fontId="1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177" fontId="1" fillId="0" borderId="0">
      <alignment vertical="center"/>
    </xf>
    <xf numFmtId="0" fontId="2" fillId="0" borderId="0"/>
    <xf numFmtId="176" fontId="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>
      <alignment vertical="center"/>
    </xf>
  </cellStyleXfs>
  <cellXfs count="134">
    <xf numFmtId="0" fontId="0" fillId="0" borderId="0" xfId="0">
      <alignment vertical="center"/>
    </xf>
    <xf numFmtId="49" fontId="6" fillId="0" borderId="0" xfId="0" applyNumberFormat="1" applyFont="1" applyAlignment="1">
      <alignment horizontal="left" vertical="center" shrinkToFit="1"/>
    </xf>
    <xf numFmtId="49" fontId="7" fillId="0" borderId="0" xfId="0" applyNumberFormat="1" applyFont="1" applyAlignment="1">
      <alignment vertical="center" shrinkToFit="1"/>
    </xf>
    <xf numFmtId="182" fontId="6" fillId="0" borderId="0" xfId="0" applyNumberFormat="1" applyFont="1" applyAlignment="1">
      <alignment horizontal="right" vertical="center" shrinkToFit="1"/>
    </xf>
    <xf numFmtId="182" fontId="6" fillId="0" borderId="1" xfId="0" applyNumberFormat="1" applyFont="1" applyBorder="1" applyAlignment="1">
      <alignment horizontal="right" vertical="center" shrinkToFit="1"/>
    </xf>
    <xf numFmtId="182" fontId="6" fillId="0" borderId="5" xfId="0" applyNumberFormat="1" applyFont="1" applyBorder="1" applyAlignment="1">
      <alignment horizontal="right" vertical="center" shrinkToFit="1"/>
    </xf>
    <xf numFmtId="182" fontId="7" fillId="0" borderId="7" xfId="0" applyNumberFormat="1" applyFont="1" applyBorder="1" applyAlignment="1">
      <alignment horizontal="right" vertical="center" shrinkToFit="1"/>
    </xf>
    <xf numFmtId="49" fontId="9" fillId="0" borderId="0" xfId="0" applyNumberFormat="1" applyFont="1" applyAlignment="1">
      <alignment horizontal="left" vertical="top" wrapText="1" shrinkToFit="1"/>
    </xf>
    <xf numFmtId="49" fontId="9" fillId="0" borderId="0" xfId="0" applyNumberFormat="1" applyFont="1" applyAlignment="1">
      <alignment horizontal="left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0" xfId="0" applyNumberFormat="1" applyFont="1" applyAlignment="1">
      <alignment horizontal="left" vertical="center"/>
    </xf>
    <xf numFmtId="182" fontId="13" fillId="0" borderId="0" xfId="0" applyNumberFormat="1" applyFont="1" applyAlignment="1">
      <alignment horizontal="right" vertical="center" shrinkToFit="1"/>
    </xf>
    <xf numFmtId="184" fontId="13" fillId="0" borderId="0" xfId="0" applyNumberFormat="1" applyFont="1" applyAlignment="1">
      <alignment horizontal="right" vertical="center" shrinkToFit="1"/>
    </xf>
    <xf numFmtId="178" fontId="13" fillId="0" borderId="0" xfId="0" applyNumberFormat="1" applyFont="1" applyAlignment="1">
      <alignment horizontal="right" vertical="center" shrinkToFit="1"/>
    </xf>
    <xf numFmtId="179" fontId="13" fillId="0" borderId="0" xfId="0" applyNumberFormat="1" applyFont="1" applyAlignment="1">
      <alignment horizontal="right" vertical="center" shrinkToFit="1"/>
    </xf>
    <xf numFmtId="182" fontId="9" fillId="0" borderId="0" xfId="0" applyNumberFormat="1" applyFont="1" applyAlignment="1">
      <alignment horizontal="right" vertical="center" shrinkToFit="1"/>
    </xf>
    <xf numFmtId="184" fontId="9" fillId="0" borderId="0" xfId="0" applyNumberFormat="1" applyFont="1" applyAlignment="1">
      <alignment horizontal="right" vertical="center" shrinkToFit="1"/>
    </xf>
    <xf numFmtId="178" fontId="9" fillId="0" borderId="0" xfId="0" applyNumberFormat="1" applyFont="1" applyAlignment="1">
      <alignment horizontal="right" vertical="center" shrinkToFit="1"/>
    </xf>
    <xf numFmtId="49" fontId="9" fillId="0" borderId="0" xfId="0" applyNumberFormat="1" applyFont="1" applyAlignment="1">
      <alignment horizontal="left" vertical="center"/>
    </xf>
    <xf numFmtId="179" fontId="9" fillId="0" borderId="0" xfId="0" applyNumberFormat="1" applyFont="1" applyAlignment="1">
      <alignment horizontal="right" vertical="center" shrinkToFit="1"/>
    </xf>
    <xf numFmtId="49" fontId="13" fillId="0" borderId="0" xfId="0" applyNumberFormat="1" applyFont="1" applyAlignment="1">
      <alignment vertical="center" shrinkToFit="1"/>
    </xf>
    <xf numFmtId="49" fontId="9" fillId="0" borderId="0" xfId="0" applyNumberFormat="1" applyFont="1" applyAlignment="1">
      <alignment vertical="center" shrinkToFit="1"/>
    </xf>
    <xf numFmtId="182" fontId="9" fillId="0" borderId="2" xfId="0" applyNumberFormat="1" applyFont="1" applyBorder="1" applyAlignment="1">
      <alignment horizontal="right" vertical="center" shrinkToFit="1"/>
    </xf>
    <xf numFmtId="184" fontId="9" fillId="0" borderId="2" xfId="0" applyNumberFormat="1" applyFont="1" applyBorder="1" applyAlignment="1">
      <alignment horizontal="right" vertical="center" shrinkToFit="1"/>
    </xf>
    <xf numFmtId="178" fontId="9" fillId="0" borderId="2" xfId="0" applyNumberFormat="1" applyFont="1" applyBorder="1" applyAlignment="1">
      <alignment horizontal="right" vertical="center" shrinkToFit="1"/>
    </xf>
    <xf numFmtId="179" fontId="9" fillId="0" borderId="2" xfId="0" applyNumberFormat="1" applyFont="1" applyBorder="1" applyAlignment="1">
      <alignment horizontal="right" vertical="center" shrinkToFit="1"/>
    </xf>
    <xf numFmtId="49" fontId="14" fillId="0" borderId="0" xfId="0" applyNumberFormat="1" applyFont="1" applyAlignment="1">
      <alignment horizontal="left" vertical="center"/>
    </xf>
    <xf numFmtId="49" fontId="15" fillId="0" borderId="0" xfId="0" applyNumberFormat="1" applyFont="1" applyAlignment="1">
      <alignment horizontal="left" vertical="center"/>
    </xf>
    <xf numFmtId="182" fontId="15" fillId="0" borderId="0" xfId="0" applyNumberFormat="1" applyFont="1" applyAlignment="1">
      <alignment horizontal="right" vertical="center" shrinkToFit="1"/>
    </xf>
    <xf numFmtId="184" fontId="15" fillId="0" borderId="0" xfId="0" applyNumberFormat="1" applyFont="1" applyAlignment="1">
      <alignment horizontal="right" vertical="center" shrinkToFit="1"/>
    </xf>
    <xf numFmtId="178" fontId="15" fillId="0" borderId="0" xfId="0" applyNumberFormat="1" applyFont="1" applyAlignment="1">
      <alignment horizontal="right" vertical="center" shrinkToFit="1"/>
    </xf>
    <xf numFmtId="179" fontId="15" fillId="0" borderId="0" xfId="0" applyNumberFormat="1" applyFont="1" applyAlignment="1">
      <alignment horizontal="right" vertical="center" shrinkToFit="1"/>
    </xf>
    <xf numFmtId="49" fontId="13" fillId="0" borderId="6" xfId="0" applyNumberFormat="1" applyFont="1" applyBorder="1" applyAlignment="1">
      <alignment horizontal="left" vertical="center"/>
    </xf>
    <xf numFmtId="182" fontId="13" fillId="0" borderId="6" xfId="0" applyNumberFormat="1" applyFont="1" applyBorder="1" applyAlignment="1">
      <alignment horizontal="right" vertical="center" shrinkToFit="1"/>
    </xf>
    <xf numFmtId="184" fontId="13" fillId="0" borderId="6" xfId="0" applyNumberFormat="1" applyFont="1" applyBorder="1" applyAlignment="1">
      <alignment horizontal="right" vertical="center" shrinkToFit="1"/>
    </xf>
    <xf numFmtId="178" fontId="13" fillId="0" borderId="6" xfId="0" applyNumberFormat="1" applyFont="1" applyBorder="1" applyAlignment="1">
      <alignment horizontal="right" vertical="center" shrinkToFit="1"/>
    </xf>
    <xf numFmtId="179" fontId="13" fillId="0" borderId="6" xfId="0" applyNumberFormat="1" applyFont="1" applyBorder="1" applyAlignment="1">
      <alignment horizontal="right" vertical="center" shrinkToFit="1"/>
    </xf>
    <xf numFmtId="184" fontId="9" fillId="0" borderId="6" xfId="0" applyNumberFormat="1" applyFont="1" applyBorder="1" applyAlignment="1">
      <alignment horizontal="right" vertical="center" shrinkToFit="1"/>
    </xf>
    <xf numFmtId="49" fontId="9" fillId="0" borderId="8" xfId="0" applyNumberFormat="1" applyFont="1" applyBorder="1" applyAlignment="1">
      <alignment horizontal="left" vertical="center"/>
    </xf>
    <xf numFmtId="182" fontId="9" fillId="0" borderId="8" xfId="0" applyNumberFormat="1" applyFont="1" applyBorder="1" applyAlignment="1">
      <alignment horizontal="right" vertical="center" shrinkToFit="1"/>
    </xf>
    <xf numFmtId="184" fontId="9" fillId="0" borderId="8" xfId="0" applyNumberFormat="1" applyFont="1" applyBorder="1" applyAlignment="1">
      <alignment horizontal="right" vertical="center" shrinkToFit="1"/>
    </xf>
    <xf numFmtId="178" fontId="9" fillId="0" borderId="8" xfId="0" applyNumberFormat="1" applyFont="1" applyBorder="1" applyAlignment="1">
      <alignment horizontal="right" vertical="center" shrinkToFit="1"/>
    </xf>
    <xf numFmtId="179" fontId="9" fillId="0" borderId="8" xfId="0" applyNumberFormat="1" applyFont="1" applyBorder="1" applyAlignment="1">
      <alignment horizontal="right" vertical="center" shrinkToFit="1"/>
    </xf>
    <xf numFmtId="182" fontId="9" fillId="0" borderId="0" xfId="0" applyNumberFormat="1" applyFont="1" applyAlignment="1">
      <alignment horizontal="right" vertical="center"/>
    </xf>
    <xf numFmtId="185" fontId="13" fillId="0" borderId="0" xfId="0" applyNumberFormat="1" applyFont="1" applyAlignment="1">
      <alignment horizontal="right" vertical="center" shrinkToFit="1"/>
    </xf>
    <xf numFmtId="181" fontId="13" fillId="0" borderId="0" xfId="0" applyNumberFormat="1" applyFont="1" applyAlignment="1">
      <alignment horizontal="right" vertical="center" shrinkToFit="1"/>
    </xf>
    <xf numFmtId="49" fontId="13" fillId="0" borderId="0" xfId="0" applyNumberFormat="1" applyFont="1" applyAlignment="1">
      <alignment horizontal="right" vertical="center" shrinkToFit="1"/>
    </xf>
    <xf numFmtId="180" fontId="13" fillId="0" borderId="0" xfId="0" applyNumberFormat="1" applyFont="1" applyAlignment="1">
      <alignment horizontal="right" vertical="center" shrinkToFit="1"/>
    </xf>
    <xf numFmtId="185" fontId="9" fillId="0" borderId="0" xfId="0" applyNumberFormat="1" applyFont="1" applyAlignment="1">
      <alignment horizontal="right" vertical="center" shrinkToFit="1"/>
    </xf>
    <xf numFmtId="181" fontId="9" fillId="0" borderId="0" xfId="0" applyNumberFormat="1" applyFont="1" applyAlignment="1">
      <alignment horizontal="right" vertical="center" shrinkToFit="1"/>
    </xf>
    <xf numFmtId="49" fontId="9" fillId="0" borderId="0" xfId="0" applyNumberFormat="1" applyFont="1" applyAlignment="1">
      <alignment horizontal="right" vertical="center" shrinkToFit="1"/>
    </xf>
    <xf numFmtId="180" fontId="9" fillId="0" borderId="0" xfId="0" applyNumberFormat="1" applyFont="1" applyAlignment="1">
      <alignment horizontal="right" vertical="center" shrinkToFit="1"/>
    </xf>
    <xf numFmtId="49" fontId="13" fillId="0" borderId="5" xfId="0" applyNumberFormat="1" applyFont="1" applyBorder="1" applyAlignment="1">
      <alignment horizontal="center" vertical="center" shrinkToFit="1"/>
    </xf>
    <xf numFmtId="49" fontId="9" fillId="0" borderId="5" xfId="0" applyNumberFormat="1" applyFont="1" applyBorder="1" applyAlignment="1">
      <alignment horizontal="left" vertical="center"/>
    </xf>
    <xf numFmtId="182" fontId="9" fillId="0" borderId="5" xfId="0" applyNumberFormat="1" applyFont="1" applyBorder="1" applyAlignment="1">
      <alignment horizontal="right" vertical="center" shrinkToFit="1"/>
    </xf>
    <xf numFmtId="185" fontId="9" fillId="0" borderId="5" xfId="0" applyNumberFormat="1" applyFont="1" applyBorder="1" applyAlignment="1">
      <alignment horizontal="right" vertical="center" shrinkToFit="1"/>
    </xf>
    <xf numFmtId="181" fontId="9" fillId="0" borderId="5" xfId="0" applyNumberFormat="1" applyFont="1" applyBorder="1" applyAlignment="1">
      <alignment horizontal="right" vertical="center" shrinkToFit="1"/>
    </xf>
    <xf numFmtId="49" fontId="9" fillId="0" borderId="5" xfId="0" applyNumberFormat="1" applyFont="1" applyBorder="1" applyAlignment="1">
      <alignment horizontal="right" vertical="center" shrinkToFit="1"/>
    </xf>
    <xf numFmtId="180" fontId="9" fillId="0" borderId="5" xfId="0" applyNumberFormat="1" applyFont="1" applyBorder="1" applyAlignment="1">
      <alignment horizontal="right" vertical="center" shrinkToFit="1"/>
    </xf>
    <xf numFmtId="179" fontId="9" fillId="0" borderId="5" xfId="0" applyNumberFormat="1" applyFont="1" applyBorder="1" applyAlignment="1">
      <alignment horizontal="right" vertical="center" shrinkToFit="1"/>
    </xf>
    <xf numFmtId="179" fontId="9" fillId="0" borderId="1" xfId="0" applyNumberFormat="1" applyFont="1" applyBorder="1" applyAlignment="1">
      <alignment horizontal="right" vertical="center" shrinkToFit="1"/>
    </xf>
    <xf numFmtId="49" fontId="13" fillId="0" borderId="3" xfId="0" applyNumberFormat="1" applyFont="1" applyBorder="1" applyAlignment="1">
      <alignment horizontal="center" vertical="center" shrinkToFit="1"/>
    </xf>
    <xf numFmtId="49" fontId="9" fillId="0" borderId="4" xfId="0" applyNumberFormat="1" applyFont="1" applyBorder="1" applyAlignment="1">
      <alignment horizontal="left" vertical="center"/>
    </xf>
    <xf numFmtId="182" fontId="9" fillId="0" borderId="1" xfId="0" applyNumberFormat="1" applyFont="1" applyBorder="1" applyAlignment="1">
      <alignment horizontal="right" vertical="center" shrinkToFit="1"/>
    </xf>
    <xf numFmtId="185" fontId="9" fillId="0" borderId="1" xfId="0" applyNumberFormat="1" applyFont="1" applyBorder="1" applyAlignment="1">
      <alignment horizontal="right" vertical="center" shrinkToFit="1"/>
    </xf>
    <xf numFmtId="49" fontId="13" fillId="0" borderId="6" xfId="0" applyNumberFormat="1" applyFont="1" applyBorder="1" applyAlignment="1">
      <alignment horizontal="center" vertical="center" shrinkToFit="1"/>
    </xf>
    <xf numFmtId="185" fontId="13" fillId="0" borderId="6" xfId="0" applyNumberFormat="1" applyFont="1" applyBorder="1" applyAlignment="1">
      <alignment horizontal="right" vertical="center" shrinkToFit="1"/>
    </xf>
    <xf numFmtId="181" fontId="13" fillId="0" borderId="6" xfId="0" applyNumberFormat="1" applyFont="1" applyBorder="1" applyAlignment="1">
      <alignment horizontal="right" vertical="center" shrinkToFit="1"/>
    </xf>
    <xf numFmtId="49" fontId="13" fillId="0" borderId="6" xfId="0" applyNumberFormat="1" applyFont="1" applyBorder="1" applyAlignment="1">
      <alignment horizontal="right" vertical="center" shrinkToFit="1"/>
    </xf>
    <xf numFmtId="180" fontId="13" fillId="0" borderId="6" xfId="0" applyNumberFormat="1" applyFont="1" applyBorder="1" applyAlignment="1">
      <alignment horizontal="right" vertical="center" shrinkToFit="1"/>
    </xf>
    <xf numFmtId="49" fontId="16" fillId="0" borderId="0" xfId="0" applyNumberFormat="1" applyFont="1" applyAlignment="1">
      <alignment horizontal="left" vertical="center"/>
    </xf>
    <xf numFmtId="49" fontId="13" fillId="0" borderId="0" xfId="0" applyNumberFormat="1" applyFont="1" applyAlignment="1">
      <alignment horizontal="left" vertical="center" shrinkToFit="1"/>
    </xf>
    <xf numFmtId="0" fontId="19" fillId="0" borderId="0" xfId="0" applyFont="1">
      <alignment vertical="center"/>
    </xf>
    <xf numFmtId="0" fontId="18" fillId="0" borderId="0" xfId="0" applyFont="1" applyAlignment="1">
      <alignment horizontal="left" vertical="center"/>
    </xf>
    <xf numFmtId="0" fontId="20" fillId="0" borderId="0" xfId="0" applyFont="1">
      <alignment vertical="center"/>
    </xf>
    <xf numFmtId="184" fontId="9" fillId="0" borderId="0" xfId="0" applyNumberFormat="1" applyFont="1" applyAlignment="1">
      <alignment vertical="center" shrinkToFit="1"/>
    </xf>
    <xf numFmtId="0" fontId="8" fillId="0" borderId="0" xfId="0" applyFont="1" applyAlignment="1">
      <alignment horizontal="right" vertical="center" shrinkToFit="1"/>
    </xf>
    <xf numFmtId="186" fontId="9" fillId="0" borderId="0" xfId="20" applyNumberFormat="1" applyFont="1">
      <alignment vertical="center"/>
    </xf>
    <xf numFmtId="187" fontId="9" fillId="0" borderId="0" xfId="20" applyNumberFormat="1" applyFont="1">
      <alignment vertical="center"/>
    </xf>
    <xf numFmtId="49" fontId="21" fillId="0" borderId="0" xfId="0" applyNumberFormat="1" applyFont="1" applyAlignment="1">
      <alignment horizontal="left" vertical="center"/>
    </xf>
    <xf numFmtId="182" fontId="7" fillId="0" borderId="0" xfId="0" applyNumberFormat="1" applyFont="1" applyAlignment="1">
      <alignment horizontal="right" vertical="center" shrinkToFit="1"/>
    </xf>
    <xf numFmtId="49" fontId="13" fillId="0" borderId="9" xfId="0" applyNumberFormat="1" applyFont="1" applyBorder="1" applyAlignment="1">
      <alignment horizontal="center" vertical="center" shrinkToFit="1"/>
    </xf>
    <xf numFmtId="49" fontId="16" fillId="0" borderId="9" xfId="0" applyNumberFormat="1" applyFont="1" applyBorder="1" applyAlignment="1">
      <alignment horizontal="left" vertical="center"/>
    </xf>
    <xf numFmtId="182" fontId="9" fillId="0" borderId="9" xfId="0" applyNumberFormat="1" applyFont="1" applyBorder="1" applyAlignment="1">
      <alignment horizontal="right" vertical="center" shrinkToFit="1"/>
    </xf>
    <xf numFmtId="185" fontId="9" fillId="0" borderId="9" xfId="0" applyNumberFormat="1" applyFont="1" applyBorder="1" applyAlignment="1">
      <alignment horizontal="right" vertical="center" shrinkToFit="1"/>
    </xf>
    <xf numFmtId="181" fontId="9" fillId="0" borderId="9" xfId="0" applyNumberFormat="1" applyFont="1" applyBorder="1" applyAlignment="1">
      <alignment horizontal="right" vertical="center" shrinkToFit="1"/>
    </xf>
    <xf numFmtId="49" fontId="9" fillId="0" borderId="9" xfId="0" applyNumberFormat="1" applyFont="1" applyBorder="1" applyAlignment="1">
      <alignment horizontal="right" vertical="center" shrinkToFit="1"/>
    </xf>
    <xf numFmtId="180" fontId="9" fillId="0" borderId="9" xfId="0" applyNumberFormat="1" applyFont="1" applyBorder="1" applyAlignment="1">
      <alignment horizontal="right" vertical="center" shrinkToFit="1"/>
    </xf>
    <xf numFmtId="179" fontId="9" fillId="0" borderId="9" xfId="0" applyNumberFormat="1" applyFont="1" applyBorder="1" applyAlignment="1">
      <alignment horizontal="right" vertical="center" shrinkToFit="1"/>
    </xf>
    <xf numFmtId="49" fontId="13" fillId="0" borderId="9" xfId="0" applyNumberFormat="1" applyFont="1" applyBorder="1" applyAlignment="1">
      <alignment horizontal="left" vertical="center"/>
    </xf>
    <xf numFmtId="49" fontId="9" fillId="0" borderId="9" xfId="0" applyNumberFormat="1" applyFont="1" applyBorder="1" applyAlignment="1">
      <alignment horizontal="left" vertical="center"/>
    </xf>
    <xf numFmtId="184" fontId="9" fillId="0" borderId="9" xfId="0" applyNumberFormat="1" applyFont="1" applyBorder="1" applyAlignment="1">
      <alignment horizontal="right" vertical="center" shrinkToFit="1"/>
    </xf>
    <xf numFmtId="178" fontId="9" fillId="0" borderId="9" xfId="0" applyNumberFormat="1" applyFont="1" applyBorder="1" applyAlignment="1">
      <alignment horizontal="right" vertical="center" shrinkToFit="1"/>
    </xf>
    <xf numFmtId="184" fontId="12" fillId="0" borderId="0" xfId="0" applyNumberFormat="1" applyFont="1" applyAlignment="1">
      <alignment horizontal="right" vertical="center" shrinkToFit="1"/>
    </xf>
    <xf numFmtId="178" fontId="12" fillId="0" borderId="0" xfId="0" applyNumberFormat="1" applyFont="1" applyAlignment="1">
      <alignment horizontal="right" vertical="center" shrinkToFit="1"/>
    </xf>
    <xf numFmtId="179" fontId="12" fillId="0" borderId="0" xfId="0" applyNumberFormat="1" applyFont="1" applyAlignment="1">
      <alignment horizontal="right" vertical="center" shrinkToFit="1"/>
    </xf>
    <xf numFmtId="189" fontId="12" fillId="0" borderId="0" xfId="0" applyNumberFormat="1" applyFont="1" applyAlignment="1">
      <alignment horizontal="right" vertical="center" shrinkToFit="1"/>
    </xf>
    <xf numFmtId="187" fontId="12" fillId="0" borderId="0" xfId="20" applyNumberFormat="1" applyFont="1">
      <alignment vertical="center"/>
    </xf>
    <xf numFmtId="188" fontId="12" fillId="0" borderId="0" xfId="20" applyNumberFormat="1" applyFont="1" applyAlignment="1">
      <alignment horizontal="center" vertical="center"/>
    </xf>
    <xf numFmtId="49" fontId="12" fillId="0" borderId="0" xfId="0" applyNumberFormat="1" applyFont="1" applyAlignment="1">
      <alignment horizontal="left" vertical="center"/>
    </xf>
    <xf numFmtId="188" fontId="13" fillId="0" borderId="0" xfId="20" applyNumberFormat="1" applyFont="1" applyAlignment="1">
      <alignment horizontal="center" vertical="center"/>
    </xf>
    <xf numFmtId="187" fontId="13" fillId="0" borderId="0" xfId="20" applyNumberFormat="1" applyFont="1">
      <alignment vertical="center"/>
    </xf>
    <xf numFmtId="190" fontId="13" fillId="0" borderId="0" xfId="0" applyNumberFormat="1" applyFont="1" applyAlignment="1">
      <alignment horizontal="right" vertical="center" shrinkToFit="1"/>
    </xf>
    <xf numFmtId="49" fontId="13" fillId="0" borderId="0" xfId="0" applyNumberFormat="1" applyFont="1" applyAlignment="1">
      <alignment horizontal="left" vertical="center" shrinkToFit="1"/>
    </xf>
    <xf numFmtId="0" fontId="0" fillId="0" borderId="0" xfId="0" applyAlignment="1">
      <alignment vertical="center" shrinkToFit="1"/>
    </xf>
    <xf numFmtId="49" fontId="13" fillId="0" borderId="0" xfId="0" applyNumberFormat="1" applyFont="1" applyAlignment="1">
      <alignment horizontal="left" vertical="center"/>
    </xf>
    <xf numFmtId="0" fontId="0" fillId="0" borderId="0" xfId="0">
      <alignment vertical="center"/>
    </xf>
    <xf numFmtId="49" fontId="9" fillId="0" borderId="0" xfId="0" applyNumberFormat="1" applyFont="1" applyAlignment="1">
      <alignment horizontal="left" vertical="top" wrapText="1" shrinkToFit="1"/>
    </xf>
    <xf numFmtId="49" fontId="9" fillId="0" borderId="0" xfId="0" applyNumberFormat="1" applyFont="1" applyAlignment="1">
      <alignment vertical="center" shrinkToFit="1"/>
    </xf>
    <xf numFmtId="49" fontId="12" fillId="0" borderId="0" xfId="0" applyNumberFormat="1" applyFont="1" applyAlignment="1">
      <alignment horizontal="center" vertical="center" shrinkToFit="1"/>
    </xf>
    <xf numFmtId="49" fontId="13" fillId="0" borderId="0" xfId="0" applyNumberFormat="1" applyFont="1" applyAlignment="1">
      <alignment vertical="center" shrinkToFit="1"/>
    </xf>
    <xf numFmtId="49" fontId="13" fillId="0" borderId="0" xfId="0" applyNumberFormat="1" applyFont="1" applyAlignment="1">
      <alignment horizontal="center" vertical="center" shrinkToFit="1"/>
    </xf>
    <xf numFmtId="178" fontId="13" fillId="0" borderId="0" xfId="0" applyNumberFormat="1" applyFont="1" applyAlignment="1">
      <alignment horizontal="right" vertical="center" shrinkToFit="1"/>
    </xf>
    <xf numFmtId="177" fontId="9" fillId="0" borderId="0" xfId="20" applyFont="1" applyAlignment="1">
      <alignment horizontal="center" vertical="center" wrapText="1" shrinkToFit="1"/>
    </xf>
    <xf numFmtId="177" fontId="13" fillId="0" borderId="0" xfId="20" applyFont="1" applyAlignment="1">
      <alignment horizontal="center" vertical="center" shrinkToFit="1"/>
    </xf>
    <xf numFmtId="183" fontId="13" fillId="0" borderId="0" xfId="0" applyNumberFormat="1" applyFont="1" applyAlignment="1">
      <alignment horizontal="left" vertical="center" shrinkToFit="1"/>
    </xf>
    <xf numFmtId="49" fontId="9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182" fontId="9" fillId="0" borderId="0" xfId="0" applyNumberFormat="1" applyFont="1" applyAlignment="1">
      <alignment horizontal="right" vertical="center" shrinkToFit="1"/>
    </xf>
    <xf numFmtId="185" fontId="9" fillId="0" borderId="0" xfId="0" applyNumberFormat="1" applyFont="1" applyAlignment="1">
      <alignment horizontal="right" vertical="center" shrinkToFit="1"/>
    </xf>
    <xf numFmtId="181" fontId="9" fillId="0" borderId="0" xfId="0" applyNumberFormat="1" applyFont="1" applyAlignment="1">
      <alignment horizontal="right" vertical="center" shrinkToFit="1"/>
    </xf>
    <xf numFmtId="49" fontId="9" fillId="0" borderId="0" xfId="0" applyNumberFormat="1" applyFont="1" applyAlignment="1">
      <alignment horizontal="right" vertical="center" shrinkToFit="1"/>
    </xf>
    <xf numFmtId="180" fontId="9" fillId="0" borderId="0" xfId="0" applyNumberFormat="1" applyFont="1" applyAlignment="1">
      <alignment horizontal="right" vertical="center" shrinkToFit="1"/>
    </xf>
    <xf numFmtId="179" fontId="9" fillId="0" borderId="0" xfId="0" applyNumberFormat="1" applyFont="1" applyAlignment="1">
      <alignment horizontal="right" vertical="center" shrinkToFit="1"/>
    </xf>
    <xf numFmtId="49" fontId="9" fillId="0" borderId="0" xfId="0" applyNumberFormat="1" applyFont="1" applyAlignment="1">
      <alignment horizontal="left" vertical="center" shrinkToFit="1"/>
    </xf>
    <xf numFmtId="49" fontId="9" fillId="0" borderId="1" xfId="0" applyNumberFormat="1" applyFont="1" applyBorder="1" applyAlignment="1">
      <alignment horizontal="center" vertical="center" shrinkToFit="1"/>
    </xf>
    <xf numFmtId="49" fontId="9" fillId="0" borderId="0" xfId="0" applyNumberFormat="1" applyFont="1" applyAlignment="1">
      <alignment horizontal="right" vertical="center"/>
    </xf>
    <xf numFmtId="184" fontId="9" fillId="0" borderId="0" xfId="0" applyNumberFormat="1" applyFont="1" applyAlignment="1">
      <alignment horizontal="right" vertical="center" shrinkToFit="1"/>
    </xf>
    <xf numFmtId="178" fontId="9" fillId="0" borderId="0" xfId="0" applyNumberFormat="1" applyFont="1" applyAlignment="1">
      <alignment horizontal="right" vertical="center" shrinkToFit="1"/>
    </xf>
    <xf numFmtId="49" fontId="13" fillId="0" borderId="2" xfId="0" applyNumberFormat="1" applyFont="1" applyBorder="1" applyAlignment="1">
      <alignment vertical="center" shrinkToFit="1"/>
    </xf>
    <xf numFmtId="49" fontId="9" fillId="0" borderId="0" xfId="0" applyNumberFormat="1" applyFont="1" applyAlignment="1">
      <alignment horizontal="left" vertical="center" wrapText="1"/>
    </xf>
    <xf numFmtId="49" fontId="9" fillId="0" borderId="0" xfId="0" applyNumberFormat="1" applyFont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/>
    </xf>
    <xf numFmtId="49" fontId="24" fillId="0" borderId="0" xfId="0" applyNumberFormat="1" applyFont="1" applyAlignment="1">
      <alignment horizontal="left" vertical="center"/>
    </xf>
  </cellXfs>
  <cellStyles count="39">
    <cellStyle name="¤@¯ë 2" xfId="38" xr:uid="{00000000-0005-0000-0000-000000000000}"/>
    <cellStyle name="¤d¤À¦ì 2" xfId="1" xr:uid="{00000000-0005-0000-0000-000001000000}"/>
    <cellStyle name="Normal 2" xfId="2" xr:uid="{00000000-0005-0000-0000-000003000000}"/>
    <cellStyle name="Normal 3" xfId="3" xr:uid="{00000000-0005-0000-0000-000004000000}"/>
    <cellStyle name="一般" xfId="0" builtinId="0"/>
    <cellStyle name="一般 10" xfId="4" xr:uid="{00000000-0005-0000-0000-000007000000}"/>
    <cellStyle name="一般 10 2" xfId="5" xr:uid="{00000000-0005-0000-0000-000008000000}"/>
    <cellStyle name="一般 11" xfId="6" xr:uid="{00000000-0005-0000-0000-000009000000}"/>
    <cellStyle name="一般 12" xfId="7" xr:uid="{00000000-0005-0000-0000-00000A000000}"/>
    <cellStyle name="一般 15" xfId="8" xr:uid="{00000000-0005-0000-0000-00000B000000}"/>
    <cellStyle name="一般 2" xfId="9" xr:uid="{00000000-0005-0000-0000-00000C000000}"/>
    <cellStyle name="一般 2 2" xfId="10" xr:uid="{00000000-0005-0000-0000-00000D000000}"/>
    <cellStyle name="一般 2 2 2" xfId="11" xr:uid="{00000000-0005-0000-0000-00000E000000}"/>
    <cellStyle name="一般 2 2 3" xfId="12" xr:uid="{00000000-0005-0000-0000-00000F000000}"/>
    <cellStyle name="一般 3" xfId="13" xr:uid="{00000000-0005-0000-0000-000010000000}"/>
    <cellStyle name="一般 4" xfId="14" xr:uid="{00000000-0005-0000-0000-000011000000}"/>
    <cellStyle name="一般 5" xfId="15" xr:uid="{00000000-0005-0000-0000-000012000000}"/>
    <cellStyle name="一般 6" xfId="16" xr:uid="{00000000-0005-0000-0000-000013000000}"/>
    <cellStyle name="一般 7" xfId="17" xr:uid="{00000000-0005-0000-0000-000014000000}"/>
    <cellStyle name="一般 8" xfId="18" xr:uid="{00000000-0005-0000-0000-000015000000}"/>
    <cellStyle name="一般 9" xfId="19" xr:uid="{00000000-0005-0000-0000-000016000000}"/>
    <cellStyle name="千分位" xfId="20" builtinId="3"/>
    <cellStyle name="千分位 10" xfId="21" xr:uid="{00000000-0005-0000-0000-000018000000}"/>
    <cellStyle name="千分位 11" xfId="22" xr:uid="{00000000-0005-0000-0000-000019000000}"/>
    <cellStyle name="千分位 12" xfId="23" xr:uid="{00000000-0005-0000-0000-00001A000000}"/>
    <cellStyle name="千分位 13" xfId="24" xr:uid="{00000000-0005-0000-0000-00001B000000}"/>
    <cellStyle name="千分位 14" xfId="25" xr:uid="{00000000-0005-0000-0000-00001C000000}"/>
    <cellStyle name="千分位 15" xfId="26" xr:uid="{00000000-0005-0000-0000-00001D000000}"/>
    <cellStyle name="千分位 16" xfId="27" xr:uid="{00000000-0005-0000-0000-00001E000000}"/>
    <cellStyle name="千分位 2" xfId="28" xr:uid="{00000000-0005-0000-0000-00001F000000}"/>
    <cellStyle name="千分位 3" xfId="29" xr:uid="{00000000-0005-0000-0000-000020000000}"/>
    <cellStyle name="千分位 4" xfId="30" xr:uid="{00000000-0005-0000-0000-000021000000}"/>
    <cellStyle name="千分位 5" xfId="31" xr:uid="{00000000-0005-0000-0000-000022000000}"/>
    <cellStyle name="千分位 6" xfId="32" xr:uid="{00000000-0005-0000-0000-000023000000}"/>
    <cellStyle name="千分位 7" xfId="33" xr:uid="{00000000-0005-0000-0000-000024000000}"/>
    <cellStyle name="千分位 8" xfId="34" xr:uid="{00000000-0005-0000-0000-000025000000}"/>
    <cellStyle name="千分位 9" xfId="35" xr:uid="{00000000-0005-0000-0000-000026000000}"/>
    <cellStyle name="千位分隔 2" xfId="36" xr:uid="{00000000-0005-0000-0000-000027000000}"/>
    <cellStyle name="常规 2" xfId="37" xr:uid="{00000000-0005-0000-0000-00002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83</xdr:row>
      <xdr:rowOff>25400</xdr:rowOff>
    </xdr:from>
    <xdr:to>
      <xdr:col>1</xdr:col>
      <xdr:colOff>1758950</xdr:colOff>
      <xdr:row>85</xdr:row>
      <xdr:rowOff>104775</xdr:rowOff>
    </xdr:to>
    <xdr:sp macro="" textlink="">
      <xdr:nvSpPr>
        <xdr:cNvPr id="2" name="TRIANGLE">
          <a:extLst>
            <a:ext uri="{FF2B5EF4-FFF2-40B4-BE49-F238E27FC236}">
              <a16:creationId xmlns:a16="http://schemas.microsoft.com/office/drawing/2014/main" id="{28C9CD6F-ECEB-5533-DE0D-BB86134B3ACE}"/>
            </a:ext>
          </a:extLst>
        </xdr:cNvPr>
        <xdr:cNvSpPr/>
      </xdr:nvSpPr>
      <xdr:spPr>
        <a:xfrm>
          <a:off x="0" y="15875000"/>
          <a:ext cx="2730500" cy="460375"/>
        </a:xfrm>
        <a:prstGeom prst="diamond">
          <a:avLst/>
        </a:prstGeom>
        <a:solidFill>
          <a:srgbClr val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TW" sz="1100"/>
            <a:t>        NIRWANA</a:t>
          </a:r>
          <a:endParaRPr lang="zh-TW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154</xdr:row>
      <xdr:rowOff>28575</xdr:rowOff>
    </xdr:from>
    <xdr:to>
      <xdr:col>2</xdr:col>
      <xdr:colOff>492125</xdr:colOff>
      <xdr:row>156</xdr:row>
      <xdr:rowOff>136525</xdr:rowOff>
    </xdr:to>
    <xdr:sp macro="" textlink="">
      <xdr:nvSpPr>
        <xdr:cNvPr id="2" name="TRIANGLE">
          <a:extLst>
            <a:ext uri="{FF2B5EF4-FFF2-40B4-BE49-F238E27FC236}">
              <a16:creationId xmlns:a16="http://schemas.microsoft.com/office/drawing/2014/main" id="{151F4AAE-0BCD-65BE-6082-9A380A4FDAD0}"/>
            </a:ext>
          </a:extLst>
        </xdr:cNvPr>
        <xdr:cNvSpPr/>
      </xdr:nvSpPr>
      <xdr:spPr>
        <a:xfrm>
          <a:off x="0" y="26241375"/>
          <a:ext cx="2730500" cy="488950"/>
        </a:xfrm>
        <a:prstGeom prst="diamond">
          <a:avLst/>
        </a:prstGeom>
        <a:solidFill>
          <a:srgbClr val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TW" sz="1100"/>
            <a:t>        NIRWANA</a:t>
          </a:r>
          <a:endParaRPr lang="zh-TW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2"/>
  <sheetViews>
    <sheetView tabSelected="1" zoomScaleNormal="100" workbookViewId="0">
      <selection activeCell="A78" sqref="A78:K78"/>
    </sheetView>
  </sheetViews>
  <sheetFormatPr defaultColWidth="9" defaultRowHeight="15"/>
  <cols>
    <col min="1" max="1" width="13.21875" style="9" customWidth="1"/>
    <col min="2" max="2" width="25.44140625" style="18" customWidth="1"/>
    <col min="3" max="3" width="4.33203125" style="15" customWidth="1"/>
    <col min="4" max="4" width="5.77734375" style="48" customWidth="1"/>
    <col min="5" max="5" width="10.21875" style="15" customWidth="1"/>
    <col min="6" max="6" width="8.6640625" style="49" customWidth="1"/>
    <col min="7" max="7" width="3.6640625" style="50" customWidth="1"/>
    <col min="8" max="8" width="6.44140625" style="51" customWidth="1"/>
    <col min="9" max="9" width="3.44140625" style="50" customWidth="1"/>
    <col min="10" max="10" width="10" style="19" customWidth="1"/>
    <col min="11" max="11" width="5.44140625" style="3" hidden="1" customWidth="1"/>
    <col min="12" max="12" width="3.88671875" style="1" hidden="1" customWidth="1"/>
    <col min="13" max="13" width="9" style="1" customWidth="1"/>
    <col min="14" max="16384" width="9" style="1"/>
  </cols>
  <sheetData>
    <row r="1" spans="1:11" ht="23.25" customHeight="1">
      <c r="A1" s="109" t="s">
        <v>166</v>
      </c>
      <c r="B1" s="109"/>
      <c r="C1" s="109"/>
      <c r="D1" s="109"/>
      <c r="E1" s="109"/>
      <c r="F1" s="109"/>
      <c r="G1" s="109"/>
      <c r="H1" s="109"/>
      <c r="I1" s="109"/>
      <c r="J1" s="109"/>
    </row>
    <row r="2" spans="1:11" ht="19.149999999999999" customHeight="1">
      <c r="A2" s="113" t="s">
        <v>167</v>
      </c>
      <c r="B2" s="114"/>
      <c r="C2" s="114"/>
      <c r="D2" s="114"/>
      <c r="E2" s="114"/>
      <c r="F2" s="114"/>
      <c r="G2" s="114"/>
      <c r="H2" s="114"/>
      <c r="I2" s="114"/>
      <c r="J2" s="114"/>
      <c r="K2" s="2"/>
    </row>
    <row r="3" spans="1:11" ht="21" customHeight="1">
      <c r="A3" s="111" t="s">
        <v>2</v>
      </c>
      <c r="B3" s="111"/>
      <c r="C3" s="111"/>
      <c r="D3" s="111"/>
      <c r="E3" s="111"/>
      <c r="F3" s="111"/>
      <c r="G3" s="111"/>
      <c r="H3" s="111"/>
      <c r="I3" s="111"/>
      <c r="J3" s="111"/>
    </row>
    <row r="4" spans="1:11" ht="6.75" customHeight="1">
      <c r="B4" s="10"/>
      <c r="C4" s="11"/>
      <c r="D4" s="44"/>
      <c r="E4" s="11"/>
      <c r="F4" s="45"/>
      <c r="G4" s="46"/>
      <c r="H4" s="47"/>
      <c r="I4" s="46"/>
      <c r="J4" s="14"/>
    </row>
    <row r="5" spans="1:11">
      <c r="A5" s="71" t="s">
        <v>3</v>
      </c>
      <c r="B5" s="10" t="s">
        <v>164</v>
      </c>
      <c r="F5" s="112" t="s">
        <v>4</v>
      </c>
      <c r="G5" s="112"/>
      <c r="H5" s="103" t="s">
        <v>5</v>
      </c>
      <c r="I5" s="103"/>
      <c r="J5" s="103"/>
    </row>
    <row r="6" spans="1:11" ht="9" customHeight="1"/>
    <row r="7" spans="1:11">
      <c r="A7" s="110" t="s">
        <v>6</v>
      </c>
      <c r="B7" s="110"/>
    </row>
    <row r="8" spans="1:11">
      <c r="A8" s="110"/>
      <c r="B8" s="110"/>
      <c r="E8" s="110" t="s">
        <v>7</v>
      </c>
      <c r="F8" s="110"/>
      <c r="G8" s="110"/>
      <c r="H8" s="110"/>
      <c r="I8" s="110"/>
      <c r="J8" s="110"/>
    </row>
    <row r="9" spans="1:11">
      <c r="A9" s="110"/>
      <c r="B9" s="110"/>
      <c r="C9" s="110"/>
      <c r="D9" s="110"/>
      <c r="E9" s="110" t="s">
        <v>8</v>
      </c>
      <c r="F9" s="110"/>
      <c r="G9" s="110"/>
      <c r="H9" s="110"/>
      <c r="I9" s="110"/>
      <c r="J9" s="110"/>
    </row>
    <row r="10" spans="1:11" ht="54.75" customHeight="1">
      <c r="A10" s="107"/>
      <c r="B10" s="107"/>
      <c r="C10" s="107"/>
      <c r="D10" s="107"/>
      <c r="E10" s="107" t="s">
        <v>9</v>
      </c>
      <c r="F10" s="107"/>
      <c r="G10" s="107"/>
      <c r="H10" s="107"/>
      <c r="I10" s="107"/>
      <c r="J10" s="107"/>
    </row>
    <row r="11" spans="1:11" ht="12.75" customHeight="1">
      <c r="A11" s="108"/>
      <c r="B11" s="108"/>
      <c r="C11" s="108"/>
      <c r="D11" s="108"/>
      <c r="E11" s="108" t="s">
        <v>10</v>
      </c>
      <c r="F11" s="108"/>
      <c r="G11" s="108"/>
      <c r="H11" s="108"/>
      <c r="I11" s="108"/>
      <c r="J11" s="108"/>
    </row>
    <row r="12" spans="1:11" ht="2.25" customHeight="1">
      <c r="G12" s="21"/>
      <c r="I12" s="21"/>
    </row>
    <row r="13" spans="1:11">
      <c r="A13" s="20" t="s">
        <v>168</v>
      </c>
      <c r="B13" s="108" t="s">
        <v>210</v>
      </c>
      <c r="C13" s="108"/>
      <c r="D13" s="108"/>
      <c r="E13" s="110" t="s">
        <v>16</v>
      </c>
      <c r="F13" s="110"/>
      <c r="G13" s="110"/>
      <c r="H13" s="115">
        <v>46290</v>
      </c>
      <c r="I13" s="115"/>
    </row>
    <row r="14" spans="1:11">
      <c r="A14" s="108" t="s">
        <v>157</v>
      </c>
      <c r="B14" s="108"/>
      <c r="C14" s="108"/>
      <c r="D14" s="108"/>
      <c r="E14" s="11" t="s">
        <v>17</v>
      </c>
      <c r="F14" s="110" t="s">
        <v>8</v>
      </c>
      <c r="G14" s="110"/>
      <c r="H14" s="110"/>
      <c r="I14" s="110"/>
      <c r="J14" s="110"/>
    </row>
    <row r="15" spans="1:11" ht="6" customHeight="1">
      <c r="A15" s="52"/>
      <c r="B15" s="53"/>
      <c r="C15" s="54"/>
      <c r="D15" s="55"/>
      <c r="E15" s="54"/>
      <c r="F15" s="56"/>
      <c r="G15" s="57"/>
      <c r="H15" s="58"/>
      <c r="I15" s="57"/>
      <c r="J15" s="59"/>
      <c r="K15" s="5"/>
    </row>
    <row r="16" spans="1:11">
      <c r="A16" s="110" t="s">
        <v>18</v>
      </c>
      <c r="B16" s="110"/>
    </row>
    <row r="17" spans="1:12">
      <c r="A17" s="110" t="s">
        <v>19</v>
      </c>
      <c r="B17" s="110"/>
    </row>
    <row r="18" spans="1:12" ht="15" customHeight="1">
      <c r="B18" s="10"/>
      <c r="C18" s="10"/>
      <c r="D18" s="125" t="s">
        <v>20</v>
      </c>
      <c r="E18" s="125"/>
      <c r="F18" s="125"/>
      <c r="G18" s="125"/>
      <c r="H18" s="125" t="s">
        <v>21</v>
      </c>
      <c r="I18" s="125"/>
      <c r="J18" s="60"/>
      <c r="K18" s="4"/>
    </row>
    <row r="19" spans="1:12">
      <c r="A19" s="61"/>
      <c r="B19" s="62" t="s">
        <v>22</v>
      </c>
      <c r="C19" s="63" t="s">
        <v>23</v>
      </c>
      <c r="D19" s="64" t="s">
        <v>24</v>
      </c>
      <c r="E19" s="63" t="s">
        <v>207</v>
      </c>
      <c r="F19" s="125" t="s">
        <v>25</v>
      </c>
      <c r="G19" s="125" t="s">
        <v>26</v>
      </c>
      <c r="H19" s="125" t="s">
        <v>26</v>
      </c>
      <c r="I19" s="125"/>
      <c r="J19" s="60" t="s">
        <v>27</v>
      </c>
      <c r="K19" s="4" t="s">
        <v>28</v>
      </c>
    </row>
    <row r="20" spans="1:12">
      <c r="A20" s="65" t="s">
        <v>29</v>
      </c>
      <c r="B20" s="32" t="s">
        <v>165</v>
      </c>
      <c r="C20" s="33"/>
      <c r="D20" s="66"/>
      <c r="E20" s="33"/>
      <c r="F20" s="67"/>
      <c r="G20" s="68"/>
      <c r="H20" s="69"/>
      <c r="I20" s="68"/>
      <c r="J20" s="36"/>
    </row>
    <row r="21" spans="1:12">
      <c r="A21" s="9" t="s">
        <v>31</v>
      </c>
      <c r="B21" s="18" t="s">
        <v>158</v>
      </c>
    </row>
    <row r="22" spans="1:12">
      <c r="A22" s="9" t="s">
        <v>33</v>
      </c>
      <c r="B22" s="18" t="s">
        <v>34</v>
      </c>
    </row>
    <row r="23" spans="1:12">
      <c r="A23" s="9" t="s">
        <v>35</v>
      </c>
      <c r="B23" s="18" t="s">
        <v>36</v>
      </c>
    </row>
    <row r="24" spans="1:12">
      <c r="A24" s="9" t="s">
        <v>37</v>
      </c>
      <c r="B24" s="18" t="s">
        <v>38</v>
      </c>
    </row>
    <row r="25" spans="1:12">
      <c r="B25" s="117" t="s">
        <v>162</v>
      </c>
      <c r="C25" s="118"/>
      <c r="D25" s="119"/>
      <c r="E25" s="118"/>
      <c r="F25" s="120"/>
      <c r="G25" s="121"/>
      <c r="H25" s="122"/>
      <c r="I25" s="121"/>
      <c r="J25" s="123"/>
      <c r="K25" s="118"/>
      <c r="L25" s="124"/>
    </row>
    <row r="26" spans="1:12">
      <c r="B26" s="18" t="s">
        <v>40</v>
      </c>
      <c r="C26" s="15">
        <v>1</v>
      </c>
      <c r="D26" s="48">
        <v>74.069999999999993</v>
      </c>
      <c r="E26" s="77">
        <v>81</v>
      </c>
      <c r="F26" s="49">
        <v>8.1</v>
      </c>
      <c r="G26" s="50" t="s">
        <v>41</v>
      </c>
      <c r="H26" s="51">
        <v>0.46</v>
      </c>
      <c r="I26" s="50" t="s">
        <v>42</v>
      </c>
      <c r="J26" s="19">
        <v>37.26</v>
      </c>
    </row>
    <row r="27" spans="1:12">
      <c r="B27" s="18" t="s">
        <v>43</v>
      </c>
      <c r="C27" s="15">
        <v>1</v>
      </c>
      <c r="D27" s="48">
        <v>38.4</v>
      </c>
      <c r="E27" s="77">
        <v>42</v>
      </c>
      <c r="F27" s="49">
        <v>5.6</v>
      </c>
      <c r="G27" s="50" t="s">
        <v>41</v>
      </c>
      <c r="H27" s="51">
        <v>0.46</v>
      </c>
      <c r="I27" s="50" t="s">
        <v>42</v>
      </c>
      <c r="J27" s="19">
        <v>19.32</v>
      </c>
    </row>
    <row r="28" spans="1:12">
      <c r="B28" s="18" t="s">
        <v>44</v>
      </c>
      <c r="C28" s="15">
        <v>1</v>
      </c>
      <c r="D28" s="48">
        <v>76.81</v>
      </c>
      <c r="E28" s="77">
        <v>84</v>
      </c>
      <c r="F28" s="49">
        <v>8.9</v>
      </c>
      <c r="G28" s="50" t="s">
        <v>41</v>
      </c>
      <c r="H28" s="51">
        <v>0.46</v>
      </c>
      <c r="I28" s="50" t="s">
        <v>42</v>
      </c>
      <c r="J28" s="19">
        <v>38.64</v>
      </c>
    </row>
    <row r="29" spans="1:12">
      <c r="B29" s="18" t="s">
        <v>44</v>
      </c>
      <c r="C29" s="15">
        <v>1</v>
      </c>
      <c r="D29" s="48">
        <v>0.91</v>
      </c>
      <c r="E29" s="77">
        <v>1</v>
      </c>
      <c r="F29" s="49">
        <v>0.1</v>
      </c>
      <c r="G29" s="50" t="s">
        <v>41</v>
      </c>
      <c r="H29" s="51">
        <v>0.46</v>
      </c>
      <c r="I29" s="50" t="s">
        <v>42</v>
      </c>
      <c r="J29" s="19">
        <v>0.46</v>
      </c>
    </row>
    <row r="30" spans="1:12">
      <c r="B30" s="18" t="s">
        <v>45</v>
      </c>
      <c r="C30" s="15">
        <v>2</v>
      </c>
      <c r="D30" s="48">
        <v>69.5</v>
      </c>
      <c r="E30" s="77">
        <v>76</v>
      </c>
      <c r="F30" s="49">
        <v>7.6</v>
      </c>
      <c r="G30" s="50" t="s">
        <v>41</v>
      </c>
      <c r="H30" s="51">
        <v>4.51</v>
      </c>
      <c r="I30" s="50" t="s">
        <v>42</v>
      </c>
      <c r="J30" s="19">
        <v>342.76</v>
      </c>
    </row>
    <row r="31" spans="1:12">
      <c r="B31" s="18" t="s">
        <v>49</v>
      </c>
      <c r="C31" s="15">
        <v>1</v>
      </c>
      <c r="D31" s="48">
        <v>46.63</v>
      </c>
      <c r="E31" s="77">
        <v>51</v>
      </c>
      <c r="F31" s="49">
        <v>4.8</v>
      </c>
      <c r="G31" s="50" t="s">
        <v>41</v>
      </c>
      <c r="H31" s="51">
        <v>0.46</v>
      </c>
      <c r="I31" s="50" t="s">
        <v>42</v>
      </c>
      <c r="J31" s="19">
        <v>23.46</v>
      </c>
    </row>
    <row r="32" spans="1:12">
      <c r="B32" s="18" t="s">
        <v>49</v>
      </c>
      <c r="C32" s="15">
        <v>1</v>
      </c>
      <c r="D32" s="48">
        <v>0.91</v>
      </c>
      <c r="E32" s="77">
        <v>1</v>
      </c>
      <c r="F32" s="49">
        <v>0.2</v>
      </c>
      <c r="G32" s="50" t="s">
        <v>41</v>
      </c>
      <c r="H32" s="51">
        <v>0.46</v>
      </c>
      <c r="I32" s="50" t="s">
        <v>42</v>
      </c>
      <c r="J32" s="19">
        <v>0.46</v>
      </c>
    </row>
    <row r="33" spans="1:12">
      <c r="A33" s="9" t="s">
        <v>31</v>
      </c>
      <c r="B33" s="18" t="s">
        <v>32</v>
      </c>
    </row>
    <row r="34" spans="1:12">
      <c r="A34" s="9" t="s">
        <v>33</v>
      </c>
      <c r="B34" s="18" t="s">
        <v>160</v>
      </c>
    </row>
    <row r="35" spans="1:12">
      <c r="A35" s="9" t="s">
        <v>35</v>
      </c>
      <c r="B35" s="18" t="s">
        <v>36</v>
      </c>
    </row>
    <row r="36" spans="1:12">
      <c r="A36" s="9" t="s">
        <v>37</v>
      </c>
      <c r="B36" s="18" t="s">
        <v>46</v>
      </c>
    </row>
    <row r="37" spans="1:12">
      <c r="B37" s="117" t="s">
        <v>47</v>
      </c>
      <c r="C37" s="118"/>
      <c r="D37" s="119"/>
      <c r="E37" s="118"/>
      <c r="F37" s="120"/>
      <c r="G37" s="121"/>
      <c r="H37" s="122"/>
      <c r="I37" s="121"/>
      <c r="J37" s="123"/>
      <c r="K37" s="118"/>
      <c r="L37" s="124"/>
    </row>
    <row r="38" spans="1:12">
      <c r="B38" s="18" t="s">
        <v>40</v>
      </c>
      <c r="C38" s="15">
        <v>1</v>
      </c>
      <c r="D38" s="48">
        <v>29.26</v>
      </c>
      <c r="E38" s="77">
        <v>32</v>
      </c>
      <c r="F38" s="49">
        <v>6.2</v>
      </c>
      <c r="G38" s="50" t="s">
        <v>41</v>
      </c>
      <c r="H38" s="51">
        <v>11.49</v>
      </c>
      <c r="I38" s="50" t="s">
        <v>42</v>
      </c>
      <c r="J38" s="19">
        <v>367.68</v>
      </c>
    </row>
    <row r="39" spans="1:12">
      <c r="B39" s="18" t="s">
        <v>48</v>
      </c>
      <c r="C39" s="15">
        <v>1</v>
      </c>
      <c r="D39" s="48">
        <v>24.69</v>
      </c>
      <c r="E39" s="77">
        <v>27</v>
      </c>
      <c r="F39" s="49">
        <v>5.4</v>
      </c>
      <c r="G39" s="50" t="s">
        <v>41</v>
      </c>
      <c r="H39" s="51">
        <v>13.22</v>
      </c>
      <c r="I39" s="50" t="s">
        <v>42</v>
      </c>
      <c r="J39" s="19">
        <v>356.94</v>
      </c>
    </row>
    <row r="40" spans="1:12">
      <c r="B40" s="18" t="s">
        <v>49</v>
      </c>
      <c r="C40" s="15">
        <v>1</v>
      </c>
      <c r="D40" s="48">
        <v>24.69</v>
      </c>
      <c r="E40" s="77">
        <v>27</v>
      </c>
      <c r="F40" s="49">
        <v>5.4</v>
      </c>
      <c r="G40" s="50" t="s">
        <v>41</v>
      </c>
      <c r="H40" s="51">
        <v>5.81</v>
      </c>
      <c r="I40" s="50" t="s">
        <v>42</v>
      </c>
      <c r="J40" s="19">
        <v>156.87</v>
      </c>
    </row>
    <row r="41" spans="1:12">
      <c r="A41" s="9" t="s">
        <v>31</v>
      </c>
      <c r="B41" s="18" t="s">
        <v>32</v>
      </c>
    </row>
    <row r="42" spans="1:12">
      <c r="A42" s="9" t="s">
        <v>33</v>
      </c>
      <c r="B42" s="18" t="s">
        <v>34</v>
      </c>
    </row>
    <row r="43" spans="1:12">
      <c r="A43" s="9" t="s">
        <v>35</v>
      </c>
      <c r="B43" s="18" t="s">
        <v>163</v>
      </c>
    </row>
    <row r="44" spans="1:12">
      <c r="A44" s="9" t="s">
        <v>37</v>
      </c>
      <c r="B44" s="18" t="s">
        <v>50</v>
      </c>
    </row>
    <row r="45" spans="1:12">
      <c r="B45" s="117" t="s">
        <v>51</v>
      </c>
      <c r="C45" s="118"/>
      <c r="D45" s="119"/>
      <c r="E45" s="118"/>
      <c r="F45" s="120"/>
      <c r="G45" s="121"/>
      <c r="H45" s="122"/>
      <c r="I45" s="121"/>
      <c r="J45" s="123"/>
      <c r="K45" s="118"/>
      <c r="L45" s="124"/>
    </row>
    <row r="46" spans="1:12">
      <c r="B46" s="18" t="s">
        <v>52</v>
      </c>
      <c r="C46" s="15">
        <v>5</v>
      </c>
      <c r="D46" s="48">
        <v>277.99</v>
      </c>
      <c r="E46" s="77">
        <v>304</v>
      </c>
      <c r="F46" s="49">
        <v>87</v>
      </c>
      <c r="G46" s="50" t="s">
        <v>41</v>
      </c>
      <c r="H46" s="51">
        <v>3.1</v>
      </c>
      <c r="I46" s="50" t="s">
        <v>42</v>
      </c>
      <c r="J46" s="19">
        <v>942.4</v>
      </c>
    </row>
    <row r="47" spans="1:12">
      <c r="B47" s="18" t="s">
        <v>53</v>
      </c>
      <c r="C47" s="15">
        <v>7</v>
      </c>
      <c r="D47" s="48">
        <v>371.23</v>
      </c>
      <c r="E47" s="77">
        <v>406</v>
      </c>
      <c r="F47" s="49">
        <v>121.6</v>
      </c>
      <c r="G47" s="50" t="s">
        <v>41</v>
      </c>
      <c r="H47" s="51">
        <v>2.5299999999999998</v>
      </c>
      <c r="I47" s="50" t="s">
        <v>42</v>
      </c>
      <c r="J47" s="19">
        <v>1027.18</v>
      </c>
    </row>
    <row r="48" spans="1:12">
      <c r="B48" s="18" t="s">
        <v>54</v>
      </c>
      <c r="C48" s="15">
        <v>4</v>
      </c>
      <c r="D48" s="48">
        <v>208.49</v>
      </c>
      <c r="E48" s="77">
        <v>228</v>
      </c>
      <c r="F48" s="49">
        <v>66.2</v>
      </c>
      <c r="G48" s="50" t="s">
        <v>41</v>
      </c>
      <c r="H48" s="51">
        <v>3.6</v>
      </c>
      <c r="I48" s="50" t="s">
        <v>42</v>
      </c>
      <c r="J48" s="19">
        <v>820.8</v>
      </c>
    </row>
    <row r="49" spans="1:12">
      <c r="B49" s="18" t="s">
        <v>55</v>
      </c>
      <c r="C49" s="15">
        <v>6</v>
      </c>
      <c r="D49" s="48">
        <v>392.29</v>
      </c>
      <c r="E49" s="77">
        <v>390</v>
      </c>
      <c r="F49" s="49">
        <v>124.7</v>
      </c>
      <c r="G49" s="50" t="s">
        <v>41</v>
      </c>
      <c r="H49" s="51">
        <v>2.92</v>
      </c>
      <c r="I49" s="50" t="s">
        <v>42</v>
      </c>
      <c r="J49" s="19">
        <v>1138.8</v>
      </c>
    </row>
    <row r="50" spans="1:12">
      <c r="B50" s="18" t="s">
        <v>56</v>
      </c>
      <c r="C50" s="15">
        <v>4</v>
      </c>
      <c r="D50" s="48">
        <v>215.79</v>
      </c>
      <c r="E50" s="77">
        <v>236</v>
      </c>
      <c r="F50" s="49">
        <v>68.5</v>
      </c>
      <c r="G50" s="50" t="s">
        <v>41</v>
      </c>
      <c r="H50" s="51">
        <v>3.55</v>
      </c>
      <c r="I50" s="50" t="s">
        <v>42</v>
      </c>
      <c r="J50" s="19">
        <v>837.8</v>
      </c>
    </row>
    <row r="51" spans="1:12">
      <c r="B51" s="18" t="s">
        <v>57</v>
      </c>
      <c r="C51" s="15">
        <v>4</v>
      </c>
      <c r="D51" s="48">
        <v>268.83</v>
      </c>
      <c r="E51" s="77">
        <v>294</v>
      </c>
      <c r="F51" s="49">
        <v>84.9</v>
      </c>
      <c r="G51" s="50" t="s">
        <v>41</v>
      </c>
      <c r="H51" s="51">
        <v>2.2799999999999998</v>
      </c>
      <c r="I51" s="50" t="s">
        <v>42</v>
      </c>
      <c r="J51" s="19">
        <v>670.32</v>
      </c>
    </row>
    <row r="52" spans="1:12">
      <c r="A52" s="9" t="s">
        <v>31</v>
      </c>
      <c r="B52" s="18" t="s">
        <v>159</v>
      </c>
    </row>
    <row r="53" spans="1:12">
      <c r="A53" s="9" t="s">
        <v>33</v>
      </c>
      <c r="B53" s="18" t="s">
        <v>59</v>
      </c>
    </row>
    <row r="54" spans="1:12">
      <c r="A54" s="9" t="s">
        <v>35</v>
      </c>
      <c r="B54" s="18" t="s">
        <v>60</v>
      </c>
    </row>
    <row r="55" spans="1:12">
      <c r="A55" s="9" t="s">
        <v>37</v>
      </c>
      <c r="B55" s="18" t="s">
        <v>46</v>
      </c>
    </row>
    <row r="56" spans="1:12">
      <c r="B56" s="117" t="s">
        <v>47</v>
      </c>
      <c r="C56" s="118"/>
      <c r="D56" s="119"/>
      <c r="E56" s="118"/>
      <c r="F56" s="120"/>
      <c r="G56" s="121"/>
      <c r="H56" s="122"/>
      <c r="I56" s="121"/>
      <c r="J56" s="123"/>
      <c r="K56" s="118"/>
      <c r="L56" s="124"/>
    </row>
    <row r="57" spans="1:12">
      <c r="B57" s="18" t="s">
        <v>40</v>
      </c>
      <c r="C57" s="15">
        <v>1</v>
      </c>
      <c r="D57" s="48">
        <v>7.32</v>
      </c>
      <c r="E57" s="77">
        <v>8</v>
      </c>
      <c r="F57" s="49">
        <v>1.5</v>
      </c>
      <c r="G57" s="50" t="s">
        <v>41</v>
      </c>
      <c r="H57" s="51">
        <v>2.11</v>
      </c>
      <c r="I57" s="50" t="s">
        <v>42</v>
      </c>
      <c r="J57" s="19">
        <v>16.88</v>
      </c>
    </row>
    <row r="58" spans="1:12">
      <c r="A58" s="9" t="s">
        <v>31</v>
      </c>
      <c r="B58" s="18" t="s">
        <v>58</v>
      </c>
    </row>
    <row r="59" spans="1:12">
      <c r="A59" s="9" t="s">
        <v>33</v>
      </c>
      <c r="B59" s="18" t="s">
        <v>161</v>
      </c>
    </row>
    <row r="60" spans="1:12">
      <c r="A60" s="9" t="s">
        <v>35</v>
      </c>
      <c r="B60" s="18" t="s">
        <v>60</v>
      </c>
    </row>
    <row r="61" spans="1:12">
      <c r="A61" s="9" t="s">
        <v>37</v>
      </c>
      <c r="B61" s="18" t="s">
        <v>46</v>
      </c>
    </row>
    <row r="62" spans="1:12">
      <c r="B62" s="117" t="s">
        <v>47</v>
      </c>
      <c r="C62" s="118"/>
      <c r="D62" s="119"/>
      <c r="E62" s="118"/>
      <c r="F62" s="120"/>
      <c r="G62" s="121"/>
      <c r="H62" s="122"/>
      <c r="I62" s="121"/>
      <c r="J62" s="123"/>
      <c r="K62" s="118"/>
      <c r="L62" s="124"/>
    </row>
    <row r="63" spans="1:12">
      <c r="B63" s="18" t="s">
        <v>49</v>
      </c>
      <c r="C63" s="15">
        <v>1</v>
      </c>
      <c r="D63" s="48">
        <v>7.32</v>
      </c>
      <c r="E63" s="77">
        <v>8</v>
      </c>
      <c r="F63" s="49">
        <v>2</v>
      </c>
      <c r="G63" s="50" t="s">
        <v>41</v>
      </c>
      <c r="H63" s="51">
        <v>39.61</v>
      </c>
      <c r="I63" s="50" t="s">
        <v>42</v>
      </c>
      <c r="J63" s="19">
        <v>316.88</v>
      </c>
    </row>
    <row r="64" spans="1:12">
      <c r="B64" s="70"/>
    </row>
    <row r="65" spans="1:11" ht="16.5">
      <c r="B65" s="1" t="s">
        <v>170</v>
      </c>
      <c r="C65" s="72">
        <v>15</v>
      </c>
      <c r="D65" s="72"/>
      <c r="E65" s="1"/>
      <c r="F65" s="76">
        <v>123.7</v>
      </c>
    </row>
    <row r="66" spans="1:11" ht="17.25">
      <c r="B66" s="73" t="s">
        <v>169</v>
      </c>
      <c r="F66" s="1"/>
    </row>
    <row r="67" spans="1:11">
      <c r="B67" s="74" t="s">
        <v>171</v>
      </c>
      <c r="E67" s="78">
        <f>11273+4481+340</f>
        <v>16094</v>
      </c>
      <c r="H67" s="51">
        <v>2.47E-2</v>
      </c>
      <c r="I67" s="50" t="s">
        <v>42</v>
      </c>
      <c r="J67" s="19">
        <f>E67*H67</f>
        <v>397.52179999999998</v>
      </c>
    </row>
    <row r="68" spans="1:11">
      <c r="B68" s="74" t="s">
        <v>172</v>
      </c>
      <c r="E68" s="78">
        <v>277731</v>
      </c>
      <c r="H68" s="51">
        <v>1.7600000000000001E-2</v>
      </c>
      <c r="J68" s="19">
        <f>E68*H68</f>
        <v>4888.0655999999999</v>
      </c>
    </row>
    <row r="69" spans="1:11">
      <c r="B69" s="74" t="s">
        <v>173</v>
      </c>
      <c r="E69" s="78">
        <v>8805</v>
      </c>
      <c r="H69" s="51">
        <v>1.49E-2</v>
      </c>
      <c r="J69" s="19">
        <f>E69*H69</f>
        <v>131.19450000000001</v>
      </c>
    </row>
    <row r="70" spans="1:11">
      <c r="B70" s="74" t="s">
        <v>174</v>
      </c>
      <c r="E70" s="78">
        <f>49541+2472+2163</f>
        <v>54176</v>
      </c>
      <c r="H70" s="51">
        <v>1.52E-2</v>
      </c>
      <c r="J70" s="19">
        <f>E70*H70</f>
        <v>823.47519999999997</v>
      </c>
    </row>
    <row r="71" spans="1:11" ht="16.5">
      <c r="B71" s="72"/>
    </row>
    <row r="72" spans="1:11" ht="16.5">
      <c r="B72" s="72" t="s">
        <v>176</v>
      </c>
      <c r="C72" s="15">
        <v>2</v>
      </c>
      <c r="F72" s="76">
        <v>36.020000000000003</v>
      </c>
    </row>
    <row r="73" spans="1:11" ht="17.25">
      <c r="B73" s="73" t="s">
        <v>178</v>
      </c>
      <c r="E73" s="77">
        <v>2461</v>
      </c>
      <c r="H73" s="51">
        <v>0.7</v>
      </c>
      <c r="I73" s="50" t="s">
        <v>42</v>
      </c>
      <c r="J73" s="19">
        <f>E73*H73</f>
        <v>1722.6999999999998</v>
      </c>
    </row>
    <row r="74" spans="1:11">
      <c r="B74" s="133" t="s">
        <v>177</v>
      </c>
    </row>
    <row r="75" spans="1:11" ht="15.75" thickBot="1">
      <c r="A75" s="81"/>
      <c r="B75" s="82"/>
      <c r="C75" s="83"/>
      <c r="D75" s="84"/>
      <c r="E75" s="83"/>
      <c r="F75" s="85"/>
      <c r="G75" s="86"/>
      <c r="H75" s="87"/>
      <c r="I75" s="86"/>
      <c r="J75" s="88"/>
    </row>
    <row r="76" spans="1:11" ht="16.5" thickBot="1">
      <c r="B76" s="99" t="s">
        <v>61</v>
      </c>
      <c r="C76" s="11">
        <f>43+C65+C72</f>
        <v>60</v>
      </c>
      <c r="D76" s="44">
        <v>2135.13</v>
      </c>
      <c r="E76" s="100">
        <f>2296+E73</f>
        <v>4757</v>
      </c>
      <c r="F76" s="102">
        <f>608.7+F65+F72</f>
        <v>768.42000000000007</v>
      </c>
      <c r="G76" s="46"/>
      <c r="H76" s="47"/>
      <c r="I76" s="46"/>
      <c r="J76" s="14">
        <f>SUM(J25:J73)</f>
        <v>15077.867099999999</v>
      </c>
      <c r="K76" s="6"/>
    </row>
    <row r="77" spans="1:11" ht="16.5" thickTop="1">
      <c r="B77" s="99"/>
      <c r="C77" s="11" t="s">
        <v>211</v>
      </c>
      <c r="D77" s="44"/>
      <c r="E77" s="101">
        <f>E67+E68+E69+E70</f>
        <v>356806</v>
      </c>
      <c r="F77" s="45"/>
      <c r="G77" s="46"/>
      <c r="H77" s="47"/>
      <c r="I77" s="46"/>
      <c r="J77" s="14"/>
      <c r="K77" s="80"/>
    </row>
    <row r="78" spans="1:11" s="8" customFormat="1" ht="12.75">
      <c r="A78" s="109" t="s">
        <v>209</v>
      </c>
      <c r="B78" s="116"/>
      <c r="C78" s="118"/>
      <c r="D78" s="119"/>
      <c r="E78" s="118"/>
      <c r="F78" s="120"/>
      <c r="G78" s="121"/>
      <c r="H78" s="122"/>
      <c r="I78" s="121"/>
      <c r="J78" s="123"/>
      <c r="K78" s="118"/>
    </row>
    <row r="79" spans="1:11" s="8" customFormat="1" ht="12.75">
      <c r="A79" s="9"/>
      <c r="B79" s="18"/>
      <c r="C79" s="15"/>
      <c r="D79" s="48"/>
      <c r="E79" s="15"/>
      <c r="F79" s="49"/>
      <c r="G79" s="50"/>
      <c r="H79" s="51"/>
      <c r="I79" s="50"/>
      <c r="J79" s="19"/>
      <c r="K79" s="15"/>
    </row>
    <row r="80" spans="1:11" s="8" customFormat="1" ht="12.75">
      <c r="A80" s="9"/>
      <c r="B80" s="18"/>
      <c r="C80" s="15"/>
      <c r="D80" s="48"/>
      <c r="E80" s="15"/>
      <c r="F80" s="49"/>
      <c r="G80" s="50"/>
      <c r="H80" s="51"/>
      <c r="I80" s="50"/>
      <c r="J80" s="19"/>
      <c r="K80" s="15"/>
    </row>
    <row r="81" spans="1:11" s="8" customFormat="1" ht="12.75">
      <c r="A81" s="9"/>
      <c r="B81" s="18"/>
      <c r="C81" s="15"/>
      <c r="D81" s="48"/>
      <c r="E81" s="15"/>
      <c r="F81" s="49"/>
      <c r="G81" s="50"/>
      <c r="H81" s="51"/>
      <c r="I81" s="50"/>
      <c r="J81" s="19"/>
      <c r="K81" s="15"/>
    </row>
    <row r="83" spans="1:11">
      <c r="A83" s="103" t="s">
        <v>62</v>
      </c>
      <c r="B83" s="116"/>
    </row>
    <row r="87" spans="1:11">
      <c r="A87" s="103" t="s">
        <v>8</v>
      </c>
      <c r="B87" s="116"/>
      <c r="C87" s="118"/>
      <c r="D87" s="119"/>
      <c r="E87" s="118"/>
      <c r="F87" s="120"/>
      <c r="G87" s="121"/>
      <c r="H87" s="122"/>
      <c r="I87" s="121"/>
      <c r="J87" s="123"/>
    </row>
    <row r="88" spans="1:11">
      <c r="A88" s="103" t="s">
        <v>63</v>
      </c>
      <c r="B88" s="116"/>
      <c r="C88" s="118"/>
      <c r="D88" s="119"/>
      <c r="E88" s="118"/>
      <c r="F88" s="120"/>
      <c r="G88" s="121"/>
      <c r="H88" s="122"/>
      <c r="I88" s="121"/>
      <c r="J88" s="123"/>
    </row>
    <row r="89" spans="1:11">
      <c r="A89" s="103" t="s">
        <v>64</v>
      </c>
      <c r="B89" s="116"/>
      <c r="C89" s="118"/>
      <c r="D89" s="119"/>
      <c r="E89" s="118"/>
      <c r="F89" s="120"/>
      <c r="G89" s="121"/>
      <c r="H89" s="122"/>
      <c r="I89" s="121"/>
      <c r="J89" s="123"/>
    </row>
    <row r="90" spans="1:11">
      <c r="A90" s="103" t="s">
        <v>65</v>
      </c>
      <c r="B90" s="116"/>
      <c r="C90" s="118"/>
      <c r="D90" s="119"/>
      <c r="E90" s="118"/>
      <c r="F90" s="120"/>
      <c r="G90" s="121"/>
      <c r="H90" s="122"/>
      <c r="I90" s="121"/>
      <c r="J90" s="123"/>
    </row>
    <row r="91" spans="1:11">
      <c r="A91" s="103" t="s">
        <v>66</v>
      </c>
      <c r="B91" s="116"/>
      <c r="C91" s="118"/>
      <c r="D91" s="119"/>
      <c r="E91" s="118"/>
      <c r="F91" s="120"/>
      <c r="G91" s="121"/>
      <c r="H91" s="122"/>
      <c r="I91" s="121"/>
      <c r="J91" s="123"/>
    </row>
    <row r="92" spans="1:11">
      <c r="A92" s="103" t="s">
        <v>67</v>
      </c>
      <c r="B92" s="116"/>
      <c r="C92" s="118"/>
      <c r="D92" s="119"/>
      <c r="E92" s="118"/>
      <c r="F92" s="120"/>
      <c r="G92" s="121"/>
      <c r="H92" s="122"/>
      <c r="I92" s="121"/>
      <c r="J92" s="123"/>
    </row>
    <row r="93" spans="1:11">
      <c r="A93" s="103" t="s">
        <v>68</v>
      </c>
      <c r="B93" s="116"/>
      <c r="C93" s="118"/>
      <c r="D93" s="119"/>
      <c r="E93" s="118"/>
      <c r="F93" s="120"/>
      <c r="G93" s="121"/>
      <c r="H93" s="122"/>
      <c r="I93" s="121"/>
      <c r="J93" s="123"/>
    </row>
    <row r="94" spans="1:11">
      <c r="A94" s="103" t="s">
        <v>69</v>
      </c>
      <c r="B94" s="116"/>
      <c r="C94" s="118"/>
      <c r="D94" s="119"/>
      <c r="E94" s="118"/>
      <c r="F94" s="120"/>
      <c r="G94" s="121"/>
      <c r="H94" s="122"/>
      <c r="I94" s="121"/>
      <c r="J94" s="123"/>
    </row>
    <row r="96" spans="1:11">
      <c r="A96" s="103" t="s">
        <v>185</v>
      </c>
      <c r="B96" s="104"/>
      <c r="C96" s="104"/>
    </row>
    <row r="97" spans="1:3">
      <c r="A97" s="103" t="s">
        <v>186</v>
      </c>
      <c r="B97" s="104"/>
      <c r="C97" s="104"/>
    </row>
    <row r="98" spans="1:3">
      <c r="A98" s="103" t="s">
        <v>63</v>
      </c>
      <c r="B98" s="104"/>
      <c r="C98" s="104"/>
    </row>
    <row r="99" spans="1:3">
      <c r="A99" s="105" t="s">
        <v>188</v>
      </c>
      <c r="B99" s="106"/>
      <c r="C99" s="106"/>
    </row>
    <row r="100" spans="1:3">
      <c r="A100" s="103" t="s">
        <v>36</v>
      </c>
      <c r="B100" s="104"/>
      <c r="C100" s="104"/>
    </row>
    <row r="101" spans="1:3">
      <c r="A101" s="103" t="s">
        <v>66</v>
      </c>
      <c r="B101" s="104"/>
      <c r="C101" s="104"/>
    </row>
    <row r="102" spans="1:3">
      <c r="A102" s="103" t="s">
        <v>187</v>
      </c>
      <c r="B102" s="104"/>
      <c r="C102" s="104"/>
    </row>
    <row r="103" spans="1:3">
      <c r="A103" s="103" t="s">
        <v>192</v>
      </c>
      <c r="B103" s="104"/>
      <c r="C103" s="104"/>
    </row>
    <row r="104" spans="1:3">
      <c r="A104" s="103" t="s">
        <v>189</v>
      </c>
      <c r="B104" s="104"/>
      <c r="C104" s="104"/>
    </row>
    <row r="105" spans="1:3">
      <c r="A105" s="103" t="s">
        <v>190</v>
      </c>
      <c r="B105" s="104"/>
      <c r="C105" s="104"/>
    </row>
    <row r="106" spans="1:3">
      <c r="A106" s="103" t="s">
        <v>191</v>
      </c>
      <c r="B106" s="104"/>
      <c r="C106" s="104"/>
    </row>
    <row r="107" spans="1:3">
      <c r="A107" s="103" t="s">
        <v>193</v>
      </c>
      <c r="B107" s="104"/>
      <c r="C107" s="104"/>
    </row>
    <row r="108" spans="1:3">
      <c r="A108" s="71"/>
    </row>
    <row r="109" spans="1:3">
      <c r="A109" s="103" t="s">
        <v>194</v>
      </c>
      <c r="B109" s="104"/>
      <c r="C109" s="104"/>
    </row>
    <row r="110" spans="1:3">
      <c r="A110" s="103" t="s">
        <v>195</v>
      </c>
      <c r="B110" s="104"/>
      <c r="C110" s="104"/>
    </row>
    <row r="111" spans="1:3">
      <c r="A111" s="103" t="s">
        <v>196</v>
      </c>
      <c r="B111" s="104"/>
      <c r="C111" s="104"/>
    </row>
    <row r="112" spans="1:3">
      <c r="A112" s="103" t="s">
        <v>197</v>
      </c>
      <c r="B112" s="104"/>
      <c r="C112" s="104"/>
    </row>
    <row r="113" spans="1:3">
      <c r="A113" s="103" t="s">
        <v>198</v>
      </c>
      <c r="B113" s="104"/>
      <c r="C113" s="104"/>
    </row>
    <row r="114" spans="1:3">
      <c r="A114" s="103" t="s">
        <v>199</v>
      </c>
      <c r="B114" s="104"/>
      <c r="C114" s="104"/>
    </row>
    <row r="115" spans="1:3">
      <c r="A115" s="103" t="s">
        <v>200</v>
      </c>
      <c r="B115" s="104"/>
      <c r="C115" s="104"/>
    </row>
    <row r="116" spans="1:3">
      <c r="A116" s="103" t="s">
        <v>201</v>
      </c>
      <c r="B116" s="104"/>
      <c r="C116" s="104"/>
    </row>
    <row r="118" spans="1:3">
      <c r="A118" s="105" t="s">
        <v>202</v>
      </c>
      <c r="B118" s="106"/>
      <c r="C118" s="106"/>
    </row>
    <row r="119" spans="1:3">
      <c r="A119" s="103" t="s">
        <v>203</v>
      </c>
      <c r="B119" s="104"/>
      <c r="C119" s="104"/>
    </row>
    <row r="120" spans="1:3">
      <c r="A120" s="105" t="s">
        <v>204</v>
      </c>
      <c r="B120" s="106"/>
      <c r="C120" s="106"/>
    </row>
    <row r="121" spans="1:3">
      <c r="A121" s="105" t="s">
        <v>205</v>
      </c>
      <c r="B121" s="106"/>
      <c r="C121" s="106"/>
    </row>
    <row r="122" spans="1:3">
      <c r="A122" s="103" t="s">
        <v>206</v>
      </c>
      <c r="B122" s="104"/>
      <c r="C122" s="104"/>
    </row>
  </sheetData>
  <mergeCells count="65">
    <mergeCell ref="A87:J87"/>
    <mergeCell ref="A93:J93"/>
    <mergeCell ref="A94:J94"/>
    <mergeCell ref="A88:J88"/>
    <mergeCell ref="A89:J89"/>
    <mergeCell ref="A90:J90"/>
    <mergeCell ref="A91:J91"/>
    <mergeCell ref="A92:J92"/>
    <mergeCell ref="B25:L25"/>
    <mergeCell ref="B37:L37"/>
    <mergeCell ref="B45:L45"/>
    <mergeCell ref="F19:G19"/>
    <mergeCell ref="H18:I18"/>
    <mergeCell ref="H19:I19"/>
    <mergeCell ref="D18:G18"/>
    <mergeCell ref="A1:J1"/>
    <mergeCell ref="A7:B7"/>
    <mergeCell ref="A8:B8"/>
    <mergeCell ref="A9:D9"/>
    <mergeCell ref="A3:J3"/>
    <mergeCell ref="E8:J8"/>
    <mergeCell ref="H5:J5"/>
    <mergeCell ref="F5:G5"/>
    <mergeCell ref="A2:J2"/>
    <mergeCell ref="E9:J9"/>
    <mergeCell ref="A10:D10"/>
    <mergeCell ref="A11:D11"/>
    <mergeCell ref="E10:J10"/>
    <mergeCell ref="E11:J11"/>
    <mergeCell ref="A96:C96"/>
    <mergeCell ref="A14:D14"/>
    <mergeCell ref="B13:D13"/>
    <mergeCell ref="E13:G13"/>
    <mergeCell ref="H13:I13"/>
    <mergeCell ref="F14:J14"/>
    <mergeCell ref="A83:B83"/>
    <mergeCell ref="A16:B16"/>
    <mergeCell ref="A17:B17"/>
    <mergeCell ref="B56:L56"/>
    <mergeCell ref="B62:L62"/>
    <mergeCell ref="A78:K78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9:C109"/>
    <mergeCell ref="A110:C110"/>
    <mergeCell ref="A111:C111"/>
    <mergeCell ref="A112:C112"/>
    <mergeCell ref="A119:C119"/>
    <mergeCell ref="A120:C120"/>
    <mergeCell ref="A121:C121"/>
    <mergeCell ref="A122:C122"/>
    <mergeCell ref="A113:C113"/>
    <mergeCell ref="A114:C114"/>
    <mergeCell ref="A115:C115"/>
    <mergeCell ref="A116:C116"/>
    <mergeCell ref="A118:C118"/>
  </mergeCells>
  <phoneticPr fontId="1" type="noConversion"/>
  <pageMargins left="0" right="0" top="0" bottom="0" header="0" footer="0.19685039370078741"/>
  <pageSetup paperSize="9" scale="97" orientation="portrait" r:id="rId1"/>
  <headerFooter>
    <oddFooter>&amp;CPage:&amp;P/&amp;N&amp;RPrintTime:&amp;D   &amp;T</oddFooter>
  </headerFooter>
  <rowBreaks count="1" manualBreakCount="1">
    <brk id="4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8758F-53EB-48C1-A87C-A372089DEE44}">
  <dimension ref="A1:L194"/>
  <sheetViews>
    <sheetView topLeftCell="A133" workbookViewId="0">
      <selection activeCell="M10" sqref="M10"/>
    </sheetView>
  </sheetViews>
  <sheetFormatPr defaultColWidth="9" defaultRowHeight="15"/>
  <cols>
    <col min="1" max="1" width="14" style="10" customWidth="1"/>
    <col min="2" max="2" width="12.109375" style="18" customWidth="1"/>
    <col min="3" max="3" width="8" style="15" customWidth="1"/>
    <col min="4" max="4" width="8" style="16" hidden="1" customWidth="1"/>
    <col min="5" max="5" width="7.44140625" style="16" customWidth="1"/>
    <col min="6" max="6" width="11.21875" style="17" customWidth="1"/>
    <col min="7" max="7" width="1" style="17" hidden="1" customWidth="1"/>
    <col min="8" max="8" width="10.44140625" style="19" customWidth="1"/>
    <col min="9" max="10" width="6.6640625" style="16" customWidth="1"/>
    <col min="11" max="11" width="4.88671875" style="17" customWidth="1"/>
    <col min="12" max="12" width="9.77734375" style="8" customWidth="1"/>
    <col min="13" max="13" width="9" style="1" customWidth="1"/>
    <col min="14" max="16384" width="9" style="1"/>
  </cols>
  <sheetData>
    <row r="1" spans="1:11" ht="23.25" customHeight="1">
      <c r="A1" s="109" t="s">
        <v>166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</row>
    <row r="2" spans="1:11" ht="25.9" customHeight="1">
      <c r="A2" s="131" t="s">
        <v>167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</row>
    <row r="3" spans="1:11" ht="21" customHeight="1">
      <c r="A3" s="111" t="s">
        <v>70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</row>
    <row r="4" spans="1:11" ht="6.75" customHeight="1">
      <c r="B4" s="10"/>
      <c r="C4" s="11"/>
      <c r="D4" s="12"/>
      <c r="E4" s="12"/>
      <c r="F4" s="13"/>
      <c r="G4" s="13"/>
      <c r="H4" s="14"/>
      <c r="I4" s="12"/>
      <c r="J4" s="12"/>
      <c r="K4" s="13"/>
    </row>
    <row r="5" spans="1:11">
      <c r="A5" s="10" t="s">
        <v>3</v>
      </c>
      <c r="B5" s="10" t="s">
        <v>164</v>
      </c>
      <c r="H5" s="14" t="s">
        <v>4</v>
      </c>
      <c r="I5" s="103" t="s">
        <v>5</v>
      </c>
      <c r="J5" s="103"/>
      <c r="K5" s="103"/>
    </row>
    <row r="6" spans="1:11" ht="9" customHeight="1"/>
    <row r="7" spans="1:11">
      <c r="A7" s="103" t="s">
        <v>6</v>
      </c>
      <c r="B7" s="103"/>
      <c r="C7" s="103"/>
    </row>
    <row r="8" spans="1:11">
      <c r="A8" s="110"/>
      <c r="B8" s="110"/>
      <c r="D8" s="15"/>
      <c r="E8" s="110" t="s">
        <v>7</v>
      </c>
      <c r="F8" s="110"/>
      <c r="G8" s="110"/>
      <c r="H8" s="110"/>
      <c r="I8" s="110"/>
      <c r="J8" s="110"/>
      <c r="K8" s="110"/>
    </row>
    <row r="9" spans="1:11">
      <c r="A9" s="110"/>
      <c r="B9" s="110"/>
      <c r="C9" s="110"/>
      <c r="D9" s="20"/>
      <c r="E9" s="110" t="s">
        <v>8</v>
      </c>
      <c r="F9" s="110"/>
      <c r="G9" s="110"/>
      <c r="H9" s="110"/>
      <c r="I9" s="110"/>
      <c r="J9" s="110"/>
      <c r="K9" s="110"/>
    </row>
    <row r="10" spans="1:11" ht="43.15" customHeight="1">
      <c r="A10" s="107"/>
      <c r="B10" s="107"/>
      <c r="C10" s="107"/>
      <c r="D10" s="7"/>
      <c r="E10" s="107" t="s">
        <v>9</v>
      </c>
      <c r="F10" s="107"/>
      <c r="G10" s="107"/>
      <c r="H10" s="107"/>
      <c r="I10" s="107"/>
      <c r="J10" s="107"/>
      <c r="K10" s="107"/>
    </row>
    <row r="11" spans="1:11" ht="14.25" customHeight="1">
      <c r="A11" s="108"/>
      <c r="B11" s="108"/>
      <c r="C11" s="108"/>
      <c r="D11" s="21"/>
      <c r="E11" s="108" t="s">
        <v>10</v>
      </c>
      <c r="F11" s="108"/>
      <c r="G11" s="108"/>
      <c r="H11" s="108"/>
      <c r="I11" s="108"/>
      <c r="J11" s="108"/>
      <c r="K11" s="108"/>
    </row>
    <row r="12" spans="1:11" ht="3" customHeight="1">
      <c r="D12" s="15"/>
      <c r="E12" s="108"/>
      <c r="F12" s="108"/>
      <c r="G12" s="108"/>
      <c r="H12" s="108"/>
      <c r="I12" s="108"/>
      <c r="J12" s="108"/>
      <c r="K12" s="108"/>
    </row>
    <row r="13" spans="1:11" ht="3.75" customHeight="1"/>
    <row r="14" spans="1:11">
      <c r="A14" s="110" t="s">
        <v>11</v>
      </c>
      <c r="B14" s="110"/>
      <c r="C14" s="110"/>
      <c r="D14" s="20"/>
      <c r="E14" s="110" t="s">
        <v>12</v>
      </c>
      <c r="F14" s="110"/>
      <c r="G14" s="110"/>
      <c r="H14" s="110"/>
      <c r="I14" s="110"/>
      <c r="J14" s="110"/>
      <c r="K14" s="110"/>
    </row>
    <row r="15" spans="1:11">
      <c r="A15" s="110" t="s">
        <v>0</v>
      </c>
      <c r="B15" s="110"/>
      <c r="C15" s="110"/>
      <c r="D15" s="20"/>
      <c r="E15" s="110" t="s">
        <v>13</v>
      </c>
      <c r="F15" s="110"/>
      <c r="G15" s="110"/>
      <c r="H15" s="110"/>
      <c r="I15" s="110"/>
      <c r="J15" s="110"/>
      <c r="K15" s="110"/>
    </row>
    <row r="16" spans="1:11">
      <c r="A16" s="130" t="s">
        <v>1</v>
      </c>
      <c r="B16" s="116"/>
      <c r="C16" s="118"/>
      <c r="D16" s="15"/>
      <c r="E16" s="107" t="s">
        <v>14</v>
      </c>
      <c r="F16" s="107"/>
      <c r="G16" s="107"/>
      <c r="H16" s="107"/>
      <c r="I16" s="107"/>
      <c r="J16" s="107"/>
      <c r="K16" s="107"/>
    </row>
    <row r="17" spans="1:11" ht="18" customHeight="1">
      <c r="A17" s="105"/>
      <c r="B17" s="116"/>
      <c r="C17" s="118"/>
      <c r="D17" s="15"/>
      <c r="E17" s="107"/>
      <c r="F17" s="107"/>
      <c r="G17" s="107"/>
      <c r="H17" s="107"/>
      <c r="I17" s="107"/>
      <c r="J17" s="107"/>
      <c r="K17" s="107"/>
    </row>
    <row r="18" spans="1:11">
      <c r="A18" s="105"/>
      <c r="B18" s="116"/>
      <c r="C18" s="118"/>
      <c r="D18" s="15"/>
      <c r="E18" s="108" t="s">
        <v>15</v>
      </c>
      <c r="F18" s="108"/>
      <c r="G18" s="108"/>
      <c r="H18" s="108"/>
      <c r="I18" s="108"/>
      <c r="J18" s="108"/>
      <c r="K18" s="108"/>
    </row>
    <row r="19" spans="1:11" ht="2.25" customHeight="1"/>
    <row r="20" spans="1:11">
      <c r="A20" s="20" t="s">
        <v>168</v>
      </c>
      <c r="B20" s="108" t="s">
        <v>210</v>
      </c>
      <c r="C20" s="108"/>
      <c r="D20" s="108"/>
      <c r="E20" s="110" t="s">
        <v>16</v>
      </c>
      <c r="F20" s="110"/>
      <c r="G20" s="110"/>
      <c r="H20" s="110"/>
      <c r="I20" s="115">
        <v>46286</v>
      </c>
      <c r="J20" s="115"/>
    </row>
    <row r="21" spans="1:11">
      <c r="A21" s="108" t="s">
        <v>157</v>
      </c>
      <c r="B21" s="108"/>
      <c r="C21" s="108"/>
      <c r="D21" s="12"/>
      <c r="E21" s="12" t="s">
        <v>17</v>
      </c>
      <c r="F21" s="110" t="s">
        <v>8</v>
      </c>
      <c r="G21" s="110"/>
      <c r="H21" s="110"/>
      <c r="I21" s="110"/>
      <c r="J21" s="110"/>
      <c r="K21" s="110"/>
    </row>
    <row r="22" spans="1:11" ht="6" customHeight="1"/>
    <row r="23" spans="1:11">
      <c r="A23" s="129" t="s">
        <v>18</v>
      </c>
      <c r="B23" s="129"/>
      <c r="C23" s="22"/>
      <c r="D23" s="23"/>
      <c r="E23" s="23"/>
      <c r="F23" s="24"/>
      <c r="G23" s="24"/>
      <c r="H23" s="25"/>
      <c r="I23" s="23"/>
      <c r="J23" s="23"/>
      <c r="K23" s="24"/>
    </row>
    <row r="24" spans="1:11">
      <c r="A24" s="110" t="s">
        <v>19</v>
      </c>
      <c r="B24" s="110"/>
    </row>
    <row r="25" spans="1:11">
      <c r="A25" s="26"/>
      <c r="B25" s="27" t="s">
        <v>30</v>
      </c>
      <c r="C25" s="28" t="s">
        <v>71</v>
      </c>
      <c r="D25" s="29" t="s">
        <v>72</v>
      </c>
      <c r="E25" s="29" t="s">
        <v>73</v>
      </c>
      <c r="F25" s="30" t="s">
        <v>207</v>
      </c>
      <c r="G25" s="30" t="s">
        <v>28</v>
      </c>
      <c r="H25" s="31" t="s">
        <v>24</v>
      </c>
      <c r="I25" s="29" t="s">
        <v>74</v>
      </c>
      <c r="J25" s="29" t="s">
        <v>75</v>
      </c>
      <c r="K25" s="30" t="s">
        <v>208</v>
      </c>
    </row>
    <row r="26" spans="1:11">
      <c r="A26" s="32" t="s">
        <v>76</v>
      </c>
      <c r="B26" s="32" t="s">
        <v>30</v>
      </c>
      <c r="C26" s="33"/>
      <c r="D26" s="34"/>
      <c r="E26" s="34"/>
      <c r="F26" s="35"/>
      <c r="G26" s="35"/>
      <c r="H26" s="36"/>
      <c r="I26" s="34"/>
      <c r="J26" s="37"/>
    </row>
    <row r="27" spans="1:11">
      <c r="A27" s="10" t="s">
        <v>31</v>
      </c>
      <c r="B27" s="18" t="s">
        <v>32</v>
      </c>
    </row>
    <row r="28" spans="1:11">
      <c r="A28" s="10" t="s">
        <v>33</v>
      </c>
      <c r="B28" s="18" t="s">
        <v>34</v>
      </c>
    </row>
    <row r="29" spans="1:11">
      <c r="A29" s="10" t="s">
        <v>37</v>
      </c>
      <c r="B29" s="18" t="s">
        <v>38</v>
      </c>
    </row>
    <row r="30" spans="1:11">
      <c r="A30" s="10" t="s">
        <v>77</v>
      </c>
      <c r="B30" s="116" t="s">
        <v>39</v>
      </c>
      <c r="C30" s="118"/>
      <c r="D30" s="127"/>
      <c r="E30" s="127"/>
      <c r="F30" s="128"/>
      <c r="G30" s="128"/>
      <c r="H30" s="123"/>
      <c r="I30" s="127"/>
      <c r="J30" s="127"/>
      <c r="K30" s="128"/>
    </row>
    <row r="31" spans="1:11">
      <c r="A31" s="10" t="s">
        <v>66</v>
      </c>
      <c r="B31" s="10" t="s">
        <v>40</v>
      </c>
    </row>
    <row r="32" spans="1:11">
      <c r="A32" s="10" t="s">
        <v>78</v>
      </c>
      <c r="B32" s="18" t="s">
        <v>79</v>
      </c>
      <c r="C32" s="15" t="s">
        <v>80</v>
      </c>
      <c r="D32" s="16">
        <v>7.2</v>
      </c>
      <c r="E32" s="16">
        <v>8.1</v>
      </c>
      <c r="F32" s="77">
        <v>81</v>
      </c>
      <c r="G32" s="17">
        <v>0</v>
      </c>
      <c r="H32" s="19">
        <v>74.069999999999993</v>
      </c>
      <c r="I32" s="16">
        <v>17.8</v>
      </c>
      <c r="J32" s="16">
        <v>8.6</v>
      </c>
      <c r="K32" s="17">
        <v>1</v>
      </c>
    </row>
    <row r="33" spans="1:11">
      <c r="B33" s="38" t="s">
        <v>81</v>
      </c>
      <c r="C33" s="39"/>
      <c r="D33" s="40">
        <v>7.2</v>
      </c>
      <c r="E33" s="40">
        <v>8.1</v>
      </c>
      <c r="F33" s="77">
        <v>81</v>
      </c>
      <c r="G33" s="41">
        <v>0</v>
      </c>
      <c r="H33" s="42">
        <v>74.069999999999993</v>
      </c>
      <c r="I33" s="40">
        <v>17.8</v>
      </c>
      <c r="J33" s="40">
        <v>8.6</v>
      </c>
      <c r="K33" s="41">
        <v>1</v>
      </c>
    </row>
    <row r="34" spans="1:11">
      <c r="A34" s="10" t="s">
        <v>66</v>
      </c>
      <c r="B34" s="10" t="s">
        <v>43</v>
      </c>
    </row>
    <row r="35" spans="1:11">
      <c r="A35" s="10" t="s">
        <v>82</v>
      </c>
      <c r="B35" s="18" t="s">
        <v>83</v>
      </c>
      <c r="C35" s="15" t="s">
        <v>84</v>
      </c>
      <c r="D35" s="16">
        <v>3.7</v>
      </c>
      <c r="E35" s="16">
        <v>5.6</v>
      </c>
      <c r="F35" s="77">
        <v>42</v>
      </c>
      <c r="G35" s="17">
        <v>12</v>
      </c>
      <c r="H35" s="19">
        <v>38.4</v>
      </c>
      <c r="I35" s="16">
        <v>12.3</v>
      </c>
      <c r="J35" s="16">
        <v>6.1</v>
      </c>
      <c r="K35" s="17">
        <v>1</v>
      </c>
    </row>
    <row r="36" spans="1:11">
      <c r="B36" s="38" t="s">
        <v>81</v>
      </c>
      <c r="C36" s="39"/>
      <c r="D36" s="40">
        <v>3.7</v>
      </c>
      <c r="E36" s="40">
        <v>5.6</v>
      </c>
      <c r="F36" s="77">
        <v>42</v>
      </c>
      <c r="G36" s="41">
        <v>12</v>
      </c>
      <c r="H36" s="42">
        <v>38.4</v>
      </c>
      <c r="I36" s="40">
        <v>12.3</v>
      </c>
      <c r="J36" s="40">
        <v>6.1</v>
      </c>
      <c r="K36" s="41">
        <v>1</v>
      </c>
    </row>
    <row r="37" spans="1:11">
      <c r="A37" s="10" t="s">
        <v>66</v>
      </c>
      <c r="B37" s="10" t="s">
        <v>44</v>
      </c>
    </row>
    <row r="38" spans="1:11">
      <c r="A38" s="10" t="s">
        <v>85</v>
      </c>
      <c r="B38" s="18" t="s">
        <v>86</v>
      </c>
      <c r="C38" s="15" t="s">
        <v>87</v>
      </c>
      <c r="D38" s="16">
        <v>7.5</v>
      </c>
      <c r="E38" s="16">
        <v>8.9</v>
      </c>
      <c r="F38" s="77">
        <v>84</v>
      </c>
      <c r="G38" s="17">
        <v>10</v>
      </c>
      <c r="H38" s="19">
        <v>76.81</v>
      </c>
      <c r="I38" s="16">
        <v>19.600000000000001</v>
      </c>
      <c r="J38" s="16">
        <v>9.4</v>
      </c>
      <c r="K38" s="17">
        <v>1</v>
      </c>
    </row>
    <row r="39" spans="1:11">
      <c r="B39" s="38" t="s">
        <v>81</v>
      </c>
      <c r="C39" s="39"/>
      <c r="D39" s="40">
        <v>7.5</v>
      </c>
      <c r="E39" s="40">
        <v>8.9</v>
      </c>
      <c r="F39" s="77">
        <v>84</v>
      </c>
      <c r="G39" s="41">
        <v>10</v>
      </c>
      <c r="H39" s="42">
        <v>76.81</v>
      </c>
      <c r="I39" s="40">
        <v>19.600000000000001</v>
      </c>
      <c r="J39" s="40">
        <v>9.4</v>
      </c>
      <c r="K39" s="41">
        <v>1</v>
      </c>
    </row>
    <row r="40" spans="1:11">
      <c r="A40" s="10" t="s">
        <v>66</v>
      </c>
      <c r="B40" s="10" t="s">
        <v>44</v>
      </c>
    </row>
    <row r="41" spans="1:11">
      <c r="A41" s="10" t="s">
        <v>88</v>
      </c>
      <c r="B41" s="18" t="s">
        <v>86</v>
      </c>
      <c r="C41" s="15" t="s">
        <v>89</v>
      </c>
      <c r="D41" s="16">
        <v>0.1</v>
      </c>
      <c r="E41" s="16">
        <v>0.1</v>
      </c>
      <c r="F41" s="77">
        <v>1</v>
      </c>
      <c r="G41" s="17">
        <v>0</v>
      </c>
      <c r="H41" s="19">
        <v>0.91</v>
      </c>
      <c r="I41" s="16">
        <v>0.2</v>
      </c>
      <c r="J41" s="16">
        <v>0.6</v>
      </c>
      <c r="K41" s="17">
        <v>1</v>
      </c>
    </row>
    <row r="42" spans="1:11">
      <c r="B42" s="38" t="s">
        <v>81</v>
      </c>
      <c r="C42" s="39"/>
      <c r="D42" s="40">
        <v>0.1</v>
      </c>
      <c r="E42" s="40">
        <v>0.1</v>
      </c>
      <c r="F42" s="77">
        <v>1</v>
      </c>
      <c r="G42" s="41">
        <v>0</v>
      </c>
      <c r="H42" s="42">
        <v>0.91</v>
      </c>
      <c r="I42" s="40">
        <v>0.2</v>
      </c>
      <c r="J42" s="40">
        <v>0.6</v>
      </c>
      <c r="K42" s="41">
        <v>1</v>
      </c>
    </row>
    <row r="43" spans="1:11">
      <c r="A43" s="10" t="s">
        <v>66</v>
      </c>
      <c r="B43" s="10" t="s">
        <v>45</v>
      </c>
    </row>
    <row r="44" spans="1:11">
      <c r="A44" s="10" t="s">
        <v>90</v>
      </c>
      <c r="B44" s="18" t="s">
        <v>91</v>
      </c>
      <c r="C44" s="15" t="s">
        <v>92</v>
      </c>
      <c r="D44" s="16">
        <v>6.2</v>
      </c>
      <c r="E44" s="16">
        <v>6.8</v>
      </c>
      <c r="F44" s="77">
        <v>70</v>
      </c>
      <c r="G44" s="17">
        <v>0</v>
      </c>
      <c r="H44" s="19">
        <v>64.010000000000005</v>
      </c>
      <c r="I44" s="16">
        <v>15</v>
      </c>
      <c r="J44" s="16">
        <v>7.3</v>
      </c>
      <c r="K44" s="17">
        <v>1</v>
      </c>
    </row>
    <row r="45" spans="1:11">
      <c r="A45" s="10" t="s">
        <v>93</v>
      </c>
      <c r="B45" s="18" t="s">
        <v>94</v>
      </c>
      <c r="C45" s="15" t="s">
        <v>95</v>
      </c>
      <c r="D45" s="16">
        <v>0.5</v>
      </c>
      <c r="E45" s="16">
        <v>0.8</v>
      </c>
      <c r="F45" s="77">
        <v>6</v>
      </c>
      <c r="G45" s="17">
        <v>0</v>
      </c>
      <c r="H45" s="19">
        <v>5.49</v>
      </c>
      <c r="I45" s="16">
        <v>1.8</v>
      </c>
      <c r="J45" s="16">
        <v>1.3</v>
      </c>
      <c r="K45" s="17">
        <v>1</v>
      </c>
    </row>
    <row r="46" spans="1:11">
      <c r="B46" s="38" t="s">
        <v>81</v>
      </c>
      <c r="C46" s="39"/>
      <c r="D46" s="40">
        <v>6.7</v>
      </c>
      <c r="E46" s="40">
        <v>7.6</v>
      </c>
      <c r="F46" s="77">
        <v>76</v>
      </c>
      <c r="G46" s="41">
        <v>0</v>
      </c>
      <c r="H46" s="42">
        <v>69.5</v>
      </c>
      <c r="I46" s="40">
        <v>16.8</v>
      </c>
      <c r="J46" s="40">
        <v>8.6</v>
      </c>
      <c r="K46" s="41">
        <v>2</v>
      </c>
    </row>
    <row r="47" spans="1:11">
      <c r="A47" s="10" t="s">
        <v>31</v>
      </c>
      <c r="B47" s="18" t="s">
        <v>32</v>
      </c>
    </row>
    <row r="48" spans="1:11">
      <c r="A48" s="10" t="s">
        <v>33</v>
      </c>
      <c r="B48" s="18" t="s">
        <v>34</v>
      </c>
    </row>
    <row r="49" spans="1:11">
      <c r="A49" s="10" t="s">
        <v>37</v>
      </c>
      <c r="B49" s="18" t="s">
        <v>46</v>
      </c>
    </row>
    <row r="50" spans="1:11">
      <c r="A50" s="10" t="s">
        <v>77</v>
      </c>
      <c r="B50" s="116" t="s">
        <v>47</v>
      </c>
      <c r="C50" s="118"/>
      <c r="D50" s="127"/>
      <c r="E50" s="127"/>
      <c r="F50" s="128"/>
      <c r="G50" s="128"/>
      <c r="H50" s="123"/>
      <c r="I50" s="127"/>
      <c r="J50" s="127"/>
      <c r="K50" s="128"/>
    </row>
    <row r="51" spans="1:11">
      <c r="A51" s="10" t="s">
        <v>66</v>
      </c>
      <c r="B51" s="10" t="s">
        <v>40</v>
      </c>
    </row>
    <row r="52" spans="1:11">
      <c r="A52" s="10" t="s">
        <v>96</v>
      </c>
      <c r="B52" s="18" t="s">
        <v>83</v>
      </c>
      <c r="C52" s="15" t="s">
        <v>97</v>
      </c>
      <c r="D52" s="16">
        <v>6</v>
      </c>
      <c r="E52" s="16">
        <v>6.2</v>
      </c>
      <c r="F52" s="77">
        <v>32</v>
      </c>
      <c r="G52" s="17">
        <v>1</v>
      </c>
      <c r="H52" s="19">
        <v>29.26</v>
      </c>
      <c r="I52" s="16">
        <v>13.7</v>
      </c>
      <c r="J52" s="16">
        <v>6.7</v>
      </c>
      <c r="K52" s="17">
        <v>1</v>
      </c>
    </row>
    <row r="53" spans="1:11">
      <c r="B53" s="38" t="s">
        <v>81</v>
      </c>
      <c r="C53" s="39"/>
      <c r="D53" s="40">
        <v>6</v>
      </c>
      <c r="E53" s="40">
        <v>6.2</v>
      </c>
      <c r="F53" s="77">
        <v>32</v>
      </c>
      <c r="G53" s="41">
        <v>1</v>
      </c>
      <c r="H53" s="42">
        <v>29.26</v>
      </c>
      <c r="I53" s="40">
        <v>13.7</v>
      </c>
      <c r="J53" s="40">
        <v>6.7</v>
      </c>
      <c r="K53" s="41">
        <v>1</v>
      </c>
    </row>
    <row r="54" spans="1:11">
      <c r="A54" s="10" t="s">
        <v>66</v>
      </c>
      <c r="B54" s="10" t="s">
        <v>48</v>
      </c>
    </row>
    <row r="55" spans="1:11">
      <c r="A55" s="10" t="s">
        <v>98</v>
      </c>
      <c r="B55" s="18" t="s">
        <v>99</v>
      </c>
      <c r="C55" s="15" t="s">
        <v>100</v>
      </c>
      <c r="D55" s="16">
        <v>5.0999999999999996</v>
      </c>
      <c r="E55" s="16">
        <v>5.4</v>
      </c>
      <c r="F55" s="77">
        <v>27</v>
      </c>
      <c r="G55" s="17">
        <v>0</v>
      </c>
      <c r="H55" s="19">
        <v>24.69</v>
      </c>
      <c r="I55" s="16">
        <v>11.9</v>
      </c>
      <c r="J55" s="16">
        <v>5.9</v>
      </c>
      <c r="K55" s="17">
        <v>1</v>
      </c>
    </row>
    <row r="56" spans="1:11">
      <c r="B56" s="38" t="s">
        <v>81</v>
      </c>
      <c r="C56" s="39"/>
      <c r="D56" s="40">
        <v>5.0999999999999996</v>
      </c>
      <c r="E56" s="40">
        <v>5.4</v>
      </c>
      <c r="F56" s="77">
        <v>27</v>
      </c>
      <c r="G56" s="41">
        <v>0</v>
      </c>
      <c r="H56" s="42">
        <v>24.69</v>
      </c>
      <c r="I56" s="40">
        <v>11.9</v>
      </c>
      <c r="J56" s="40">
        <v>5.9</v>
      </c>
      <c r="K56" s="41">
        <v>1</v>
      </c>
    </row>
    <row r="57" spans="1:11">
      <c r="A57" s="10" t="s">
        <v>66</v>
      </c>
      <c r="B57" s="10" t="s">
        <v>49</v>
      </c>
    </row>
    <row r="58" spans="1:11">
      <c r="A58" s="10" t="s">
        <v>101</v>
      </c>
      <c r="B58" s="18" t="s">
        <v>99</v>
      </c>
      <c r="C58" s="15" t="s">
        <v>102</v>
      </c>
      <c r="D58" s="16">
        <v>5.0999999999999996</v>
      </c>
      <c r="E58" s="16">
        <v>5.4</v>
      </c>
      <c r="F58" s="77">
        <v>27</v>
      </c>
      <c r="G58" s="17">
        <v>1</v>
      </c>
      <c r="H58" s="19">
        <v>24.69</v>
      </c>
      <c r="I58" s="16">
        <v>11.9</v>
      </c>
      <c r="J58" s="16">
        <v>5.9</v>
      </c>
      <c r="K58" s="17">
        <v>1</v>
      </c>
    </row>
    <row r="59" spans="1:11">
      <c r="B59" s="38" t="s">
        <v>81</v>
      </c>
      <c r="C59" s="39"/>
      <c r="D59" s="40">
        <v>5.0999999999999996</v>
      </c>
      <c r="E59" s="40">
        <v>5.4</v>
      </c>
      <c r="F59" s="77">
        <v>27</v>
      </c>
      <c r="G59" s="41">
        <v>1</v>
      </c>
      <c r="H59" s="42">
        <v>24.69</v>
      </c>
      <c r="I59" s="40">
        <v>11.9</v>
      </c>
      <c r="J59" s="40">
        <v>5.9</v>
      </c>
      <c r="K59" s="41">
        <v>1</v>
      </c>
    </row>
    <row r="60" spans="1:11">
      <c r="A60" s="10" t="s">
        <v>31</v>
      </c>
      <c r="B60" s="18" t="s">
        <v>32</v>
      </c>
    </row>
    <row r="61" spans="1:11">
      <c r="A61" s="10" t="s">
        <v>33</v>
      </c>
      <c r="B61" s="18" t="s">
        <v>34</v>
      </c>
    </row>
    <row r="62" spans="1:11">
      <c r="A62" s="10" t="s">
        <v>37</v>
      </c>
      <c r="B62" s="18" t="s">
        <v>50</v>
      </c>
    </row>
    <row r="63" spans="1:11">
      <c r="A63" s="10" t="s">
        <v>77</v>
      </c>
      <c r="B63" s="116" t="s">
        <v>51</v>
      </c>
      <c r="C63" s="118"/>
      <c r="D63" s="127"/>
      <c r="E63" s="127"/>
      <c r="F63" s="128"/>
      <c r="G63" s="128"/>
      <c r="H63" s="123"/>
      <c r="I63" s="127"/>
      <c r="J63" s="127"/>
      <c r="K63" s="128"/>
    </row>
    <row r="64" spans="1:11">
      <c r="A64" s="10" t="s">
        <v>66</v>
      </c>
      <c r="B64" s="10" t="s">
        <v>52</v>
      </c>
    </row>
    <row r="65" spans="1:11">
      <c r="A65" s="10" t="s">
        <v>103</v>
      </c>
      <c r="B65" s="18" t="s">
        <v>99</v>
      </c>
      <c r="C65" s="15" t="s">
        <v>104</v>
      </c>
      <c r="D65" s="16">
        <v>21.2</v>
      </c>
      <c r="E65" s="16">
        <v>21.2</v>
      </c>
      <c r="F65" s="77">
        <v>74</v>
      </c>
      <c r="G65" s="17">
        <v>0</v>
      </c>
      <c r="H65" s="19">
        <v>67.67</v>
      </c>
      <c r="I65" s="16">
        <v>46.7</v>
      </c>
      <c r="J65" s="16">
        <v>21.7</v>
      </c>
      <c r="K65" s="17">
        <v>1</v>
      </c>
    </row>
    <row r="66" spans="1:11">
      <c r="A66" s="10" t="s">
        <v>103</v>
      </c>
      <c r="B66" s="18" t="s">
        <v>99</v>
      </c>
      <c r="C66" s="15" t="s">
        <v>105</v>
      </c>
      <c r="D66" s="16">
        <v>21.2</v>
      </c>
      <c r="E66" s="16">
        <v>21.2</v>
      </c>
      <c r="F66" s="77">
        <v>74</v>
      </c>
      <c r="G66" s="17">
        <v>0</v>
      </c>
      <c r="H66" s="19">
        <v>67.67</v>
      </c>
      <c r="I66" s="16">
        <v>46.7</v>
      </c>
      <c r="J66" s="16">
        <v>21.7</v>
      </c>
      <c r="K66" s="17">
        <v>1</v>
      </c>
    </row>
    <row r="67" spans="1:11">
      <c r="A67" s="10" t="s">
        <v>103</v>
      </c>
      <c r="B67" s="18" t="s">
        <v>99</v>
      </c>
      <c r="C67" s="15" t="s">
        <v>106</v>
      </c>
      <c r="D67" s="16">
        <v>21.2</v>
      </c>
      <c r="E67" s="16">
        <v>21.2</v>
      </c>
      <c r="F67" s="77">
        <v>74</v>
      </c>
      <c r="G67" s="17">
        <v>0</v>
      </c>
      <c r="H67" s="19">
        <v>67.67</v>
      </c>
      <c r="I67" s="16">
        <v>46.7</v>
      </c>
      <c r="J67" s="16">
        <v>21.7</v>
      </c>
      <c r="K67" s="17">
        <v>1</v>
      </c>
    </row>
    <row r="68" spans="1:11">
      <c r="A68" s="10" t="s">
        <v>103</v>
      </c>
      <c r="B68" s="18" t="s">
        <v>99</v>
      </c>
      <c r="C68" s="15" t="s">
        <v>107</v>
      </c>
      <c r="D68" s="16">
        <v>11.7</v>
      </c>
      <c r="E68" s="16">
        <v>11.7</v>
      </c>
      <c r="F68" s="77">
        <v>41</v>
      </c>
      <c r="G68" s="17">
        <v>0</v>
      </c>
      <c r="H68" s="19">
        <v>37.49</v>
      </c>
      <c r="I68" s="16">
        <v>25.8</v>
      </c>
      <c r="J68" s="16">
        <v>12.2</v>
      </c>
      <c r="K68" s="17">
        <v>1</v>
      </c>
    </row>
    <row r="69" spans="1:11">
      <c r="A69" s="10" t="s">
        <v>103</v>
      </c>
      <c r="B69" s="18" t="s">
        <v>99</v>
      </c>
      <c r="C69" s="15" t="s">
        <v>108</v>
      </c>
      <c r="D69" s="16">
        <v>11.7</v>
      </c>
      <c r="E69" s="16">
        <v>11.7</v>
      </c>
      <c r="F69" s="77">
        <v>41</v>
      </c>
      <c r="G69" s="17">
        <v>0</v>
      </c>
      <c r="H69" s="19">
        <v>37.49</v>
      </c>
      <c r="I69" s="16">
        <v>25.8</v>
      </c>
      <c r="J69" s="16">
        <v>12.2</v>
      </c>
      <c r="K69" s="17">
        <v>1</v>
      </c>
    </row>
    <row r="70" spans="1:11">
      <c r="B70" s="38" t="s">
        <v>81</v>
      </c>
      <c r="C70" s="39"/>
      <c r="D70" s="40">
        <v>87</v>
      </c>
      <c r="E70" s="40">
        <v>87</v>
      </c>
      <c r="F70" s="77">
        <v>304</v>
      </c>
      <c r="G70" s="41">
        <v>0</v>
      </c>
      <c r="H70" s="42">
        <v>277.99</v>
      </c>
      <c r="I70" s="40">
        <v>191.7</v>
      </c>
      <c r="J70" s="40">
        <v>89.5</v>
      </c>
      <c r="K70" s="41">
        <v>5</v>
      </c>
    </row>
    <row r="71" spans="1:11">
      <c r="A71" s="10" t="s">
        <v>66</v>
      </c>
      <c r="B71" s="10" t="s">
        <v>53</v>
      </c>
    </row>
    <row r="72" spans="1:11">
      <c r="A72" s="10" t="s">
        <v>109</v>
      </c>
      <c r="B72" s="18" t="s">
        <v>110</v>
      </c>
      <c r="C72" s="15" t="s">
        <v>111</v>
      </c>
      <c r="D72" s="16">
        <v>14.9</v>
      </c>
      <c r="E72" s="16">
        <v>15.6</v>
      </c>
      <c r="F72" s="77">
        <v>52</v>
      </c>
      <c r="G72" s="17">
        <v>2</v>
      </c>
      <c r="H72" s="19">
        <v>47.55</v>
      </c>
      <c r="I72" s="16">
        <v>34.299999999999997</v>
      </c>
      <c r="J72" s="16">
        <v>16.100000000000001</v>
      </c>
      <c r="K72" s="17">
        <v>1</v>
      </c>
    </row>
    <row r="73" spans="1:11">
      <c r="A73" s="10" t="s">
        <v>109</v>
      </c>
      <c r="B73" s="18" t="s">
        <v>110</v>
      </c>
      <c r="C73" s="15" t="s">
        <v>112</v>
      </c>
      <c r="D73" s="16">
        <v>12</v>
      </c>
      <c r="E73" s="16">
        <v>12.5</v>
      </c>
      <c r="F73" s="77">
        <v>42</v>
      </c>
      <c r="G73" s="17">
        <v>1</v>
      </c>
      <c r="H73" s="19">
        <v>38.4</v>
      </c>
      <c r="I73" s="16">
        <v>27.5</v>
      </c>
      <c r="J73" s="16">
        <v>13</v>
      </c>
      <c r="K73" s="17">
        <v>1</v>
      </c>
    </row>
    <row r="74" spans="1:11">
      <c r="A74" s="10" t="s">
        <v>109</v>
      </c>
      <c r="B74" s="18" t="s">
        <v>110</v>
      </c>
      <c r="C74" s="15" t="s">
        <v>113</v>
      </c>
      <c r="D74" s="16">
        <v>20.3</v>
      </c>
      <c r="E74" s="16">
        <v>21.2</v>
      </c>
      <c r="F74" s="77">
        <v>71</v>
      </c>
      <c r="G74" s="17">
        <v>2</v>
      </c>
      <c r="H74" s="19">
        <v>64.92</v>
      </c>
      <c r="I74" s="16">
        <v>46.7</v>
      </c>
      <c r="J74" s="16">
        <v>21.7</v>
      </c>
      <c r="K74" s="17">
        <v>1</v>
      </c>
    </row>
    <row r="75" spans="1:11">
      <c r="A75" s="10" t="s">
        <v>109</v>
      </c>
      <c r="B75" s="18" t="s">
        <v>110</v>
      </c>
      <c r="C75" s="15" t="s">
        <v>114</v>
      </c>
      <c r="D75" s="16">
        <v>23.5</v>
      </c>
      <c r="E75" s="16">
        <v>24.7</v>
      </c>
      <c r="F75" s="77">
        <v>82</v>
      </c>
      <c r="G75" s="17">
        <v>3</v>
      </c>
      <c r="H75" s="19">
        <v>74.98</v>
      </c>
      <c r="I75" s="16">
        <v>54.3</v>
      </c>
      <c r="J75" s="16">
        <v>25.2</v>
      </c>
      <c r="K75" s="17">
        <v>1</v>
      </c>
    </row>
    <row r="76" spans="1:11">
      <c r="A76" s="10" t="s">
        <v>109</v>
      </c>
      <c r="B76" s="18" t="s">
        <v>110</v>
      </c>
      <c r="C76" s="15" t="s">
        <v>115</v>
      </c>
      <c r="D76" s="16">
        <v>17.2</v>
      </c>
      <c r="E76" s="16">
        <v>18</v>
      </c>
      <c r="F76" s="77">
        <v>60</v>
      </c>
      <c r="G76" s="17">
        <v>2</v>
      </c>
      <c r="H76" s="19">
        <v>54.86</v>
      </c>
      <c r="I76" s="16">
        <v>39.700000000000003</v>
      </c>
      <c r="J76" s="16">
        <v>18.5</v>
      </c>
      <c r="K76" s="17">
        <v>1</v>
      </c>
    </row>
    <row r="77" spans="1:11">
      <c r="A77" s="10" t="s">
        <v>109</v>
      </c>
      <c r="B77" s="18" t="s">
        <v>110</v>
      </c>
      <c r="C77" s="15" t="s">
        <v>116</v>
      </c>
      <c r="D77" s="16">
        <v>23.5</v>
      </c>
      <c r="E77" s="16">
        <v>24.7</v>
      </c>
      <c r="F77" s="77">
        <v>82</v>
      </c>
      <c r="G77" s="17">
        <v>3</v>
      </c>
      <c r="H77" s="19">
        <v>74.98</v>
      </c>
      <c r="I77" s="16">
        <v>54.5</v>
      </c>
      <c r="J77" s="16">
        <v>25.2</v>
      </c>
      <c r="K77" s="17">
        <v>1</v>
      </c>
    </row>
    <row r="78" spans="1:11">
      <c r="A78" s="10" t="s">
        <v>117</v>
      </c>
      <c r="B78" s="18" t="s">
        <v>99</v>
      </c>
      <c r="C78" s="15" t="s">
        <v>118</v>
      </c>
      <c r="D78" s="16">
        <v>4.9000000000000004</v>
      </c>
      <c r="E78" s="16">
        <v>4.9000000000000004</v>
      </c>
      <c r="F78" s="77">
        <v>17</v>
      </c>
      <c r="G78" s="17">
        <v>0</v>
      </c>
      <c r="H78" s="19">
        <v>15.54</v>
      </c>
      <c r="I78" s="16">
        <v>10.8</v>
      </c>
      <c r="J78" s="16">
        <v>5.4</v>
      </c>
      <c r="K78" s="17">
        <v>1</v>
      </c>
    </row>
    <row r="79" spans="1:11">
      <c r="B79" s="38" t="s">
        <v>81</v>
      </c>
      <c r="C79" s="39"/>
      <c r="D79" s="40">
        <v>116.3</v>
      </c>
      <c r="E79" s="40">
        <v>121.6</v>
      </c>
      <c r="F79" s="77">
        <v>406</v>
      </c>
      <c r="G79" s="41">
        <v>13</v>
      </c>
      <c r="H79" s="42">
        <v>371.23</v>
      </c>
      <c r="I79" s="40">
        <v>267.8</v>
      </c>
      <c r="J79" s="40">
        <v>125.1</v>
      </c>
      <c r="K79" s="41">
        <v>7</v>
      </c>
    </row>
    <row r="80" spans="1:11">
      <c r="A80" s="10" t="s">
        <v>66</v>
      </c>
      <c r="B80" s="10" t="s">
        <v>54</v>
      </c>
    </row>
    <row r="81" spans="1:11">
      <c r="A81" s="10" t="s">
        <v>119</v>
      </c>
      <c r="B81" s="18" t="s">
        <v>99</v>
      </c>
      <c r="C81" s="15" t="s">
        <v>120</v>
      </c>
      <c r="D81" s="16">
        <v>10.3</v>
      </c>
      <c r="E81" s="16">
        <v>10.199999999999999</v>
      </c>
      <c r="F81" s="77">
        <v>36</v>
      </c>
      <c r="G81" s="17">
        <v>0</v>
      </c>
      <c r="H81" s="19">
        <v>32.92</v>
      </c>
      <c r="I81" s="16">
        <v>22.5</v>
      </c>
      <c r="J81" s="16">
        <v>10.7</v>
      </c>
      <c r="K81" s="17">
        <v>1</v>
      </c>
    </row>
    <row r="82" spans="1:11">
      <c r="A82" s="10" t="s">
        <v>119</v>
      </c>
      <c r="B82" s="18" t="s">
        <v>99</v>
      </c>
      <c r="C82" s="15" t="s">
        <v>121</v>
      </c>
      <c r="D82" s="16">
        <v>19.399999999999999</v>
      </c>
      <c r="E82" s="16">
        <v>19.600000000000001</v>
      </c>
      <c r="F82" s="77">
        <v>68</v>
      </c>
      <c r="G82" s="17">
        <v>1</v>
      </c>
      <c r="H82" s="19">
        <v>62.18</v>
      </c>
      <c r="I82" s="16">
        <v>43.1</v>
      </c>
      <c r="J82" s="16">
        <v>20.100000000000001</v>
      </c>
      <c r="K82" s="17">
        <v>1</v>
      </c>
    </row>
    <row r="83" spans="1:11">
      <c r="A83" s="10" t="s">
        <v>119</v>
      </c>
      <c r="B83" s="18" t="s">
        <v>99</v>
      </c>
      <c r="C83" s="15" t="s">
        <v>122</v>
      </c>
      <c r="D83" s="16">
        <v>31.2</v>
      </c>
      <c r="E83" s="16">
        <v>31.5</v>
      </c>
      <c r="F83" s="77">
        <v>109</v>
      </c>
      <c r="G83" s="17">
        <v>1</v>
      </c>
      <c r="H83" s="19">
        <v>99.67</v>
      </c>
      <c r="I83" s="16">
        <v>69.400000000000006</v>
      </c>
      <c r="J83" s="16">
        <v>32</v>
      </c>
      <c r="K83" s="17">
        <v>1</v>
      </c>
    </row>
    <row r="84" spans="1:11">
      <c r="A84" s="10" t="s">
        <v>119</v>
      </c>
      <c r="B84" s="18" t="s">
        <v>99</v>
      </c>
      <c r="C84" s="15" t="s">
        <v>123</v>
      </c>
      <c r="D84" s="16">
        <v>4.3</v>
      </c>
      <c r="E84" s="16">
        <v>4.9000000000000004</v>
      </c>
      <c r="F84" s="77">
        <v>15</v>
      </c>
      <c r="G84" s="17">
        <v>0</v>
      </c>
      <c r="H84" s="19">
        <v>13.72</v>
      </c>
      <c r="I84" s="16">
        <v>10.8</v>
      </c>
      <c r="J84" s="16">
        <v>5.4</v>
      </c>
      <c r="K84" s="17">
        <v>1</v>
      </c>
    </row>
    <row r="85" spans="1:11">
      <c r="B85" s="38" t="s">
        <v>81</v>
      </c>
      <c r="C85" s="39"/>
      <c r="D85" s="40">
        <v>65.2</v>
      </c>
      <c r="E85" s="40">
        <v>66.2</v>
      </c>
      <c r="F85" s="77">
        <v>228</v>
      </c>
      <c r="G85" s="41">
        <v>2</v>
      </c>
      <c r="H85" s="42">
        <v>208.49</v>
      </c>
      <c r="I85" s="40">
        <v>145.80000000000001</v>
      </c>
      <c r="J85" s="40">
        <v>68.2</v>
      </c>
      <c r="K85" s="41">
        <v>4</v>
      </c>
    </row>
    <row r="86" spans="1:11">
      <c r="A86" s="10" t="s">
        <v>66</v>
      </c>
      <c r="B86" s="10" t="s">
        <v>55</v>
      </c>
    </row>
    <row r="87" spans="1:11">
      <c r="A87" s="10" t="s">
        <v>124</v>
      </c>
      <c r="B87" s="18" t="s">
        <v>125</v>
      </c>
      <c r="C87" s="15" t="s">
        <v>126</v>
      </c>
      <c r="D87" s="16">
        <v>23.5</v>
      </c>
      <c r="E87" s="16">
        <v>26.9</v>
      </c>
      <c r="F87" s="77">
        <v>82</v>
      </c>
      <c r="G87" s="17">
        <v>12</v>
      </c>
      <c r="H87" s="19">
        <v>83.21</v>
      </c>
      <c r="I87" s="16">
        <v>59.2</v>
      </c>
      <c r="J87" s="16">
        <v>27.4</v>
      </c>
      <c r="K87" s="17">
        <v>1</v>
      </c>
    </row>
    <row r="88" spans="1:11">
      <c r="A88" s="10" t="s">
        <v>124</v>
      </c>
      <c r="B88" s="18" t="s">
        <v>125</v>
      </c>
      <c r="C88" s="15" t="s">
        <v>127</v>
      </c>
      <c r="D88" s="16">
        <v>25.5</v>
      </c>
      <c r="E88" s="16">
        <v>29</v>
      </c>
      <c r="F88" s="77">
        <v>89</v>
      </c>
      <c r="G88" s="17">
        <v>12</v>
      </c>
      <c r="H88" s="19">
        <v>90.53</v>
      </c>
      <c r="I88" s="16">
        <v>63.8</v>
      </c>
      <c r="J88" s="16">
        <v>29.5</v>
      </c>
      <c r="K88" s="17">
        <v>1</v>
      </c>
    </row>
    <row r="89" spans="1:11">
      <c r="A89" s="10" t="s">
        <v>124</v>
      </c>
      <c r="B89" s="18" t="s">
        <v>125</v>
      </c>
      <c r="C89" s="15" t="s">
        <v>128</v>
      </c>
      <c r="D89" s="16">
        <v>19.2</v>
      </c>
      <c r="E89" s="16">
        <v>21.5</v>
      </c>
      <c r="F89" s="77">
        <v>67</v>
      </c>
      <c r="G89" s="17">
        <v>8</v>
      </c>
      <c r="H89" s="19">
        <v>67.67</v>
      </c>
      <c r="I89" s="16">
        <v>47.3</v>
      </c>
      <c r="J89" s="16">
        <v>22</v>
      </c>
      <c r="K89" s="17">
        <v>1</v>
      </c>
    </row>
    <row r="90" spans="1:11">
      <c r="A90" s="10" t="s">
        <v>124</v>
      </c>
      <c r="B90" s="18" t="s">
        <v>125</v>
      </c>
      <c r="C90" s="15" t="s">
        <v>129</v>
      </c>
      <c r="D90" s="16">
        <v>20</v>
      </c>
      <c r="E90" s="16">
        <v>22.3</v>
      </c>
      <c r="F90" s="77">
        <v>70</v>
      </c>
      <c r="G90" s="17">
        <v>8</v>
      </c>
      <c r="H90" s="19">
        <v>71.319999999999993</v>
      </c>
      <c r="I90" s="16">
        <v>49.1</v>
      </c>
      <c r="J90" s="16">
        <v>22.8</v>
      </c>
      <c r="K90" s="17">
        <v>1</v>
      </c>
    </row>
    <row r="91" spans="1:11">
      <c r="A91" s="10" t="s">
        <v>124</v>
      </c>
      <c r="B91" s="18" t="s">
        <v>125</v>
      </c>
      <c r="C91" s="15" t="s">
        <v>130</v>
      </c>
      <c r="D91" s="16">
        <v>14</v>
      </c>
      <c r="E91" s="16">
        <v>15.6</v>
      </c>
      <c r="F91" s="77">
        <v>49</v>
      </c>
      <c r="G91" s="17">
        <v>6</v>
      </c>
      <c r="H91" s="19">
        <v>49.38</v>
      </c>
      <c r="I91" s="16">
        <v>34.299999999999997</v>
      </c>
      <c r="J91" s="16">
        <v>16.100000000000001</v>
      </c>
      <c r="K91" s="17">
        <v>1</v>
      </c>
    </row>
    <row r="92" spans="1:11">
      <c r="A92" s="10" t="s">
        <v>131</v>
      </c>
      <c r="B92" s="18" t="s">
        <v>91</v>
      </c>
      <c r="C92" s="15" t="s">
        <v>132</v>
      </c>
      <c r="D92" s="16">
        <v>9.4</v>
      </c>
      <c r="E92" s="16">
        <v>9.4</v>
      </c>
      <c r="F92" s="77">
        <v>33</v>
      </c>
      <c r="G92" s="17">
        <v>0</v>
      </c>
      <c r="H92" s="19">
        <v>30.18</v>
      </c>
      <c r="I92" s="16">
        <v>20.7</v>
      </c>
      <c r="J92" s="16">
        <v>9.9</v>
      </c>
      <c r="K92" s="17">
        <v>1</v>
      </c>
    </row>
    <row r="93" spans="1:11">
      <c r="B93" s="38" t="s">
        <v>81</v>
      </c>
      <c r="C93" s="39"/>
      <c r="D93" s="40">
        <v>111.6</v>
      </c>
      <c r="E93" s="40">
        <v>124.7</v>
      </c>
      <c r="F93" s="77">
        <v>390</v>
      </c>
      <c r="G93" s="41">
        <v>46</v>
      </c>
      <c r="H93" s="42">
        <v>392.29</v>
      </c>
      <c r="I93" s="40">
        <v>274.39999999999998</v>
      </c>
      <c r="J93" s="40">
        <v>127.7</v>
      </c>
      <c r="K93" s="41">
        <v>6</v>
      </c>
    </row>
    <row r="94" spans="1:11">
      <c r="A94" s="10" t="s">
        <v>66</v>
      </c>
      <c r="B94" s="10" t="s">
        <v>56</v>
      </c>
    </row>
    <row r="95" spans="1:11">
      <c r="A95" s="10" t="s">
        <v>133</v>
      </c>
      <c r="B95" s="18" t="s">
        <v>134</v>
      </c>
      <c r="C95" s="15" t="s">
        <v>135</v>
      </c>
      <c r="D95" s="16">
        <v>24.9</v>
      </c>
      <c r="E95" s="16">
        <v>25.4</v>
      </c>
      <c r="F95" s="77">
        <v>87</v>
      </c>
      <c r="G95" s="17">
        <v>2</v>
      </c>
      <c r="H95" s="19">
        <v>79.55</v>
      </c>
      <c r="I95" s="16">
        <v>56</v>
      </c>
      <c r="J95" s="16">
        <v>25.9</v>
      </c>
      <c r="K95" s="17">
        <v>1</v>
      </c>
    </row>
    <row r="96" spans="1:11">
      <c r="A96" s="10" t="s">
        <v>133</v>
      </c>
      <c r="B96" s="18" t="s">
        <v>134</v>
      </c>
      <c r="C96" s="15" t="s">
        <v>136</v>
      </c>
      <c r="D96" s="16">
        <v>21.7</v>
      </c>
      <c r="E96" s="16">
        <v>21.8</v>
      </c>
      <c r="F96" s="77">
        <v>76</v>
      </c>
      <c r="G96" s="17">
        <v>0</v>
      </c>
      <c r="H96" s="19">
        <v>69.489999999999995</v>
      </c>
      <c r="I96" s="16">
        <v>48.1</v>
      </c>
      <c r="J96" s="16">
        <v>22.3</v>
      </c>
      <c r="K96" s="17">
        <v>1</v>
      </c>
    </row>
    <row r="97" spans="1:11">
      <c r="A97" s="10" t="s">
        <v>133</v>
      </c>
      <c r="B97" s="18" t="s">
        <v>134</v>
      </c>
      <c r="C97" s="15" t="s">
        <v>137</v>
      </c>
      <c r="D97" s="16">
        <v>18.3</v>
      </c>
      <c r="E97" s="16">
        <v>18.7</v>
      </c>
      <c r="F97" s="77">
        <v>64</v>
      </c>
      <c r="G97" s="17">
        <v>1</v>
      </c>
      <c r="H97" s="19">
        <v>58.52</v>
      </c>
      <c r="I97" s="16">
        <v>41.2</v>
      </c>
      <c r="J97" s="16">
        <v>19.2</v>
      </c>
      <c r="K97" s="17">
        <v>1</v>
      </c>
    </row>
    <row r="98" spans="1:11">
      <c r="A98" s="10" t="s">
        <v>138</v>
      </c>
      <c r="B98" s="18" t="s">
        <v>139</v>
      </c>
      <c r="C98" s="15" t="s">
        <v>140</v>
      </c>
      <c r="D98" s="16">
        <v>2.6</v>
      </c>
      <c r="E98" s="16">
        <v>2.6</v>
      </c>
      <c r="F98" s="77">
        <v>9</v>
      </c>
      <c r="G98" s="17">
        <v>0</v>
      </c>
      <c r="H98" s="19">
        <v>8.23</v>
      </c>
      <c r="I98" s="16">
        <v>5.7</v>
      </c>
      <c r="J98" s="16">
        <v>3.1</v>
      </c>
      <c r="K98" s="17">
        <v>1</v>
      </c>
    </row>
    <row r="99" spans="1:11">
      <c r="B99" s="38" t="s">
        <v>81</v>
      </c>
      <c r="C99" s="39"/>
      <c r="D99" s="40">
        <v>67.5</v>
      </c>
      <c r="E99" s="40">
        <v>68.5</v>
      </c>
      <c r="F99" s="77">
        <v>236</v>
      </c>
      <c r="G99" s="41">
        <v>3</v>
      </c>
      <c r="H99" s="42">
        <v>215.79</v>
      </c>
      <c r="I99" s="40">
        <v>151</v>
      </c>
      <c r="J99" s="40">
        <v>70.5</v>
      </c>
      <c r="K99" s="41">
        <v>4</v>
      </c>
    </row>
    <row r="100" spans="1:11">
      <c r="A100" s="10" t="s">
        <v>66</v>
      </c>
      <c r="B100" s="10" t="s">
        <v>57</v>
      </c>
    </row>
    <row r="101" spans="1:11">
      <c r="A101" s="10" t="s">
        <v>141</v>
      </c>
      <c r="B101" s="18" t="s">
        <v>99</v>
      </c>
      <c r="C101" s="15" t="s">
        <v>142</v>
      </c>
      <c r="D101" s="16">
        <v>30</v>
      </c>
      <c r="E101" s="16">
        <v>30.2</v>
      </c>
      <c r="F101" s="77">
        <v>105</v>
      </c>
      <c r="G101" s="17">
        <v>1</v>
      </c>
      <c r="H101" s="19">
        <v>96.01</v>
      </c>
      <c r="I101" s="16">
        <v>66.400000000000006</v>
      </c>
      <c r="J101" s="16">
        <v>30.7</v>
      </c>
      <c r="K101" s="17">
        <v>1</v>
      </c>
    </row>
    <row r="102" spans="1:11">
      <c r="A102" s="10" t="s">
        <v>141</v>
      </c>
      <c r="B102" s="18" t="s">
        <v>99</v>
      </c>
      <c r="C102" s="15" t="s">
        <v>143</v>
      </c>
      <c r="D102" s="16">
        <v>21.7</v>
      </c>
      <c r="E102" s="16">
        <v>21.8</v>
      </c>
      <c r="F102" s="77">
        <v>76</v>
      </c>
      <c r="G102" s="17">
        <v>0</v>
      </c>
      <c r="H102" s="19">
        <v>69.489999999999995</v>
      </c>
      <c r="I102" s="16">
        <v>48.1</v>
      </c>
      <c r="J102" s="16">
        <v>22.3</v>
      </c>
      <c r="K102" s="17">
        <v>1</v>
      </c>
    </row>
    <row r="103" spans="1:11">
      <c r="A103" s="10" t="s">
        <v>141</v>
      </c>
      <c r="B103" s="18" t="s">
        <v>99</v>
      </c>
      <c r="C103" s="15" t="s">
        <v>144</v>
      </c>
      <c r="D103" s="16">
        <v>22</v>
      </c>
      <c r="E103" s="16">
        <v>22.1</v>
      </c>
      <c r="F103" s="77">
        <v>77</v>
      </c>
      <c r="G103" s="17">
        <v>0</v>
      </c>
      <c r="H103" s="19">
        <v>70.41</v>
      </c>
      <c r="I103" s="16">
        <v>48.7</v>
      </c>
      <c r="J103" s="16">
        <v>22.6</v>
      </c>
      <c r="K103" s="17">
        <v>1</v>
      </c>
    </row>
    <row r="104" spans="1:11">
      <c r="A104" s="10" t="s">
        <v>141</v>
      </c>
      <c r="B104" s="18" t="s">
        <v>99</v>
      </c>
      <c r="C104" s="15" t="s">
        <v>145</v>
      </c>
      <c r="D104" s="16">
        <v>10.3</v>
      </c>
      <c r="E104" s="16">
        <v>10.8</v>
      </c>
      <c r="F104" s="77">
        <v>36</v>
      </c>
      <c r="G104" s="17">
        <v>0</v>
      </c>
      <c r="H104" s="19">
        <v>32.92</v>
      </c>
      <c r="I104" s="16">
        <v>23.8</v>
      </c>
      <c r="J104" s="16">
        <v>11.3</v>
      </c>
      <c r="K104" s="17">
        <v>1</v>
      </c>
    </row>
    <row r="105" spans="1:11">
      <c r="B105" s="38" t="s">
        <v>81</v>
      </c>
      <c r="C105" s="39"/>
      <c r="D105" s="40">
        <v>84</v>
      </c>
      <c r="E105" s="40">
        <v>84.9</v>
      </c>
      <c r="F105" s="77">
        <v>294</v>
      </c>
      <c r="G105" s="41">
        <v>1</v>
      </c>
      <c r="H105" s="42">
        <v>268.83</v>
      </c>
      <c r="I105" s="40">
        <v>187</v>
      </c>
      <c r="J105" s="40">
        <v>86.9</v>
      </c>
      <c r="K105" s="41">
        <v>4</v>
      </c>
    </row>
    <row r="106" spans="1:11">
      <c r="A106" s="10" t="s">
        <v>31</v>
      </c>
      <c r="B106" s="18" t="s">
        <v>32</v>
      </c>
    </row>
    <row r="107" spans="1:11">
      <c r="A107" s="10" t="s">
        <v>33</v>
      </c>
      <c r="B107" s="18" t="s">
        <v>34</v>
      </c>
    </row>
    <row r="108" spans="1:11">
      <c r="A108" s="10" t="s">
        <v>37</v>
      </c>
      <c r="B108" s="18" t="s">
        <v>38</v>
      </c>
    </row>
    <row r="109" spans="1:11">
      <c r="A109" s="10" t="s">
        <v>77</v>
      </c>
      <c r="B109" s="116" t="s">
        <v>39</v>
      </c>
      <c r="C109" s="118"/>
      <c r="D109" s="127"/>
      <c r="E109" s="127"/>
      <c r="F109" s="128"/>
      <c r="G109" s="128"/>
      <c r="H109" s="123"/>
      <c r="I109" s="127"/>
      <c r="J109" s="127"/>
      <c r="K109" s="128"/>
    </row>
    <row r="110" spans="1:11">
      <c r="A110" s="10" t="s">
        <v>66</v>
      </c>
      <c r="B110" s="10" t="s">
        <v>49</v>
      </c>
    </row>
    <row r="111" spans="1:11">
      <c r="A111" s="10" t="s">
        <v>146</v>
      </c>
      <c r="B111" s="18" t="s">
        <v>83</v>
      </c>
      <c r="C111" s="15" t="s">
        <v>147</v>
      </c>
      <c r="D111" s="16">
        <v>4.5</v>
      </c>
      <c r="E111" s="16">
        <v>4.8</v>
      </c>
      <c r="F111" s="77">
        <v>51</v>
      </c>
      <c r="G111" s="17">
        <v>0</v>
      </c>
      <c r="H111" s="19">
        <v>46.63</v>
      </c>
      <c r="I111" s="16">
        <v>10.6</v>
      </c>
      <c r="J111" s="16">
        <v>5.3</v>
      </c>
      <c r="K111" s="17">
        <v>1</v>
      </c>
    </row>
    <row r="112" spans="1:11">
      <c r="B112" s="38" t="s">
        <v>81</v>
      </c>
      <c r="C112" s="39"/>
      <c r="D112" s="40">
        <v>4.5</v>
      </c>
      <c r="E112" s="40">
        <v>4.8</v>
      </c>
      <c r="F112" s="77">
        <v>51</v>
      </c>
      <c r="G112" s="41">
        <v>0</v>
      </c>
      <c r="H112" s="42">
        <v>46.63</v>
      </c>
      <c r="I112" s="40">
        <v>10.6</v>
      </c>
      <c r="J112" s="40">
        <v>5.3</v>
      </c>
      <c r="K112" s="41">
        <v>1</v>
      </c>
    </row>
    <row r="113" spans="1:11">
      <c r="A113" s="10" t="s">
        <v>66</v>
      </c>
      <c r="B113" s="10" t="s">
        <v>49</v>
      </c>
    </row>
    <row r="114" spans="1:11">
      <c r="A114" s="10" t="s">
        <v>148</v>
      </c>
      <c r="B114" s="18" t="s">
        <v>83</v>
      </c>
      <c r="C114" s="15" t="s">
        <v>149</v>
      </c>
      <c r="D114" s="16">
        <v>0.1</v>
      </c>
      <c r="E114" s="16">
        <v>0.2</v>
      </c>
      <c r="F114" s="77">
        <v>1</v>
      </c>
      <c r="G114" s="17">
        <v>0</v>
      </c>
      <c r="H114" s="19">
        <v>0.91</v>
      </c>
      <c r="I114" s="16">
        <v>0.4</v>
      </c>
      <c r="J114" s="16">
        <v>0.7</v>
      </c>
      <c r="K114" s="17">
        <v>1</v>
      </c>
    </row>
    <row r="115" spans="1:11">
      <c r="B115" s="38" t="s">
        <v>81</v>
      </c>
      <c r="C115" s="39"/>
      <c r="D115" s="40">
        <v>0.1</v>
      </c>
      <c r="E115" s="40">
        <v>0.2</v>
      </c>
      <c r="F115" s="77">
        <v>1</v>
      </c>
      <c r="G115" s="41">
        <v>0</v>
      </c>
      <c r="H115" s="42">
        <v>0.91</v>
      </c>
      <c r="I115" s="40">
        <v>0.4</v>
      </c>
      <c r="J115" s="40">
        <v>0.7</v>
      </c>
      <c r="K115" s="41">
        <v>1</v>
      </c>
    </row>
    <row r="116" spans="1:11">
      <c r="A116" s="10" t="s">
        <v>31</v>
      </c>
      <c r="B116" s="18" t="s">
        <v>58</v>
      </c>
    </row>
    <row r="117" spans="1:11">
      <c r="A117" s="10" t="s">
        <v>33</v>
      </c>
      <c r="B117" s="18" t="s">
        <v>59</v>
      </c>
    </row>
    <row r="118" spans="1:11">
      <c r="A118" s="10" t="s">
        <v>37</v>
      </c>
      <c r="B118" s="18" t="s">
        <v>46</v>
      </c>
    </row>
    <row r="119" spans="1:11">
      <c r="A119" s="10" t="s">
        <v>77</v>
      </c>
      <c r="B119" s="116" t="s">
        <v>47</v>
      </c>
      <c r="C119" s="118"/>
      <c r="D119" s="127"/>
      <c r="E119" s="127"/>
      <c r="F119" s="128"/>
      <c r="G119" s="128"/>
      <c r="H119" s="123"/>
      <c r="I119" s="127"/>
      <c r="J119" s="127"/>
      <c r="K119" s="128"/>
    </row>
    <row r="120" spans="1:11">
      <c r="A120" s="10" t="s">
        <v>66</v>
      </c>
      <c r="B120" s="10" t="s">
        <v>40</v>
      </c>
    </row>
    <row r="121" spans="1:11">
      <c r="A121" s="10" t="s">
        <v>150</v>
      </c>
      <c r="B121" s="18" t="s">
        <v>83</v>
      </c>
      <c r="C121" s="15" t="s">
        <v>151</v>
      </c>
      <c r="D121" s="16">
        <v>1.5</v>
      </c>
      <c r="E121" s="16">
        <v>1.5</v>
      </c>
      <c r="F121" s="77">
        <v>8</v>
      </c>
      <c r="G121" s="17">
        <v>0</v>
      </c>
      <c r="H121" s="19">
        <v>7.32</v>
      </c>
      <c r="I121" s="16">
        <v>3.3</v>
      </c>
      <c r="J121" s="16">
        <v>2</v>
      </c>
      <c r="K121" s="17">
        <v>1</v>
      </c>
    </row>
    <row r="122" spans="1:11">
      <c r="B122" s="38" t="s">
        <v>81</v>
      </c>
      <c r="C122" s="39"/>
      <c r="D122" s="40">
        <v>1.5</v>
      </c>
      <c r="E122" s="40">
        <v>1.5</v>
      </c>
      <c r="F122" s="77">
        <v>8</v>
      </c>
      <c r="G122" s="41">
        <v>0</v>
      </c>
      <c r="H122" s="42">
        <v>7.32</v>
      </c>
      <c r="I122" s="40">
        <v>3.3</v>
      </c>
      <c r="J122" s="40">
        <v>2</v>
      </c>
      <c r="K122" s="41">
        <v>1</v>
      </c>
    </row>
    <row r="123" spans="1:11">
      <c r="A123" s="10" t="s">
        <v>31</v>
      </c>
      <c r="B123" s="18" t="s">
        <v>58</v>
      </c>
    </row>
    <row r="124" spans="1:11">
      <c r="A124" s="10" t="s">
        <v>33</v>
      </c>
      <c r="B124" s="18" t="s">
        <v>59</v>
      </c>
    </row>
    <row r="125" spans="1:11">
      <c r="A125" s="10" t="s">
        <v>37</v>
      </c>
      <c r="B125" s="18" t="s">
        <v>46</v>
      </c>
    </row>
    <row r="126" spans="1:11">
      <c r="A126" s="10" t="s">
        <v>77</v>
      </c>
      <c r="B126" s="116" t="s">
        <v>47</v>
      </c>
      <c r="C126" s="118"/>
      <c r="D126" s="127"/>
      <c r="E126" s="127"/>
      <c r="F126" s="128"/>
      <c r="G126" s="128"/>
      <c r="H126" s="123"/>
      <c r="I126" s="127"/>
      <c r="J126" s="127"/>
      <c r="K126" s="128"/>
    </row>
    <row r="127" spans="1:11">
      <c r="A127" s="10" t="s">
        <v>66</v>
      </c>
      <c r="B127" s="10" t="s">
        <v>49</v>
      </c>
    </row>
    <row r="128" spans="1:11">
      <c r="A128" s="10" t="s">
        <v>152</v>
      </c>
      <c r="B128" s="18" t="s">
        <v>99</v>
      </c>
      <c r="C128" s="15" t="s">
        <v>153</v>
      </c>
      <c r="D128" s="16">
        <v>1.5</v>
      </c>
      <c r="E128" s="16">
        <v>2</v>
      </c>
      <c r="F128" s="77">
        <v>8</v>
      </c>
      <c r="G128" s="17">
        <v>0</v>
      </c>
      <c r="H128" s="19">
        <v>7.32</v>
      </c>
      <c r="I128" s="16">
        <v>4.4000000000000004</v>
      </c>
      <c r="J128" s="16">
        <v>2.5</v>
      </c>
      <c r="K128" s="17">
        <v>1</v>
      </c>
    </row>
    <row r="129" spans="1:11">
      <c r="B129" s="38" t="s">
        <v>81</v>
      </c>
      <c r="C129" s="39"/>
      <c r="D129" s="40">
        <v>1.5</v>
      </c>
      <c r="E129" s="40">
        <v>2</v>
      </c>
      <c r="F129" s="77">
        <v>8</v>
      </c>
      <c r="G129" s="41">
        <v>0</v>
      </c>
      <c r="H129" s="42">
        <v>7.32</v>
      </c>
      <c r="I129" s="40">
        <v>4.4000000000000004</v>
      </c>
      <c r="J129" s="40">
        <v>2.5</v>
      </c>
      <c r="K129" s="41">
        <v>1</v>
      </c>
    </row>
    <row r="131" spans="1:11" ht="16.5">
      <c r="B131" s="1" t="s">
        <v>170</v>
      </c>
      <c r="C131" s="72"/>
      <c r="D131" s="72"/>
      <c r="E131" s="1"/>
    </row>
    <row r="132" spans="1:11" ht="17.25">
      <c r="B132" s="73" t="s">
        <v>169</v>
      </c>
      <c r="D132" s="48"/>
      <c r="E132" s="15"/>
    </row>
    <row r="133" spans="1:11">
      <c r="A133" s="10" t="s">
        <v>175</v>
      </c>
      <c r="B133" s="1"/>
      <c r="D133" s="48"/>
      <c r="E133" s="76">
        <v>123.7</v>
      </c>
      <c r="F133" s="1"/>
      <c r="J133" s="16">
        <v>130.9</v>
      </c>
      <c r="K133" s="17">
        <v>15</v>
      </c>
    </row>
    <row r="134" spans="1:11">
      <c r="B134" s="74" t="s">
        <v>171</v>
      </c>
      <c r="D134" s="48"/>
      <c r="E134" s="1"/>
      <c r="F134" s="78">
        <f>11273+4481+340</f>
        <v>16094</v>
      </c>
    </row>
    <row r="135" spans="1:11">
      <c r="B135" s="74" t="s">
        <v>172</v>
      </c>
      <c r="D135" s="48"/>
      <c r="E135" s="1"/>
      <c r="F135" s="78">
        <v>277731</v>
      </c>
    </row>
    <row r="136" spans="1:11">
      <c r="B136" s="74" t="s">
        <v>173</v>
      </c>
      <c r="D136" s="48"/>
      <c r="E136" s="1"/>
      <c r="F136" s="78">
        <v>8805</v>
      </c>
    </row>
    <row r="137" spans="1:11">
      <c r="B137" s="74" t="s">
        <v>174</v>
      </c>
      <c r="F137" s="78">
        <f>49541+2472+2163</f>
        <v>54176</v>
      </c>
      <c r="I137" s="75"/>
    </row>
    <row r="139" spans="1:11" ht="16.5">
      <c r="A139" s="1"/>
      <c r="B139" s="72" t="s">
        <v>176</v>
      </c>
      <c r="D139" s="48"/>
      <c r="E139" s="15"/>
      <c r="F139" s="49"/>
      <c r="G139" s="50"/>
      <c r="H139" s="51"/>
      <c r="I139" s="50"/>
      <c r="J139" s="19"/>
    </row>
    <row r="140" spans="1:11">
      <c r="A140" s="10" t="s">
        <v>179</v>
      </c>
      <c r="B140" s="1"/>
      <c r="D140" s="48"/>
      <c r="E140" s="76">
        <v>36.020000000000003</v>
      </c>
      <c r="F140" s="49"/>
      <c r="G140" s="50"/>
      <c r="H140" s="51"/>
      <c r="I140" s="50"/>
      <c r="J140" s="19">
        <v>39.020000000000003</v>
      </c>
      <c r="K140" s="17">
        <v>2</v>
      </c>
    </row>
    <row r="141" spans="1:11" ht="17.25">
      <c r="B141" s="73" t="s">
        <v>178</v>
      </c>
      <c r="D141" s="48"/>
      <c r="E141" s="15"/>
      <c r="F141" s="49"/>
      <c r="G141" s="50"/>
      <c r="H141" s="51"/>
      <c r="I141" s="50"/>
      <c r="J141" s="19"/>
    </row>
    <row r="142" spans="1:11">
      <c r="B142" s="79" t="s">
        <v>177</v>
      </c>
      <c r="F142" s="77">
        <v>2461</v>
      </c>
    </row>
    <row r="146" spans="1:11" ht="15.75" thickBot="1">
      <c r="A146" s="89"/>
      <c r="B146" s="90"/>
      <c r="C146" s="83"/>
      <c r="D146" s="91"/>
      <c r="E146" s="91"/>
      <c r="F146" s="92"/>
      <c r="G146" s="92"/>
      <c r="H146" s="88"/>
      <c r="I146" s="91"/>
      <c r="J146" s="91"/>
      <c r="K146" s="92"/>
    </row>
    <row r="147" spans="1:11">
      <c r="B147" s="10" t="s">
        <v>61</v>
      </c>
      <c r="C147" s="11"/>
      <c r="D147" s="12">
        <v>580.6</v>
      </c>
      <c r="E147" s="96">
        <f>608.7+E133+E140</f>
        <v>768.42000000000007</v>
      </c>
      <c r="F147" s="98">
        <f>2296+F142</f>
        <v>4757</v>
      </c>
      <c r="G147" s="94">
        <v>89</v>
      </c>
      <c r="H147" s="95">
        <v>2135.13</v>
      </c>
      <c r="I147" s="93">
        <v>1340.6</v>
      </c>
      <c r="J147" s="96">
        <f>630.2+J133+J140</f>
        <v>800.12</v>
      </c>
      <c r="K147" s="94">
        <f>43+K133+K140</f>
        <v>60</v>
      </c>
    </row>
    <row r="148" spans="1:11">
      <c r="B148" s="10"/>
      <c r="C148" s="11"/>
      <c r="D148" s="12"/>
      <c r="E148" s="93"/>
      <c r="F148" s="97">
        <f>F134+F135+F136+F137</f>
        <v>356806</v>
      </c>
      <c r="G148" s="94"/>
      <c r="H148" s="95"/>
      <c r="I148" s="93"/>
      <c r="J148" s="93"/>
      <c r="K148" s="94"/>
    </row>
    <row r="150" spans="1:11">
      <c r="A150" s="10" t="s">
        <v>154</v>
      </c>
      <c r="C150" s="43" t="s">
        <v>180</v>
      </c>
      <c r="G150" s="128" t="s">
        <v>184</v>
      </c>
      <c r="H150" s="123"/>
      <c r="I150" s="127" t="s">
        <v>155</v>
      </c>
      <c r="J150" s="127"/>
    </row>
    <row r="151" spans="1:11">
      <c r="B151" s="126" t="s">
        <v>181</v>
      </c>
      <c r="C151" s="118"/>
      <c r="G151" s="128" t="s">
        <v>183</v>
      </c>
      <c r="H151" s="123"/>
      <c r="I151" s="127" t="s">
        <v>156</v>
      </c>
      <c r="J151" s="127"/>
    </row>
    <row r="152" spans="1:11">
      <c r="B152" s="126" t="s">
        <v>182</v>
      </c>
      <c r="C152" s="118"/>
    </row>
    <row r="154" spans="1:11">
      <c r="A154" s="105" t="s">
        <v>62</v>
      </c>
      <c r="B154" s="116"/>
    </row>
    <row r="158" spans="1:11">
      <c r="A158" s="105" t="s">
        <v>8</v>
      </c>
      <c r="B158" s="116"/>
      <c r="C158" s="118"/>
      <c r="D158" s="127"/>
      <c r="E158" s="127"/>
      <c r="F158" s="128"/>
      <c r="G158" s="128"/>
      <c r="H158" s="123"/>
      <c r="I158" s="127"/>
      <c r="J158" s="127"/>
    </row>
    <row r="159" spans="1:11">
      <c r="A159" s="105" t="s">
        <v>63</v>
      </c>
      <c r="B159" s="116"/>
      <c r="C159" s="118"/>
      <c r="D159" s="127"/>
      <c r="E159" s="127"/>
      <c r="F159" s="128"/>
      <c r="G159" s="128"/>
      <c r="H159" s="123"/>
      <c r="I159" s="127"/>
      <c r="J159" s="127"/>
    </row>
    <row r="160" spans="1:11">
      <c r="A160" s="105" t="s">
        <v>64</v>
      </c>
      <c r="B160" s="116"/>
      <c r="C160" s="118"/>
      <c r="D160" s="127"/>
      <c r="E160" s="127"/>
      <c r="F160" s="128"/>
      <c r="G160" s="128"/>
      <c r="H160" s="123"/>
      <c r="I160" s="127"/>
      <c r="J160" s="127"/>
    </row>
    <row r="161" spans="1:10">
      <c r="A161" s="105" t="s">
        <v>65</v>
      </c>
      <c r="B161" s="116"/>
      <c r="C161" s="118"/>
      <c r="D161" s="127"/>
      <c r="E161" s="127"/>
      <c r="F161" s="128"/>
      <c r="G161" s="128"/>
      <c r="H161" s="123"/>
      <c r="I161" s="127"/>
      <c r="J161" s="127"/>
    </row>
    <row r="162" spans="1:10">
      <c r="A162" s="105" t="s">
        <v>66</v>
      </c>
      <c r="B162" s="116"/>
      <c r="C162" s="118"/>
      <c r="D162" s="127"/>
      <c r="E162" s="127"/>
      <c r="F162" s="128"/>
      <c r="G162" s="128"/>
      <c r="H162" s="123"/>
      <c r="I162" s="127"/>
      <c r="J162" s="127"/>
    </row>
    <row r="163" spans="1:10">
      <c r="A163" s="105" t="s">
        <v>67</v>
      </c>
      <c r="B163" s="116"/>
      <c r="C163" s="118"/>
      <c r="D163" s="127"/>
      <c r="E163" s="127"/>
      <c r="F163" s="128"/>
      <c r="G163" s="128"/>
      <c r="H163" s="123"/>
      <c r="I163" s="127"/>
      <c r="J163" s="127"/>
    </row>
    <row r="164" spans="1:10">
      <c r="A164" s="105" t="s">
        <v>68</v>
      </c>
      <c r="B164" s="116"/>
      <c r="C164" s="118"/>
      <c r="D164" s="127"/>
      <c r="E164" s="127"/>
      <c r="F164" s="128"/>
      <c r="G164" s="128"/>
      <c r="H164" s="123"/>
      <c r="I164" s="127"/>
      <c r="J164" s="127"/>
    </row>
    <row r="165" spans="1:10">
      <c r="A165" s="105" t="s">
        <v>69</v>
      </c>
      <c r="B165" s="116"/>
      <c r="C165" s="118"/>
      <c r="D165" s="127"/>
      <c r="E165" s="127"/>
      <c r="F165" s="128"/>
      <c r="G165" s="128"/>
      <c r="H165" s="123"/>
      <c r="I165" s="127"/>
      <c r="J165" s="127"/>
    </row>
    <row r="167" spans="1:10">
      <c r="A167" s="103" t="s">
        <v>185</v>
      </c>
      <c r="B167" s="104"/>
      <c r="C167" s="104"/>
    </row>
    <row r="168" spans="1:10">
      <c r="A168" s="103" t="s">
        <v>186</v>
      </c>
      <c r="B168" s="104"/>
      <c r="C168" s="104"/>
    </row>
    <row r="169" spans="1:10">
      <c r="A169" s="103" t="s">
        <v>63</v>
      </c>
      <c r="B169" s="104"/>
      <c r="C169" s="104"/>
    </row>
    <row r="170" spans="1:10">
      <c r="A170" s="105" t="s">
        <v>188</v>
      </c>
      <c r="B170" s="106"/>
      <c r="C170" s="106"/>
    </row>
    <row r="171" spans="1:10">
      <c r="A171" s="103" t="s">
        <v>36</v>
      </c>
      <c r="B171" s="104"/>
      <c r="C171" s="104"/>
    </row>
    <row r="172" spans="1:10">
      <c r="A172" s="103" t="s">
        <v>66</v>
      </c>
      <c r="B172" s="104"/>
      <c r="C172" s="104"/>
    </row>
    <row r="173" spans="1:10">
      <c r="A173" s="103" t="s">
        <v>187</v>
      </c>
      <c r="B173" s="104"/>
      <c r="C173" s="104"/>
    </row>
    <row r="174" spans="1:10">
      <c r="A174" s="103" t="s">
        <v>192</v>
      </c>
      <c r="B174" s="104"/>
      <c r="C174" s="104"/>
    </row>
    <row r="175" spans="1:10">
      <c r="A175" s="103" t="s">
        <v>189</v>
      </c>
      <c r="B175" s="104"/>
      <c r="C175" s="104"/>
    </row>
    <row r="176" spans="1:10">
      <c r="A176" s="103" t="s">
        <v>190</v>
      </c>
      <c r="B176" s="104"/>
      <c r="C176" s="104"/>
    </row>
    <row r="177" spans="1:3">
      <c r="A177" s="103" t="s">
        <v>191</v>
      </c>
      <c r="B177" s="104"/>
      <c r="C177" s="104"/>
    </row>
    <row r="178" spans="1:3">
      <c r="A178" s="103" t="s">
        <v>193</v>
      </c>
      <c r="B178" s="104"/>
      <c r="C178" s="104"/>
    </row>
    <row r="179" spans="1:3">
      <c r="A179" s="71"/>
    </row>
    <row r="180" spans="1:3">
      <c r="A180" s="103" t="s">
        <v>194</v>
      </c>
      <c r="B180" s="104"/>
      <c r="C180" s="104"/>
    </row>
    <row r="181" spans="1:3">
      <c r="A181" s="103" t="s">
        <v>195</v>
      </c>
      <c r="B181" s="104"/>
      <c r="C181" s="104"/>
    </row>
    <row r="182" spans="1:3">
      <c r="A182" s="103" t="s">
        <v>196</v>
      </c>
      <c r="B182" s="104"/>
      <c r="C182" s="104"/>
    </row>
    <row r="183" spans="1:3">
      <c r="A183" s="103" t="s">
        <v>197</v>
      </c>
      <c r="B183" s="104"/>
      <c r="C183" s="104"/>
    </row>
    <row r="184" spans="1:3">
      <c r="A184" s="103" t="s">
        <v>198</v>
      </c>
      <c r="B184" s="104"/>
      <c r="C184" s="104"/>
    </row>
    <row r="185" spans="1:3">
      <c r="A185" s="103" t="s">
        <v>199</v>
      </c>
      <c r="B185" s="104"/>
      <c r="C185" s="104"/>
    </row>
    <row r="186" spans="1:3">
      <c r="A186" s="103" t="s">
        <v>200</v>
      </c>
      <c r="B186" s="104"/>
      <c r="C186" s="104"/>
    </row>
    <row r="187" spans="1:3">
      <c r="A187" s="103" t="s">
        <v>201</v>
      </c>
      <c r="B187" s="104"/>
      <c r="C187" s="104"/>
    </row>
    <row r="188" spans="1:3">
      <c r="A188" s="9"/>
    </row>
    <row r="189" spans="1:3">
      <c r="A189" s="105" t="s">
        <v>202</v>
      </c>
      <c r="B189" s="106"/>
      <c r="C189" s="106"/>
    </row>
    <row r="190" spans="1:3">
      <c r="A190" s="103" t="s">
        <v>203</v>
      </c>
      <c r="B190" s="104"/>
      <c r="C190" s="104"/>
    </row>
    <row r="191" spans="1:3">
      <c r="A191" s="105" t="s">
        <v>204</v>
      </c>
      <c r="B191" s="106"/>
      <c r="C191" s="106"/>
    </row>
    <row r="192" spans="1:3">
      <c r="A192" s="105" t="s">
        <v>205</v>
      </c>
      <c r="B192" s="106"/>
      <c r="C192" s="106"/>
    </row>
    <row r="193" spans="1:3">
      <c r="A193" s="103" t="s">
        <v>206</v>
      </c>
      <c r="B193" s="104"/>
      <c r="C193" s="104"/>
    </row>
    <row r="194" spans="1:3">
      <c r="A194" s="9"/>
    </row>
  </sheetData>
  <mergeCells count="74">
    <mergeCell ref="B126:K126"/>
    <mergeCell ref="G150:H150"/>
    <mergeCell ref="I150:J150"/>
    <mergeCell ref="B151:C151"/>
    <mergeCell ref="G151:H151"/>
    <mergeCell ref="I151:J151"/>
    <mergeCell ref="B30:K30"/>
    <mergeCell ref="B50:K50"/>
    <mergeCell ref="B63:K63"/>
    <mergeCell ref="B109:K109"/>
    <mergeCell ref="B119:K119"/>
    <mergeCell ref="E11:K11"/>
    <mergeCell ref="E12:K12"/>
    <mergeCell ref="A14:C14"/>
    <mergeCell ref="E14:K14"/>
    <mergeCell ref="A1:K1"/>
    <mergeCell ref="A3:K3"/>
    <mergeCell ref="A8:B8"/>
    <mergeCell ref="E8:K8"/>
    <mergeCell ref="A9:C9"/>
    <mergeCell ref="E9:K9"/>
    <mergeCell ref="A7:C7"/>
    <mergeCell ref="A10:C10"/>
    <mergeCell ref="E10:K10"/>
    <mergeCell ref="A11:C11"/>
    <mergeCell ref="I5:K5"/>
    <mergeCell ref="A2:K2"/>
    <mergeCell ref="A21:C21"/>
    <mergeCell ref="F21:K21"/>
    <mergeCell ref="A23:B23"/>
    <mergeCell ref="A24:B24"/>
    <mergeCell ref="A15:C15"/>
    <mergeCell ref="E15:K15"/>
    <mergeCell ref="E18:K18"/>
    <mergeCell ref="E20:H20"/>
    <mergeCell ref="I20:J20"/>
    <mergeCell ref="E16:K17"/>
    <mergeCell ref="A16:C18"/>
    <mergeCell ref="B152:C152"/>
    <mergeCell ref="A167:C167"/>
    <mergeCell ref="A168:C168"/>
    <mergeCell ref="A169:C169"/>
    <mergeCell ref="A170:C170"/>
    <mergeCell ref="A162:J162"/>
    <mergeCell ref="A163:J163"/>
    <mergeCell ref="A164:J164"/>
    <mergeCell ref="A165:J165"/>
    <mergeCell ref="A154:B154"/>
    <mergeCell ref="A158:J158"/>
    <mergeCell ref="A159:J159"/>
    <mergeCell ref="A160:J160"/>
    <mergeCell ref="A161:J161"/>
    <mergeCell ref="A181:C181"/>
    <mergeCell ref="A171:C171"/>
    <mergeCell ref="A172:C172"/>
    <mergeCell ref="A173:C173"/>
    <mergeCell ref="A174:C174"/>
    <mergeCell ref="A175:C175"/>
    <mergeCell ref="A193:C193"/>
    <mergeCell ref="B20:D20"/>
    <mergeCell ref="A187:C187"/>
    <mergeCell ref="A189:C189"/>
    <mergeCell ref="A190:C190"/>
    <mergeCell ref="A191:C191"/>
    <mergeCell ref="A192:C192"/>
    <mergeCell ref="A182:C182"/>
    <mergeCell ref="A183:C183"/>
    <mergeCell ref="A184:C184"/>
    <mergeCell ref="A185:C185"/>
    <mergeCell ref="A186:C186"/>
    <mergeCell ref="A176:C176"/>
    <mergeCell ref="A177:C177"/>
    <mergeCell ref="A178:C178"/>
    <mergeCell ref="A180:C180"/>
  </mergeCells>
  <phoneticPr fontId="1" type="noConversion"/>
  <pageMargins left="0.19685039370078741" right="0" top="0" bottom="0.39370078740157483" header="0" footer="0"/>
  <pageSetup paperSize="9" orientation="portrait"/>
  <headerFooter>
    <oddFooter>&amp;CPage: &amp;P/&amp;N&amp;RPrint Time:&amp;D&amp;T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INVOICE</vt:lpstr>
      <vt:lpstr>PACKING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AROCK</dc:creator>
  <cp:lastModifiedBy>FK-Daisy Tsai</cp:lastModifiedBy>
  <cp:lastPrinted>2026-09-21T00:57:44Z</cp:lastPrinted>
  <dcterms:created xsi:type="dcterms:W3CDTF">2017-03-17T05:23:17Z</dcterms:created>
  <dcterms:modified xsi:type="dcterms:W3CDTF">2026-09-23T04:28:24Z</dcterms:modified>
</cp:coreProperties>
</file>