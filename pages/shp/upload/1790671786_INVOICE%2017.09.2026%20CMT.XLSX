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9. SEPTEMBER\17.09.2026\"/>
    </mc:Choice>
  </mc:AlternateContent>
  <bookViews>
    <workbookView xWindow="-120" yWindow="-120" windowWidth="20730" windowHeight="11160" tabRatio="804" firstSheet="1" activeTab="2"/>
  </bookViews>
  <sheets>
    <sheet name="Sheet1" sheetId="128" r:id="rId1"/>
    <sheet name="reff" sheetId="162" r:id="rId2"/>
    <sheet name="285" sheetId="138" r:id="rId3"/>
    <sheet name="286" sheetId="129" r:id="rId4"/>
    <sheet name="287" sheetId="133" r:id="rId5"/>
    <sheet name="288" sheetId="134" r:id="rId6"/>
    <sheet name="289" sheetId="135" r:id="rId7"/>
    <sheet name="290" sheetId="137" r:id="rId8"/>
    <sheet name="291" sheetId="172" r:id="rId9"/>
    <sheet name="292" sheetId="173" r:id="rId10"/>
    <sheet name="293" sheetId="174" r:id="rId11"/>
    <sheet name="294" sheetId="175" r:id="rId12"/>
  </sheets>
  <externalReferences>
    <externalReference r:id="rId13"/>
    <externalReference r:id="rId14"/>
    <externalReference r:id="rId15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>[2]xdata!#REF!</definedName>
    <definedName name="INVOICE">[2]xdata!$B$2</definedName>
    <definedName name="_xlnm.Print_Area" localSheetId="2">'285'!$B$1:$I$57</definedName>
    <definedName name="_xlnm.Print_Area" localSheetId="3">'286'!$B$1:$I$57</definedName>
    <definedName name="_xlnm.Print_Area" localSheetId="4">'287'!$B$1:$I$57</definedName>
    <definedName name="_xlnm.Print_Area" localSheetId="5">'288'!$B$1:$I$57</definedName>
    <definedName name="_xlnm.Print_Area" localSheetId="6">'289'!$B$1:$I$57</definedName>
    <definedName name="_xlnm.Print_Area" localSheetId="7">'290'!$B$1:$I$57</definedName>
    <definedName name="_xlnm.Print_Area" localSheetId="8">'291'!$B$1:$I$57</definedName>
    <definedName name="_xlnm.Print_Area" localSheetId="9">'292'!$B$1:$I$57</definedName>
    <definedName name="_xlnm.Print_Area" localSheetId="10">'293'!$B$1:$I$57</definedName>
    <definedName name="_xlnm.Print_Area" localSheetId="11">'294'!$B$1:$I$57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5" l="1"/>
  <c r="F32" i="133"/>
  <c r="F32" i="129"/>
  <c r="F32" i="138"/>
  <c r="F34" i="135" l="1"/>
  <c r="F32" i="172"/>
  <c r="I32" i="133"/>
  <c r="F32" i="174" l="1"/>
  <c r="I32" i="172"/>
  <c r="F32" i="137"/>
  <c r="F32" i="134"/>
  <c r="I32" i="129"/>
  <c r="B21" i="138"/>
  <c r="I32" i="138"/>
  <c r="F34" i="129" l="1"/>
  <c r="F32" i="175" l="1"/>
  <c r="F34" i="133"/>
  <c r="I34" i="133"/>
  <c r="F34" i="138" l="1"/>
  <c r="I34" i="138"/>
  <c r="H52" i="175"/>
  <c r="F34" i="175"/>
  <c r="I32" i="175"/>
  <c r="B27" i="175"/>
  <c r="I23" i="175"/>
  <c r="H23" i="175"/>
  <c r="G23" i="175"/>
  <c r="F23" i="175"/>
  <c r="E23" i="175"/>
  <c r="E21" i="175"/>
  <c r="D21" i="175"/>
  <c r="C21" i="175"/>
  <c r="B21" i="175"/>
  <c r="B15" i="175"/>
  <c r="B16" i="175" s="1"/>
  <c r="B17" i="175" s="1"/>
  <c r="B18" i="175" s="1"/>
  <c r="G14" i="175"/>
  <c r="G15" i="175" s="1"/>
  <c r="G16" i="175" s="1"/>
  <c r="G17" i="175" s="1"/>
  <c r="H21" i="175" s="1"/>
  <c r="H52" i="174"/>
  <c r="F34" i="174"/>
  <c r="I32" i="174"/>
  <c r="I34" i="174" s="1"/>
  <c r="I36" i="174" s="1"/>
  <c r="I38" i="174" s="1"/>
  <c r="B27" i="174"/>
  <c r="I23" i="174"/>
  <c r="H23" i="174"/>
  <c r="G23" i="174"/>
  <c r="F23" i="174"/>
  <c r="E23" i="174"/>
  <c r="E21" i="174"/>
  <c r="D21" i="174"/>
  <c r="C21" i="174"/>
  <c r="B21" i="174"/>
  <c r="B15" i="174"/>
  <c r="B16" i="174" s="1"/>
  <c r="B17" i="174" s="1"/>
  <c r="B18" i="174" s="1"/>
  <c r="G14" i="174"/>
  <c r="G15" i="174" s="1"/>
  <c r="G16" i="174" s="1"/>
  <c r="G17" i="174" s="1"/>
  <c r="H21" i="174" s="1"/>
  <c r="H52" i="173"/>
  <c r="F32" i="173"/>
  <c r="F34" i="173" s="1"/>
  <c r="B27" i="173"/>
  <c r="I23" i="173"/>
  <c r="H23" i="173"/>
  <c r="G23" i="173"/>
  <c r="F23" i="173"/>
  <c r="E23" i="173"/>
  <c r="E21" i="173"/>
  <c r="D21" i="173"/>
  <c r="C21" i="173"/>
  <c r="B21" i="173"/>
  <c r="B16" i="173"/>
  <c r="B17" i="173" s="1"/>
  <c r="B18" i="173" s="1"/>
  <c r="B15" i="173"/>
  <c r="G14" i="173"/>
  <c r="G15" i="173" s="1"/>
  <c r="G16" i="173" s="1"/>
  <c r="G17" i="173" s="1"/>
  <c r="H21" i="173" s="1"/>
  <c r="H52" i="172"/>
  <c r="F34" i="172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I34" i="175" l="1"/>
  <c r="I36" i="175" s="1"/>
  <c r="I38" i="175" s="1"/>
  <c r="I34" i="129"/>
  <c r="I32" i="173"/>
  <c r="I34" i="173" s="1"/>
  <c r="I36" i="173" s="1"/>
  <c r="I38" i="173" s="1"/>
  <c r="I34" i="172"/>
  <c r="I36" i="172" s="1"/>
  <c r="I38" i="172" s="1"/>
  <c r="I32" i="135" l="1"/>
  <c r="I34" i="135" s="1"/>
  <c r="B27" i="135"/>
  <c r="C3" i="129" l="1"/>
  <c r="I32" i="134" l="1"/>
  <c r="C3" i="133"/>
  <c r="F34" i="137" l="1"/>
  <c r="I32" i="137" l="1"/>
  <c r="F34" i="134"/>
  <c r="B27" i="134" l="1"/>
  <c r="E21" i="129" l="1"/>
  <c r="E21" i="133" l="1"/>
  <c r="E21" i="135"/>
  <c r="E21" i="137"/>
  <c r="E21" i="138"/>
  <c r="E21" i="134"/>
  <c r="C21" i="129"/>
  <c r="C21" i="134"/>
  <c r="C21" i="135"/>
  <c r="C21" i="137"/>
  <c r="C21" i="138"/>
  <c r="C21" i="133"/>
  <c r="H52" i="129"/>
  <c r="H52" i="134"/>
  <c r="H52" i="135"/>
  <c r="H52" i="137"/>
  <c r="H52" i="138"/>
  <c r="H52" i="133"/>
  <c r="B27" i="138" l="1"/>
  <c r="I23" i="138"/>
  <c r="H23" i="138"/>
  <c r="G23" i="138"/>
  <c r="F23" i="138"/>
  <c r="E23" i="138"/>
  <c r="D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5" l="1"/>
  <c r="I38" i="135" s="1"/>
  <c r="I36" i="138"/>
  <c r="I38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72" s="1"/>
  <c r="C3" i="173" s="1"/>
  <c r="C3" i="174" s="1"/>
  <c r="C3" i="175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6" i="133" l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<sst xmlns="http://schemas.openxmlformats.org/spreadsheetml/2006/main" count="958" uniqueCount="205">
  <si>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</si>
  <si>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</si>
  <si>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</si>
  <si>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</si>
  <si>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</si>
  <si>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</si>
  <si>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</si>
  <si>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</si>
  <si>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</si>
  <si>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</si>
  <si>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</si>
  <si>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</si>
  <si>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</si>
  <si>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</si>
  <si>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</si>
  <si>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</si>
  <si>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</si>
  <si>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</si>
  <si>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</si>
  <si>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</si>
  <si>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</si>
  <si>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</si>
  <si>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</si>
  <si>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</si>
  <si>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</si>
  <si>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</si>
  <si>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</si>
  <si>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</si>
  <si>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</si>
  <si>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</si>
  <si>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</si>
  <si>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</si>
  <si>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</si>
  <si>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</si>
  <si>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</si>
  <si>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</si>
  <si>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</si>
  <si>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</si>
  <si>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</si>
  <si>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</si>
  <si>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</si>
  <si>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</si>
  <si>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</si>
  <si>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</si>
  <si>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</si>
  <si>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</si>
  <si>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</si>
  <si>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</si>
  <si>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</si>
  <si>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</si>
  <si>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</si>
  <si>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</si>
  <si>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</si>
  <si>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</si>
  <si>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</si>
  <si>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</si>
  <si>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</si>
  <si>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</si>
  <si>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</si>
  <si>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</si>
  <si>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</si>
  <si>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</si>
  <si>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</si>
  <si>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</si>
  <si>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</si>
  <si>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</si>
  <si>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</si>
  <si>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</si>
  <si>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</si>
  <si>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</si>
  <si>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</si>
  <si>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</si>
  <si>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</si>
  <si>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</si>
  <si>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</si>
  <si>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</si>
  <si>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</si>
  <si>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</si>
  <si>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</si>
  <si>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</si>
  <si>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</si>
  <si>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</si>
  <si>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</si>
  <si>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</si>
  <si>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</si>
  <si>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</si>
  <si>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</si>
  <si>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</si>
  <si>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</si>
  <si>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</si>
  <si>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</si>
  <si>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</si>
  <si>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</si>
  <si>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</si>
  <si>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</si>
  <si>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</si>
  <si>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</si>
  <si>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</si>
  <si>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</si>
  <si>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</si>
  <si>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</si>
  <si>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</si>
  <si>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</si>
  <si>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</si>
  <si>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</si>
  <si>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</si>
  <si>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</si>
  <si>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</si>
  <si>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</si>
  <si>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</si>
  <si>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</si>
  <si>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</si>
  <si>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</si>
  <si>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</si>
  <si>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</si>
  <si>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</si>
  <si>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</si>
  <si>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</si>
  <si>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</si>
  <si>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</si>
  <si>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</si>
  <si>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</si>
  <si>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</si>
  <si>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</si>
  <si>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</si>
  <si>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</si>
  <si>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</si>
  <si>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</si>
  <si>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</si>
  <si>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</si>
  <si>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</si>
  <si>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</si>
  <si>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</si>
  <si>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</si>
  <si>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</si>
  <si>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</si>
  <si>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</si>
  <si>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</si>
  <si>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</si>
  <si>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</si>
  <si>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</si>
  <si>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</si>
  <si>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</si>
  <si>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</si>
  <si>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</si>
  <si>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</si>
  <si>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</si>
  <si>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</si>
  <si>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</si>
  <si>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</si>
  <si>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</si>
  <si>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</si>
  <si>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</si>
  <si>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</si>
  <si>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</si>
  <si>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</si>
  <si>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</si>
  <si>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</si>
  <si>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</si>
  <si>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</si>
  <si>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</si>
  <si>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</si>
  <si>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</si>
  <si>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</si>
  <si>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</si>
  <si>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</si>
  <si>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</si>
  <si>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</si>
  <si>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</si>
  <si>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</si>
  <si>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</si>
  <si>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</si>
  <si>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</si>
  <si>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</si>
  <si>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</si>
  <si>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</si>
  <si>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</si>
  <si>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265K0089</t>
  </si>
  <si>
    <t>GIRLS COTTON FIBERS, KNIT PULLOVER, WITH NO NECK CLOSURE, STITCH COUNT IS GREATER THAN 9/2CM, REACHES WAIST [100% COTTON]</t>
  </si>
  <si>
    <t>Online</t>
  </si>
  <si>
    <t>Retail</t>
  </si>
  <si>
    <t>265K0103</t>
  </si>
  <si>
    <t>00</t>
  </si>
  <si>
    <t>BLACK LEOPARD</t>
  </si>
  <si>
    <t>WOMENS COTTON FIBERS, KNIT PULLOVER, WITH NO NECK CLOSURE, STITCH COUNT IS GREATER THAN 9/2CM, REACHES WAIST, SLEEVELESS [96% COTTON 4% SPANDEX]</t>
  </si>
  <si>
    <t>BOYS COTTON FIBERS, KNIT SHIRT, WITH NECK CLOSURE, STITCH COUNT EQUAL OR IS GREATER THAN 10/1CM, HEM BOTTOM [60% COTTON 40% POLYESTER]</t>
  </si>
  <si>
    <t>Franchise</t>
  </si>
  <si>
    <t>255K0079</t>
  </si>
  <si>
    <t>265K0006</t>
  </si>
  <si>
    <t>265K0077</t>
  </si>
  <si>
    <t>265K0088</t>
  </si>
  <si>
    <t>CALLA LILY 451</t>
  </si>
  <si>
    <t>GIRLS COTTON FIBERS, KNIT PULLOVER, WITH NO NECK CLOSURE, STITCH COUNT IS GREATER THAN 9/2CM, REACHES WAIST [60% COTTON 40% POLYESTER]</t>
  </si>
  <si>
    <t>BLACKJACK JAS</t>
  </si>
  <si>
    <t>02</t>
  </si>
  <si>
    <t>CALLA LILY 451, BLACK JACK</t>
  </si>
  <si>
    <t>00, 04</t>
  </si>
  <si>
    <t>00, 02, 04, 05, 06</t>
  </si>
  <si>
    <t>CALLA LILY 451, INK BLUE, BLACK JACK, RON BURGUNDY, DARK GREEN</t>
  </si>
  <si>
    <t>RED TAPE, MONET BLUE, BLUE TANGO</t>
  </si>
  <si>
    <t>01, 03, 07</t>
  </si>
  <si>
    <t>GIRLS COTTON FIBERS, KNIT PULLOVER, WITH NO NECK CLOSURE, STITCH COUNT IS GREATER THAN 9/2CM, REACHES WAIST [60% COTTON 40% RECYCLED POLYESTER]</t>
  </si>
  <si>
    <t>01</t>
  </si>
  <si>
    <t>MOCHA TAFFY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</si>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</sst>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9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15675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6325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F34" sqref="F34:G3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F2" sqref="F2:F11"/>
    </sheetView>
  </sheetViews>
  <sheetFormatPr defaultRowHeight="12.75" x14ac:dyDescent="0.2"/>
  <sheetData>
    <row r="2" spans="2:9" ht="15" x14ac:dyDescent="0.25">
      <c r="B2" s="57">
        <v>1</v>
      </c>
      <c r="C2" t="s">
        <v>187</v>
      </c>
      <c r="E2" s="57">
        <v>1</v>
      </c>
      <c r="F2">
        <v>881293</v>
      </c>
      <c r="H2" s="57">
        <v>1</v>
      </c>
      <c r="I2" s="65" t="s">
        <v>180</v>
      </c>
    </row>
    <row r="3" spans="2:9" ht="15" x14ac:dyDescent="0.25">
      <c r="B3" s="57">
        <v>2</v>
      </c>
      <c r="C3" t="s">
        <v>187</v>
      </c>
      <c r="E3" s="57">
        <v>2</v>
      </c>
      <c r="F3">
        <v>881293</v>
      </c>
      <c r="H3" s="57">
        <v>2</v>
      </c>
      <c r="I3" s="65" t="s">
        <v>180</v>
      </c>
    </row>
    <row r="4" spans="2:9" ht="15" x14ac:dyDescent="0.25">
      <c r="B4" s="57">
        <v>3</v>
      </c>
      <c r="C4" t="s">
        <v>188</v>
      </c>
      <c r="E4" s="57">
        <v>3</v>
      </c>
      <c r="F4">
        <v>878746</v>
      </c>
      <c r="H4" s="57">
        <v>3</v>
      </c>
      <c r="I4" s="65" t="s">
        <v>180</v>
      </c>
    </row>
    <row r="5" spans="2:9" ht="15" x14ac:dyDescent="0.25">
      <c r="B5" s="57">
        <v>4</v>
      </c>
      <c r="C5" t="s">
        <v>189</v>
      </c>
      <c r="E5" s="57">
        <v>4</v>
      </c>
      <c r="F5">
        <v>767468</v>
      </c>
      <c r="H5" s="57">
        <v>4</v>
      </c>
      <c r="I5" s="65" t="s">
        <v>186</v>
      </c>
    </row>
    <row r="6" spans="2:9" ht="15" x14ac:dyDescent="0.25">
      <c r="B6" s="57">
        <v>5</v>
      </c>
      <c r="C6" t="s">
        <v>189</v>
      </c>
      <c r="E6" s="57">
        <v>5</v>
      </c>
      <c r="F6">
        <v>767468</v>
      </c>
      <c r="H6" s="57">
        <v>5</v>
      </c>
      <c r="I6" s="65" t="s">
        <v>179</v>
      </c>
    </row>
    <row r="7" spans="2:9" ht="15" x14ac:dyDescent="0.25">
      <c r="B7" s="57">
        <v>6</v>
      </c>
      <c r="C7" t="s">
        <v>189</v>
      </c>
      <c r="E7" s="57">
        <v>6</v>
      </c>
      <c r="F7">
        <v>767468</v>
      </c>
      <c r="H7" s="57">
        <v>6</v>
      </c>
      <c r="I7" s="65" t="s">
        <v>179</v>
      </c>
    </row>
    <row r="8" spans="2:9" ht="15" x14ac:dyDescent="0.25">
      <c r="B8" s="57">
        <v>7</v>
      </c>
      <c r="C8" t="s">
        <v>190</v>
      </c>
      <c r="E8" s="57">
        <v>7</v>
      </c>
      <c r="F8">
        <v>867788</v>
      </c>
      <c r="H8" s="57">
        <v>7</v>
      </c>
      <c r="I8" s="65" t="s">
        <v>179</v>
      </c>
    </row>
    <row r="9" spans="2:9" ht="15" x14ac:dyDescent="0.25">
      <c r="B9" s="57">
        <v>8</v>
      </c>
      <c r="C9" t="s">
        <v>177</v>
      </c>
      <c r="E9" s="57">
        <v>8</v>
      </c>
      <c r="F9">
        <v>905994</v>
      </c>
      <c r="H9" s="57">
        <v>8</v>
      </c>
      <c r="I9" s="65" t="s">
        <v>179</v>
      </c>
    </row>
    <row r="10" spans="2:9" ht="15" x14ac:dyDescent="0.25">
      <c r="B10" s="57">
        <v>9</v>
      </c>
      <c r="C10" t="s">
        <v>177</v>
      </c>
      <c r="E10" s="57">
        <v>9</v>
      </c>
      <c r="F10">
        <v>905994</v>
      </c>
      <c r="H10" s="57">
        <v>9</v>
      </c>
      <c r="I10" s="65" t="s">
        <v>180</v>
      </c>
    </row>
    <row r="11" spans="2:9" ht="15" x14ac:dyDescent="0.25">
      <c r="B11" s="57">
        <v>10</v>
      </c>
      <c r="C11" t="s">
        <v>181</v>
      </c>
      <c r="E11" s="57">
        <v>10</v>
      </c>
      <c r="F11">
        <v>692926</v>
      </c>
      <c r="H11" s="57">
        <v>10</v>
      </c>
      <c r="I11" s="65" t="s">
        <v>179</v>
      </c>
    </row>
    <row r="12" spans="2:9" ht="15" x14ac:dyDescent="0.25">
      <c r="B12" s="57">
        <v>11</v>
      </c>
      <c r="E12" s="57">
        <v>11</v>
      </c>
      <c r="H12" s="57">
        <v>11</v>
      </c>
      <c r="I12" s="65"/>
    </row>
    <row r="13" spans="2:9" ht="15" x14ac:dyDescent="0.25">
      <c r="B13" s="57">
        <v>12</v>
      </c>
      <c r="E13" s="57">
        <v>12</v>
      </c>
      <c r="H13" s="57">
        <v>12</v>
      </c>
      <c r="I13" s="65"/>
    </row>
    <row r="14" spans="2:9" ht="15" x14ac:dyDescent="0.25">
      <c r="B14" s="57">
        <v>13</v>
      </c>
      <c r="E14" s="57">
        <v>13</v>
      </c>
      <c r="H14" s="57">
        <v>13</v>
      </c>
      <c r="I14" s="65"/>
    </row>
    <row r="15" spans="2:9" ht="15" x14ac:dyDescent="0.25">
      <c r="B15" s="57">
        <v>14</v>
      </c>
      <c r="E15" s="57">
        <v>14</v>
      </c>
      <c r="H15" s="57">
        <v>14</v>
      </c>
      <c r="I15" s="65"/>
    </row>
    <row r="16" spans="2:9" ht="15" x14ac:dyDescent="0.25">
      <c r="B16" s="57">
        <v>15</v>
      </c>
      <c r="E16" s="57">
        <v>15</v>
      </c>
      <c r="H16" s="57">
        <v>15</v>
      </c>
      <c r="I16" s="65"/>
    </row>
    <row r="17" spans="2:11" ht="15" x14ac:dyDescent="0.25">
      <c r="B17" s="57">
        <v>16</v>
      </c>
      <c r="E17" s="57">
        <v>16</v>
      </c>
      <c r="H17" s="57">
        <v>16</v>
      </c>
      <c r="I17" s="65"/>
    </row>
    <row r="18" spans="2:11" ht="15" x14ac:dyDescent="0.25">
      <c r="B18" s="57">
        <v>17</v>
      </c>
      <c r="E18" s="57">
        <v>17</v>
      </c>
      <c r="H18" s="57">
        <v>17</v>
      </c>
      <c r="I18" s="65"/>
    </row>
    <row r="19" spans="2:11" ht="15" x14ac:dyDescent="0.25">
      <c r="B19" s="57">
        <v>18</v>
      </c>
      <c r="E19" s="57">
        <v>18</v>
      </c>
      <c r="H19" s="57">
        <v>18</v>
      </c>
      <c r="I19" s="65"/>
    </row>
    <row r="20" spans="2:11" ht="15" x14ac:dyDescent="0.25">
      <c r="B20" s="57">
        <v>19</v>
      </c>
      <c r="E20" s="57">
        <v>19</v>
      </c>
      <c r="H20" s="57">
        <v>19</v>
      </c>
      <c r="I20" s="65"/>
    </row>
    <row r="21" spans="2:11" ht="15" x14ac:dyDescent="0.25">
      <c r="B21" s="57">
        <v>20</v>
      </c>
      <c r="E21" s="57">
        <v>20</v>
      </c>
      <c r="H21" s="57">
        <v>20</v>
      </c>
      <c r="I21" s="65"/>
    </row>
    <row r="22" spans="2:11" ht="15" x14ac:dyDescent="0.25">
      <c r="B22" s="57">
        <v>21</v>
      </c>
      <c r="E22" s="57">
        <v>21</v>
      </c>
      <c r="H22" s="57">
        <v>21</v>
      </c>
      <c r="I22" s="65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tabSelected="1" view="pageBreakPreview" topLeftCell="A19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204</v>
      </c>
      <c r="C2" s="70"/>
      <c r="D2" s="70"/>
      <c r="E2" s="70"/>
      <c r="F2" s="70"/>
      <c r="G2" s="70"/>
      <c r="H2" s="70"/>
      <c r="I2" s="71"/>
      <c r="J2" s="62">
        <v>62388688</v>
      </c>
      <c r="K2" s="63">
        <v>2140</v>
      </c>
      <c r="L2" s="64">
        <v>13</v>
      </c>
      <c r="M2" s="64">
        <v>165.98</v>
      </c>
      <c r="N2" s="64">
        <v>170.26</v>
      </c>
      <c r="O2" s="64">
        <v>183.26</v>
      </c>
      <c r="P2" s="64" t="s">
        <v>54</v>
      </c>
      <c r="Q2" s="64">
        <v>0.872</v>
      </c>
      <c r="R2" s="64" t="s">
        <v>62</v>
      </c>
    </row>
    <row r="3" spans="2:22" x14ac:dyDescent="0.2">
      <c r="B3" s="6" t="s">
        <v>53</v>
      </c>
      <c r="C3" s="68">
        <v>285</v>
      </c>
      <c r="D3" s="5"/>
      <c r="E3" s="5"/>
      <c r="F3" s="5"/>
      <c r="G3" s="5" t="s">
        <v>52</v>
      </c>
      <c r="H3" s="31">
        <v>46298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62388688</v>
      </c>
      <c r="C21" s="56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183.26</v>
      </c>
      <c r="G23" s="23">
        <f>+N2</f>
        <v>170.26</v>
      </c>
      <c r="H23" s="23">
        <f>+M2</f>
        <v>165.98</v>
      </c>
      <c r="I23" s="55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24.95" customHeight="1" x14ac:dyDescent="0.2">
      <c r="B32" s="41" t="s">
        <v>182</v>
      </c>
      <c r="C32" s="19" t="s">
        <v>191</v>
      </c>
      <c r="D32" s="85"/>
      <c r="E32" s="86"/>
      <c r="F32" s="85">
        <f>+K2</f>
        <v>2140</v>
      </c>
      <c r="G32" s="86"/>
      <c r="H32" s="17">
        <v>0.57999999999999996</v>
      </c>
      <c r="I32" s="18">
        <f>+H32*F32</f>
        <v>1241.1999999999998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0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2140</v>
      </c>
      <c r="G34" s="86"/>
      <c r="H34" s="15"/>
      <c r="I34" s="14">
        <f>SUM(I32:I33)</f>
        <v>1241.1999999999998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1241.1999999999998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1241.1999999999998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2:E32"/>
    <mergeCell ref="F32:G32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204</v>
      </c>
      <c r="C2" s="70"/>
      <c r="D2" s="70"/>
      <c r="E2" s="70"/>
      <c r="F2" s="70"/>
      <c r="G2" s="70"/>
      <c r="H2" s="70"/>
      <c r="I2" s="71"/>
      <c r="J2" s="62">
        <v>62388692</v>
      </c>
      <c r="K2" s="63">
        <v>2140</v>
      </c>
      <c r="L2" s="64">
        <v>13</v>
      </c>
      <c r="M2" s="64">
        <v>164.75</v>
      </c>
      <c r="N2" s="64">
        <v>169.03</v>
      </c>
      <c r="O2" s="64">
        <v>182.03</v>
      </c>
      <c r="P2" s="64" t="s">
        <v>54</v>
      </c>
      <c r="Q2" s="64">
        <v>0.872</v>
      </c>
      <c r="R2" s="64" t="s">
        <v>62</v>
      </c>
    </row>
    <row r="3" spans="2:22" x14ac:dyDescent="0.2">
      <c r="B3" s="6" t="s">
        <v>53</v>
      </c>
      <c r="C3" s="68">
        <f>+'285'!C3+1</f>
        <v>286</v>
      </c>
      <c r="D3" s="5"/>
      <c r="E3" s="5"/>
      <c r="F3" s="5"/>
      <c r="G3" s="5" t="s">
        <v>52</v>
      </c>
      <c r="H3" s="31">
        <v>46298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62388692</v>
      </c>
      <c r="C21" s="49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182.03</v>
      </c>
      <c r="G23" s="23">
        <f>+N2</f>
        <v>169.03</v>
      </c>
      <c r="H23" s="23">
        <f>+M2</f>
        <v>164.75</v>
      </c>
      <c r="I23" s="48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24.95" customHeight="1" x14ac:dyDescent="0.2">
      <c r="B32" s="41" t="s">
        <v>182</v>
      </c>
      <c r="C32" s="19" t="s">
        <v>191</v>
      </c>
      <c r="D32" s="85"/>
      <c r="E32" s="86"/>
      <c r="F32" s="85">
        <f>+K2</f>
        <v>2140</v>
      </c>
      <c r="G32" s="86"/>
      <c r="H32" s="17">
        <v>0.57999999999999996</v>
      </c>
      <c r="I32" s="18">
        <f>+H32*F32</f>
        <v>1241.1999999999998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48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2140</v>
      </c>
      <c r="G34" s="86"/>
      <c r="H34" s="15"/>
      <c r="I34" s="14">
        <f>SUM(I32:I33)</f>
        <v>1241.1999999999998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1241.1999999999998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1241.1999999999998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204</v>
      </c>
      <c r="C2" s="70"/>
      <c r="D2" s="70"/>
      <c r="E2" s="70"/>
      <c r="F2" s="70"/>
      <c r="G2" s="70"/>
      <c r="H2" s="70"/>
      <c r="I2" s="71"/>
      <c r="J2" s="62">
        <v>62388679</v>
      </c>
      <c r="K2" s="63">
        <v>2210</v>
      </c>
      <c r="L2" s="64">
        <v>14</v>
      </c>
      <c r="M2" s="64">
        <v>181.87</v>
      </c>
      <c r="N2" s="64">
        <v>186.29</v>
      </c>
      <c r="O2" s="64">
        <v>200.29</v>
      </c>
      <c r="P2" s="64" t="s">
        <v>54</v>
      </c>
      <c r="Q2" s="64">
        <v>0.93899999999999995</v>
      </c>
      <c r="R2" s="64" t="s">
        <v>62</v>
      </c>
    </row>
    <row r="3" spans="2:22" x14ac:dyDescent="0.2">
      <c r="B3" s="6" t="s">
        <v>53</v>
      </c>
      <c r="C3" s="68">
        <f>+'286'!C3+1</f>
        <v>287</v>
      </c>
      <c r="D3" s="5"/>
      <c r="E3" s="5"/>
      <c r="F3" s="5"/>
      <c r="G3" s="5" t="s">
        <v>52</v>
      </c>
      <c r="H3" s="31">
        <v>46298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62388679</v>
      </c>
      <c r="C21" s="49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200.29</v>
      </c>
      <c r="G23" s="23">
        <f>+N2</f>
        <v>186.29</v>
      </c>
      <c r="H23" s="23">
        <f>+M2</f>
        <v>181.87</v>
      </c>
      <c r="I23" s="48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28.5" customHeight="1" x14ac:dyDescent="0.2">
      <c r="B32" s="41" t="s">
        <v>194</v>
      </c>
      <c r="C32" s="19" t="s">
        <v>193</v>
      </c>
      <c r="D32" s="85"/>
      <c r="E32" s="86"/>
      <c r="F32" s="85">
        <f>+K2</f>
        <v>2210</v>
      </c>
      <c r="G32" s="86"/>
      <c r="H32" s="17">
        <v>0.57999999999999996</v>
      </c>
      <c r="I32" s="18">
        <f>+H32*F32</f>
        <v>1281.8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48"/>
    </row>
    <row r="34" spans="2:11" ht="21.75" customHeight="1" x14ac:dyDescent="0.2">
      <c r="B34" s="15" t="s">
        <v>14</v>
      </c>
      <c r="C34" s="15"/>
      <c r="D34" s="83"/>
      <c r="E34" s="84"/>
      <c r="F34" s="85">
        <f>SUM(F31:G33)</f>
        <v>2210</v>
      </c>
      <c r="G34" s="86"/>
      <c r="H34" s="15"/>
      <c r="I34" s="14">
        <f>SUM(I32:I33)</f>
        <v>1281.8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1281.8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1281.8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2:E32"/>
    <mergeCell ref="F32:G32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204</v>
      </c>
      <c r="C2" s="70"/>
      <c r="D2" s="70"/>
      <c r="E2" s="70"/>
      <c r="F2" s="70"/>
      <c r="G2" s="70"/>
      <c r="H2" s="70"/>
      <c r="I2" s="71"/>
      <c r="J2" s="62">
        <v>62006614</v>
      </c>
      <c r="K2" s="64">
        <v>24</v>
      </c>
      <c r="L2" s="64">
        <v>10</v>
      </c>
      <c r="M2" s="64">
        <v>3.24</v>
      </c>
      <c r="N2" s="64">
        <v>3.72</v>
      </c>
      <c r="O2" s="64">
        <v>8.2200000000000006</v>
      </c>
      <c r="P2" s="64" t="s">
        <v>54</v>
      </c>
      <c r="Q2" s="64">
        <v>0.16800000000000001</v>
      </c>
      <c r="R2" s="64" t="s">
        <v>62</v>
      </c>
    </row>
    <row r="3" spans="2:22" x14ac:dyDescent="0.2">
      <c r="B3" s="6" t="s">
        <v>53</v>
      </c>
      <c r="C3" s="68">
        <f>+'287'!C3+1</f>
        <v>288</v>
      </c>
      <c r="D3" s="5"/>
      <c r="E3" s="5"/>
      <c r="F3" s="5"/>
      <c r="G3" s="5" t="s">
        <v>52</v>
      </c>
      <c r="H3" s="31">
        <v>46298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62006614</v>
      </c>
      <c r="C21" s="53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8.2200000000000006</v>
      </c>
      <c r="G23" s="23">
        <f>+N2</f>
        <v>3.72</v>
      </c>
      <c r="H23" s="23">
        <f>+M2</f>
        <v>3.24</v>
      </c>
      <c r="I23" s="54">
        <f>+L2</f>
        <v>10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8" t="s">
        <v>19</v>
      </c>
      <c r="E31" s="78"/>
      <c r="F31" s="78" t="s">
        <v>18</v>
      </c>
      <c r="G31" s="78"/>
      <c r="H31" s="54" t="s">
        <v>17</v>
      </c>
      <c r="I31" s="19" t="s">
        <v>16</v>
      </c>
      <c r="M31"/>
    </row>
    <row r="32" spans="2:13" ht="36.75" customHeight="1" x14ac:dyDescent="0.2">
      <c r="B32" s="41" t="s">
        <v>196</v>
      </c>
      <c r="C32" s="19" t="s">
        <v>195</v>
      </c>
      <c r="D32" s="85"/>
      <c r="E32" s="86"/>
      <c r="F32" s="85">
        <f>+K2</f>
        <v>24</v>
      </c>
      <c r="G32" s="86"/>
      <c r="H32" s="17">
        <v>1.05</v>
      </c>
      <c r="I32" s="18">
        <f>+H32*F32</f>
        <v>25.200000000000003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4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24</v>
      </c>
      <c r="G34" s="86"/>
      <c r="H34" s="15"/>
      <c r="I34" s="14">
        <f>SUM(I32:I33)</f>
        <v>25.200000000000003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25.200000000000003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25.200000000000003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265K0077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204</v>
      </c>
      <c r="C2" s="70"/>
      <c r="D2" s="70"/>
      <c r="E2" s="70"/>
      <c r="F2" s="70"/>
      <c r="G2" s="70"/>
      <c r="H2" s="70"/>
      <c r="I2" s="71"/>
      <c r="J2" s="62">
        <v>62041859</v>
      </c>
      <c r="K2" s="63">
        <v>2519</v>
      </c>
      <c r="L2" s="64">
        <v>62</v>
      </c>
      <c r="M2" s="64">
        <v>337.88</v>
      </c>
      <c r="N2" s="64">
        <v>388.26</v>
      </c>
      <c r="O2" s="64">
        <v>437.76</v>
      </c>
      <c r="P2" s="64" t="s">
        <v>54</v>
      </c>
      <c r="Q2" s="64">
        <v>2.2250000000000001</v>
      </c>
      <c r="R2" s="64" t="s">
        <v>62</v>
      </c>
    </row>
    <row r="3" spans="2:22" x14ac:dyDescent="0.2">
      <c r="B3" s="6" t="s">
        <v>53</v>
      </c>
      <c r="C3" s="68">
        <f>+'288'!C3+1</f>
        <v>289</v>
      </c>
      <c r="D3" s="5"/>
      <c r="E3" s="5"/>
      <c r="F3" s="5"/>
      <c r="G3" s="5" t="s">
        <v>52</v>
      </c>
      <c r="H3" s="31">
        <v>46298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62041859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437.76</v>
      </c>
      <c r="G23" s="23">
        <f>+N2</f>
        <v>388.26</v>
      </c>
      <c r="H23" s="23">
        <f>+M2</f>
        <v>337.88</v>
      </c>
      <c r="I23" s="55">
        <f>+L2</f>
        <v>62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66.75" customHeight="1" x14ac:dyDescent="0.2">
      <c r="B32" s="41" t="s">
        <v>197</v>
      </c>
      <c r="C32" s="19" t="s">
        <v>198</v>
      </c>
      <c r="D32" s="85"/>
      <c r="E32" s="86"/>
      <c r="F32" s="85">
        <f>+K2</f>
        <v>2519</v>
      </c>
      <c r="G32" s="86"/>
      <c r="H32" s="17">
        <v>1.05</v>
      </c>
      <c r="I32" s="18">
        <f>+H32*F32</f>
        <v>2644.9500000000003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9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2519</v>
      </c>
      <c r="G34" s="86"/>
      <c r="H34" s="15"/>
      <c r="I34" s="14">
        <f>SUM(I32:I32)</f>
        <v>2644.9500000000003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2644.9500000000003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2644.9500000000003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265K0077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204</v>
      </c>
      <c r="C2" s="70"/>
      <c r="D2" s="70"/>
      <c r="E2" s="70"/>
      <c r="F2" s="70"/>
      <c r="G2" s="70"/>
      <c r="H2" s="70"/>
      <c r="I2" s="71"/>
      <c r="J2" s="62">
        <v>62002318</v>
      </c>
      <c r="K2" s="63">
        <v>1461</v>
      </c>
      <c r="L2" s="64">
        <v>34</v>
      </c>
      <c r="M2" s="64">
        <v>195.82</v>
      </c>
      <c r="N2" s="64">
        <v>225.04</v>
      </c>
      <c r="O2" s="64">
        <v>252.64</v>
      </c>
      <c r="P2" s="64" t="s">
        <v>54</v>
      </c>
      <c r="Q2" s="64">
        <v>1.286</v>
      </c>
      <c r="R2" s="64" t="s">
        <v>62</v>
      </c>
    </row>
    <row r="3" spans="2:22" x14ac:dyDescent="0.2">
      <c r="B3" s="6" t="s">
        <v>53</v>
      </c>
      <c r="C3" s="68">
        <f>+'289'!C3+1</f>
        <v>290</v>
      </c>
      <c r="D3" s="5"/>
      <c r="E3" s="5"/>
      <c r="F3" s="5"/>
      <c r="G3" s="5" t="s">
        <v>52</v>
      </c>
      <c r="H3" s="31">
        <v>46298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62002318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252.64</v>
      </c>
      <c r="G23" s="23">
        <f>+N2</f>
        <v>225.04</v>
      </c>
      <c r="H23" s="23">
        <f>+M2</f>
        <v>195.82</v>
      </c>
      <c r="I23" s="55">
        <f>+L2</f>
        <v>34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37.5" customHeight="1" x14ac:dyDescent="0.2">
      <c r="B32" s="61" t="s">
        <v>200</v>
      </c>
      <c r="C32" s="19" t="s">
        <v>199</v>
      </c>
      <c r="D32" s="85"/>
      <c r="E32" s="86"/>
      <c r="F32" s="85">
        <f>+K2</f>
        <v>1461</v>
      </c>
      <c r="G32" s="86"/>
      <c r="H32" s="17">
        <v>1.05</v>
      </c>
      <c r="I32" s="18">
        <f>+H32*F32</f>
        <v>1534.05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5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1461</v>
      </c>
      <c r="G34" s="86"/>
      <c r="H34" s="15"/>
      <c r="I34" s="14">
        <f>SUM(I32:I33)</f>
        <v>1534.05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1534.05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1534.05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265K0077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204</v>
      </c>
      <c r="C2" s="70"/>
      <c r="D2" s="70"/>
      <c r="E2" s="70"/>
      <c r="F2" s="70"/>
      <c r="G2" s="70"/>
      <c r="H2" s="70"/>
      <c r="I2" s="71"/>
      <c r="J2" s="62">
        <v>61996941</v>
      </c>
      <c r="K2" s="64">
        <v>526</v>
      </c>
      <c r="L2" s="64">
        <v>6</v>
      </c>
      <c r="M2" s="64">
        <v>35.582999999999998</v>
      </c>
      <c r="N2" s="64">
        <v>36.634999999999998</v>
      </c>
      <c r="O2" s="64">
        <v>41.534999999999997</v>
      </c>
      <c r="P2" s="64" t="s">
        <v>54</v>
      </c>
      <c r="Q2" s="64">
        <v>0.224</v>
      </c>
      <c r="R2" s="64" t="s">
        <v>62</v>
      </c>
    </row>
    <row r="3" spans="2:22" x14ac:dyDescent="0.2">
      <c r="B3" s="6" t="s">
        <v>53</v>
      </c>
      <c r="C3" s="68">
        <f>+'290'!C3+1</f>
        <v>291</v>
      </c>
      <c r="D3" s="5"/>
      <c r="E3" s="5"/>
      <c r="F3" s="5"/>
      <c r="G3" s="5" t="s">
        <v>52</v>
      </c>
      <c r="H3" s="31">
        <v>46298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61996941</v>
      </c>
      <c r="C21" s="67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41.534999999999997</v>
      </c>
      <c r="G23" s="23">
        <f>+N2</f>
        <v>36.634999999999998</v>
      </c>
      <c r="H23" s="23">
        <f>+M2</f>
        <v>35.582999999999998</v>
      </c>
      <c r="I23" s="66">
        <f>+L2</f>
        <v>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[60% COTTON 40% RECYCLED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78" t="s">
        <v>19</v>
      </c>
      <c r="E31" s="78"/>
      <c r="F31" s="78" t="s">
        <v>18</v>
      </c>
      <c r="G31" s="78"/>
      <c r="H31" s="66" t="s">
        <v>17</v>
      </c>
      <c r="I31" s="19" t="s">
        <v>16</v>
      </c>
      <c r="M31"/>
    </row>
    <row r="32" spans="2:13" ht="24.95" customHeight="1" x14ac:dyDescent="0.2">
      <c r="B32" s="41" t="s">
        <v>182</v>
      </c>
      <c r="C32" s="19" t="s">
        <v>191</v>
      </c>
      <c r="D32" s="85"/>
      <c r="E32" s="86"/>
      <c r="F32" s="85">
        <f>+K2</f>
        <v>526</v>
      </c>
      <c r="G32" s="86"/>
      <c r="H32" s="17">
        <v>0.71</v>
      </c>
      <c r="I32" s="18">
        <f>+H32*F32</f>
        <v>373.46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6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526</v>
      </c>
      <c r="G34" s="86"/>
      <c r="H34" s="15"/>
      <c r="I34" s="14">
        <f>SUM(I32:I33)</f>
        <v>373.46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373.46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373.46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265K0088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7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204</v>
      </c>
      <c r="C2" s="70"/>
      <c r="D2" s="70"/>
      <c r="E2" s="70"/>
      <c r="F2" s="70"/>
      <c r="G2" s="70"/>
      <c r="H2" s="70"/>
      <c r="I2" s="71"/>
      <c r="J2" s="62">
        <v>61996922</v>
      </c>
      <c r="K2" s="64">
        <v>571</v>
      </c>
      <c r="L2" s="64">
        <v>7</v>
      </c>
      <c r="M2" s="64">
        <v>42.402999999999999</v>
      </c>
      <c r="N2" s="64">
        <v>43.545000000000002</v>
      </c>
      <c r="O2" s="64">
        <v>49.045000000000002</v>
      </c>
      <c r="P2" s="64" t="s">
        <v>54</v>
      </c>
      <c r="Q2" s="64">
        <v>0.23499999999999999</v>
      </c>
      <c r="R2" s="64" t="s">
        <v>62</v>
      </c>
    </row>
    <row r="3" spans="2:22" x14ac:dyDescent="0.2">
      <c r="B3" s="6" t="s">
        <v>53</v>
      </c>
      <c r="C3" s="68">
        <f>+'291'!C3+1</f>
        <v>292</v>
      </c>
      <c r="D3" s="5"/>
      <c r="E3" s="5"/>
      <c r="F3" s="5"/>
      <c r="G3" s="5" t="s">
        <v>52</v>
      </c>
      <c r="H3" s="31">
        <v>46298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61996922</v>
      </c>
      <c r="C21" s="67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49.045000000000002</v>
      </c>
      <c r="G23" s="23">
        <f>+N2</f>
        <v>43.545000000000002</v>
      </c>
      <c r="H23" s="23">
        <f>+M2</f>
        <v>42.402999999999999</v>
      </c>
      <c r="I23" s="66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78" t="s">
        <v>19</v>
      </c>
      <c r="E31" s="78"/>
      <c r="F31" s="78" t="s">
        <v>18</v>
      </c>
      <c r="G31" s="78"/>
      <c r="H31" s="66" t="s">
        <v>17</v>
      </c>
      <c r="I31" s="19" t="s">
        <v>16</v>
      </c>
      <c r="M31"/>
    </row>
    <row r="32" spans="2:13" ht="30.75" customHeight="1" x14ac:dyDescent="0.2">
      <c r="B32" s="41" t="s">
        <v>202</v>
      </c>
      <c r="C32" s="19" t="s">
        <v>183</v>
      </c>
      <c r="D32" s="85"/>
      <c r="E32" s="86"/>
      <c r="F32" s="85">
        <f>+K2</f>
        <v>571</v>
      </c>
      <c r="G32" s="86"/>
      <c r="H32" s="17">
        <v>0.81</v>
      </c>
      <c r="I32" s="18">
        <f>+H32*F32</f>
        <v>462.51000000000005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6"/>
    </row>
    <row r="34" spans="2:11" ht="21.75" customHeight="1" x14ac:dyDescent="0.2">
      <c r="B34" s="15" t="s">
        <v>14</v>
      </c>
      <c r="C34" s="15"/>
      <c r="D34" s="83"/>
      <c r="E34" s="84"/>
      <c r="F34" s="85">
        <f>SUM(F31:G33)</f>
        <v>571</v>
      </c>
      <c r="G34" s="86"/>
      <c r="H34" s="15"/>
      <c r="I34" s="14">
        <f>SUM(I32:I33)</f>
        <v>462.51000000000005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462.51000000000005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462.51000000000005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8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204</v>
      </c>
      <c r="C2" s="70"/>
      <c r="D2" s="70"/>
      <c r="E2" s="70"/>
      <c r="F2" s="70"/>
      <c r="G2" s="70"/>
      <c r="H2" s="70"/>
      <c r="I2" s="71"/>
      <c r="J2" s="62">
        <v>61996864</v>
      </c>
      <c r="K2" s="64">
        <v>459</v>
      </c>
      <c r="L2" s="64">
        <v>9</v>
      </c>
      <c r="M2" s="64">
        <v>31.577000000000002</v>
      </c>
      <c r="N2" s="64">
        <v>32.494999999999997</v>
      </c>
      <c r="O2" s="64">
        <v>37.445</v>
      </c>
      <c r="P2" s="64" t="s">
        <v>54</v>
      </c>
      <c r="Q2" s="64">
        <v>0.218</v>
      </c>
      <c r="R2" s="64" t="s">
        <v>62</v>
      </c>
    </row>
    <row r="3" spans="2:22" x14ac:dyDescent="0.2">
      <c r="B3" s="6" t="s">
        <v>53</v>
      </c>
      <c r="C3" s="68">
        <f>+'292'!C3+1</f>
        <v>293</v>
      </c>
      <c r="D3" s="5"/>
      <c r="E3" s="5"/>
      <c r="F3" s="5"/>
      <c r="G3" s="5" t="s">
        <v>52</v>
      </c>
      <c r="H3" s="31">
        <v>46298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61996864</v>
      </c>
      <c r="C21" s="67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37.445</v>
      </c>
      <c r="G23" s="23">
        <f>+N2</f>
        <v>32.494999999999997</v>
      </c>
      <c r="H23" s="23">
        <f>+M2</f>
        <v>31.577000000000002</v>
      </c>
      <c r="I23" s="66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78" t="s">
        <v>19</v>
      </c>
      <c r="E31" s="78"/>
      <c r="F31" s="78" t="s">
        <v>18</v>
      </c>
      <c r="G31" s="78"/>
      <c r="H31" s="66" t="s">
        <v>17</v>
      </c>
      <c r="I31" s="19" t="s">
        <v>16</v>
      </c>
      <c r="M31"/>
    </row>
    <row r="32" spans="2:13" ht="24" customHeight="1" x14ac:dyDescent="0.2">
      <c r="B32" s="41" t="s">
        <v>202</v>
      </c>
      <c r="C32" s="19" t="s">
        <v>183</v>
      </c>
      <c r="D32" s="85"/>
      <c r="E32" s="86"/>
      <c r="F32" s="85">
        <f>+K2</f>
        <v>459</v>
      </c>
      <c r="G32" s="86"/>
      <c r="H32" s="17">
        <v>0.81</v>
      </c>
      <c r="I32" s="18">
        <f>+H32*F32</f>
        <v>371.79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6"/>
    </row>
    <row r="34" spans="2:11" ht="21.75" customHeight="1" x14ac:dyDescent="0.2">
      <c r="B34" s="15" t="s">
        <v>14</v>
      </c>
      <c r="C34" s="15"/>
      <c r="D34" s="83"/>
      <c r="E34" s="84"/>
      <c r="F34" s="85">
        <f>SUM(F31:G33)</f>
        <v>459</v>
      </c>
      <c r="G34" s="86"/>
      <c r="H34" s="15"/>
      <c r="I34" s="14">
        <f>SUM(I32:I33)</f>
        <v>371.79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371.79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371.79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9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204</v>
      </c>
      <c r="C2" s="70"/>
      <c r="D2" s="70"/>
      <c r="E2" s="70"/>
      <c r="F2" s="70"/>
      <c r="G2" s="70"/>
      <c r="H2" s="70"/>
      <c r="I2" s="71"/>
      <c r="J2" s="62">
        <v>62212691</v>
      </c>
      <c r="K2" s="64">
        <v>878</v>
      </c>
      <c r="L2" s="64">
        <v>13</v>
      </c>
      <c r="M2" s="64">
        <v>93.19</v>
      </c>
      <c r="N2" s="64">
        <v>101.97</v>
      </c>
      <c r="O2" s="64">
        <v>112.87</v>
      </c>
      <c r="P2" s="64" t="s">
        <v>54</v>
      </c>
      <c r="Q2" s="64">
        <v>0.54800000000000004</v>
      </c>
      <c r="R2" s="64" t="s">
        <v>62</v>
      </c>
    </row>
    <row r="3" spans="2:22" x14ac:dyDescent="0.2">
      <c r="B3" s="6" t="s">
        <v>53</v>
      </c>
      <c r="C3" s="68">
        <f>+'293'!C3+1</f>
        <v>294</v>
      </c>
      <c r="D3" s="5"/>
      <c r="E3" s="5"/>
      <c r="F3" s="5"/>
      <c r="G3" s="5" t="s">
        <v>52</v>
      </c>
      <c r="H3" s="31">
        <v>46298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62212691</v>
      </c>
      <c r="C21" s="67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112.87</v>
      </c>
      <c r="G23" s="23">
        <f>+N2</f>
        <v>101.97</v>
      </c>
      <c r="H23" s="23">
        <f>+M2</f>
        <v>93.19</v>
      </c>
      <c r="I23" s="66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[96% COTTON 4% SPANDEX]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78" t="s">
        <v>19</v>
      </c>
      <c r="E31" s="78"/>
      <c r="F31" s="78" t="s">
        <v>18</v>
      </c>
      <c r="G31" s="78"/>
      <c r="H31" s="66" t="s">
        <v>17</v>
      </c>
      <c r="I31" s="19" t="s">
        <v>16</v>
      </c>
      <c r="M31"/>
    </row>
    <row r="32" spans="2:13" ht="24.75" customHeight="1" x14ac:dyDescent="0.2">
      <c r="B32" s="41">
        <v>19</v>
      </c>
      <c r="C32" s="19" t="s">
        <v>203</v>
      </c>
      <c r="D32" s="85"/>
      <c r="E32" s="86"/>
      <c r="F32" s="85">
        <f>+K2</f>
        <v>878</v>
      </c>
      <c r="G32" s="86"/>
      <c r="H32" s="17">
        <v>0.76</v>
      </c>
      <c r="I32" s="18">
        <f>+H32*F32</f>
        <v>667.28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6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878</v>
      </c>
      <c r="G34" s="86"/>
      <c r="H34" s="15"/>
      <c r="I34" s="14">
        <f>SUM(I32:I33)</f>
        <v>667.28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667.28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667.28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10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Sheet1</vt:lpstr>
      <vt:lpstr>reff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'285'!Print_Area</vt:lpstr>
      <vt:lpstr>'286'!Print_Area</vt:lpstr>
      <vt:lpstr>'287'!Print_Area</vt:lpstr>
      <vt:lpstr>'288'!Print_Area</vt:lpstr>
      <vt:lpstr>'289'!Print_Area</vt:lpstr>
      <vt:lpstr>'290'!Print_Area</vt:lpstr>
      <vt:lpstr>'291'!Print_Area</vt:lpstr>
      <vt:lpstr>'292'!Print_Area</vt:lpstr>
      <vt:lpstr>'293'!Print_Area</vt:lpstr>
      <vt:lpstr>'294'!Print_Area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2026-09-03T02:09:43Z</cp:lastPrinted>
  <dcterms:created xsi:type="dcterms:W3CDTF">2024-04-17T09:56:05Z</dcterms:created>
  <dcterms:modified xsi:type="dcterms:W3CDTF">2026-09-18T01:35:14Z</dcterms:modified>
</cp:coreProperties>
</file>