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Diskstation\VIVIAN\shared docs\布 &amp;副料- WA 出貨文件\2026\NIRWANA\WAN-26003-TAIJI- AIR\"/>
    </mc:Choice>
  </mc:AlternateContent>
  <xr:revisionPtr revIDLastSave="0" documentId="13_ncr:1_{1C05E94A-6BA4-4855-841D-01F7F960C7A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invoice for payment" sheetId="6" r:id="rId1"/>
    <sheet name="invoice for shipping" sheetId="4" r:id="rId2"/>
    <sheet name="PL" sheetId="5" r:id="rId3"/>
  </sheets>
  <definedNames>
    <definedName name="_xlnm.Print_Area" localSheetId="0">'invoice for payment'!$A$1:$J$61</definedName>
    <definedName name="_xlnm.Print_Area" localSheetId="1">'invoice for shipping'!$A$1:$J$61</definedName>
    <definedName name="_xlnm.Print_Area" localSheetId="2">PL!$A$1:$J$56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6" l="1"/>
  <c r="D46" i="6"/>
  <c r="C46" i="6"/>
  <c r="J44" i="4"/>
  <c r="J39" i="4"/>
  <c r="J38" i="4"/>
  <c r="J33" i="4"/>
  <c r="J32" i="4"/>
  <c r="J31" i="4"/>
  <c r="J30" i="4"/>
  <c r="J29" i="4"/>
  <c r="J28" i="4"/>
  <c r="J27" i="4"/>
  <c r="J46" i="5"/>
  <c r="H46" i="5"/>
  <c r="G46" i="5"/>
  <c r="F46" i="5"/>
  <c r="B46" i="5"/>
  <c r="J44" i="5"/>
  <c r="H44" i="5"/>
  <c r="G44" i="5"/>
  <c r="F44" i="5"/>
  <c r="C43" i="5"/>
  <c r="C42" i="5"/>
  <c r="C41" i="5"/>
  <c r="C39" i="5"/>
  <c r="C37" i="5"/>
  <c r="E46" i="4"/>
  <c r="C36" i="5"/>
  <c r="C35" i="5"/>
  <c r="C33" i="5"/>
  <c r="C32" i="5"/>
  <c r="C31" i="5"/>
  <c r="C30" i="5"/>
  <c r="C29" i="5"/>
  <c r="C28" i="5"/>
  <c r="C24" i="5"/>
  <c r="J46" i="4" l="1"/>
  <c r="C27" i="5"/>
  <c r="C26" i="5" l="1"/>
  <c r="C25" i="5"/>
  <c r="C23" i="5"/>
  <c r="C22" i="5"/>
  <c r="C46" i="4"/>
  <c r="D46" i="4"/>
  <c r="C13" i="5"/>
  <c r="C12" i="5"/>
  <c r="C11" i="5"/>
  <c r="C10" i="5"/>
  <c r="C9" i="5"/>
  <c r="C15" i="5"/>
  <c r="C6" i="5"/>
  <c r="C21" i="5"/>
  <c r="H17" i="5"/>
  <c r="C17" i="5"/>
  <c r="C8" i="5"/>
  <c r="I6" i="5"/>
</calcChain>
</file>

<file path=xl/sharedStrings.xml><?xml version="1.0" encoding="utf-8"?>
<sst xmlns="http://schemas.openxmlformats.org/spreadsheetml/2006/main" count="268" uniqueCount="96">
  <si>
    <t xml:space="preserve">PACKING NO.: </t>
    <phoneticPr fontId="3" type="noConversion"/>
  </si>
  <si>
    <t xml:space="preserve"> </t>
    <phoneticPr fontId="3" type="noConversion"/>
  </si>
  <si>
    <t xml:space="preserve">MESSRS.: </t>
    <phoneticPr fontId="3" type="noConversion"/>
  </si>
  <si>
    <t>PER S.S.:</t>
    <phoneticPr fontId="3" type="noConversion"/>
  </si>
  <si>
    <t>TO. :</t>
    <phoneticPr fontId="3" type="noConversion"/>
  </si>
  <si>
    <t>P/No.</t>
    <phoneticPr fontId="3" type="noConversion"/>
  </si>
  <si>
    <t>(KGS)</t>
    <phoneticPr fontId="3" type="noConversion"/>
  </si>
  <si>
    <t>COMMERCIAL INVOICE</t>
    <phoneticPr fontId="3" type="noConversion"/>
  </si>
  <si>
    <t xml:space="preserve"> </t>
    <phoneticPr fontId="3" type="noConversion"/>
  </si>
  <si>
    <t xml:space="preserve">INVOICE NO.: </t>
    <phoneticPr fontId="3" type="noConversion"/>
  </si>
  <si>
    <t xml:space="preserve">          Date.: </t>
    <phoneticPr fontId="3" type="noConversion"/>
  </si>
  <si>
    <t xml:space="preserve">MESSRS.: </t>
    <phoneticPr fontId="3" type="noConversion"/>
  </si>
  <si>
    <t>PER S.S.:</t>
    <phoneticPr fontId="3" type="noConversion"/>
  </si>
  <si>
    <t>TO. :</t>
    <phoneticPr fontId="3" type="noConversion"/>
  </si>
  <si>
    <t>Amount</t>
  </si>
  <si>
    <t>(KGS)</t>
    <phoneticPr fontId="3" type="noConversion"/>
  </si>
  <si>
    <t>(US$)</t>
    <phoneticPr fontId="3" type="noConversion"/>
  </si>
  <si>
    <t>KGS</t>
    <phoneticPr fontId="3" type="noConversion"/>
  </si>
  <si>
    <t xml:space="preserve">Total :                </t>
    <phoneticPr fontId="3" type="noConversion"/>
  </si>
  <si>
    <t>KGS</t>
    <phoneticPr fontId="3" type="noConversion"/>
  </si>
  <si>
    <t>US$</t>
    <phoneticPr fontId="3" type="noConversion"/>
  </si>
  <si>
    <t>vvvvvvvvvvv</t>
    <phoneticPr fontId="3" type="noConversion"/>
  </si>
  <si>
    <t>vvvvv</t>
    <phoneticPr fontId="3" type="noConversion"/>
  </si>
  <si>
    <t>vvvv</t>
    <phoneticPr fontId="3" type="noConversion"/>
  </si>
  <si>
    <t>vvvvvvvvvvvvv</t>
    <phoneticPr fontId="3" type="noConversion"/>
  </si>
  <si>
    <t>PACKING LIST</t>
    <phoneticPr fontId="3" type="noConversion"/>
  </si>
  <si>
    <t>Item No.(Style No.)/Description of Goods.</t>
    <phoneticPr fontId="3" type="noConversion"/>
  </si>
  <si>
    <t>Total:</t>
    <phoneticPr fontId="3" type="noConversion"/>
  </si>
  <si>
    <t>vvvvvv</t>
    <phoneticPr fontId="3" type="noConversion"/>
  </si>
  <si>
    <t>FARM JOY CO., LTD.</t>
    <phoneticPr fontId="3" type="noConversion"/>
  </si>
  <si>
    <t xml:space="preserve">            Date: </t>
    <phoneticPr fontId="3" type="noConversion"/>
  </si>
  <si>
    <t>FARM JOY CO., LTD.</t>
    <phoneticPr fontId="3" type="noConversion"/>
  </si>
  <si>
    <t>…………………………………………</t>
    <phoneticPr fontId="3" type="noConversion"/>
  </si>
  <si>
    <t>KNITTED FABRIC</t>
    <phoneticPr fontId="3" type="noConversion"/>
  </si>
  <si>
    <t>*********************</t>
    <phoneticPr fontId="3" type="noConversion"/>
  </si>
  <si>
    <t>G.W.</t>
    <phoneticPr fontId="3" type="noConversion"/>
  </si>
  <si>
    <t>YDS</t>
    <phoneticPr fontId="2" type="noConversion"/>
  </si>
  <si>
    <t>Q'TY</t>
    <phoneticPr fontId="3" type="noConversion"/>
  </si>
  <si>
    <t>(YDS)</t>
    <phoneticPr fontId="3" type="noConversion"/>
  </si>
  <si>
    <t>Unit</t>
    <phoneticPr fontId="3" type="noConversion"/>
  </si>
  <si>
    <t xml:space="preserve"> Price </t>
    <phoneticPr fontId="3" type="noConversion"/>
  </si>
  <si>
    <t xml:space="preserve">SHIP FROM : </t>
    <phoneticPr fontId="3" type="noConversion"/>
  </si>
  <si>
    <t>Item No.</t>
    <phoneticPr fontId="3" type="noConversion"/>
  </si>
  <si>
    <t>DESCRIPTION OF GOODS</t>
    <phoneticPr fontId="3" type="noConversion"/>
  </si>
  <si>
    <t>HS CODE : 6006</t>
    <phoneticPr fontId="2" type="noConversion"/>
  </si>
  <si>
    <t>(METER)</t>
    <phoneticPr fontId="3" type="noConversion"/>
  </si>
  <si>
    <t>………………………………………</t>
    <phoneticPr fontId="2" type="noConversion"/>
  </si>
  <si>
    <t>Q'TY</t>
    <phoneticPr fontId="3" type="noConversion"/>
  </si>
  <si>
    <t>METER</t>
    <phoneticPr fontId="2" type="noConversion"/>
  </si>
  <si>
    <t>KGS</t>
    <phoneticPr fontId="2" type="noConversion"/>
  </si>
  <si>
    <t xml:space="preserve">SHIP FROM : </t>
    <phoneticPr fontId="3" type="noConversion"/>
  </si>
  <si>
    <t>N.W.</t>
    <phoneticPr fontId="3" type="noConversion"/>
  </si>
  <si>
    <t>vvvvvvvvvvvv</t>
    <phoneticPr fontId="2" type="noConversion"/>
  </si>
  <si>
    <t>vvvvvvvvvvvv</t>
    <phoneticPr fontId="3" type="noConversion"/>
  </si>
  <si>
    <t>vvvvvvvvvvv</t>
    <phoneticPr fontId="3" type="noConversion"/>
  </si>
  <si>
    <t>BY AIR CARGO</t>
    <phoneticPr fontId="2" type="noConversion"/>
  </si>
  <si>
    <t>SHANGHAI, CHINA</t>
    <phoneticPr fontId="3" type="noConversion"/>
  </si>
  <si>
    <t>JAKARTA, INDONESIA</t>
    <phoneticPr fontId="3" type="noConversion"/>
  </si>
  <si>
    <t>vvvvvvvvvvvvvv</t>
    <phoneticPr fontId="3" type="noConversion"/>
  </si>
  <si>
    <t>KGS</t>
    <phoneticPr fontId="2" type="noConversion"/>
  </si>
  <si>
    <t>KGS</t>
    <phoneticPr fontId="2" type="noConversion"/>
  </si>
  <si>
    <t>TTL :</t>
    <phoneticPr fontId="2" type="noConversion"/>
  </si>
  <si>
    <t>APR. 13, 2026</t>
    <phoneticPr fontId="2" type="noConversion"/>
  </si>
  <si>
    <t>PT. NIRWANA ALABARE GARMENT</t>
    <phoneticPr fontId="3" type="noConversion"/>
  </si>
  <si>
    <t>Jl. Raya Rancaekek - Majalaya No. 289</t>
    <phoneticPr fontId="3" type="noConversion"/>
  </si>
  <si>
    <t>Solokanjeruk, Kec. Solokanjeruk</t>
    <phoneticPr fontId="3" type="noConversion"/>
  </si>
  <si>
    <t>Kab. Bandung, Jawa Barat 40376</t>
    <phoneticPr fontId="3" type="noConversion"/>
  </si>
  <si>
    <t>Phone : +62-22-85962076</t>
    <phoneticPr fontId="3" type="noConversion"/>
  </si>
  <si>
    <t>Attn : Ayu/Della/Pak Gun Gun</t>
    <phoneticPr fontId="3" type="noConversion"/>
  </si>
  <si>
    <t>PO#REEF SP27 SMS</t>
    <phoneticPr fontId="3" type="noConversion"/>
  </si>
  <si>
    <t>70%BAMBOO VISCOSE 30%POLYESTER</t>
    <phoneticPr fontId="2" type="noConversion"/>
  </si>
  <si>
    <t>OYSTER MUSHROOM</t>
    <phoneticPr fontId="2" type="noConversion"/>
  </si>
  <si>
    <t>GREEN BAY</t>
    <phoneticPr fontId="2" type="noConversion"/>
  </si>
  <si>
    <t>CAVIAR</t>
    <phoneticPr fontId="2" type="noConversion"/>
  </si>
  <si>
    <t>QUIET SHADE</t>
    <phoneticPr fontId="2" type="noConversion"/>
  </si>
  <si>
    <t>INSIGNIA BLUE</t>
    <phoneticPr fontId="2" type="noConversion"/>
  </si>
  <si>
    <t>BLUE HAZY</t>
    <phoneticPr fontId="2" type="noConversion"/>
  </si>
  <si>
    <t>SACHET PINK</t>
    <phoneticPr fontId="2" type="noConversion"/>
  </si>
  <si>
    <t>100%POLYESTER MESH</t>
    <phoneticPr fontId="3" type="noConversion"/>
  </si>
  <si>
    <t>75GSM - 105G/Y - 60"WIDTH</t>
    <phoneticPr fontId="3" type="noConversion"/>
  </si>
  <si>
    <t>330GSM - 475G/Y - 60"WIDTH</t>
    <phoneticPr fontId="2" type="noConversion"/>
  </si>
  <si>
    <t>155GSM - 245G/Y - 66"WIDTH</t>
    <phoneticPr fontId="2" type="noConversion"/>
  </si>
  <si>
    <t>BLCAK</t>
    <phoneticPr fontId="3" type="noConversion"/>
  </si>
  <si>
    <t>PKG</t>
    <phoneticPr fontId="2" type="noConversion"/>
  </si>
  <si>
    <t>PACKAGES</t>
    <phoneticPr fontId="3" type="noConversion"/>
  </si>
  <si>
    <t>SAY TOTAL NINE ( 9 ) PACKAGES ONLY.</t>
    <phoneticPr fontId="3" type="noConversion"/>
  </si>
  <si>
    <t>71%POLYESTER 25%RAYON 4%SPANDEX</t>
    <phoneticPr fontId="2" type="noConversion"/>
  </si>
  <si>
    <t>WAN-26003-TN-20260413</t>
    <phoneticPr fontId="3" type="noConversion"/>
  </si>
  <si>
    <t>ETD : 4/14      ETA : 4/14</t>
    <phoneticPr fontId="3" type="noConversion"/>
  </si>
  <si>
    <t>(CIF JAKARTA)</t>
    <phoneticPr fontId="3" type="noConversion"/>
  </si>
  <si>
    <t>/KG</t>
    <phoneticPr fontId="3" type="noConversion"/>
  </si>
  <si>
    <t>SAY TOTAL U.S. DOLLARS EIGHT HUNDRED FORTY AND CENTS TWENTY TWO ONLY.</t>
    <phoneticPr fontId="3" type="noConversion"/>
  </si>
  <si>
    <t>FOC</t>
    <phoneticPr fontId="2" type="noConversion"/>
  </si>
  <si>
    <t>SHAOXING XIEHENG TEXTILE CO., LTD.</t>
    <phoneticPr fontId="3" type="noConversion"/>
  </si>
  <si>
    <t>ROOM 1608, 1 ZEYU, QIXIAN STREET, KEQIAO DISTRICT,SHAOXING CITY, ZHEJIANG PROVINCE, CHINA 312000</t>
    <phoneticPr fontId="3" type="noConversion"/>
  </si>
  <si>
    <t>TEL:0575-85197880 FAX:0575-85198881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</si>
</sst>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0_);[Red]\(0.00\)"/>
    <numFmt numFmtId="178" formatCode="#,##0.00_);\(#,##0.00\)"/>
    <numFmt numFmtId="179" formatCode="&quot;SAY TOTAL  &quot;@\ &quot;CTNS ONLY.&quot;"/>
    <numFmt numFmtId="180" formatCode="\ 0_ &quot;ROLLS&quot;\ "/>
    <numFmt numFmtId="181" formatCode="&quot;SAY TOTAL  &quot;@\ &quot;.&quot;"/>
    <numFmt numFmtId="182" formatCode="&quot;US$&quot;#,##0.00"/>
  </numFmts>
  <fonts count="38">
    <font>
      <sz val="12"/>
      <color theme="1"/>
      <name val="新細明體"/>
      <family val="2"/>
      <charset val="136"/>
      <scheme val="minor"/>
    </font>
    <font>
      <sz val="22"/>
      <name val="Arial"/>
      <family val="2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u/>
      <sz val="14"/>
      <name val="Arial"/>
      <family val="2"/>
    </font>
    <font>
      <sz val="10"/>
      <name val="MS Reference Sans Serif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name val="Lucida Console"/>
      <family val="3"/>
    </font>
    <font>
      <sz val="10"/>
      <color theme="1"/>
      <name val="Arial"/>
      <family val="2"/>
    </font>
    <font>
      <b/>
      <sz val="10"/>
      <name val="MS Reference Sans Serif"/>
      <family val="2"/>
    </font>
    <font>
      <b/>
      <u/>
      <sz val="10"/>
      <color theme="1"/>
      <name val="Arial"/>
      <family val="2"/>
    </font>
    <font>
      <sz val="12"/>
      <name val="新細明體"/>
      <family val="1"/>
      <charset val="136"/>
    </font>
    <font>
      <sz val="12"/>
      <name val="宋体"/>
      <family val="3"/>
      <charset val="136"/>
    </font>
    <font>
      <sz val="20"/>
      <name val="Algerian"/>
      <family val="5"/>
    </font>
    <font>
      <sz val="26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8"/>
      <name val="Lucida Console"/>
      <family val="3"/>
    </font>
    <font>
      <sz val="12"/>
      <name val="MS Reference Sans Serif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1"/>
      <name val="Algerian"/>
      <family val="5"/>
    </font>
    <font>
      <sz val="10"/>
      <color indexed="8"/>
      <name val="宋体"/>
      <charset val="134"/>
    </font>
    <font>
      <sz val="26"/>
      <name val="Algerian"/>
      <family val="5"/>
    </font>
    <font>
      <b/>
      <u/>
      <sz val="16"/>
      <name val="Arial"/>
      <family val="2"/>
    </font>
    <font>
      <sz val="14"/>
      <name val="MS Reference Sans Serif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8"/>
      <name val="MS Reference Sans Serif"/>
      <family val="2"/>
    </font>
    <font>
      <u/>
      <sz val="10"/>
      <name val="MS Reference Sans Serif"/>
      <family val="2"/>
    </font>
    <font>
      <sz val="12"/>
      <name val="宋体"/>
      <charset val="134"/>
    </font>
    <font>
      <sz val="12"/>
      <color indexed="9"/>
      <name val="宋体"/>
      <charset val="134"/>
    </font>
    <font>
      <b/>
      <u/>
      <sz val="10"/>
      <color rgb="FFFF0000"/>
      <name val="Arial"/>
      <family val="2"/>
    </font>
    <font>
      <u/>
      <sz val="12"/>
      <color theme="1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4" fillId="0" borderId="0"/>
    <xf numFmtId="0" fontId="13" fillId="0" borderId="0"/>
    <xf numFmtId="0" fontId="26" fillId="0" borderId="0">
      <alignment horizontal="right" vertical="center"/>
    </xf>
    <xf numFmtId="0" fontId="26" fillId="0" borderId="0">
      <alignment horizontal="right" vertical="center"/>
    </xf>
    <xf numFmtId="0" fontId="1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7" fillId="0" borderId="0" applyNumberForma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6" fillId="0" borderId="0" xfId="2" applyFont="1"/>
    <xf numFmtId="49" fontId="18" fillId="0" borderId="0" xfId="2" applyNumberFormat="1" applyFont="1"/>
    <xf numFmtId="0" fontId="19" fillId="0" borderId="0" xfId="2" applyFont="1"/>
    <xf numFmtId="0" fontId="20" fillId="2" borderId="0" xfId="2" applyFont="1" applyFill="1" applyAlignment="1">
      <alignment vertical="center"/>
    </xf>
    <xf numFmtId="0" fontId="6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0" fontId="9" fillId="2" borderId="0" xfId="2" applyFont="1" applyFill="1" applyAlignment="1">
      <alignment vertical="center"/>
    </xf>
    <xf numFmtId="0" fontId="9" fillId="2" borderId="0" xfId="2" applyFont="1" applyFill="1" applyAlignment="1">
      <alignment horizontal="left" vertical="center"/>
    </xf>
    <xf numFmtId="0" fontId="6" fillId="0" borderId="0" xfId="2" applyFont="1"/>
    <xf numFmtId="0" fontId="7" fillId="0" borderId="0" xfId="2" applyFont="1" applyAlignment="1">
      <alignment horizontal="left"/>
    </xf>
    <xf numFmtId="0" fontId="10" fillId="0" borderId="0" xfId="2" applyFont="1" applyAlignment="1">
      <alignment horizontal="left"/>
    </xf>
    <xf numFmtId="0" fontId="8" fillId="0" borderId="0" xfId="2" applyFont="1"/>
    <xf numFmtId="0" fontId="6" fillId="0" borderId="1" xfId="2" applyFont="1" applyBorder="1" applyAlignment="1">
      <alignment horizontal="left"/>
    </xf>
    <xf numFmtId="4" fontId="6" fillId="0" borderId="1" xfId="2" applyNumberFormat="1" applyFont="1" applyBorder="1"/>
    <xf numFmtId="0" fontId="6" fillId="0" borderId="1" xfId="2" applyFont="1" applyBorder="1"/>
    <xf numFmtId="0" fontId="8" fillId="0" borderId="1" xfId="2" applyFont="1" applyBorder="1"/>
    <xf numFmtId="4" fontId="6" fillId="0" borderId="0" xfId="2" applyNumberFormat="1" applyFont="1" applyAlignment="1">
      <alignment horizontal="center"/>
    </xf>
    <xf numFmtId="0" fontId="8" fillId="0" borderId="1" xfId="2" applyFont="1" applyBorder="1" applyAlignment="1">
      <alignment horizontal="left"/>
    </xf>
    <xf numFmtId="4" fontId="6" fillId="0" borderId="1" xfId="2" applyNumberFormat="1" applyFont="1" applyBorder="1" applyAlignment="1">
      <alignment horizontal="center"/>
    </xf>
    <xf numFmtId="4" fontId="8" fillId="0" borderId="1" xfId="2" applyNumberFormat="1" applyFont="1" applyBorder="1"/>
    <xf numFmtId="0" fontId="7" fillId="0" borderId="0" xfId="2" applyFont="1"/>
    <xf numFmtId="0" fontId="10" fillId="0" borderId="0" xfId="2" applyFont="1"/>
    <xf numFmtId="4" fontId="8" fillId="0" borderId="0" xfId="2" applyNumberFormat="1" applyFont="1"/>
    <xf numFmtId="0" fontId="6" fillId="0" borderId="0" xfId="2" applyFont="1" applyAlignment="1">
      <alignment horizontal="right"/>
    </xf>
    <xf numFmtId="4" fontId="6" fillId="0" borderId="0" xfId="2" applyNumberFormat="1" applyFont="1" applyAlignment="1">
      <alignment horizontal="right"/>
    </xf>
    <xf numFmtId="4" fontId="7" fillId="0" borderId="0" xfId="2" applyNumberFormat="1" applyFont="1"/>
    <xf numFmtId="4" fontId="24" fillId="0" borderId="0" xfId="2" applyNumberFormat="1" applyFont="1"/>
    <xf numFmtId="177" fontId="19" fillId="0" borderId="0" xfId="2" applyNumberFormat="1" applyFont="1" applyAlignment="1">
      <alignment horizontal="left"/>
    </xf>
    <xf numFmtId="177" fontId="19" fillId="0" borderId="0" xfId="2" applyNumberFormat="1" applyFont="1"/>
    <xf numFmtId="0" fontId="6" fillId="0" borderId="3" xfId="2" applyFont="1" applyBorder="1"/>
    <xf numFmtId="0" fontId="8" fillId="0" borderId="3" xfId="2" applyFont="1" applyBorder="1"/>
    <xf numFmtId="4" fontId="6" fillId="0" borderId="3" xfId="2" applyNumberFormat="1" applyFont="1" applyBorder="1" applyAlignment="1">
      <alignment horizontal="right"/>
    </xf>
    <xf numFmtId="0" fontId="6" fillId="0" borderId="3" xfId="2" applyFont="1" applyBorder="1" applyAlignment="1">
      <alignment horizontal="left"/>
    </xf>
    <xf numFmtId="4" fontId="8" fillId="0" borderId="3" xfId="2" applyNumberFormat="1" applyFont="1" applyBorder="1"/>
    <xf numFmtId="0" fontId="6" fillId="0" borderId="3" xfId="2" applyFont="1" applyBorder="1" applyAlignment="1">
      <alignment horizontal="right"/>
    </xf>
    <xf numFmtId="4" fontId="8" fillId="0" borderId="0" xfId="2" applyNumberFormat="1" applyFont="1" applyAlignment="1">
      <alignment horizontal="right"/>
    </xf>
    <xf numFmtId="0" fontId="8" fillId="0" borderId="0" xfId="2" applyFont="1" applyAlignment="1">
      <alignment horizontal="right"/>
    </xf>
    <xf numFmtId="49" fontId="17" fillId="0" borderId="0" xfId="2" applyNumberFormat="1" applyFont="1"/>
    <xf numFmtId="49" fontId="25" fillId="0" borderId="0" xfId="2" applyNumberFormat="1" applyFont="1"/>
    <xf numFmtId="0" fontId="5" fillId="2" borderId="0" xfId="2" applyFont="1" applyFill="1" applyAlignment="1">
      <alignment vertical="center"/>
    </xf>
    <xf numFmtId="2" fontId="5" fillId="2" borderId="0" xfId="2" applyNumberFormat="1" applyFont="1" applyFill="1" applyAlignment="1">
      <alignment vertical="center"/>
    </xf>
    <xf numFmtId="49" fontId="27" fillId="0" borderId="0" xfId="2" applyNumberFormat="1" applyFont="1" applyAlignment="1">
      <alignment horizontal="center"/>
    </xf>
    <xf numFmtId="49" fontId="18" fillId="0" borderId="0" xfId="2" applyNumberFormat="1" applyFont="1" applyAlignment="1">
      <alignment horizontal="center"/>
    </xf>
    <xf numFmtId="2" fontId="29" fillId="2" borderId="0" xfId="2" applyNumberFormat="1" applyFont="1" applyFill="1" applyAlignment="1">
      <alignment horizontal="center" vertical="center"/>
    </xf>
    <xf numFmtId="0" fontId="29" fillId="2" borderId="0" xfId="2" applyFont="1" applyFill="1" applyAlignment="1">
      <alignment horizontal="center" vertical="center"/>
    </xf>
    <xf numFmtId="4" fontId="5" fillId="2" borderId="0" xfId="2" applyNumberFormat="1" applyFont="1" applyFill="1" applyAlignment="1">
      <alignment vertical="center"/>
    </xf>
    <xf numFmtId="4" fontId="9" fillId="2" borderId="0" xfId="2" applyNumberFormat="1" applyFont="1" applyFill="1" applyAlignment="1">
      <alignment vertical="center"/>
    </xf>
    <xf numFmtId="0" fontId="6" fillId="0" borderId="2" xfId="2" applyFont="1" applyBorder="1"/>
    <xf numFmtId="0" fontId="8" fillId="0" borderId="2" xfId="2" applyFont="1" applyBorder="1"/>
    <xf numFmtId="4" fontId="6" fillId="0" borderId="2" xfId="2" applyNumberFormat="1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31" fillId="0" borderId="0" xfId="2" applyFont="1"/>
    <xf numFmtId="0" fontId="7" fillId="0" borderId="2" xfId="2" applyFont="1" applyBorder="1"/>
    <xf numFmtId="0" fontId="10" fillId="0" borderId="2" xfId="2" applyFont="1" applyBorder="1"/>
    <xf numFmtId="4" fontId="6" fillId="0" borderId="2" xfId="2" applyNumberFormat="1" applyFont="1" applyBorder="1" applyAlignment="1">
      <alignment horizontal="right"/>
    </xf>
    <xf numFmtId="4" fontId="10" fillId="0" borderId="0" xfId="2" applyNumberFormat="1" applyFont="1"/>
    <xf numFmtId="0" fontId="8" fillId="0" borderId="0" xfId="2" quotePrefix="1" applyFont="1"/>
    <xf numFmtId="49" fontId="5" fillId="2" borderId="0" xfId="2" applyNumberFormat="1" applyFont="1" applyFill="1" applyAlignment="1">
      <alignment horizontal="center" vertical="center"/>
    </xf>
    <xf numFmtId="49" fontId="5" fillId="2" borderId="0" xfId="2" applyNumberFormat="1" applyFont="1" applyFill="1" applyAlignment="1">
      <alignment horizontal="right" vertical="center"/>
    </xf>
    <xf numFmtId="179" fontId="5" fillId="2" borderId="0" xfId="2" applyNumberFormat="1" applyFont="1" applyFill="1" applyAlignment="1">
      <alignment horizontal="center" vertical="center"/>
    </xf>
    <xf numFmtId="180" fontId="5" fillId="2" borderId="0" xfId="2" applyNumberFormat="1" applyFont="1" applyFill="1" applyAlignment="1">
      <alignment horizontal="center" vertical="center" shrinkToFit="1"/>
    </xf>
    <xf numFmtId="181" fontId="5" fillId="2" borderId="0" xfId="2" applyNumberFormat="1" applyFont="1" applyFill="1" applyAlignment="1">
      <alignment horizontal="center" vertical="center" shrinkToFit="1"/>
    </xf>
    <xf numFmtId="178" fontId="5" fillId="2" borderId="0" xfId="5" applyNumberFormat="1" applyFont="1" applyFill="1" applyAlignment="1">
      <alignment vertical="center" shrinkToFit="1"/>
    </xf>
    <xf numFmtId="4" fontId="5" fillId="2" borderId="0" xfId="2" applyNumberFormat="1" applyFont="1" applyFill="1" applyAlignment="1">
      <alignment vertical="center" shrinkToFit="1"/>
    </xf>
    <xf numFmtId="0" fontId="20" fillId="2" borderId="0" xfId="2" applyFont="1" applyFill="1" applyAlignment="1">
      <alignment vertical="center" shrinkToFit="1"/>
    </xf>
    <xf numFmtId="181" fontId="5" fillId="2" borderId="0" xfId="2" quotePrefix="1" applyNumberFormat="1" applyFont="1" applyFill="1" applyAlignment="1">
      <alignment horizontal="center" vertical="center"/>
    </xf>
    <xf numFmtId="181" fontId="5" fillId="2" borderId="0" xfId="2" applyNumberFormat="1" applyFont="1" applyFill="1" applyAlignment="1">
      <alignment horizontal="center" vertical="center"/>
    </xf>
    <xf numFmtId="4" fontId="5" fillId="2" borderId="0" xfId="2" applyNumberFormat="1" applyFont="1" applyFill="1" applyAlignment="1">
      <alignment horizontal="center" vertical="center"/>
    </xf>
    <xf numFmtId="178" fontId="5" fillId="2" borderId="0" xfId="2" applyNumberFormat="1" applyFont="1" applyFill="1" applyAlignment="1">
      <alignment horizontal="center" vertical="center"/>
    </xf>
    <xf numFmtId="0" fontId="32" fillId="2" borderId="0" xfId="2" applyFont="1" applyFill="1" applyAlignment="1">
      <alignment vertical="center"/>
    </xf>
    <xf numFmtId="49" fontId="33" fillId="2" borderId="0" xfId="2" applyNumberFormat="1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6" fillId="0" borderId="0" xfId="2" applyFont="1" applyAlignment="1">
      <alignment horizontal="left" vertical="center"/>
    </xf>
    <xf numFmtId="4" fontId="6" fillId="0" borderId="0" xfId="2" applyNumberFormat="1" applyFont="1" applyAlignment="1">
      <alignment vertical="center"/>
    </xf>
    <xf numFmtId="14" fontId="6" fillId="0" borderId="0" xfId="2" applyNumberFormat="1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4" fontId="8" fillId="0" borderId="0" xfId="2" applyNumberFormat="1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15" fontId="7" fillId="0" borderId="0" xfId="2" applyNumberFormat="1" applyFont="1" applyAlignment="1">
      <alignment horizontal="left" vertical="center"/>
    </xf>
    <xf numFmtId="15" fontId="30" fillId="0" borderId="0" xfId="2" applyNumberFormat="1" applyFont="1" applyAlignment="1">
      <alignment horizontal="left" vertical="center"/>
    </xf>
    <xf numFmtId="0" fontId="6" fillId="0" borderId="0" xfId="2" applyFont="1" applyAlignment="1">
      <alignment vertical="center"/>
    </xf>
    <xf numFmtId="4" fontId="8" fillId="0" borderId="0" xfId="2" applyNumberFormat="1" applyFont="1" applyAlignment="1">
      <alignment vertical="center"/>
    </xf>
    <xf numFmtId="4" fontId="20" fillId="2" borderId="0" xfId="2" applyNumberFormat="1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0" borderId="0" xfId="2" applyFont="1" applyAlignment="1">
      <alignment vertical="top"/>
    </xf>
    <xf numFmtId="0" fontId="8" fillId="0" borderId="0" xfId="0" applyFont="1" applyAlignment="1"/>
    <xf numFmtId="0" fontId="7" fillId="0" borderId="0" xfId="2" applyFont="1" applyAlignment="1">
      <alignment horizontal="right"/>
    </xf>
    <xf numFmtId="0" fontId="9" fillId="0" borderId="0" xfId="2" applyFont="1" applyAlignment="1">
      <alignment vertical="center"/>
    </xf>
    <xf numFmtId="3" fontId="6" fillId="0" borderId="0" xfId="2" applyNumberFormat="1" applyFont="1" applyAlignment="1">
      <alignment horizontal="right"/>
    </xf>
    <xf numFmtId="0" fontId="12" fillId="0" borderId="0" xfId="2" applyFont="1"/>
    <xf numFmtId="0" fontId="6" fillId="0" borderId="0" xfId="2" applyFont="1" applyAlignment="1">
      <alignment horizontal="center"/>
    </xf>
    <xf numFmtId="4" fontId="6" fillId="0" borderId="0" xfId="2" applyNumberFormat="1" applyFont="1" applyAlignment="1">
      <alignment horizontal="right" vertical="center"/>
    </xf>
    <xf numFmtId="176" fontId="11" fillId="0" borderId="0" xfId="2" applyNumberFormat="1" applyFont="1" applyAlignment="1">
      <alignment horizontal="left" vertical="center"/>
    </xf>
    <xf numFmtId="176" fontId="21" fillId="0" borderId="0" xfId="2" applyNumberFormat="1" applyFont="1" applyAlignment="1">
      <alignment horizontal="left" vertical="center"/>
    </xf>
    <xf numFmtId="0" fontId="6" fillId="0" borderId="0" xfId="2" quotePrefix="1" applyFont="1" applyAlignment="1">
      <alignment horizontal="left"/>
    </xf>
    <xf numFmtId="0" fontId="9" fillId="0" borderId="0" xfId="2" applyFont="1" applyAlignment="1">
      <alignment horizontal="left" vertical="center"/>
    </xf>
    <xf numFmtId="4" fontId="6" fillId="0" borderId="0" xfId="2" applyNumberFormat="1" applyFont="1" applyAlignment="1">
      <alignment horizontal="left"/>
    </xf>
    <xf numFmtId="0" fontId="22" fillId="0" borderId="0" xfId="2" applyFont="1"/>
    <xf numFmtId="3" fontId="7" fillId="0" borderId="0" xfId="2" applyNumberFormat="1" applyFont="1"/>
    <xf numFmtId="3" fontId="6" fillId="0" borderId="3" xfId="2" applyNumberFormat="1" applyFont="1" applyBorder="1" applyAlignment="1">
      <alignment horizontal="right"/>
    </xf>
    <xf numFmtId="3" fontId="6" fillId="0" borderId="2" xfId="2" applyNumberFormat="1" applyFont="1" applyBorder="1" applyAlignment="1">
      <alignment horizontal="right"/>
    </xf>
    <xf numFmtId="3" fontId="6" fillId="0" borderId="2" xfId="2" applyNumberFormat="1" applyFont="1" applyBorder="1" applyAlignment="1">
      <alignment horizontal="left"/>
    </xf>
    <xf numFmtId="0" fontId="31" fillId="0" borderId="2" xfId="2" applyFont="1" applyBorder="1"/>
    <xf numFmtId="0" fontId="20" fillId="0" borderId="0" xfId="2" applyFont="1" applyAlignment="1">
      <alignment vertical="center"/>
    </xf>
    <xf numFmtId="0" fontId="36" fillId="0" borderId="0" xfId="2" applyFont="1" applyAlignment="1">
      <alignment vertical="top"/>
    </xf>
    <xf numFmtId="0" fontId="12" fillId="3" borderId="0" xfId="2" applyFont="1" applyFill="1" applyAlignment="1">
      <alignment vertical="top"/>
    </xf>
    <xf numFmtId="182" fontId="6" fillId="0" borderId="0" xfId="2" applyNumberFormat="1" applyFont="1" applyAlignment="1">
      <alignment horizontal="center"/>
    </xf>
    <xf numFmtId="182" fontId="6" fillId="0" borderId="0" xfId="2" applyNumberFormat="1" applyFont="1" applyAlignment="1">
      <alignment horizontal="right"/>
    </xf>
    <xf numFmtId="0" fontId="23" fillId="2" borderId="4" xfId="2" applyFont="1" applyFill="1" applyBorder="1" applyAlignment="1">
      <alignment horizontal="center" vertical="center"/>
    </xf>
    <xf numFmtId="49" fontId="1" fillId="0" borderId="0" xfId="2" applyNumberFormat="1" applyFont="1" applyAlignment="1">
      <alignment horizontal="center" vertical="top"/>
    </xf>
    <xf numFmtId="2" fontId="15" fillId="2" borderId="0" xfId="2" applyNumberFormat="1" applyFont="1" applyFill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5" fillId="2" borderId="0" xfId="2" applyFont="1" applyFill="1" applyAlignment="1">
      <alignment vertical="center"/>
    </xf>
    <xf numFmtId="49" fontId="17" fillId="0" borderId="0" xfId="2" applyNumberFormat="1" applyFont="1" applyAlignment="1">
      <alignment horizontal="center"/>
    </xf>
    <xf numFmtId="0" fontId="4" fillId="0" borderId="0" xfId="2" applyFont="1" applyAlignment="1">
      <alignment horizontal="center"/>
    </xf>
    <xf numFmtId="14" fontId="6" fillId="0" borderId="0" xfId="2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0" fontId="28" fillId="0" borderId="0" xfId="2" applyFont="1" applyAlignment="1">
      <alignment horizontal="center"/>
    </xf>
    <xf numFmtId="0" fontId="6" fillId="0" borderId="2" xfId="2" applyFont="1" applyBorder="1" applyAlignment="1">
      <alignment horizontal="left"/>
    </xf>
    <xf numFmtId="0" fontId="6" fillId="0" borderId="3" xfId="2" applyFont="1" applyBorder="1" applyAlignment="1">
      <alignment horizontal="center"/>
    </xf>
    <xf numFmtId="4" fontId="6" fillId="0" borderId="3" xfId="2" applyNumberFormat="1" applyFont="1" applyBorder="1" applyAlignment="1">
      <alignment horizontal="center" vertical="center"/>
    </xf>
    <xf numFmtId="4" fontId="6" fillId="0" borderId="2" xfId="2" applyNumberFormat="1" applyFont="1" applyBorder="1" applyAlignment="1">
      <alignment horizontal="center" vertical="center"/>
    </xf>
    <xf numFmtId="49" fontId="37" fillId="0" borderId="0" xfId="10" applyNumberFormat="1" applyAlignment="1">
      <alignment horizontal="center"/>
    </xf>
  </cellXfs>
  <cellStyles count="11">
    <cellStyle name="S4" xfId="3" xr:uid="{00000000-0005-0000-0000-000000000000}"/>
    <cellStyle name="S5" xfId="4" xr:uid="{00000000-0005-0000-0000-000001000000}"/>
    <cellStyle name="一般" xfId="0" builtinId="0"/>
    <cellStyle name="一般 2" xfId="2" xr:uid="{00000000-0005-0000-0000-000003000000}"/>
    <cellStyle name="一般 3" xfId="9" xr:uid="{00000000-0005-0000-0000-000004000000}"/>
    <cellStyle name="一般_10016" xfId="5" xr:uid="{00000000-0005-0000-0000-000005000000}"/>
    <cellStyle name="常规 2" xfId="6" xr:uid="{00000000-0005-0000-0000-000006000000}"/>
    <cellStyle name="常规 2 2_细码单" xfId="8" xr:uid="{00000000-0005-0000-0000-000007000000}"/>
    <cellStyle name="常规 69" xfId="7" xr:uid="{00000000-0005-0000-0000-000008000000}"/>
    <cellStyle name="常规_（1月）WP40外贸出货明细表...." xfId="1" xr:uid="{00000000-0005-0000-0000-000009000000}"/>
    <cellStyle name="超連結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575-85197880%20FAX:0575-8519888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0575-85197880%20FAX:0575-8519888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TEL:0575-85197880%20FAX:0575-85198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7F14-16A8-42D5-9BC7-232E049CBB15}">
  <dimension ref="A1:Z138"/>
  <sheetViews>
    <sheetView tabSelected="1" view="pageBreakPreview" zoomScaleNormal="100" zoomScaleSheetLayoutView="100" workbookViewId="0">
      <selection activeCell="B15" sqref="B15"/>
    </sheetView>
  </sheetViews>
  <sheetFormatPr defaultRowHeight="12.75"/>
  <cols>
    <col min="1" max="1" width="13.375" style="40" customWidth="1"/>
    <col min="2" max="2" width="36.25" style="40" bestFit="1" customWidth="1"/>
    <col min="3" max="3" width="9" style="40" bestFit="1" customWidth="1"/>
    <col min="4" max="4" width="10" style="40" customWidth="1"/>
    <col min="5" max="5" width="10.625" style="40" customWidth="1"/>
    <col min="6" max="6" width="5.125" style="40" customWidth="1"/>
    <col min="7" max="7" width="9" style="40" customWidth="1"/>
    <col min="8" max="8" width="4" style="40" customWidth="1"/>
    <col min="9" max="9" width="5.25" style="40" customWidth="1"/>
    <col min="10" max="10" width="13.375" style="40" customWidth="1"/>
    <col min="11" max="11" width="9.375" style="4" bestFit="1" customWidth="1"/>
    <col min="12" max="258" width="9" style="4"/>
    <col min="259" max="259" width="17.5" style="4" customWidth="1"/>
    <col min="260" max="260" width="5.75" style="4" customWidth="1"/>
    <col min="261" max="261" width="34.125" style="4" customWidth="1"/>
    <col min="262" max="262" width="10.625" style="4" customWidth="1"/>
    <col min="263" max="263" width="5.125" style="4" customWidth="1"/>
    <col min="264" max="264" width="11" style="4" customWidth="1"/>
    <col min="265" max="265" width="5.25" style="4" customWidth="1"/>
    <col min="266" max="266" width="12.5" style="4" customWidth="1"/>
    <col min="267" max="514" width="9" style="4"/>
    <col min="515" max="515" width="17.5" style="4" customWidth="1"/>
    <col min="516" max="516" width="5.75" style="4" customWidth="1"/>
    <col min="517" max="517" width="34.125" style="4" customWidth="1"/>
    <col min="518" max="518" width="10.625" style="4" customWidth="1"/>
    <col min="519" max="519" width="5.125" style="4" customWidth="1"/>
    <col min="520" max="520" width="11" style="4" customWidth="1"/>
    <col min="521" max="521" width="5.25" style="4" customWidth="1"/>
    <col min="522" max="522" width="12.5" style="4" customWidth="1"/>
    <col min="523" max="770" width="9" style="4"/>
    <col min="771" max="771" width="17.5" style="4" customWidth="1"/>
    <col min="772" max="772" width="5.75" style="4" customWidth="1"/>
    <col min="773" max="773" width="34.125" style="4" customWidth="1"/>
    <col min="774" max="774" width="10.625" style="4" customWidth="1"/>
    <col min="775" max="775" width="5.125" style="4" customWidth="1"/>
    <col min="776" max="776" width="11" style="4" customWidth="1"/>
    <col min="777" max="777" width="5.25" style="4" customWidth="1"/>
    <col min="778" max="778" width="12.5" style="4" customWidth="1"/>
    <col min="779" max="1026" width="9" style="4"/>
    <col min="1027" max="1027" width="17.5" style="4" customWidth="1"/>
    <col min="1028" max="1028" width="5.75" style="4" customWidth="1"/>
    <col min="1029" max="1029" width="34.125" style="4" customWidth="1"/>
    <col min="1030" max="1030" width="10.625" style="4" customWidth="1"/>
    <col min="1031" max="1031" width="5.125" style="4" customWidth="1"/>
    <col min="1032" max="1032" width="11" style="4" customWidth="1"/>
    <col min="1033" max="1033" width="5.25" style="4" customWidth="1"/>
    <col min="1034" max="1034" width="12.5" style="4" customWidth="1"/>
    <col min="1035" max="1282" width="9" style="4"/>
    <col min="1283" max="1283" width="17.5" style="4" customWidth="1"/>
    <col min="1284" max="1284" width="5.75" style="4" customWidth="1"/>
    <col min="1285" max="1285" width="34.125" style="4" customWidth="1"/>
    <col min="1286" max="1286" width="10.625" style="4" customWidth="1"/>
    <col min="1287" max="1287" width="5.125" style="4" customWidth="1"/>
    <col min="1288" max="1288" width="11" style="4" customWidth="1"/>
    <col min="1289" max="1289" width="5.25" style="4" customWidth="1"/>
    <col min="1290" max="1290" width="12.5" style="4" customWidth="1"/>
    <col min="1291" max="1538" width="9" style="4"/>
    <col min="1539" max="1539" width="17.5" style="4" customWidth="1"/>
    <col min="1540" max="1540" width="5.75" style="4" customWidth="1"/>
    <col min="1541" max="1541" width="34.125" style="4" customWidth="1"/>
    <col min="1542" max="1542" width="10.625" style="4" customWidth="1"/>
    <col min="1543" max="1543" width="5.125" style="4" customWidth="1"/>
    <col min="1544" max="1544" width="11" style="4" customWidth="1"/>
    <col min="1545" max="1545" width="5.25" style="4" customWidth="1"/>
    <col min="1546" max="1546" width="12.5" style="4" customWidth="1"/>
    <col min="1547" max="1794" width="9" style="4"/>
    <col min="1795" max="1795" width="17.5" style="4" customWidth="1"/>
    <col min="1796" max="1796" width="5.75" style="4" customWidth="1"/>
    <col min="1797" max="1797" width="34.125" style="4" customWidth="1"/>
    <col min="1798" max="1798" width="10.625" style="4" customWidth="1"/>
    <col min="1799" max="1799" width="5.125" style="4" customWidth="1"/>
    <col min="1800" max="1800" width="11" style="4" customWidth="1"/>
    <col min="1801" max="1801" width="5.25" style="4" customWidth="1"/>
    <col min="1802" max="1802" width="12.5" style="4" customWidth="1"/>
    <col min="1803" max="2050" width="9" style="4"/>
    <col min="2051" max="2051" width="17.5" style="4" customWidth="1"/>
    <col min="2052" max="2052" width="5.75" style="4" customWidth="1"/>
    <col min="2053" max="2053" width="34.125" style="4" customWidth="1"/>
    <col min="2054" max="2054" width="10.625" style="4" customWidth="1"/>
    <col min="2055" max="2055" width="5.125" style="4" customWidth="1"/>
    <col min="2056" max="2056" width="11" style="4" customWidth="1"/>
    <col min="2057" max="2057" width="5.25" style="4" customWidth="1"/>
    <col min="2058" max="2058" width="12.5" style="4" customWidth="1"/>
    <col min="2059" max="2306" width="9" style="4"/>
    <col min="2307" max="2307" width="17.5" style="4" customWidth="1"/>
    <col min="2308" max="2308" width="5.75" style="4" customWidth="1"/>
    <col min="2309" max="2309" width="34.125" style="4" customWidth="1"/>
    <col min="2310" max="2310" width="10.625" style="4" customWidth="1"/>
    <col min="2311" max="2311" width="5.125" style="4" customWidth="1"/>
    <col min="2312" max="2312" width="11" style="4" customWidth="1"/>
    <col min="2313" max="2313" width="5.25" style="4" customWidth="1"/>
    <col min="2314" max="2314" width="12.5" style="4" customWidth="1"/>
    <col min="2315" max="2562" width="9" style="4"/>
    <col min="2563" max="2563" width="17.5" style="4" customWidth="1"/>
    <col min="2564" max="2564" width="5.75" style="4" customWidth="1"/>
    <col min="2565" max="2565" width="34.125" style="4" customWidth="1"/>
    <col min="2566" max="2566" width="10.625" style="4" customWidth="1"/>
    <col min="2567" max="2567" width="5.125" style="4" customWidth="1"/>
    <col min="2568" max="2568" width="11" style="4" customWidth="1"/>
    <col min="2569" max="2569" width="5.25" style="4" customWidth="1"/>
    <col min="2570" max="2570" width="12.5" style="4" customWidth="1"/>
    <col min="2571" max="2818" width="9" style="4"/>
    <col min="2819" max="2819" width="17.5" style="4" customWidth="1"/>
    <col min="2820" max="2820" width="5.75" style="4" customWidth="1"/>
    <col min="2821" max="2821" width="34.125" style="4" customWidth="1"/>
    <col min="2822" max="2822" width="10.625" style="4" customWidth="1"/>
    <col min="2823" max="2823" width="5.125" style="4" customWidth="1"/>
    <col min="2824" max="2824" width="11" style="4" customWidth="1"/>
    <col min="2825" max="2825" width="5.25" style="4" customWidth="1"/>
    <col min="2826" max="2826" width="12.5" style="4" customWidth="1"/>
    <col min="2827" max="3074" width="9" style="4"/>
    <col min="3075" max="3075" width="17.5" style="4" customWidth="1"/>
    <col min="3076" max="3076" width="5.75" style="4" customWidth="1"/>
    <col min="3077" max="3077" width="34.125" style="4" customWidth="1"/>
    <col min="3078" max="3078" width="10.625" style="4" customWidth="1"/>
    <col min="3079" max="3079" width="5.125" style="4" customWidth="1"/>
    <col min="3080" max="3080" width="11" style="4" customWidth="1"/>
    <col min="3081" max="3081" width="5.25" style="4" customWidth="1"/>
    <col min="3082" max="3082" width="12.5" style="4" customWidth="1"/>
    <col min="3083" max="3330" width="9" style="4"/>
    <col min="3331" max="3331" width="17.5" style="4" customWidth="1"/>
    <col min="3332" max="3332" width="5.75" style="4" customWidth="1"/>
    <col min="3333" max="3333" width="34.125" style="4" customWidth="1"/>
    <col min="3334" max="3334" width="10.625" style="4" customWidth="1"/>
    <col min="3335" max="3335" width="5.125" style="4" customWidth="1"/>
    <col min="3336" max="3336" width="11" style="4" customWidth="1"/>
    <col min="3337" max="3337" width="5.25" style="4" customWidth="1"/>
    <col min="3338" max="3338" width="12.5" style="4" customWidth="1"/>
    <col min="3339" max="3586" width="9" style="4"/>
    <col min="3587" max="3587" width="17.5" style="4" customWidth="1"/>
    <col min="3588" max="3588" width="5.75" style="4" customWidth="1"/>
    <col min="3589" max="3589" width="34.125" style="4" customWidth="1"/>
    <col min="3590" max="3590" width="10.625" style="4" customWidth="1"/>
    <col min="3591" max="3591" width="5.125" style="4" customWidth="1"/>
    <col min="3592" max="3592" width="11" style="4" customWidth="1"/>
    <col min="3593" max="3593" width="5.25" style="4" customWidth="1"/>
    <col min="3594" max="3594" width="12.5" style="4" customWidth="1"/>
    <col min="3595" max="3842" width="9" style="4"/>
    <col min="3843" max="3843" width="17.5" style="4" customWidth="1"/>
    <col min="3844" max="3844" width="5.75" style="4" customWidth="1"/>
    <col min="3845" max="3845" width="34.125" style="4" customWidth="1"/>
    <col min="3846" max="3846" width="10.625" style="4" customWidth="1"/>
    <col min="3847" max="3847" width="5.125" style="4" customWidth="1"/>
    <col min="3848" max="3848" width="11" style="4" customWidth="1"/>
    <col min="3849" max="3849" width="5.25" style="4" customWidth="1"/>
    <col min="3850" max="3850" width="12.5" style="4" customWidth="1"/>
    <col min="3851" max="4098" width="9" style="4"/>
    <col min="4099" max="4099" width="17.5" style="4" customWidth="1"/>
    <col min="4100" max="4100" width="5.75" style="4" customWidth="1"/>
    <col min="4101" max="4101" width="34.125" style="4" customWidth="1"/>
    <col min="4102" max="4102" width="10.625" style="4" customWidth="1"/>
    <col min="4103" max="4103" width="5.125" style="4" customWidth="1"/>
    <col min="4104" max="4104" width="11" style="4" customWidth="1"/>
    <col min="4105" max="4105" width="5.25" style="4" customWidth="1"/>
    <col min="4106" max="4106" width="12.5" style="4" customWidth="1"/>
    <col min="4107" max="4354" width="9" style="4"/>
    <col min="4355" max="4355" width="17.5" style="4" customWidth="1"/>
    <col min="4356" max="4356" width="5.75" style="4" customWidth="1"/>
    <col min="4357" max="4357" width="34.125" style="4" customWidth="1"/>
    <col min="4358" max="4358" width="10.625" style="4" customWidth="1"/>
    <col min="4359" max="4359" width="5.125" style="4" customWidth="1"/>
    <col min="4360" max="4360" width="11" style="4" customWidth="1"/>
    <col min="4361" max="4361" width="5.25" style="4" customWidth="1"/>
    <col min="4362" max="4362" width="12.5" style="4" customWidth="1"/>
    <col min="4363" max="4610" width="9" style="4"/>
    <col min="4611" max="4611" width="17.5" style="4" customWidth="1"/>
    <col min="4612" max="4612" width="5.75" style="4" customWidth="1"/>
    <col min="4613" max="4613" width="34.125" style="4" customWidth="1"/>
    <col min="4614" max="4614" width="10.625" style="4" customWidth="1"/>
    <col min="4615" max="4615" width="5.125" style="4" customWidth="1"/>
    <col min="4616" max="4616" width="11" style="4" customWidth="1"/>
    <col min="4617" max="4617" width="5.25" style="4" customWidth="1"/>
    <col min="4618" max="4618" width="12.5" style="4" customWidth="1"/>
    <col min="4619" max="4866" width="9" style="4"/>
    <col min="4867" max="4867" width="17.5" style="4" customWidth="1"/>
    <col min="4868" max="4868" width="5.75" style="4" customWidth="1"/>
    <col min="4869" max="4869" width="34.125" style="4" customWidth="1"/>
    <col min="4870" max="4870" width="10.625" style="4" customWidth="1"/>
    <col min="4871" max="4871" width="5.125" style="4" customWidth="1"/>
    <col min="4872" max="4872" width="11" style="4" customWidth="1"/>
    <col min="4873" max="4873" width="5.25" style="4" customWidth="1"/>
    <col min="4874" max="4874" width="12.5" style="4" customWidth="1"/>
    <col min="4875" max="5122" width="9" style="4"/>
    <col min="5123" max="5123" width="17.5" style="4" customWidth="1"/>
    <col min="5124" max="5124" width="5.75" style="4" customWidth="1"/>
    <col min="5125" max="5125" width="34.125" style="4" customWidth="1"/>
    <col min="5126" max="5126" width="10.625" style="4" customWidth="1"/>
    <col min="5127" max="5127" width="5.125" style="4" customWidth="1"/>
    <col min="5128" max="5128" width="11" style="4" customWidth="1"/>
    <col min="5129" max="5129" width="5.25" style="4" customWidth="1"/>
    <col min="5130" max="5130" width="12.5" style="4" customWidth="1"/>
    <col min="5131" max="5378" width="9" style="4"/>
    <col min="5379" max="5379" width="17.5" style="4" customWidth="1"/>
    <col min="5380" max="5380" width="5.75" style="4" customWidth="1"/>
    <col min="5381" max="5381" width="34.125" style="4" customWidth="1"/>
    <col min="5382" max="5382" width="10.625" style="4" customWidth="1"/>
    <col min="5383" max="5383" width="5.125" style="4" customWidth="1"/>
    <col min="5384" max="5384" width="11" style="4" customWidth="1"/>
    <col min="5385" max="5385" width="5.25" style="4" customWidth="1"/>
    <col min="5386" max="5386" width="12.5" style="4" customWidth="1"/>
    <col min="5387" max="5634" width="9" style="4"/>
    <col min="5635" max="5635" width="17.5" style="4" customWidth="1"/>
    <col min="5636" max="5636" width="5.75" style="4" customWidth="1"/>
    <col min="5637" max="5637" width="34.125" style="4" customWidth="1"/>
    <col min="5638" max="5638" width="10.625" style="4" customWidth="1"/>
    <col min="5639" max="5639" width="5.125" style="4" customWidth="1"/>
    <col min="5640" max="5640" width="11" style="4" customWidth="1"/>
    <col min="5641" max="5641" width="5.25" style="4" customWidth="1"/>
    <col min="5642" max="5642" width="12.5" style="4" customWidth="1"/>
    <col min="5643" max="5890" width="9" style="4"/>
    <col min="5891" max="5891" width="17.5" style="4" customWidth="1"/>
    <col min="5892" max="5892" width="5.75" style="4" customWidth="1"/>
    <col min="5893" max="5893" width="34.125" style="4" customWidth="1"/>
    <col min="5894" max="5894" width="10.625" style="4" customWidth="1"/>
    <col min="5895" max="5895" width="5.125" style="4" customWidth="1"/>
    <col min="5896" max="5896" width="11" style="4" customWidth="1"/>
    <col min="5897" max="5897" width="5.25" style="4" customWidth="1"/>
    <col min="5898" max="5898" width="12.5" style="4" customWidth="1"/>
    <col min="5899" max="6146" width="9" style="4"/>
    <col min="6147" max="6147" width="17.5" style="4" customWidth="1"/>
    <col min="6148" max="6148" width="5.75" style="4" customWidth="1"/>
    <col min="6149" max="6149" width="34.125" style="4" customWidth="1"/>
    <col min="6150" max="6150" width="10.625" style="4" customWidth="1"/>
    <col min="6151" max="6151" width="5.125" style="4" customWidth="1"/>
    <col min="6152" max="6152" width="11" style="4" customWidth="1"/>
    <col min="6153" max="6153" width="5.25" style="4" customWidth="1"/>
    <col min="6154" max="6154" width="12.5" style="4" customWidth="1"/>
    <col min="6155" max="6402" width="9" style="4"/>
    <col min="6403" max="6403" width="17.5" style="4" customWidth="1"/>
    <col min="6404" max="6404" width="5.75" style="4" customWidth="1"/>
    <col min="6405" max="6405" width="34.125" style="4" customWidth="1"/>
    <col min="6406" max="6406" width="10.625" style="4" customWidth="1"/>
    <col min="6407" max="6407" width="5.125" style="4" customWidth="1"/>
    <col min="6408" max="6408" width="11" style="4" customWidth="1"/>
    <col min="6409" max="6409" width="5.25" style="4" customWidth="1"/>
    <col min="6410" max="6410" width="12.5" style="4" customWidth="1"/>
    <col min="6411" max="6658" width="9" style="4"/>
    <col min="6659" max="6659" width="17.5" style="4" customWidth="1"/>
    <col min="6660" max="6660" width="5.75" style="4" customWidth="1"/>
    <col min="6661" max="6661" width="34.125" style="4" customWidth="1"/>
    <col min="6662" max="6662" width="10.625" style="4" customWidth="1"/>
    <col min="6663" max="6663" width="5.125" style="4" customWidth="1"/>
    <col min="6664" max="6664" width="11" style="4" customWidth="1"/>
    <col min="6665" max="6665" width="5.25" style="4" customWidth="1"/>
    <col min="6666" max="6666" width="12.5" style="4" customWidth="1"/>
    <col min="6667" max="6914" width="9" style="4"/>
    <col min="6915" max="6915" width="17.5" style="4" customWidth="1"/>
    <col min="6916" max="6916" width="5.75" style="4" customWidth="1"/>
    <col min="6917" max="6917" width="34.125" style="4" customWidth="1"/>
    <col min="6918" max="6918" width="10.625" style="4" customWidth="1"/>
    <col min="6919" max="6919" width="5.125" style="4" customWidth="1"/>
    <col min="6920" max="6920" width="11" style="4" customWidth="1"/>
    <col min="6921" max="6921" width="5.25" style="4" customWidth="1"/>
    <col min="6922" max="6922" width="12.5" style="4" customWidth="1"/>
    <col min="6923" max="7170" width="9" style="4"/>
    <col min="7171" max="7171" width="17.5" style="4" customWidth="1"/>
    <col min="7172" max="7172" width="5.75" style="4" customWidth="1"/>
    <col min="7173" max="7173" width="34.125" style="4" customWidth="1"/>
    <col min="7174" max="7174" width="10.625" style="4" customWidth="1"/>
    <col min="7175" max="7175" width="5.125" style="4" customWidth="1"/>
    <col min="7176" max="7176" width="11" style="4" customWidth="1"/>
    <col min="7177" max="7177" width="5.25" style="4" customWidth="1"/>
    <col min="7178" max="7178" width="12.5" style="4" customWidth="1"/>
    <col min="7179" max="7426" width="9" style="4"/>
    <col min="7427" max="7427" width="17.5" style="4" customWidth="1"/>
    <col min="7428" max="7428" width="5.75" style="4" customWidth="1"/>
    <col min="7429" max="7429" width="34.125" style="4" customWidth="1"/>
    <col min="7430" max="7430" width="10.625" style="4" customWidth="1"/>
    <col min="7431" max="7431" width="5.125" style="4" customWidth="1"/>
    <col min="7432" max="7432" width="11" style="4" customWidth="1"/>
    <col min="7433" max="7433" width="5.25" style="4" customWidth="1"/>
    <col min="7434" max="7434" width="12.5" style="4" customWidth="1"/>
    <col min="7435" max="7682" width="9" style="4"/>
    <col min="7683" max="7683" width="17.5" style="4" customWidth="1"/>
    <col min="7684" max="7684" width="5.75" style="4" customWidth="1"/>
    <col min="7685" max="7685" width="34.125" style="4" customWidth="1"/>
    <col min="7686" max="7686" width="10.625" style="4" customWidth="1"/>
    <col min="7687" max="7687" width="5.125" style="4" customWidth="1"/>
    <col min="7688" max="7688" width="11" style="4" customWidth="1"/>
    <col min="7689" max="7689" width="5.25" style="4" customWidth="1"/>
    <col min="7690" max="7690" width="12.5" style="4" customWidth="1"/>
    <col min="7691" max="7938" width="9" style="4"/>
    <col min="7939" max="7939" width="17.5" style="4" customWidth="1"/>
    <col min="7940" max="7940" width="5.75" style="4" customWidth="1"/>
    <col min="7941" max="7941" width="34.125" style="4" customWidth="1"/>
    <col min="7942" max="7942" width="10.625" style="4" customWidth="1"/>
    <col min="7943" max="7943" width="5.125" style="4" customWidth="1"/>
    <col min="7944" max="7944" width="11" style="4" customWidth="1"/>
    <col min="7945" max="7945" width="5.25" style="4" customWidth="1"/>
    <col min="7946" max="7946" width="12.5" style="4" customWidth="1"/>
    <col min="7947" max="8194" width="9" style="4"/>
    <col min="8195" max="8195" width="17.5" style="4" customWidth="1"/>
    <col min="8196" max="8196" width="5.75" style="4" customWidth="1"/>
    <col min="8197" max="8197" width="34.125" style="4" customWidth="1"/>
    <col min="8198" max="8198" width="10.625" style="4" customWidth="1"/>
    <col min="8199" max="8199" width="5.125" style="4" customWidth="1"/>
    <col min="8200" max="8200" width="11" style="4" customWidth="1"/>
    <col min="8201" max="8201" width="5.25" style="4" customWidth="1"/>
    <col min="8202" max="8202" width="12.5" style="4" customWidth="1"/>
    <col min="8203" max="8450" width="9" style="4"/>
    <col min="8451" max="8451" width="17.5" style="4" customWidth="1"/>
    <col min="8452" max="8452" width="5.75" style="4" customWidth="1"/>
    <col min="8453" max="8453" width="34.125" style="4" customWidth="1"/>
    <col min="8454" max="8454" width="10.625" style="4" customWidth="1"/>
    <col min="8455" max="8455" width="5.125" style="4" customWidth="1"/>
    <col min="8456" max="8456" width="11" style="4" customWidth="1"/>
    <col min="8457" max="8457" width="5.25" style="4" customWidth="1"/>
    <col min="8458" max="8458" width="12.5" style="4" customWidth="1"/>
    <col min="8459" max="8706" width="9" style="4"/>
    <col min="8707" max="8707" width="17.5" style="4" customWidth="1"/>
    <col min="8708" max="8708" width="5.75" style="4" customWidth="1"/>
    <col min="8709" max="8709" width="34.125" style="4" customWidth="1"/>
    <col min="8710" max="8710" width="10.625" style="4" customWidth="1"/>
    <col min="8711" max="8711" width="5.125" style="4" customWidth="1"/>
    <col min="8712" max="8712" width="11" style="4" customWidth="1"/>
    <col min="8713" max="8713" width="5.25" style="4" customWidth="1"/>
    <col min="8714" max="8714" width="12.5" style="4" customWidth="1"/>
    <col min="8715" max="8962" width="9" style="4"/>
    <col min="8963" max="8963" width="17.5" style="4" customWidth="1"/>
    <col min="8964" max="8964" width="5.75" style="4" customWidth="1"/>
    <col min="8965" max="8965" width="34.125" style="4" customWidth="1"/>
    <col min="8966" max="8966" width="10.625" style="4" customWidth="1"/>
    <col min="8967" max="8967" width="5.125" style="4" customWidth="1"/>
    <col min="8968" max="8968" width="11" style="4" customWidth="1"/>
    <col min="8969" max="8969" width="5.25" style="4" customWidth="1"/>
    <col min="8970" max="8970" width="12.5" style="4" customWidth="1"/>
    <col min="8971" max="9218" width="9" style="4"/>
    <col min="9219" max="9219" width="17.5" style="4" customWidth="1"/>
    <col min="9220" max="9220" width="5.75" style="4" customWidth="1"/>
    <col min="9221" max="9221" width="34.125" style="4" customWidth="1"/>
    <col min="9222" max="9222" width="10.625" style="4" customWidth="1"/>
    <col min="9223" max="9223" width="5.125" style="4" customWidth="1"/>
    <col min="9224" max="9224" width="11" style="4" customWidth="1"/>
    <col min="9225" max="9225" width="5.25" style="4" customWidth="1"/>
    <col min="9226" max="9226" width="12.5" style="4" customWidth="1"/>
    <col min="9227" max="9474" width="9" style="4"/>
    <col min="9475" max="9475" width="17.5" style="4" customWidth="1"/>
    <col min="9476" max="9476" width="5.75" style="4" customWidth="1"/>
    <col min="9477" max="9477" width="34.125" style="4" customWidth="1"/>
    <col min="9478" max="9478" width="10.625" style="4" customWidth="1"/>
    <col min="9479" max="9479" width="5.125" style="4" customWidth="1"/>
    <col min="9480" max="9480" width="11" style="4" customWidth="1"/>
    <col min="9481" max="9481" width="5.25" style="4" customWidth="1"/>
    <col min="9482" max="9482" width="12.5" style="4" customWidth="1"/>
    <col min="9483" max="9730" width="9" style="4"/>
    <col min="9731" max="9731" width="17.5" style="4" customWidth="1"/>
    <col min="9732" max="9732" width="5.75" style="4" customWidth="1"/>
    <col min="9733" max="9733" width="34.125" style="4" customWidth="1"/>
    <col min="9734" max="9734" width="10.625" style="4" customWidth="1"/>
    <col min="9735" max="9735" width="5.125" style="4" customWidth="1"/>
    <col min="9736" max="9736" width="11" style="4" customWidth="1"/>
    <col min="9737" max="9737" width="5.25" style="4" customWidth="1"/>
    <col min="9738" max="9738" width="12.5" style="4" customWidth="1"/>
    <col min="9739" max="9986" width="9" style="4"/>
    <col min="9987" max="9987" width="17.5" style="4" customWidth="1"/>
    <col min="9988" max="9988" width="5.75" style="4" customWidth="1"/>
    <col min="9989" max="9989" width="34.125" style="4" customWidth="1"/>
    <col min="9990" max="9990" width="10.625" style="4" customWidth="1"/>
    <col min="9991" max="9991" width="5.125" style="4" customWidth="1"/>
    <col min="9992" max="9992" width="11" style="4" customWidth="1"/>
    <col min="9993" max="9993" width="5.25" style="4" customWidth="1"/>
    <col min="9994" max="9994" width="12.5" style="4" customWidth="1"/>
    <col min="9995" max="10242" width="9" style="4"/>
    <col min="10243" max="10243" width="17.5" style="4" customWidth="1"/>
    <col min="10244" max="10244" width="5.75" style="4" customWidth="1"/>
    <col min="10245" max="10245" width="34.125" style="4" customWidth="1"/>
    <col min="10246" max="10246" width="10.625" style="4" customWidth="1"/>
    <col min="10247" max="10247" width="5.125" style="4" customWidth="1"/>
    <col min="10248" max="10248" width="11" style="4" customWidth="1"/>
    <col min="10249" max="10249" width="5.25" style="4" customWidth="1"/>
    <col min="10250" max="10250" width="12.5" style="4" customWidth="1"/>
    <col min="10251" max="10498" width="9" style="4"/>
    <col min="10499" max="10499" width="17.5" style="4" customWidth="1"/>
    <col min="10500" max="10500" width="5.75" style="4" customWidth="1"/>
    <col min="10501" max="10501" width="34.125" style="4" customWidth="1"/>
    <col min="10502" max="10502" width="10.625" style="4" customWidth="1"/>
    <col min="10503" max="10503" width="5.125" style="4" customWidth="1"/>
    <col min="10504" max="10504" width="11" style="4" customWidth="1"/>
    <col min="10505" max="10505" width="5.25" style="4" customWidth="1"/>
    <col min="10506" max="10506" width="12.5" style="4" customWidth="1"/>
    <col min="10507" max="10754" width="9" style="4"/>
    <col min="10755" max="10755" width="17.5" style="4" customWidth="1"/>
    <col min="10756" max="10756" width="5.75" style="4" customWidth="1"/>
    <col min="10757" max="10757" width="34.125" style="4" customWidth="1"/>
    <col min="10758" max="10758" width="10.625" style="4" customWidth="1"/>
    <col min="10759" max="10759" width="5.125" style="4" customWidth="1"/>
    <col min="10760" max="10760" width="11" style="4" customWidth="1"/>
    <col min="10761" max="10761" width="5.25" style="4" customWidth="1"/>
    <col min="10762" max="10762" width="12.5" style="4" customWidth="1"/>
    <col min="10763" max="11010" width="9" style="4"/>
    <col min="11011" max="11011" width="17.5" style="4" customWidth="1"/>
    <col min="11012" max="11012" width="5.75" style="4" customWidth="1"/>
    <col min="11013" max="11013" width="34.125" style="4" customWidth="1"/>
    <col min="11014" max="11014" width="10.625" style="4" customWidth="1"/>
    <col min="11015" max="11015" width="5.125" style="4" customWidth="1"/>
    <col min="11016" max="11016" width="11" style="4" customWidth="1"/>
    <col min="11017" max="11017" width="5.25" style="4" customWidth="1"/>
    <col min="11018" max="11018" width="12.5" style="4" customWidth="1"/>
    <col min="11019" max="11266" width="9" style="4"/>
    <col min="11267" max="11267" width="17.5" style="4" customWidth="1"/>
    <col min="11268" max="11268" width="5.75" style="4" customWidth="1"/>
    <col min="11269" max="11269" width="34.125" style="4" customWidth="1"/>
    <col min="11270" max="11270" width="10.625" style="4" customWidth="1"/>
    <col min="11271" max="11271" width="5.125" style="4" customWidth="1"/>
    <col min="11272" max="11272" width="11" style="4" customWidth="1"/>
    <col min="11273" max="11273" width="5.25" style="4" customWidth="1"/>
    <col min="11274" max="11274" width="12.5" style="4" customWidth="1"/>
    <col min="11275" max="11522" width="9" style="4"/>
    <col min="11523" max="11523" width="17.5" style="4" customWidth="1"/>
    <col min="11524" max="11524" width="5.75" style="4" customWidth="1"/>
    <col min="11525" max="11525" width="34.125" style="4" customWidth="1"/>
    <col min="11526" max="11526" width="10.625" style="4" customWidth="1"/>
    <col min="11527" max="11527" width="5.125" style="4" customWidth="1"/>
    <col min="11528" max="11528" width="11" style="4" customWidth="1"/>
    <col min="11529" max="11529" width="5.25" style="4" customWidth="1"/>
    <col min="11530" max="11530" width="12.5" style="4" customWidth="1"/>
    <col min="11531" max="11778" width="9" style="4"/>
    <col min="11779" max="11779" width="17.5" style="4" customWidth="1"/>
    <col min="11780" max="11780" width="5.75" style="4" customWidth="1"/>
    <col min="11781" max="11781" width="34.125" style="4" customWidth="1"/>
    <col min="11782" max="11782" width="10.625" style="4" customWidth="1"/>
    <col min="11783" max="11783" width="5.125" style="4" customWidth="1"/>
    <col min="11784" max="11784" width="11" style="4" customWidth="1"/>
    <col min="11785" max="11785" width="5.25" style="4" customWidth="1"/>
    <col min="11786" max="11786" width="12.5" style="4" customWidth="1"/>
    <col min="11787" max="12034" width="9" style="4"/>
    <col min="12035" max="12035" width="17.5" style="4" customWidth="1"/>
    <col min="12036" max="12036" width="5.75" style="4" customWidth="1"/>
    <col min="12037" max="12037" width="34.125" style="4" customWidth="1"/>
    <col min="12038" max="12038" width="10.625" style="4" customWidth="1"/>
    <col min="12039" max="12039" width="5.125" style="4" customWidth="1"/>
    <col min="12040" max="12040" width="11" style="4" customWidth="1"/>
    <col min="12041" max="12041" width="5.25" style="4" customWidth="1"/>
    <col min="12042" max="12042" width="12.5" style="4" customWidth="1"/>
    <col min="12043" max="12290" width="9" style="4"/>
    <col min="12291" max="12291" width="17.5" style="4" customWidth="1"/>
    <col min="12292" max="12292" width="5.75" style="4" customWidth="1"/>
    <col min="12293" max="12293" width="34.125" style="4" customWidth="1"/>
    <col min="12294" max="12294" width="10.625" style="4" customWidth="1"/>
    <col min="12295" max="12295" width="5.125" style="4" customWidth="1"/>
    <col min="12296" max="12296" width="11" style="4" customWidth="1"/>
    <col min="12297" max="12297" width="5.25" style="4" customWidth="1"/>
    <col min="12298" max="12298" width="12.5" style="4" customWidth="1"/>
    <col min="12299" max="12546" width="9" style="4"/>
    <col min="12547" max="12547" width="17.5" style="4" customWidth="1"/>
    <col min="12548" max="12548" width="5.75" style="4" customWidth="1"/>
    <col min="12549" max="12549" width="34.125" style="4" customWidth="1"/>
    <col min="12550" max="12550" width="10.625" style="4" customWidth="1"/>
    <col min="12551" max="12551" width="5.125" style="4" customWidth="1"/>
    <col min="12552" max="12552" width="11" style="4" customWidth="1"/>
    <col min="12553" max="12553" width="5.25" style="4" customWidth="1"/>
    <col min="12554" max="12554" width="12.5" style="4" customWidth="1"/>
    <col min="12555" max="12802" width="9" style="4"/>
    <col min="12803" max="12803" width="17.5" style="4" customWidth="1"/>
    <col min="12804" max="12804" width="5.75" style="4" customWidth="1"/>
    <col min="12805" max="12805" width="34.125" style="4" customWidth="1"/>
    <col min="12806" max="12806" width="10.625" style="4" customWidth="1"/>
    <col min="12807" max="12807" width="5.125" style="4" customWidth="1"/>
    <col min="12808" max="12808" width="11" style="4" customWidth="1"/>
    <col min="12809" max="12809" width="5.25" style="4" customWidth="1"/>
    <col min="12810" max="12810" width="12.5" style="4" customWidth="1"/>
    <col min="12811" max="13058" width="9" style="4"/>
    <col min="13059" max="13059" width="17.5" style="4" customWidth="1"/>
    <col min="13060" max="13060" width="5.75" style="4" customWidth="1"/>
    <col min="13061" max="13061" width="34.125" style="4" customWidth="1"/>
    <col min="13062" max="13062" width="10.625" style="4" customWidth="1"/>
    <col min="13063" max="13063" width="5.125" style="4" customWidth="1"/>
    <col min="13064" max="13064" width="11" style="4" customWidth="1"/>
    <col min="13065" max="13065" width="5.25" style="4" customWidth="1"/>
    <col min="13066" max="13066" width="12.5" style="4" customWidth="1"/>
    <col min="13067" max="13314" width="9" style="4"/>
    <col min="13315" max="13315" width="17.5" style="4" customWidth="1"/>
    <col min="13316" max="13316" width="5.75" style="4" customWidth="1"/>
    <col min="13317" max="13317" width="34.125" style="4" customWidth="1"/>
    <col min="13318" max="13318" width="10.625" style="4" customWidth="1"/>
    <col min="13319" max="13319" width="5.125" style="4" customWidth="1"/>
    <col min="13320" max="13320" width="11" style="4" customWidth="1"/>
    <col min="13321" max="13321" width="5.25" style="4" customWidth="1"/>
    <col min="13322" max="13322" width="12.5" style="4" customWidth="1"/>
    <col min="13323" max="13570" width="9" style="4"/>
    <col min="13571" max="13571" width="17.5" style="4" customWidth="1"/>
    <col min="13572" max="13572" width="5.75" style="4" customWidth="1"/>
    <col min="13573" max="13573" width="34.125" style="4" customWidth="1"/>
    <col min="13574" max="13574" width="10.625" style="4" customWidth="1"/>
    <col min="13575" max="13575" width="5.125" style="4" customWidth="1"/>
    <col min="13576" max="13576" width="11" style="4" customWidth="1"/>
    <col min="13577" max="13577" width="5.25" style="4" customWidth="1"/>
    <col min="13578" max="13578" width="12.5" style="4" customWidth="1"/>
    <col min="13579" max="13826" width="9" style="4"/>
    <col min="13827" max="13827" width="17.5" style="4" customWidth="1"/>
    <col min="13828" max="13828" width="5.75" style="4" customWidth="1"/>
    <col min="13829" max="13829" width="34.125" style="4" customWidth="1"/>
    <col min="13830" max="13830" width="10.625" style="4" customWidth="1"/>
    <col min="13831" max="13831" width="5.125" style="4" customWidth="1"/>
    <col min="13832" max="13832" width="11" style="4" customWidth="1"/>
    <col min="13833" max="13833" width="5.25" style="4" customWidth="1"/>
    <col min="13834" max="13834" width="12.5" style="4" customWidth="1"/>
    <col min="13835" max="14082" width="9" style="4"/>
    <col min="14083" max="14083" width="17.5" style="4" customWidth="1"/>
    <col min="14084" max="14084" width="5.75" style="4" customWidth="1"/>
    <col min="14085" max="14085" width="34.125" style="4" customWidth="1"/>
    <col min="14086" max="14086" width="10.625" style="4" customWidth="1"/>
    <col min="14087" max="14087" width="5.125" style="4" customWidth="1"/>
    <col min="14088" max="14088" width="11" style="4" customWidth="1"/>
    <col min="14089" max="14089" width="5.25" style="4" customWidth="1"/>
    <col min="14090" max="14090" width="12.5" style="4" customWidth="1"/>
    <col min="14091" max="14338" width="9" style="4"/>
    <col min="14339" max="14339" width="17.5" style="4" customWidth="1"/>
    <col min="14340" max="14340" width="5.75" style="4" customWidth="1"/>
    <col min="14341" max="14341" width="34.125" style="4" customWidth="1"/>
    <col min="14342" max="14342" width="10.625" style="4" customWidth="1"/>
    <col min="14343" max="14343" width="5.125" style="4" customWidth="1"/>
    <col min="14344" max="14344" width="11" style="4" customWidth="1"/>
    <col min="14345" max="14345" width="5.25" style="4" customWidth="1"/>
    <col min="14346" max="14346" width="12.5" style="4" customWidth="1"/>
    <col min="14347" max="14594" width="9" style="4"/>
    <col min="14595" max="14595" width="17.5" style="4" customWidth="1"/>
    <col min="14596" max="14596" width="5.75" style="4" customWidth="1"/>
    <col min="14597" max="14597" width="34.125" style="4" customWidth="1"/>
    <col min="14598" max="14598" width="10.625" style="4" customWidth="1"/>
    <col min="14599" max="14599" width="5.125" style="4" customWidth="1"/>
    <col min="14600" max="14600" width="11" style="4" customWidth="1"/>
    <col min="14601" max="14601" width="5.25" style="4" customWidth="1"/>
    <col min="14602" max="14602" width="12.5" style="4" customWidth="1"/>
    <col min="14603" max="14850" width="9" style="4"/>
    <col min="14851" max="14851" width="17.5" style="4" customWidth="1"/>
    <col min="14852" max="14852" width="5.75" style="4" customWidth="1"/>
    <col min="14853" max="14853" width="34.125" style="4" customWidth="1"/>
    <col min="14854" max="14854" width="10.625" style="4" customWidth="1"/>
    <col min="14855" max="14855" width="5.125" style="4" customWidth="1"/>
    <col min="14856" max="14856" width="11" style="4" customWidth="1"/>
    <col min="14857" max="14857" width="5.25" style="4" customWidth="1"/>
    <col min="14858" max="14858" width="12.5" style="4" customWidth="1"/>
    <col min="14859" max="15106" width="9" style="4"/>
    <col min="15107" max="15107" width="17.5" style="4" customWidth="1"/>
    <col min="15108" max="15108" width="5.75" style="4" customWidth="1"/>
    <col min="15109" max="15109" width="34.125" style="4" customWidth="1"/>
    <col min="15110" max="15110" width="10.625" style="4" customWidth="1"/>
    <col min="15111" max="15111" width="5.125" style="4" customWidth="1"/>
    <col min="15112" max="15112" width="11" style="4" customWidth="1"/>
    <col min="15113" max="15113" width="5.25" style="4" customWidth="1"/>
    <col min="15114" max="15114" width="12.5" style="4" customWidth="1"/>
    <col min="15115" max="15362" width="9" style="4"/>
    <col min="15363" max="15363" width="17.5" style="4" customWidth="1"/>
    <col min="15364" max="15364" width="5.75" style="4" customWidth="1"/>
    <col min="15365" max="15365" width="34.125" style="4" customWidth="1"/>
    <col min="15366" max="15366" width="10.625" style="4" customWidth="1"/>
    <col min="15367" max="15367" width="5.125" style="4" customWidth="1"/>
    <col min="15368" max="15368" width="11" style="4" customWidth="1"/>
    <col min="15369" max="15369" width="5.25" style="4" customWidth="1"/>
    <col min="15370" max="15370" width="12.5" style="4" customWidth="1"/>
    <col min="15371" max="15618" width="9" style="4"/>
    <col min="15619" max="15619" width="17.5" style="4" customWidth="1"/>
    <col min="15620" max="15620" width="5.75" style="4" customWidth="1"/>
    <col min="15621" max="15621" width="34.125" style="4" customWidth="1"/>
    <col min="15622" max="15622" width="10.625" style="4" customWidth="1"/>
    <col min="15623" max="15623" width="5.125" style="4" customWidth="1"/>
    <col min="15624" max="15624" width="11" style="4" customWidth="1"/>
    <col min="15625" max="15625" width="5.25" style="4" customWidth="1"/>
    <col min="15626" max="15626" width="12.5" style="4" customWidth="1"/>
    <col min="15627" max="15874" width="9" style="4"/>
    <col min="15875" max="15875" width="17.5" style="4" customWidth="1"/>
    <col min="15876" max="15876" width="5.75" style="4" customWidth="1"/>
    <col min="15877" max="15877" width="34.125" style="4" customWidth="1"/>
    <col min="15878" max="15878" width="10.625" style="4" customWidth="1"/>
    <col min="15879" max="15879" width="5.125" style="4" customWidth="1"/>
    <col min="15880" max="15880" width="11" style="4" customWidth="1"/>
    <col min="15881" max="15881" width="5.25" style="4" customWidth="1"/>
    <col min="15882" max="15882" width="12.5" style="4" customWidth="1"/>
    <col min="15883" max="16130" width="9" style="4"/>
    <col min="16131" max="16131" width="17.5" style="4" customWidth="1"/>
    <col min="16132" max="16132" width="5.75" style="4" customWidth="1"/>
    <col min="16133" max="16133" width="34.125" style="4" customWidth="1"/>
    <col min="16134" max="16134" width="10.625" style="4" customWidth="1"/>
    <col min="16135" max="16135" width="5.125" style="4" customWidth="1"/>
    <col min="16136" max="16136" width="11" style="4" customWidth="1"/>
    <col min="16137" max="16137" width="5.25" style="4" customWidth="1"/>
    <col min="16138" max="16138" width="12.5" style="4" customWidth="1"/>
    <col min="16139" max="16384" width="9" style="4"/>
  </cols>
  <sheetData>
    <row r="1" spans="1:19" s="1" customFormat="1" ht="25.15" customHeight="1">
      <c r="A1" s="111" t="s">
        <v>93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13"/>
      <c r="M1" s="113"/>
      <c r="N1" s="113"/>
      <c r="O1" s="113"/>
      <c r="P1" s="113"/>
      <c r="Q1" s="113"/>
      <c r="R1" s="114"/>
      <c r="S1" s="114"/>
    </row>
    <row r="2" spans="1:19" s="3" customFormat="1" ht="18">
      <c r="A2" s="115" t="s">
        <v>94</v>
      </c>
      <c r="B2" s="115"/>
      <c r="C2" s="115"/>
      <c r="D2" s="115"/>
      <c r="E2" s="115"/>
      <c r="F2" s="115"/>
      <c r="G2" s="115"/>
      <c r="H2" s="115"/>
      <c r="I2" s="115"/>
      <c r="J2" s="115"/>
      <c r="K2" s="2"/>
      <c r="L2" s="2"/>
      <c r="M2" s="2"/>
    </row>
    <row r="3" spans="1:19" ht="18" customHeight="1">
      <c r="A3" s="125" t="s">
        <v>95</v>
      </c>
      <c r="B3" s="115"/>
      <c r="C3" s="115"/>
      <c r="D3" s="115"/>
      <c r="E3" s="115"/>
      <c r="F3" s="115"/>
      <c r="G3" s="115"/>
      <c r="H3" s="115"/>
      <c r="I3" s="115"/>
      <c r="J3" s="115"/>
    </row>
    <row r="4" spans="1:19" ht="27.75" customHeight="1">
      <c r="A4" s="116" t="s">
        <v>7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19" ht="12.75" customHeight="1">
      <c r="A5" s="94"/>
      <c r="B5" s="94"/>
      <c r="C5" s="95"/>
      <c r="D5" s="95"/>
      <c r="E5" s="94"/>
      <c r="F5" s="94"/>
      <c r="G5" s="94"/>
      <c r="H5" s="94"/>
      <c r="I5" s="94"/>
      <c r="J5" s="94"/>
    </row>
    <row r="6" spans="1:19" s="7" customFormat="1" ht="15" customHeight="1">
      <c r="A6" s="5" t="s">
        <v>9</v>
      </c>
      <c r="B6" s="96" t="s">
        <v>87</v>
      </c>
      <c r="C6" s="6"/>
      <c r="D6" s="6"/>
      <c r="E6" s="6"/>
      <c r="F6" s="6"/>
      <c r="G6" s="93" t="s">
        <v>10</v>
      </c>
      <c r="H6" s="93"/>
      <c r="I6" s="117" t="s">
        <v>62</v>
      </c>
      <c r="J6" s="117"/>
    </row>
    <row r="7" spans="1:19" s="7" customFormat="1" ht="9.9499999999999993" customHeight="1">
      <c r="A7" s="6"/>
      <c r="B7" s="6"/>
      <c r="C7" s="6"/>
      <c r="D7" s="6"/>
      <c r="E7" s="6"/>
      <c r="F7" s="6"/>
      <c r="G7" s="97"/>
      <c r="H7" s="97"/>
      <c r="I7" s="89"/>
      <c r="J7" s="89"/>
    </row>
    <row r="8" spans="1:19" s="7" customFormat="1" ht="15" customHeight="1">
      <c r="A8" s="5" t="s">
        <v>2</v>
      </c>
      <c r="B8" s="5" t="s">
        <v>63</v>
      </c>
      <c r="C8" s="6"/>
      <c r="D8" s="6"/>
      <c r="E8" s="6"/>
      <c r="F8" s="6"/>
      <c r="G8" s="98" t="s">
        <v>1</v>
      </c>
      <c r="H8" s="98"/>
      <c r="I8" s="99" t="s">
        <v>1</v>
      </c>
      <c r="J8" s="89"/>
    </row>
    <row r="9" spans="1:19" s="7" customFormat="1" ht="15" customHeight="1">
      <c r="A9" s="6"/>
      <c r="B9" s="5" t="s">
        <v>64</v>
      </c>
      <c r="C9" s="6"/>
      <c r="D9" s="6"/>
      <c r="E9" s="6"/>
      <c r="F9" s="6"/>
      <c r="G9" s="97"/>
      <c r="H9" s="97"/>
      <c r="I9" s="89"/>
      <c r="J9" s="89"/>
    </row>
    <row r="10" spans="1:19" s="7" customFormat="1" ht="15" customHeight="1">
      <c r="A10" s="6"/>
      <c r="B10" s="5" t="s">
        <v>65</v>
      </c>
      <c r="C10" s="6"/>
      <c r="D10" s="6"/>
      <c r="E10" s="6"/>
      <c r="F10" s="6"/>
      <c r="G10" s="89"/>
      <c r="H10" s="89"/>
      <c r="I10" s="89"/>
      <c r="J10" s="89"/>
    </row>
    <row r="11" spans="1:19" s="7" customFormat="1" ht="15" customHeight="1">
      <c r="A11" s="6"/>
      <c r="B11" s="5" t="s">
        <v>66</v>
      </c>
      <c r="C11" s="6"/>
      <c r="D11" s="6"/>
      <c r="E11" s="6"/>
      <c r="F11" s="6"/>
      <c r="G11" s="89"/>
      <c r="H11" s="89"/>
      <c r="I11" s="89"/>
      <c r="J11" s="89"/>
    </row>
    <row r="12" spans="1:19" s="7" customFormat="1" ht="15" customHeight="1">
      <c r="A12" s="6"/>
      <c r="B12" s="5" t="s">
        <v>67</v>
      </c>
      <c r="C12" s="6"/>
      <c r="D12" s="6"/>
      <c r="E12" s="6"/>
      <c r="F12" s="6"/>
      <c r="G12" s="89"/>
      <c r="H12" s="89"/>
      <c r="I12" s="89"/>
      <c r="J12" s="89"/>
    </row>
    <row r="13" spans="1:19" s="7" customFormat="1" ht="15" customHeight="1">
      <c r="A13" s="6"/>
      <c r="B13" s="5" t="s">
        <v>68</v>
      </c>
      <c r="C13" s="6"/>
      <c r="D13" s="6"/>
      <c r="E13" s="6"/>
      <c r="F13" s="6"/>
      <c r="G13" s="89"/>
      <c r="H13" s="89"/>
      <c r="I13" s="89"/>
      <c r="J13" s="89"/>
    </row>
    <row r="14" spans="1:19" s="7" customFormat="1" ht="9.9499999999999993" customHeight="1">
      <c r="A14" s="6"/>
      <c r="B14" s="5"/>
      <c r="C14" s="6"/>
      <c r="D14" s="6"/>
      <c r="E14" s="6"/>
      <c r="F14" s="6"/>
      <c r="G14" s="6"/>
      <c r="H14" s="6"/>
      <c r="I14" s="6"/>
      <c r="J14" s="6"/>
    </row>
    <row r="15" spans="1:19" s="7" customFormat="1" ht="15" customHeight="1">
      <c r="A15" s="5" t="s">
        <v>3</v>
      </c>
      <c r="B15" s="5" t="s">
        <v>55</v>
      </c>
      <c r="C15" s="11"/>
      <c r="D15" s="11"/>
      <c r="E15" s="6"/>
      <c r="F15" s="74" t="s">
        <v>88</v>
      </c>
      <c r="G15" s="74"/>
      <c r="H15" s="74"/>
      <c r="I15" s="74"/>
      <c r="J15" s="74"/>
    </row>
    <row r="16" spans="1:19" s="7" customFormat="1" ht="9.9499999999999993" customHeight="1">
      <c r="A16" s="5"/>
      <c r="B16" s="10"/>
      <c r="C16" s="11"/>
      <c r="D16" s="11"/>
      <c r="E16" s="6"/>
      <c r="F16" s="6"/>
      <c r="G16" s="6"/>
      <c r="H16" s="6"/>
      <c r="I16" s="6"/>
      <c r="J16" s="6"/>
    </row>
    <row r="17" spans="1:16" s="7" customFormat="1" ht="15" customHeight="1">
      <c r="A17" s="73" t="s">
        <v>41</v>
      </c>
      <c r="B17" s="5" t="s">
        <v>56</v>
      </c>
      <c r="C17" s="5"/>
      <c r="D17" s="5"/>
      <c r="E17" s="5"/>
      <c r="F17" s="74" t="s">
        <v>4</v>
      </c>
      <c r="G17" s="9" t="s">
        <v>57</v>
      </c>
      <c r="H17" s="9"/>
      <c r="I17" s="9"/>
      <c r="J17" s="12"/>
    </row>
    <row r="18" spans="1:16" s="7" customFormat="1" ht="9.9499999999999993" customHeight="1" thickBot="1">
      <c r="A18" s="13" t="s">
        <v>1</v>
      </c>
      <c r="B18" s="13" t="s">
        <v>1</v>
      </c>
      <c r="C18" s="13"/>
      <c r="D18" s="13"/>
      <c r="E18" s="13"/>
      <c r="F18" s="14" t="s">
        <v>1</v>
      </c>
      <c r="G18" s="15" t="s">
        <v>1</v>
      </c>
      <c r="H18" s="15"/>
      <c r="I18" s="15"/>
      <c r="J18" s="16"/>
    </row>
    <row r="19" spans="1:16" s="7" customFormat="1" ht="15" customHeight="1" thickTop="1">
      <c r="A19" s="5" t="s">
        <v>42</v>
      </c>
      <c r="B19" s="92" t="s">
        <v>43</v>
      </c>
      <c r="C19" s="17" t="s">
        <v>37</v>
      </c>
      <c r="D19" s="17" t="s">
        <v>37</v>
      </c>
      <c r="E19" s="17" t="s">
        <v>37</v>
      </c>
      <c r="F19" s="5"/>
      <c r="G19" s="17" t="s">
        <v>39</v>
      </c>
      <c r="H19" s="17"/>
      <c r="I19" s="17"/>
      <c r="J19" s="17" t="s">
        <v>14</v>
      </c>
    </row>
    <row r="20" spans="1:16" s="7" customFormat="1" ht="15" customHeight="1" thickBot="1">
      <c r="A20" s="13" t="s">
        <v>1</v>
      </c>
      <c r="B20" s="18"/>
      <c r="C20" s="19" t="s">
        <v>38</v>
      </c>
      <c r="D20" s="19" t="s">
        <v>45</v>
      </c>
      <c r="E20" s="19" t="s">
        <v>6</v>
      </c>
      <c r="F20" s="13" t="s">
        <v>1</v>
      </c>
      <c r="G20" s="19" t="s">
        <v>40</v>
      </c>
      <c r="H20" s="19"/>
      <c r="I20" s="20"/>
      <c r="J20" s="19" t="s">
        <v>16</v>
      </c>
    </row>
    <row r="21" spans="1:16" s="7" customFormat="1" ht="14.1" customHeight="1" thickTop="1">
      <c r="A21" s="9"/>
      <c r="B21" s="21" t="s">
        <v>33</v>
      </c>
      <c r="C21" s="22"/>
      <c r="D21" s="22"/>
      <c r="E21" s="12"/>
      <c r="F21" s="110" t="s">
        <v>89</v>
      </c>
      <c r="G21" s="110"/>
      <c r="H21" s="110"/>
      <c r="I21" s="110"/>
      <c r="J21" s="110"/>
      <c r="K21" s="12"/>
      <c r="L21" s="23"/>
      <c r="M21" s="5"/>
      <c r="N21" s="23"/>
      <c r="O21" s="12"/>
      <c r="P21" s="23"/>
    </row>
    <row r="22" spans="1:16" ht="13.9" customHeight="1">
      <c r="A22" s="82"/>
      <c r="B22" s="86" t="s">
        <v>34</v>
      </c>
      <c r="C22" s="86"/>
      <c r="D22" s="86"/>
      <c r="E22" s="85"/>
      <c r="F22" s="85"/>
      <c r="G22" s="85"/>
      <c r="H22" s="85"/>
      <c r="I22" s="85"/>
      <c r="J22" s="85"/>
      <c r="K22" s="85"/>
      <c r="L22" s="83"/>
      <c r="M22" s="73"/>
      <c r="N22" s="83"/>
      <c r="O22" s="85"/>
      <c r="P22" s="83"/>
    </row>
    <row r="23" spans="1:16" ht="13.9" customHeight="1">
      <c r="A23" s="82"/>
      <c r="B23" s="107" t="s">
        <v>44</v>
      </c>
      <c r="C23" s="86"/>
      <c r="D23" s="86"/>
      <c r="E23" s="85"/>
      <c r="F23" s="85"/>
      <c r="G23" s="85"/>
      <c r="H23" s="85"/>
      <c r="I23" s="85"/>
      <c r="J23" s="85"/>
      <c r="K23" s="85"/>
      <c r="L23" s="83"/>
      <c r="M23" s="73"/>
      <c r="N23" s="83"/>
      <c r="O23" s="85"/>
      <c r="P23" s="83"/>
    </row>
    <row r="24" spans="1:16" ht="13.9" customHeight="1">
      <c r="A24" s="82"/>
      <c r="B24" s="106" t="s">
        <v>69</v>
      </c>
      <c r="C24" s="86"/>
      <c r="D24" s="86"/>
      <c r="E24" s="85"/>
      <c r="F24" s="85"/>
      <c r="G24" s="85"/>
      <c r="H24" s="85"/>
      <c r="I24" s="85"/>
      <c r="J24" s="85"/>
      <c r="K24" s="85"/>
      <c r="L24" s="83"/>
      <c r="M24" s="73"/>
      <c r="N24" s="83"/>
      <c r="O24" s="85"/>
      <c r="P24" s="83"/>
    </row>
    <row r="25" spans="1:16" ht="14.1" customHeight="1">
      <c r="A25" s="52"/>
      <c r="B25" s="21" t="s">
        <v>70</v>
      </c>
      <c r="C25" s="21"/>
      <c r="D25" s="21"/>
      <c r="E25" s="26"/>
      <c r="F25" s="5"/>
      <c r="G25" s="17"/>
      <c r="H25" s="17"/>
      <c r="I25" s="24"/>
      <c r="J25" s="25"/>
    </row>
    <row r="26" spans="1:16" ht="14.1" customHeight="1">
      <c r="A26" s="52"/>
      <c r="B26" s="21" t="s">
        <v>81</v>
      </c>
      <c r="C26" s="21"/>
      <c r="D26" s="21"/>
      <c r="E26" s="26"/>
      <c r="F26" s="5"/>
      <c r="G26" s="17"/>
      <c r="H26" s="17"/>
      <c r="I26" s="24"/>
      <c r="J26" s="25"/>
    </row>
    <row r="27" spans="1:16" ht="14.1" customHeight="1">
      <c r="A27" s="52"/>
      <c r="B27" s="21" t="s">
        <v>71</v>
      </c>
      <c r="C27" s="100">
        <v>65</v>
      </c>
      <c r="D27" s="100">
        <v>59</v>
      </c>
      <c r="E27" s="26">
        <v>18.600000000000001</v>
      </c>
      <c r="F27" s="5" t="s">
        <v>17</v>
      </c>
      <c r="G27" s="108">
        <v>5.9</v>
      </c>
      <c r="H27" s="17" t="s">
        <v>90</v>
      </c>
      <c r="I27" s="24"/>
      <c r="J27" s="109" t="s">
        <v>92</v>
      </c>
    </row>
    <row r="28" spans="1:16" ht="14.1" customHeight="1">
      <c r="A28" s="52"/>
      <c r="B28" s="21" t="s">
        <v>72</v>
      </c>
      <c r="C28" s="100">
        <v>30</v>
      </c>
      <c r="D28" s="100">
        <v>27</v>
      </c>
      <c r="E28" s="26">
        <v>8.1</v>
      </c>
      <c r="F28" s="5" t="s">
        <v>17</v>
      </c>
      <c r="G28" s="108">
        <v>5.9</v>
      </c>
      <c r="H28" s="17" t="s">
        <v>90</v>
      </c>
      <c r="I28" s="24"/>
      <c r="J28" s="109" t="s">
        <v>92</v>
      </c>
    </row>
    <row r="29" spans="1:16" ht="14.1" customHeight="1">
      <c r="A29" s="52"/>
      <c r="B29" s="21" t="s">
        <v>73</v>
      </c>
      <c r="C29" s="100">
        <v>70</v>
      </c>
      <c r="D29" s="100">
        <v>64</v>
      </c>
      <c r="E29" s="26">
        <v>20.399999999999999</v>
      </c>
      <c r="F29" s="5" t="s">
        <v>17</v>
      </c>
      <c r="G29" s="108">
        <v>5.9</v>
      </c>
      <c r="H29" s="17" t="s">
        <v>90</v>
      </c>
      <c r="I29" s="24"/>
      <c r="J29" s="109" t="s">
        <v>92</v>
      </c>
    </row>
    <row r="30" spans="1:16" ht="14.1" customHeight="1">
      <c r="A30" s="52"/>
      <c r="B30" s="21" t="s">
        <v>74</v>
      </c>
      <c r="C30" s="100">
        <v>40</v>
      </c>
      <c r="D30" s="100">
        <v>36</v>
      </c>
      <c r="E30" s="26">
        <v>11.2</v>
      </c>
      <c r="F30" s="5" t="s">
        <v>17</v>
      </c>
      <c r="G30" s="108">
        <v>5.9</v>
      </c>
      <c r="H30" s="17" t="s">
        <v>90</v>
      </c>
      <c r="I30" s="24"/>
      <c r="J30" s="109" t="s">
        <v>92</v>
      </c>
    </row>
    <row r="31" spans="1:16" ht="14.1" customHeight="1">
      <c r="A31" s="52"/>
      <c r="B31" s="21" t="s">
        <v>75</v>
      </c>
      <c r="C31" s="100">
        <v>40</v>
      </c>
      <c r="D31" s="100">
        <v>36</v>
      </c>
      <c r="E31" s="26">
        <v>11.6</v>
      </c>
      <c r="F31" s="5" t="s">
        <v>17</v>
      </c>
      <c r="G31" s="108">
        <v>5.9</v>
      </c>
      <c r="H31" s="17" t="s">
        <v>90</v>
      </c>
      <c r="I31" s="24"/>
      <c r="J31" s="109" t="s">
        <v>92</v>
      </c>
    </row>
    <row r="32" spans="1:16" ht="14.1" customHeight="1">
      <c r="A32" s="52"/>
      <c r="B32" s="21" t="s">
        <v>76</v>
      </c>
      <c r="C32" s="100">
        <v>65</v>
      </c>
      <c r="D32" s="100">
        <v>59</v>
      </c>
      <c r="E32" s="26">
        <v>18.600000000000001</v>
      </c>
      <c r="F32" s="5" t="s">
        <v>17</v>
      </c>
      <c r="G32" s="108">
        <v>5.9</v>
      </c>
      <c r="H32" s="17" t="s">
        <v>90</v>
      </c>
      <c r="I32" s="24"/>
      <c r="J32" s="109" t="s">
        <v>92</v>
      </c>
    </row>
    <row r="33" spans="1:26" ht="14.1" customHeight="1">
      <c r="A33" s="52"/>
      <c r="B33" s="21" t="s">
        <v>77</v>
      </c>
      <c r="C33" s="100">
        <v>40</v>
      </c>
      <c r="D33" s="100">
        <v>36</v>
      </c>
      <c r="E33" s="26">
        <v>12.9</v>
      </c>
      <c r="F33" s="5" t="s">
        <v>17</v>
      </c>
      <c r="G33" s="108">
        <v>5.9</v>
      </c>
      <c r="H33" s="17" t="s">
        <v>90</v>
      </c>
      <c r="I33" s="24"/>
      <c r="J33" s="109" t="s">
        <v>92</v>
      </c>
    </row>
    <row r="34" spans="1:26" ht="14.1" customHeight="1">
      <c r="A34" s="52"/>
      <c r="B34" s="21"/>
      <c r="C34" s="100"/>
      <c r="D34" s="100"/>
      <c r="E34" s="26"/>
      <c r="F34" s="5"/>
      <c r="G34" s="17"/>
      <c r="H34" s="17"/>
      <c r="I34" s="24"/>
      <c r="J34" s="25"/>
    </row>
    <row r="35" spans="1:26" ht="14.1" customHeight="1">
      <c r="A35" s="52"/>
      <c r="B35" s="21"/>
      <c r="C35" s="100"/>
      <c r="D35" s="100"/>
      <c r="E35" s="26"/>
      <c r="F35" s="5"/>
      <c r="G35" s="17"/>
      <c r="H35" s="17"/>
      <c r="I35" s="24"/>
      <c r="J35" s="25"/>
    </row>
    <row r="36" spans="1:26" ht="14.1" customHeight="1">
      <c r="A36" s="52"/>
      <c r="B36" s="21" t="s">
        <v>86</v>
      </c>
      <c r="C36" s="21"/>
      <c r="D36" s="21"/>
      <c r="E36" s="26"/>
      <c r="F36" s="5"/>
      <c r="G36" s="17"/>
      <c r="H36" s="17"/>
      <c r="I36" s="24"/>
      <c r="J36" s="25"/>
    </row>
    <row r="37" spans="1:26" ht="14.1" customHeight="1">
      <c r="A37" s="52"/>
      <c r="B37" s="21" t="s">
        <v>80</v>
      </c>
      <c r="C37" s="21"/>
      <c r="D37" s="21"/>
      <c r="E37" s="26"/>
      <c r="F37" s="5"/>
      <c r="G37" s="17"/>
      <c r="H37" s="17"/>
      <c r="I37" s="24"/>
      <c r="J37" s="25"/>
    </row>
    <row r="38" spans="1:26" ht="14.1" customHeight="1">
      <c r="A38" s="52"/>
      <c r="B38" s="21" t="s">
        <v>75</v>
      </c>
      <c r="C38" s="100">
        <v>50</v>
      </c>
      <c r="D38" s="100">
        <v>45</v>
      </c>
      <c r="E38" s="26">
        <v>23.1</v>
      </c>
      <c r="F38" s="5" t="s">
        <v>17</v>
      </c>
      <c r="G38" s="108">
        <v>5.2</v>
      </c>
      <c r="H38" s="17" t="s">
        <v>90</v>
      </c>
      <c r="I38" s="24"/>
      <c r="J38" s="109" t="s">
        <v>92</v>
      </c>
    </row>
    <row r="39" spans="1:26" ht="14.1" customHeight="1">
      <c r="A39" s="52"/>
      <c r="B39" s="21" t="s">
        <v>73</v>
      </c>
      <c r="C39" s="100">
        <v>50</v>
      </c>
      <c r="D39" s="100">
        <v>45</v>
      </c>
      <c r="E39" s="26">
        <v>23.2</v>
      </c>
      <c r="F39" s="5" t="s">
        <v>17</v>
      </c>
      <c r="G39" s="108">
        <v>5.2</v>
      </c>
      <c r="H39" s="17" t="s">
        <v>90</v>
      </c>
      <c r="I39" s="24"/>
      <c r="J39" s="109" t="s">
        <v>92</v>
      </c>
    </row>
    <row r="40" spans="1:26" ht="14.1" customHeight="1">
      <c r="A40" s="52"/>
      <c r="B40" s="21"/>
      <c r="C40" s="100"/>
      <c r="D40" s="100"/>
      <c r="E40" s="26"/>
      <c r="F40" s="5"/>
      <c r="G40" s="17"/>
      <c r="H40" s="17"/>
      <c r="I40" s="24"/>
      <c r="J40" s="25"/>
    </row>
    <row r="41" spans="1:26" ht="14.1" customHeight="1">
      <c r="A41" s="52"/>
      <c r="B41" s="21"/>
      <c r="C41" s="100"/>
      <c r="D41" s="100"/>
      <c r="E41" s="26"/>
      <c r="F41" s="5"/>
      <c r="G41" s="17"/>
      <c r="H41" s="17"/>
      <c r="I41" s="24"/>
      <c r="J41" s="25"/>
    </row>
    <row r="42" spans="1:26" ht="14.1" customHeight="1">
      <c r="A42" s="52"/>
      <c r="B42" s="21" t="s">
        <v>78</v>
      </c>
      <c r="C42" s="100"/>
      <c r="D42" s="100"/>
      <c r="E42" s="26"/>
      <c r="F42" s="5"/>
      <c r="G42" s="17"/>
      <c r="H42" s="17"/>
      <c r="I42" s="24"/>
      <c r="J42" s="25"/>
    </row>
    <row r="43" spans="1:26" ht="14.1" customHeight="1">
      <c r="A43" s="52"/>
      <c r="B43" s="21" t="s">
        <v>79</v>
      </c>
      <c r="C43" s="100"/>
      <c r="D43" s="100"/>
      <c r="E43" s="26"/>
      <c r="F43" s="5"/>
      <c r="G43" s="17"/>
      <c r="H43" s="17"/>
      <c r="I43" s="24"/>
      <c r="J43" s="25"/>
    </row>
    <row r="44" spans="1:26" ht="14.1" customHeight="1">
      <c r="A44" s="52"/>
      <c r="B44" s="21" t="s">
        <v>82</v>
      </c>
      <c r="C44" s="100">
        <v>4</v>
      </c>
      <c r="D44" s="100">
        <v>3</v>
      </c>
      <c r="E44" s="26">
        <v>0.3</v>
      </c>
      <c r="F44" s="5" t="s">
        <v>17</v>
      </c>
      <c r="G44" s="108">
        <v>4</v>
      </c>
      <c r="H44" s="17" t="s">
        <v>90</v>
      </c>
      <c r="I44" s="24" t="s">
        <v>20</v>
      </c>
      <c r="J44" s="109" t="s">
        <v>92</v>
      </c>
    </row>
    <row r="45" spans="1:26" ht="14.1" customHeight="1">
      <c r="A45" s="9"/>
      <c r="B45" s="88"/>
      <c r="C45" s="22"/>
      <c r="D45" s="22"/>
      <c r="E45" s="26"/>
      <c r="F45" s="5"/>
      <c r="G45" s="17"/>
      <c r="H45" s="17"/>
      <c r="I45" s="24"/>
      <c r="J45" s="25"/>
      <c r="K45" s="84"/>
    </row>
    <row r="46" spans="1:26" s="3" customFormat="1" ht="14.1" customHeight="1">
      <c r="A46" s="30" t="s">
        <v>18</v>
      </c>
      <c r="B46" s="31"/>
      <c r="C46" s="101">
        <f>SUM(C25:C45)</f>
        <v>454</v>
      </c>
      <c r="D46" s="101">
        <f>SUM(D25:D45)</f>
        <v>410</v>
      </c>
      <c r="E46" s="32">
        <f>SUM(E27:E44)</f>
        <v>148</v>
      </c>
      <c r="F46" s="33" t="s">
        <v>17</v>
      </c>
      <c r="G46" s="34"/>
      <c r="H46" s="34"/>
      <c r="I46" s="35" t="s">
        <v>20</v>
      </c>
      <c r="J46" s="109" t="s">
        <v>92</v>
      </c>
      <c r="K46" s="27"/>
      <c r="L46" s="28"/>
      <c r="M46" s="27"/>
      <c r="N46" s="29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" customFormat="1" ht="14.1" customHeight="1">
      <c r="A47" s="12" t="s">
        <v>1</v>
      </c>
      <c r="B47" s="12"/>
      <c r="C47" s="37" t="s">
        <v>52</v>
      </c>
      <c r="D47" s="37" t="s">
        <v>52</v>
      </c>
      <c r="E47" s="36" t="s">
        <v>21</v>
      </c>
      <c r="F47" s="6" t="s">
        <v>22</v>
      </c>
      <c r="G47" s="23"/>
      <c r="H47" s="23"/>
      <c r="I47" s="37" t="s">
        <v>23</v>
      </c>
      <c r="J47" s="36" t="s">
        <v>24</v>
      </c>
      <c r="K47" s="27"/>
      <c r="L47" s="28"/>
      <c r="M47" s="27"/>
      <c r="N47" s="29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" customFormat="1" ht="14.1" customHeight="1">
      <c r="A48" s="12"/>
      <c r="B48" s="12"/>
      <c r="C48" s="12"/>
      <c r="D48" s="12"/>
      <c r="E48" s="36"/>
      <c r="F48" s="6"/>
      <c r="G48" s="23"/>
      <c r="H48" s="23"/>
      <c r="I48" s="37"/>
      <c r="J48" s="36"/>
      <c r="K48" s="27"/>
      <c r="L48" s="28"/>
      <c r="M48" s="27"/>
      <c r="N48" s="29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" customFormat="1" ht="14.1" customHeight="1">
      <c r="A49" s="52"/>
      <c r="B49" s="12"/>
      <c r="C49" s="12"/>
      <c r="D49" s="12"/>
      <c r="E49" s="12"/>
      <c r="F49" s="12"/>
      <c r="G49" s="12"/>
      <c r="H49" s="12"/>
      <c r="I49" s="37"/>
      <c r="J49" s="36"/>
      <c r="K49" s="27"/>
      <c r="L49" s="28"/>
      <c r="M49" s="27"/>
      <c r="N49" s="29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1" customHeight="1">
      <c r="A50" s="9"/>
      <c r="B50" s="9"/>
      <c r="C50" s="87"/>
      <c r="D50" s="87"/>
      <c r="E50" s="12"/>
      <c r="F50" s="12"/>
      <c r="G50" s="12"/>
      <c r="H50" s="12"/>
      <c r="I50" s="37"/>
      <c r="J50" s="36"/>
      <c r="K50" s="12"/>
      <c r="L50" s="6"/>
      <c r="M50" s="23"/>
      <c r="N50" s="12"/>
      <c r="O50" s="23"/>
    </row>
    <row r="51" spans="1:26" ht="14.1" customHeight="1">
      <c r="A51" s="9"/>
      <c r="B51" s="9"/>
      <c r="C51" s="87"/>
      <c r="D51" s="87"/>
      <c r="E51" s="12"/>
      <c r="F51" s="12"/>
      <c r="G51" s="12"/>
      <c r="H51" s="12"/>
      <c r="I51" s="37"/>
      <c r="J51" s="36"/>
      <c r="K51" s="12"/>
      <c r="L51" s="6"/>
      <c r="M51" s="23"/>
      <c r="N51" s="12"/>
      <c r="O51" s="23"/>
    </row>
    <row r="52" spans="1:26" ht="14.1" customHeight="1">
      <c r="A52" s="9"/>
      <c r="B52" s="9"/>
      <c r="C52" s="87"/>
      <c r="D52" s="87"/>
      <c r="E52" s="12"/>
      <c r="F52" s="12"/>
      <c r="G52" s="12"/>
      <c r="H52" s="12"/>
      <c r="I52" s="37"/>
      <c r="J52" s="36"/>
      <c r="K52" s="12"/>
      <c r="L52" s="6"/>
      <c r="M52" s="23"/>
      <c r="N52" s="12"/>
      <c r="O52" s="23"/>
    </row>
    <row r="53" spans="1:26" ht="14.1" customHeight="1">
      <c r="A53" s="9"/>
      <c r="B53" s="9"/>
      <c r="C53" s="87"/>
      <c r="D53" s="87"/>
      <c r="E53" s="12"/>
      <c r="F53" s="12"/>
      <c r="G53" s="12"/>
      <c r="H53" s="12"/>
      <c r="I53" s="37"/>
      <c r="J53" s="36"/>
      <c r="K53" s="12"/>
      <c r="L53" s="6"/>
      <c r="M53" s="23"/>
      <c r="N53" s="12"/>
      <c r="O53" s="23"/>
    </row>
    <row r="54" spans="1:26" ht="14.1" customHeight="1">
      <c r="A54" s="9"/>
      <c r="B54" s="9"/>
      <c r="C54" s="87"/>
      <c r="D54" s="87"/>
      <c r="E54" s="12"/>
      <c r="F54" s="12"/>
      <c r="G54" s="12"/>
      <c r="H54" s="12"/>
      <c r="I54" s="37"/>
      <c r="J54" s="36"/>
      <c r="K54" s="12"/>
      <c r="L54" s="6"/>
      <c r="M54" s="23"/>
      <c r="N54" s="12"/>
      <c r="O54" s="23"/>
    </row>
    <row r="55" spans="1:26" ht="14.1" customHeight="1">
      <c r="A55" s="9"/>
      <c r="B55" s="9"/>
      <c r="C55" s="87"/>
      <c r="D55" s="87"/>
      <c r="E55" s="38" t="s">
        <v>29</v>
      </c>
      <c r="F55" s="39"/>
      <c r="G55" s="39"/>
      <c r="H55" s="39"/>
      <c r="I55" s="37"/>
      <c r="J55" s="36"/>
      <c r="K55" s="12"/>
      <c r="L55" s="6"/>
      <c r="M55" s="23"/>
      <c r="N55" s="12"/>
      <c r="O55" s="23"/>
    </row>
    <row r="56" spans="1:26" ht="14.1" customHeight="1">
      <c r="A56" s="9"/>
      <c r="B56" s="9"/>
      <c r="C56" s="87"/>
      <c r="D56" s="87"/>
      <c r="E56" s="39"/>
      <c r="F56" s="39"/>
      <c r="G56" s="39"/>
      <c r="H56" s="39"/>
      <c r="I56" s="37"/>
      <c r="J56" s="36"/>
      <c r="N56" s="12"/>
      <c r="O56" s="23"/>
    </row>
    <row r="57" spans="1:26" ht="14.1" customHeight="1">
      <c r="A57" s="9"/>
      <c r="B57" s="9"/>
      <c r="C57" s="87"/>
      <c r="D57" s="87"/>
      <c r="I57" s="37"/>
      <c r="J57" s="36"/>
      <c r="N57" s="12"/>
      <c r="O57" s="23"/>
    </row>
    <row r="58" spans="1:26" ht="14.1" customHeight="1">
      <c r="A58" s="9"/>
      <c r="B58" s="9"/>
      <c r="C58" s="87"/>
      <c r="D58" s="87"/>
      <c r="E58" s="12"/>
      <c r="F58" s="12"/>
      <c r="G58" s="12"/>
      <c r="H58" s="12"/>
      <c r="I58" s="37"/>
      <c r="J58" s="36"/>
    </row>
    <row r="59" spans="1:26" ht="14.1" customHeight="1">
      <c r="A59" s="9"/>
      <c r="B59" s="9"/>
      <c r="C59" s="87"/>
      <c r="D59" s="87"/>
      <c r="E59" s="12" t="s">
        <v>46</v>
      </c>
      <c r="F59" s="12"/>
      <c r="G59" s="12"/>
      <c r="H59" s="12"/>
      <c r="I59" s="4"/>
    </row>
    <row r="60" spans="1:26" ht="14.1" customHeight="1">
      <c r="A60" s="9"/>
      <c r="B60" s="9"/>
      <c r="C60" s="87"/>
      <c r="D60" s="87"/>
    </row>
    <row r="61" spans="1:26" ht="14.1" customHeight="1">
      <c r="B61" s="9"/>
      <c r="C61" s="87"/>
      <c r="D61" s="87"/>
    </row>
    <row r="62" spans="1:26" ht="14.1" customHeight="1"/>
    <row r="63" spans="1:26" ht="14.1" customHeight="1"/>
    <row r="64" spans="1:26" ht="14.1" customHeight="1"/>
    <row r="65" ht="14.1" customHeight="1"/>
    <row r="66" ht="14.1" customHeight="1"/>
    <row r="67" ht="14.1" customHeight="1"/>
    <row r="68" ht="14.1" customHeight="1"/>
    <row r="69" ht="14.1" customHeight="1"/>
    <row r="70" ht="14.1" customHeight="1"/>
    <row r="71" ht="14.1" customHeight="1"/>
    <row r="72" ht="14.1" customHeight="1"/>
    <row r="73" ht="14.1" customHeight="1"/>
    <row r="74" ht="14.1" customHeight="1"/>
    <row r="75" ht="14.1" customHeight="1"/>
    <row r="76" ht="14.1" customHeight="1"/>
    <row r="77" ht="14.1" customHeight="1"/>
    <row r="78" ht="14.1" customHeight="1"/>
    <row r="79" ht="14.1" customHeight="1"/>
    <row r="80" ht="14.1" customHeight="1"/>
    <row r="81" ht="14.1" customHeight="1"/>
    <row r="82" ht="14.1" customHeight="1"/>
    <row r="83" ht="14.1" customHeight="1"/>
    <row r="84" ht="14.1" customHeight="1"/>
    <row r="85" ht="14.1" customHeight="1"/>
    <row r="86" ht="14.1" customHeight="1"/>
    <row r="87" ht="14.1" customHeight="1"/>
    <row r="88" ht="14.1" customHeight="1"/>
    <row r="89" ht="14.1" customHeight="1"/>
    <row r="90" ht="14.1" customHeight="1"/>
    <row r="91" ht="14.1" customHeight="1"/>
    <row r="92" ht="14.1" customHeight="1"/>
    <row r="93" ht="14.1" customHeight="1"/>
    <row r="94" ht="14.1" customHeight="1"/>
    <row r="95" ht="14.1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spans="5:5" ht="15" customHeight="1"/>
    <row r="130" spans="5:5" ht="15" customHeight="1"/>
    <row r="131" spans="5:5" ht="15" customHeight="1"/>
    <row r="132" spans="5:5" ht="15" customHeight="1"/>
    <row r="133" spans="5:5" ht="15" customHeight="1"/>
    <row r="134" spans="5:5" ht="15" customHeight="1"/>
    <row r="135" spans="5:5" ht="15" customHeight="1"/>
    <row r="136" spans="5:5" ht="15" customHeight="1"/>
    <row r="137" spans="5:5" ht="15" customHeight="1">
      <c r="E137" s="41"/>
    </row>
    <row r="138" spans="5:5" ht="15" customHeight="1"/>
  </sheetData>
  <mergeCells count="7">
    <mergeCell ref="F21:J21"/>
    <mergeCell ref="A1:J1"/>
    <mergeCell ref="K1:S1"/>
    <mergeCell ref="A2:J2"/>
    <mergeCell ref="A3:J3"/>
    <mergeCell ref="A4:J4"/>
    <mergeCell ref="I6:J6"/>
  </mergeCells>
  <phoneticPr fontId="2" type="noConversion"/>
  <hyperlinks>
    <hyperlink ref="A3" r:id="rId1" xr:uid="{8EB055E8-3F3C-41E2-83F0-C0E493549632}"/>
  </hyperlinks>
  <printOptions horizontalCentered="1"/>
  <pageMargins left="0.19685039370078741" right="0.19685039370078741" top="0.35433070866141736" bottom="0.19685039370078741" header="0.31496062992125984" footer="0.31496062992125984"/>
  <pageSetup paperSize="9" scale="85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8"/>
  <sheetViews>
    <sheetView view="pageBreakPreview" zoomScaleNormal="100" zoomScaleSheetLayoutView="100" workbookViewId="0">
      <selection sqref="A1:J3"/>
    </sheetView>
  </sheetViews>
  <sheetFormatPr defaultRowHeight="12.75"/>
  <cols>
    <col min="1" max="1" width="13.375" style="40" customWidth="1"/>
    <col min="2" max="2" width="36.25" style="40" bestFit="1" customWidth="1"/>
    <col min="3" max="3" width="9" style="40" bestFit="1" customWidth="1"/>
    <col min="4" max="4" width="10" style="40" customWidth="1"/>
    <col min="5" max="5" width="10.625" style="40" customWidth="1"/>
    <col min="6" max="6" width="5.125" style="40" customWidth="1"/>
    <col min="7" max="7" width="9" style="40" customWidth="1"/>
    <col min="8" max="8" width="4" style="40" customWidth="1"/>
    <col min="9" max="9" width="5.25" style="40" customWidth="1"/>
    <col min="10" max="10" width="13.375" style="40" customWidth="1"/>
    <col min="11" max="11" width="9.375" style="4" bestFit="1" customWidth="1"/>
    <col min="12" max="258" width="9" style="4"/>
    <col min="259" max="259" width="17.5" style="4" customWidth="1"/>
    <col min="260" max="260" width="5.75" style="4" customWidth="1"/>
    <col min="261" max="261" width="34.125" style="4" customWidth="1"/>
    <col min="262" max="262" width="10.625" style="4" customWidth="1"/>
    <col min="263" max="263" width="5.125" style="4" customWidth="1"/>
    <col min="264" max="264" width="11" style="4" customWidth="1"/>
    <col min="265" max="265" width="5.25" style="4" customWidth="1"/>
    <col min="266" max="266" width="12.5" style="4" customWidth="1"/>
    <col min="267" max="514" width="9" style="4"/>
    <col min="515" max="515" width="17.5" style="4" customWidth="1"/>
    <col min="516" max="516" width="5.75" style="4" customWidth="1"/>
    <col min="517" max="517" width="34.125" style="4" customWidth="1"/>
    <col min="518" max="518" width="10.625" style="4" customWidth="1"/>
    <col min="519" max="519" width="5.125" style="4" customWidth="1"/>
    <col min="520" max="520" width="11" style="4" customWidth="1"/>
    <col min="521" max="521" width="5.25" style="4" customWidth="1"/>
    <col min="522" max="522" width="12.5" style="4" customWidth="1"/>
    <col min="523" max="770" width="9" style="4"/>
    <col min="771" max="771" width="17.5" style="4" customWidth="1"/>
    <col min="772" max="772" width="5.75" style="4" customWidth="1"/>
    <col min="773" max="773" width="34.125" style="4" customWidth="1"/>
    <col min="774" max="774" width="10.625" style="4" customWidth="1"/>
    <col min="775" max="775" width="5.125" style="4" customWidth="1"/>
    <col min="776" max="776" width="11" style="4" customWidth="1"/>
    <col min="777" max="777" width="5.25" style="4" customWidth="1"/>
    <col min="778" max="778" width="12.5" style="4" customWidth="1"/>
    <col min="779" max="1026" width="9" style="4"/>
    <col min="1027" max="1027" width="17.5" style="4" customWidth="1"/>
    <col min="1028" max="1028" width="5.75" style="4" customWidth="1"/>
    <col min="1029" max="1029" width="34.125" style="4" customWidth="1"/>
    <col min="1030" max="1030" width="10.625" style="4" customWidth="1"/>
    <col min="1031" max="1031" width="5.125" style="4" customWidth="1"/>
    <col min="1032" max="1032" width="11" style="4" customWidth="1"/>
    <col min="1033" max="1033" width="5.25" style="4" customWidth="1"/>
    <col min="1034" max="1034" width="12.5" style="4" customWidth="1"/>
    <col min="1035" max="1282" width="9" style="4"/>
    <col min="1283" max="1283" width="17.5" style="4" customWidth="1"/>
    <col min="1284" max="1284" width="5.75" style="4" customWidth="1"/>
    <col min="1285" max="1285" width="34.125" style="4" customWidth="1"/>
    <col min="1286" max="1286" width="10.625" style="4" customWidth="1"/>
    <col min="1287" max="1287" width="5.125" style="4" customWidth="1"/>
    <col min="1288" max="1288" width="11" style="4" customWidth="1"/>
    <col min="1289" max="1289" width="5.25" style="4" customWidth="1"/>
    <col min="1290" max="1290" width="12.5" style="4" customWidth="1"/>
    <col min="1291" max="1538" width="9" style="4"/>
    <col min="1539" max="1539" width="17.5" style="4" customWidth="1"/>
    <col min="1540" max="1540" width="5.75" style="4" customWidth="1"/>
    <col min="1541" max="1541" width="34.125" style="4" customWidth="1"/>
    <col min="1542" max="1542" width="10.625" style="4" customWidth="1"/>
    <col min="1543" max="1543" width="5.125" style="4" customWidth="1"/>
    <col min="1544" max="1544" width="11" style="4" customWidth="1"/>
    <col min="1545" max="1545" width="5.25" style="4" customWidth="1"/>
    <col min="1546" max="1546" width="12.5" style="4" customWidth="1"/>
    <col min="1547" max="1794" width="9" style="4"/>
    <col min="1795" max="1795" width="17.5" style="4" customWidth="1"/>
    <col min="1796" max="1796" width="5.75" style="4" customWidth="1"/>
    <col min="1797" max="1797" width="34.125" style="4" customWidth="1"/>
    <col min="1798" max="1798" width="10.625" style="4" customWidth="1"/>
    <col min="1799" max="1799" width="5.125" style="4" customWidth="1"/>
    <col min="1800" max="1800" width="11" style="4" customWidth="1"/>
    <col min="1801" max="1801" width="5.25" style="4" customWidth="1"/>
    <col min="1802" max="1802" width="12.5" style="4" customWidth="1"/>
    <col min="1803" max="2050" width="9" style="4"/>
    <col min="2051" max="2051" width="17.5" style="4" customWidth="1"/>
    <col min="2052" max="2052" width="5.75" style="4" customWidth="1"/>
    <col min="2053" max="2053" width="34.125" style="4" customWidth="1"/>
    <col min="2054" max="2054" width="10.625" style="4" customWidth="1"/>
    <col min="2055" max="2055" width="5.125" style="4" customWidth="1"/>
    <col min="2056" max="2056" width="11" style="4" customWidth="1"/>
    <col min="2057" max="2057" width="5.25" style="4" customWidth="1"/>
    <col min="2058" max="2058" width="12.5" style="4" customWidth="1"/>
    <col min="2059" max="2306" width="9" style="4"/>
    <col min="2307" max="2307" width="17.5" style="4" customWidth="1"/>
    <col min="2308" max="2308" width="5.75" style="4" customWidth="1"/>
    <col min="2309" max="2309" width="34.125" style="4" customWidth="1"/>
    <col min="2310" max="2310" width="10.625" style="4" customWidth="1"/>
    <col min="2311" max="2311" width="5.125" style="4" customWidth="1"/>
    <col min="2312" max="2312" width="11" style="4" customWidth="1"/>
    <col min="2313" max="2313" width="5.25" style="4" customWidth="1"/>
    <col min="2314" max="2314" width="12.5" style="4" customWidth="1"/>
    <col min="2315" max="2562" width="9" style="4"/>
    <col min="2563" max="2563" width="17.5" style="4" customWidth="1"/>
    <col min="2564" max="2564" width="5.75" style="4" customWidth="1"/>
    <col min="2565" max="2565" width="34.125" style="4" customWidth="1"/>
    <col min="2566" max="2566" width="10.625" style="4" customWidth="1"/>
    <col min="2567" max="2567" width="5.125" style="4" customWidth="1"/>
    <col min="2568" max="2568" width="11" style="4" customWidth="1"/>
    <col min="2569" max="2569" width="5.25" style="4" customWidth="1"/>
    <col min="2570" max="2570" width="12.5" style="4" customWidth="1"/>
    <col min="2571" max="2818" width="9" style="4"/>
    <col min="2819" max="2819" width="17.5" style="4" customWidth="1"/>
    <col min="2820" max="2820" width="5.75" style="4" customWidth="1"/>
    <col min="2821" max="2821" width="34.125" style="4" customWidth="1"/>
    <col min="2822" max="2822" width="10.625" style="4" customWidth="1"/>
    <col min="2823" max="2823" width="5.125" style="4" customWidth="1"/>
    <col min="2824" max="2824" width="11" style="4" customWidth="1"/>
    <col min="2825" max="2825" width="5.25" style="4" customWidth="1"/>
    <col min="2826" max="2826" width="12.5" style="4" customWidth="1"/>
    <col min="2827" max="3074" width="9" style="4"/>
    <col min="3075" max="3075" width="17.5" style="4" customWidth="1"/>
    <col min="3076" max="3076" width="5.75" style="4" customWidth="1"/>
    <col min="3077" max="3077" width="34.125" style="4" customWidth="1"/>
    <col min="3078" max="3078" width="10.625" style="4" customWidth="1"/>
    <col min="3079" max="3079" width="5.125" style="4" customWidth="1"/>
    <col min="3080" max="3080" width="11" style="4" customWidth="1"/>
    <col min="3081" max="3081" width="5.25" style="4" customWidth="1"/>
    <col min="3082" max="3082" width="12.5" style="4" customWidth="1"/>
    <col min="3083" max="3330" width="9" style="4"/>
    <col min="3331" max="3331" width="17.5" style="4" customWidth="1"/>
    <col min="3332" max="3332" width="5.75" style="4" customWidth="1"/>
    <col min="3333" max="3333" width="34.125" style="4" customWidth="1"/>
    <col min="3334" max="3334" width="10.625" style="4" customWidth="1"/>
    <col min="3335" max="3335" width="5.125" style="4" customWidth="1"/>
    <col min="3336" max="3336" width="11" style="4" customWidth="1"/>
    <col min="3337" max="3337" width="5.25" style="4" customWidth="1"/>
    <col min="3338" max="3338" width="12.5" style="4" customWidth="1"/>
    <col min="3339" max="3586" width="9" style="4"/>
    <col min="3587" max="3587" width="17.5" style="4" customWidth="1"/>
    <col min="3588" max="3588" width="5.75" style="4" customWidth="1"/>
    <col min="3589" max="3589" width="34.125" style="4" customWidth="1"/>
    <col min="3590" max="3590" width="10.625" style="4" customWidth="1"/>
    <col min="3591" max="3591" width="5.125" style="4" customWidth="1"/>
    <col min="3592" max="3592" width="11" style="4" customWidth="1"/>
    <col min="3593" max="3593" width="5.25" style="4" customWidth="1"/>
    <col min="3594" max="3594" width="12.5" style="4" customWidth="1"/>
    <col min="3595" max="3842" width="9" style="4"/>
    <col min="3843" max="3843" width="17.5" style="4" customWidth="1"/>
    <col min="3844" max="3844" width="5.75" style="4" customWidth="1"/>
    <col min="3845" max="3845" width="34.125" style="4" customWidth="1"/>
    <col min="3846" max="3846" width="10.625" style="4" customWidth="1"/>
    <col min="3847" max="3847" width="5.125" style="4" customWidth="1"/>
    <col min="3848" max="3848" width="11" style="4" customWidth="1"/>
    <col min="3849" max="3849" width="5.25" style="4" customWidth="1"/>
    <col min="3850" max="3850" width="12.5" style="4" customWidth="1"/>
    <col min="3851" max="4098" width="9" style="4"/>
    <col min="4099" max="4099" width="17.5" style="4" customWidth="1"/>
    <col min="4100" max="4100" width="5.75" style="4" customWidth="1"/>
    <col min="4101" max="4101" width="34.125" style="4" customWidth="1"/>
    <col min="4102" max="4102" width="10.625" style="4" customWidth="1"/>
    <col min="4103" max="4103" width="5.125" style="4" customWidth="1"/>
    <col min="4104" max="4104" width="11" style="4" customWidth="1"/>
    <col min="4105" max="4105" width="5.25" style="4" customWidth="1"/>
    <col min="4106" max="4106" width="12.5" style="4" customWidth="1"/>
    <col min="4107" max="4354" width="9" style="4"/>
    <col min="4355" max="4355" width="17.5" style="4" customWidth="1"/>
    <col min="4356" max="4356" width="5.75" style="4" customWidth="1"/>
    <col min="4357" max="4357" width="34.125" style="4" customWidth="1"/>
    <col min="4358" max="4358" width="10.625" style="4" customWidth="1"/>
    <col min="4359" max="4359" width="5.125" style="4" customWidth="1"/>
    <col min="4360" max="4360" width="11" style="4" customWidth="1"/>
    <col min="4361" max="4361" width="5.25" style="4" customWidth="1"/>
    <col min="4362" max="4362" width="12.5" style="4" customWidth="1"/>
    <col min="4363" max="4610" width="9" style="4"/>
    <col min="4611" max="4611" width="17.5" style="4" customWidth="1"/>
    <col min="4612" max="4612" width="5.75" style="4" customWidth="1"/>
    <col min="4613" max="4613" width="34.125" style="4" customWidth="1"/>
    <col min="4614" max="4614" width="10.625" style="4" customWidth="1"/>
    <col min="4615" max="4615" width="5.125" style="4" customWidth="1"/>
    <col min="4616" max="4616" width="11" style="4" customWidth="1"/>
    <col min="4617" max="4617" width="5.25" style="4" customWidth="1"/>
    <col min="4618" max="4618" width="12.5" style="4" customWidth="1"/>
    <col min="4619" max="4866" width="9" style="4"/>
    <col min="4867" max="4867" width="17.5" style="4" customWidth="1"/>
    <col min="4868" max="4868" width="5.75" style="4" customWidth="1"/>
    <col min="4869" max="4869" width="34.125" style="4" customWidth="1"/>
    <col min="4870" max="4870" width="10.625" style="4" customWidth="1"/>
    <col min="4871" max="4871" width="5.125" style="4" customWidth="1"/>
    <col min="4872" max="4872" width="11" style="4" customWidth="1"/>
    <col min="4873" max="4873" width="5.25" style="4" customWidth="1"/>
    <col min="4874" max="4874" width="12.5" style="4" customWidth="1"/>
    <col min="4875" max="5122" width="9" style="4"/>
    <col min="5123" max="5123" width="17.5" style="4" customWidth="1"/>
    <col min="5124" max="5124" width="5.75" style="4" customWidth="1"/>
    <col min="5125" max="5125" width="34.125" style="4" customWidth="1"/>
    <col min="5126" max="5126" width="10.625" style="4" customWidth="1"/>
    <col min="5127" max="5127" width="5.125" style="4" customWidth="1"/>
    <col min="5128" max="5128" width="11" style="4" customWidth="1"/>
    <col min="5129" max="5129" width="5.25" style="4" customWidth="1"/>
    <col min="5130" max="5130" width="12.5" style="4" customWidth="1"/>
    <col min="5131" max="5378" width="9" style="4"/>
    <col min="5379" max="5379" width="17.5" style="4" customWidth="1"/>
    <col min="5380" max="5380" width="5.75" style="4" customWidth="1"/>
    <col min="5381" max="5381" width="34.125" style="4" customWidth="1"/>
    <col min="5382" max="5382" width="10.625" style="4" customWidth="1"/>
    <col min="5383" max="5383" width="5.125" style="4" customWidth="1"/>
    <col min="5384" max="5384" width="11" style="4" customWidth="1"/>
    <col min="5385" max="5385" width="5.25" style="4" customWidth="1"/>
    <col min="5386" max="5386" width="12.5" style="4" customWidth="1"/>
    <col min="5387" max="5634" width="9" style="4"/>
    <col min="5635" max="5635" width="17.5" style="4" customWidth="1"/>
    <col min="5636" max="5636" width="5.75" style="4" customWidth="1"/>
    <col min="5637" max="5637" width="34.125" style="4" customWidth="1"/>
    <col min="5638" max="5638" width="10.625" style="4" customWidth="1"/>
    <col min="5639" max="5639" width="5.125" style="4" customWidth="1"/>
    <col min="5640" max="5640" width="11" style="4" customWidth="1"/>
    <col min="5641" max="5641" width="5.25" style="4" customWidth="1"/>
    <col min="5642" max="5642" width="12.5" style="4" customWidth="1"/>
    <col min="5643" max="5890" width="9" style="4"/>
    <col min="5891" max="5891" width="17.5" style="4" customWidth="1"/>
    <col min="5892" max="5892" width="5.75" style="4" customWidth="1"/>
    <col min="5893" max="5893" width="34.125" style="4" customWidth="1"/>
    <col min="5894" max="5894" width="10.625" style="4" customWidth="1"/>
    <col min="5895" max="5895" width="5.125" style="4" customWidth="1"/>
    <col min="5896" max="5896" width="11" style="4" customWidth="1"/>
    <col min="5897" max="5897" width="5.25" style="4" customWidth="1"/>
    <col min="5898" max="5898" width="12.5" style="4" customWidth="1"/>
    <col min="5899" max="6146" width="9" style="4"/>
    <col min="6147" max="6147" width="17.5" style="4" customWidth="1"/>
    <col min="6148" max="6148" width="5.75" style="4" customWidth="1"/>
    <col min="6149" max="6149" width="34.125" style="4" customWidth="1"/>
    <col min="6150" max="6150" width="10.625" style="4" customWidth="1"/>
    <col min="6151" max="6151" width="5.125" style="4" customWidth="1"/>
    <col min="6152" max="6152" width="11" style="4" customWidth="1"/>
    <col min="6153" max="6153" width="5.25" style="4" customWidth="1"/>
    <col min="6154" max="6154" width="12.5" style="4" customWidth="1"/>
    <col min="6155" max="6402" width="9" style="4"/>
    <col min="6403" max="6403" width="17.5" style="4" customWidth="1"/>
    <col min="6404" max="6404" width="5.75" style="4" customWidth="1"/>
    <col min="6405" max="6405" width="34.125" style="4" customWidth="1"/>
    <col min="6406" max="6406" width="10.625" style="4" customWidth="1"/>
    <col min="6407" max="6407" width="5.125" style="4" customWidth="1"/>
    <col min="6408" max="6408" width="11" style="4" customWidth="1"/>
    <col min="6409" max="6409" width="5.25" style="4" customWidth="1"/>
    <col min="6410" max="6410" width="12.5" style="4" customWidth="1"/>
    <col min="6411" max="6658" width="9" style="4"/>
    <col min="6659" max="6659" width="17.5" style="4" customWidth="1"/>
    <col min="6660" max="6660" width="5.75" style="4" customWidth="1"/>
    <col min="6661" max="6661" width="34.125" style="4" customWidth="1"/>
    <col min="6662" max="6662" width="10.625" style="4" customWidth="1"/>
    <col min="6663" max="6663" width="5.125" style="4" customWidth="1"/>
    <col min="6664" max="6664" width="11" style="4" customWidth="1"/>
    <col min="6665" max="6665" width="5.25" style="4" customWidth="1"/>
    <col min="6666" max="6666" width="12.5" style="4" customWidth="1"/>
    <col min="6667" max="6914" width="9" style="4"/>
    <col min="6915" max="6915" width="17.5" style="4" customWidth="1"/>
    <col min="6916" max="6916" width="5.75" style="4" customWidth="1"/>
    <col min="6917" max="6917" width="34.125" style="4" customWidth="1"/>
    <col min="6918" max="6918" width="10.625" style="4" customWidth="1"/>
    <col min="6919" max="6919" width="5.125" style="4" customWidth="1"/>
    <col min="6920" max="6920" width="11" style="4" customWidth="1"/>
    <col min="6921" max="6921" width="5.25" style="4" customWidth="1"/>
    <col min="6922" max="6922" width="12.5" style="4" customWidth="1"/>
    <col min="6923" max="7170" width="9" style="4"/>
    <col min="7171" max="7171" width="17.5" style="4" customWidth="1"/>
    <col min="7172" max="7172" width="5.75" style="4" customWidth="1"/>
    <col min="7173" max="7173" width="34.125" style="4" customWidth="1"/>
    <col min="7174" max="7174" width="10.625" style="4" customWidth="1"/>
    <col min="7175" max="7175" width="5.125" style="4" customWidth="1"/>
    <col min="7176" max="7176" width="11" style="4" customWidth="1"/>
    <col min="7177" max="7177" width="5.25" style="4" customWidth="1"/>
    <col min="7178" max="7178" width="12.5" style="4" customWidth="1"/>
    <col min="7179" max="7426" width="9" style="4"/>
    <col min="7427" max="7427" width="17.5" style="4" customWidth="1"/>
    <col min="7428" max="7428" width="5.75" style="4" customWidth="1"/>
    <col min="7429" max="7429" width="34.125" style="4" customWidth="1"/>
    <col min="7430" max="7430" width="10.625" style="4" customWidth="1"/>
    <col min="7431" max="7431" width="5.125" style="4" customWidth="1"/>
    <col min="7432" max="7432" width="11" style="4" customWidth="1"/>
    <col min="7433" max="7433" width="5.25" style="4" customWidth="1"/>
    <col min="7434" max="7434" width="12.5" style="4" customWidth="1"/>
    <col min="7435" max="7682" width="9" style="4"/>
    <col min="7683" max="7683" width="17.5" style="4" customWidth="1"/>
    <col min="7684" max="7684" width="5.75" style="4" customWidth="1"/>
    <col min="7685" max="7685" width="34.125" style="4" customWidth="1"/>
    <col min="7686" max="7686" width="10.625" style="4" customWidth="1"/>
    <col min="7687" max="7687" width="5.125" style="4" customWidth="1"/>
    <col min="7688" max="7688" width="11" style="4" customWidth="1"/>
    <col min="7689" max="7689" width="5.25" style="4" customWidth="1"/>
    <col min="7690" max="7690" width="12.5" style="4" customWidth="1"/>
    <col min="7691" max="7938" width="9" style="4"/>
    <col min="7939" max="7939" width="17.5" style="4" customWidth="1"/>
    <col min="7940" max="7940" width="5.75" style="4" customWidth="1"/>
    <col min="7941" max="7941" width="34.125" style="4" customWidth="1"/>
    <col min="7942" max="7942" width="10.625" style="4" customWidth="1"/>
    <col min="7943" max="7943" width="5.125" style="4" customWidth="1"/>
    <col min="7944" max="7944" width="11" style="4" customWidth="1"/>
    <col min="7945" max="7945" width="5.25" style="4" customWidth="1"/>
    <col min="7946" max="7946" width="12.5" style="4" customWidth="1"/>
    <col min="7947" max="8194" width="9" style="4"/>
    <col min="8195" max="8195" width="17.5" style="4" customWidth="1"/>
    <col min="8196" max="8196" width="5.75" style="4" customWidth="1"/>
    <col min="8197" max="8197" width="34.125" style="4" customWidth="1"/>
    <col min="8198" max="8198" width="10.625" style="4" customWidth="1"/>
    <col min="8199" max="8199" width="5.125" style="4" customWidth="1"/>
    <col min="8200" max="8200" width="11" style="4" customWidth="1"/>
    <col min="8201" max="8201" width="5.25" style="4" customWidth="1"/>
    <col min="8202" max="8202" width="12.5" style="4" customWidth="1"/>
    <col min="8203" max="8450" width="9" style="4"/>
    <col min="8451" max="8451" width="17.5" style="4" customWidth="1"/>
    <col min="8452" max="8452" width="5.75" style="4" customWidth="1"/>
    <col min="8453" max="8453" width="34.125" style="4" customWidth="1"/>
    <col min="8454" max="8454" width="10.625" style="4" customWidth="1"/>
    <col min="8455" max="8455" width="5.125" style="4" customWidth="1"/>
    <col min="8456" max="8456" width="11" style="4" customWidth="1"/>
    <col min="8457" max="8457" width="5.25" style="4" customWidth="1"/>
    <col min="8458" max="8458" width="12.5" style="4" customWidth="1"/>
    <col min="8459" max="8706" width="9" style="4"/>
    <col min="8707" max="8707" width="17.5" style="4" customWidth="1"/>
    <col min="8708" max="8708" width="5.75" style="4" customWidth="1"/>
    <col min="8709" max="8709" width="34.125" style="4" customWidth="1"/>
    <col min="8710" max="8710" width="10.625" style="4" customWidth="1"/>
    <col min="8711" max="8711" width="5.125" style="4" customWidth="1"/>
    <col min="8712" max="8712" width="11" style="4" customWidth="1"/>
    <col min="8713" max="8713" width="5.25" style="4" customWidth="1"/>
    <col min="8714" max="8714" width="12.5" style="4" customWidth="1"/>
    <col min="8715" max="8962" width="9" style="4"/>
    <col min="8963" max="8963" width="17.5" style="4" customWidth="1"/>
    <col min="8964" max="8964" width="5.75" style="4" customWidth="1"/>
    <col min="8965" max="8965" width="34.125" style="4" customWidth="1"/>
    <col min="8966" max="8966" width="10.625" style="4" customWidth="1"/>
    <col min="8967" max="8967" width="5.125" style="4" customWidth="1"/>
    <col min="8968" max="8968" width="11" style="4" customWidth="1"/>
    <col min="8969" max="8969" width="5.25" style="4" customWidth="1"/>
    <col min="8970" max="8970" width="12.5" style="4" customWidth="1"/>
    <col min="8971" max="9218" width="9" style="4"/>
    <col min="9219" max="9219" width="17.5" style="4" customWidth="1"/>
    <col min="9220" max="9220" width="5.75" style="4" customWidth="1"/>
    <col min="9221" max="9221" width="34.125" style="4" customWidth="1"/>
    <col min="9222" max="9222" width="10.625" style="4" customWidth="1"/>
    <col min="9223" max="9223" width="5.125" style="4" customWidth="1"/>
    <col min="9224" max="9224" width="11" style="4" customWidth="1"/>
    <col min="9225" max="9225" width="5.25" style="4" customWidth="1"/>
    <col min="9226" max="9226" width="12.5" style="4" customWidth="1"/>
    <col min="9227" max="9474" width="9" style="4"/>
    <col min="9475" max="9475" width="17.5" style="4" customWidth="1"/>
    <col min="9476" max="9476" width="5.75" style="4" customWidth="1"/>
    <col min="9477" max="9477" width="34.125" style="4" customWidth="1"/>
    <col min="9478" max="9478" width="10.625" style="4" customWidth="1"/>
    <col min="9479" max="9479" width="5.125" style="4" customWidth="1"/>
    <col min="9480" max="9480" width="11" style="4" customWidth="1"/>
    <col min="9481" max="9481" width="5.25" style="4" customWidth="1"/>
    <col min="9482" max="9482" width="12.5" style="4" customWidth="1"/>
    <col min="9483" max="9730" width="9" style="4"/>
    <col min="9731" max="9731" width="17.5" style="4" customWidth="1"/>
    <col min="9732" max="9732" width="5.75" style="4" customWidth="1"/>
    <col min="9733" max="9733" width="34.125" style="4" customWidth="1"/>
    <col min="9734" max="9734" width="10.625" style="4" customWidth="1"/>
    <col min="9735" max="9735" width="5.125" style="4" customWidth="1"/>
    <col min="9736" max="9736" width="11" style="4" customWidth="1"/>
    <col min="9737" max="9737" width="5.25" style="4" customWidth="1"/>
    <col min="9738" max="9738" width="12.5" style="4" customWidth="1"/>
    <col min="9739" max="9986" width="9" style="4"/>
    <col min="9987" max="9987" width="17.5" style="4" customWidth="1"/>
    <col min="9988" max="9988" width="5.75" style="4" customWidth="1"/>
    <col min="9989" max="9989" width="34.125" style="4" customWidth="1"/>
    <col min="9990" max="9990" width="10.625" style="4" customWidth="1"/>
    <col min="9991" max="9991" width="5.125" style="4" customWidth="1"/>
    <col min="9992" max="9992" width="11" style="4" customWidth="1"/>
    <col min="9993" max="9993" width="5.25" style="4" customWidth="1"/>
    <col min="9994" max="9994" width="12.5" style="4" customWidth="1"/>
    <col min="9995" max="10242" width="9" style="4"/>
    <col min="10243" max="10243" width="17.5" style="4" customWidth="1"/>
    <col min="10244" max="10244" width="5.75" style="4" customWidth="1"/>
    <col min="10245" max="10245" width="34.125" style="4" customWidth="1"/>
    <col min="10246" max="10246" width="10.625" style="4" customWidth="1"/>
    <col min="10247" max="10247" width="5.125" style="4" customWidth="1"/>
    <col min="10248" max="10248" width="11" style="4" customWidth="1"/>
    <col min="10249" max="10249" width="5.25" style="4" customWidth="1"/>
    <col min="10250" max="10250" width="12.5" style="4" customWidth="1"/>
    <col min="10251" max="10498" width="9" style="4"/>
    <col min="10499" max="10499" width="17.5" style="4" customWidth="1"/>
    <col min="10500" max="10500" width="5.75" style="4" customWidth="1"/>
    <col min="10501" max="10501" width="34.125" style="4" customWidth="1"/>
    <col min="10502" max="10502" width="10.625" style="4" customWidth="1"/>
    <col min="10503" max="10503" width="5.125" style="4" customWidth="1"/>
    <col min="10504" max="10504" width="11" style="4" customWidth="1"/>
    <col min="10505" max="10505" width="5.25" style="4" customWidth="1"/>
    <col min="10506" max="10506" width="12.5" style="4" customWidth="1"/>
    <col min="10507" max="10754" width="9" style="4"/>
    <col min="10755" max="10755" width="17.5" style="4" customWidth="1"/>
    <col min="10756" max="10756" width="5.75" style="4" customWidth="1"/>
    <col min="10757" max="10757" width="34.125" style="4" customWidth="1"/>
    <col min="10758" max="10758" width="10.625" style="4" customWidth="1"/>
    <col min="10759" max="10759" width="5.125" style="4" customWidth="1"/>
    <col min="10760" max="10760" width="11" style="4" customWidth="1"/>
    <col min="10761" max="10761" width="5.25" style="4" customWidth="1"/>
    <col min="10762" max="10762" width="12.5" style="4" customWidth="1"/>
    <col min="10763" max="11010" width="9" style="4"/>
    <col min="11011" max="11011" width="17.5" style="4" customWidth="1"/>
    <col min="11012" max="11012" width="5.75" style="4" customWidth="1"/>
    <col min="11013" max="11013" width="34.125" style="4" customWidth="1"/>
    <col min="11014" max="11014" width="10.625" style="4" customWidth="1"/>
    <col min="11015" max="11015" width="5.125" style="4" customWidth="1"/>
    <col min="11016" max="11016" width="11" style="4" customWidth="1"/>
    <col min="11017" max="11017" width="5.25" style="4" customWidth="1"/>
    <col min="11018" max="11018" width="12.5" style="4" customWidth="1"/>
    <col min="11019" max="11266" width="9" style="4"/>
    <col min="11267" max="11267" width="17.5" style="4" customWidth="1"/>
    <col min="11268" max="11268" width="5.75" style="4" customWidth="1"/>
    <col min="11269" max="11269" width="34.125" style="4" customWidth="1"/>
    <col min="11270" max="11270" width="10.625" style="4" customWidth="1"/>
    <col min="11271" max="11271" width="5.125" style="4" customWidth="1"/>
    <col min="11272" max="11272" width="11" style="4" customWidth="1"/>
    <col min="11273" max="11273" width="5.25" style="4" customWidth="1"/>
    <col min="11274" max="11274" width="12.5" style="4" customWidth="1"/>
    <col min="11275" max="11522" width="9" style="4"/>
    <col min="11523" max="11523" width="17.5" style="4" customWidth="1"/>
    <col min="11524" max="11524" width="5.75" style="4" customWidth="1"/>
    <col min="11525" max="11525" width="34.125" style="4" customWidth="1"/>
    <col min="11526" max="11526" width="10.625" style="4" customWidth="1"/>
    <col min="11527" max="11527" width="5.125" style="4" customWidth="1"/>
    <col min="11528" max="11528" width="11" style="4" customWidth="1"/>
    <col min="11529" max="11529" width="5.25" style="4" customWidth="1"/>
    <col min="11530" max="11530" width="12.5" style="4" customWidth="1"/>
    <col min="11531" max="11778" width="9" style="4"/>
    <col min="11779" max="11779" width="17.5" style="4" customWidth="1"/>
    <col min="11780" max="11780" width="5.75" style="4" customWidth="1"/>
    <col min="11781" max="11781" width="34.125" style="4" customWidth="1"/>
    <col min="11782" max="11782" width="10.625" style="4" customWidth="1"/>
    <col min="11783" max="11783" width="5.125" style="4" customWidth="1"/>
    <col min="11784" max="11784" width="11" style="4" customWidth="1"/>
    <col min="11785" max="11785" width="5.25" style="4" customWidth="1"/>
    <col min="11786" max="11786" width="12.5" style="4" customWidth="1"/>
    <col min="11787" max="12034" width="9" style="4"/>
    <col min="12035" max="12035" width="17.5" style="4" customWidth="1"/>
    <col min="12036" max="12036" width="5.75" style="4" customWidth="1"/>
    <col min="12037" max="12037" width="34.125" style="4" customWidth="1"/>
    <col min="12038" max="12038" width="10.625" style="4" customWidth="1"/>
    <col min="12039" max="12039" width="5.125" style="4" customWidth="1"/>
    <col min="12040" max="12040" width="11" style="4" customWidth="1"/>
    <col min="12041" max="12041" width="5.25" style="4" customWidth="1"/>
    <col min="12042" max="12042" width="12.5" style="4" customWidth="1"/>
    <col min="12043" max="12290" width="9" style="4"/>
    <col min="12291" max="12291" width="17.5" style="4" customWidth="1"/>
    <col min="12292" max="12292" width="5.75" style="4" customWidth="1"/>
    <col min="12293" max="12293" width="34.125" style="4" customWidth="1"/>
    <col min="12294" max="12294" width="10.625" style="4" customWidth="1"/>
    <col min="12295" max="12295" width="5.125" style="4" customWidth="1"/>
    <col min="12296" max="12296" width="11" style="4" customWidth="1"/>
    <col min="12297" max="12297" width="5.25" style="4" customWidth="1"/>
    <col min="12298" max="12298" width="12.5" style="4" customWidth="1"/>
    <col min="12299" max="12546" width="9" style="4"/>
    <col min="12547" max="12547" width="17.5" style="4" customWidth="1"/>
    <col min="12548" max="12548" width="5.75" style="4" customWidth="1"/>
    <col min="12549" max="12549" width="34.125" style="4" customWidth="1"/>
    <col min="12550" max="12550" width="10.625" style="4" customWidth="1"/>
    <col min="12551" max="12551" width="5.125" style="4" customWidth="1"/>
    <col min="12552" max="12552" width="11" style="4" customWidth="1"/>
    <col min="12553" max="12553" width="5.25" style="4" customWidth="1"/>
    <col min="12554" max="12554" width="12.5" style="4" customWidth="1"/>
    <col min="12555" max="12802" width="9" style="4"/>
    <col min="12803" max="12803" width="17.5" style="4" customWidth="1"/>
    <col min="12804" max="12804" width="5.75" style="4" customWidth="1"/>
    <col min="12805" max="12805" width="34.125" style="4" customWidth="1"/>
    <col min="12806" max="12806" width="10.625" style="4" customWidth="1"/>
    <col min="12807" max="12807" width="5.125" style="4" customWidth="1"/>
    <col min="12808" max="12808" width="11" style="4" customWidth="1"/>
    <col min="12809" max="12809" width="5.25" style="4" customWidth="1"/>
    <col min="12810" max="12810" width="12.5" style="4" customWidth="1"/>
    <col min="12811" max="13058" width="9" style="4"/>
    <col min="13059" max="13059" width="17.5" style="4" customWidth="1"/>
    <col min="13060" max="13060" width="5.75" style="4" customWidth="1"/>
    <col min="13061" max="13061" width="34.125" style="4" customWidth="1"/>
    <col min="13062" max="13062" width="10.625" style="4" customWidth="1"/>
    <col min="13063" max="13063" width="5.125" style="4" customWidth="1"/>
    <col min="13064" max="13064" width="11" style="4" customWidth="1"/>
    <col min="13065" max="13065" width="5.25" style="4" customWidth="1"/>
    <col min="13066" max="13066" width="12.5" style="4" customWidth="1"/>
    <col min="13067" max="13314" width="9" style="4"/>
    <col min="13315" max="13315" width="17.5" style="4" customWidth="1"/>
    <col min="13316" max="13316" width="5.75" style="4" customWidth="1"/>
    <col min="13317" max="13317" width="34.125" style="4" customWidth="1"/>
    <col min="13318" max="13318" width="10.625" style="4" customWidth="1"/>
    <col min="13319" max="13319" width="5.125" style="4" customWidth="1"/>
    <col min="13320" max="13320" width="11" style="4" customWidth="1"/>
    <col min="13321" max="13321" width="5.25" style="4" customWidth="1"/>
    <col min="13322" max="13322" width="12.5" style="4" customWidth="1"/>
    <col min="13323" max="13570" width="9" style="4"/>
    <col min="13571" max="13571" width="17.5" style="4" customWidth="1"/>
    <col min="13572" max="13572" width="5.75" style="4" customWidth="1"/>
    <col min="13573" max="13573" width="34.125" style="4" customWidth="1"/>
    <col min="13574" max="13574" width="10.625" style="4" customWidth="1"/>
    <col min="13575" max="13575" width="5.125" style="4" customWidth="1"/>
    <col min="13576" max="13576" width="11" style="4" customWidth="1"/>
    <col min="13577" max="13577" width="5.25" style="4" customWidth="1"/>
    <col min="13578" max="13578" width="12.5" style="4" customWidth="1"/>
    <col min="13579" max="13826" width="9" style="4"/>
    <col min="13827" max="13827" width="17.5" style="4" customWidth="1"/>
    <col min="13828" max="13828" width="5.75" style="4" customWidth="1"/>
    <col min="13829" max="13829" width="34.125" style="4" customWidth="1"/>
    <col min="13830" max="13830" width="10.625" style="4" customWidth="1"/>
    <col min="13831" max="13831" width="5.125" style="4" customWidth="1"/>
    <col min="13832" max="13832" width="11" style="4" customWidth="1"/>
    <col min="13833" max="13833" width="5.25" style="4" customWidth="1"/>
    <col min="13834" max="13834" width="12.5" style="4" customWidth="1"/>
    <col min="13835" max="14082" width="9" style="4"/>
    <col min="14083" max="14083" width="17.5" style="4" customWidth="1"/>
    <col min="14084" max="14084" width="5.75" style="4" customWidth="1"/>
    <col min="14085" max="14085" width="34.125" style="4" customWidth="1"/>
    <col min="14086" max="14086" width="10.625" style="4" customWidth="1"/>
    <col min="14087" max="14087" width="5.125" style="4" customWidth="1"/>
    <col min="14088" max="14088" width="11" style="4" customWidth="1"/>
    <col min="14089" max="14089" width="5.25" style="4" customWidth="1"/>
    <col min="14090" max="14090" width="12.5" style="4" customWidth="1"/>
    <col min="14091" max="14338" width="9" style="4"/>
    <col min="14339" max="14339" width="17.5" style="4" customWidth="1"/>
    <col min="14340" max="14340" width="5.75" style="4" customWidth="1"/>
    <col min="14341" max="14341" width="34.125" style="4" customWidth="1"/>
    <col min="14342" max="14342" width="10.625" style="4" customWidth="1"/>
    <col min="14343" max="14343" width="5.125" style="4" customWidth="1"/>
    <col min="14344" max="14344" width="11" style="4" customWidth="1"/>
    <col min="14345" max="14345" width="5.25" style="4" customWidth="1"/>
    <col min="14346" max="14346" width="12.5" style="4" customWidth="1"/>
    <col min="14347" max="14594" width="9" style="4"/>
    <col min="14595" max="14595" width="17.5" style="4" customWidth="1"/>
    <col min="14596" max="14596" width="5.75" style="4" customWidth="1"/>
    <col min="14597" max="14597" width="34.125" style="4" customWidth="1"/>
    <col min="14598" max="14598" width="10.625" style="4" customWidth="1"/>
    <col min="14599" max="14599" width="5.125" style="4" customWidth="1"/>
    <col min="14600" max="14600" width="11" style="4" customWidth="1"/>
    <col min="14601" max="14601" width="5.25" style="4" customWidth="1"/>
    <col min="14602" max="14602" width="12.5" style="4" customWidth="1"/>
    <col min="14603" max="14850" width="9" style="4"/>
    <col min="14851" max="14851" width="17.5" style="4" customWidth="1"/>
    <col min="14852" max="14852" width="5.75" style="4" customWidth="1"/>
    <col min="14853" max="14853" width="34.125" style="4" customWidth="1"/>
    <col min="14854" max="14854" width="10.625" style="4" customWidth="1"/>
    <col min="14855" max="14855" width="5.125" style="4" customWidth="1"/>
    <col min="14856" max="14856" width="11" style="4" customWidth="1"/>
    <col min="14857" max="14857" width="5.25" style="4" customWidth="1"/>
    <col min="14858" max="14858" width="12.5" style="4" customWidth="1"/>
    <col min="14859" max="15106" width="9" style="4"/>
    <col min="15107" max="15107" width="17.5" style="4" customWidth="1"/>
    <col min="15108" max="15108" width="5.75" style="4" customWidth="1"/>
    <col min="15109" max="15109" width="34.125" style="4" customWidth="1"/>
    <col min="15110" max="15110" width="10.625" style="4" customWidth="1"/>
    <col min="15111" max="15111" width="5.125" style="4" customWidth="1"/>
    <col min="15112" max="15112" width="11" style="4" customWidth="1"/>
    <col min="15113" max="15113" width="5.25" style="4" customWidth="1"/>
    <col min="15114" max="15114" width="12.5" style="4" customWidth="1"/>
    <col min="15115" max="15362" width="9" style="4"/>
    <col min="15363" max="15363" width="17.5" style="4" customWidth="1"/>
    <col min="15364" max="15364" width="5.75" style="4" customWidth="1"/>
    <col min="15365" max="15365" width="34.125" style="4" customWidth="1"/>
    <col min="15366" max="15366" width="10.625" style="4" customWidth="1"/>
    <col min="15367" max="15367" width="5.125" style="4" customWidth="1"/>
    <col min="15368" max="15368" width="11" style="4" customWidth="1"/>
    <col min="15369" max="15369" width="5.25" style="4" customWidth="1"/>
    <col min="15370" max="15370" width="12.5" style="4" customWidth="1"/>
    <col min="15371" max="15618" width="9" style="4"/>
    <col min="15619" max="15619" width="17.5" style="4" customWidth="1"/>
    <col min="15620" max="15620" width="5.75" style="4" customWidth="1"/>
    <col min="15621" max="15621" width="34.125" style="4" customWidth="1"/>
    <col min="15622" max="15622" width="10.625" style="4" customWidth="1"/>
    <col min="15623" max="15623" width="5.125" style="4" customWidth="1"/>
    <col min="15624" max="15624" width="11" style="4" customWidth="1"/>
    <col min="15625" max="15625" width="5.25" style="4" customWidth="1"/>
    <col min="15626" max="15626" width="12.5" style="4" customWidth="1"/>
    <col min="15627" max="15874" width="9" style="4"/>
    <col min="15875" max="15875" width="17.5" style="4" customWidth="1"/>
    <col min="15876" max="15876" width="5.75" style="4" customWidth="1"/>
    <col min="15877" max="15877" width="34.125" style="4" customWidth="1"/>
    <col min="15878" max="15878" width="10.625" style="4" customWidth="1"/>
    <col min="15879" max="15879" width="5.125" style="4" customWidth="1"/>
    <col min="15880" max="15880" width="11" style="4" customWidth="1"/>
    <col min="15881" max="15881" width="5.25" style="4" customWidth="1"/>
    <col min="15882" max="15882" width="12.5" style="4" customWidth="1"/>
    <col min="15883" max="16130" width="9" style="4"/>
    <col min="16131" max="16131" width="17.5" style="4" customWidth="1"/>
    <col min="16132" max="16132" width="5.75" style="4" customWidth="1"/>
    <col min="16133" max="16133" width="34.125" style="4" customWidth="1"/>
    <col min="16134" max="16134" width="10.625" style="4" customWidth="1"/>
    <col min="16135" max="16135" width="5.125" style="4" customWidth="1"/>
    <col min="16136" max="16136" width="11" style="4" customWidth="1"/>
    <col min="16137" max="16137" width="5.25" style="4" customWidth="1"/>
    <col min="16138" max="16138" width="12.5" style="4" customWidth="1"/>
    <col min="16139" max="16384" width="9" style="4"/>
  </cols>
  <sheetData>
    <row r="1" spans="1:19" s="1" customFormat="1" ht="25.15" customHeight="1">
      <c r="A1" s="111" t="s">
        <v>93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13"/>
      <c r="M1" s="113"/>
      <c r="N1" s="113"/>
      <c r="O1" s="113"/>
      <c r="P1" s="113"/>
      <c r="Q1" s="113"/>
      <c r="R1" s="114"/>
      <c r="S1" s="114"/>
    </row>
    <row r="2" spans="1:19" s="3" customFormat="1" ht="18">
      <c r="A2" s="115" t="s">
        <v>94</v>
      </c>
      <c r="B2" s="115"/>
      <c r="C2" s="115"/>
      <c r="D2" s="115"/>
      <c r="E2" s="115"/>
      <c r="F2" s="115"/>
      <c r="G2" s="115"/>
      <c r="H2" s="115"/>
      <c r="I2" s="115"/>
      <c r="J2" s="115"/>
      <c r="K2" s="2"/>
      <c r="L2" s="2"/>
      <c r="M2" s="2"/>
    </row>
    <row r="3" spans="1:19" ht="18" customHeight="1">
      <c r="A3" s="125" t="s">
        <v>95</v>
      </c>
      <c r="B3" s="115"/>
      <c r="C3" s="115"/>
      <c r="D3" s="115"/>
      <c r="E3" s="115"/>
      <c r="F3" s="115"/>
      <c r="G3" s="115"/>
      <c r="H3" s="115"/>
      <c r="I3" s="115"/>
      <c r="J3" s="115"/>
    </row>
    <row r="4" spans="1:19" ht="27.75" customHeight="1">
      <c r="A4" s="116" t="s">
        <v>7</v>
      </c>
      <c r="B4" s="116"/>
      <c r="C4" s="116"/>
      <c r="D4" s="116"/>
      <c r="E4" s="116"/>
      <c r="F4" s="116"/>
      <c r="G4" s="116"/>
      <c r="H4" s="116"/>
      <c r="I4" s="116"/>
      <c r="J4" s="116"/>
    </row>
    <row r="5" spans="1:19" ht="12.75" customHeight="1">
      <c r="A5" s="94"/>
      <c r="B5" s="94"/>
      <c r="C5" s="95"/>
      <c r="D5" s="95"/>
      <c r="E5" s="94"/>
      <c r="F5" s="94"/>
      <c r="G5" s="94"/>
      <c r="H5" s="94"/>
      <c r="I5" s="94"/>
      <c r="J5" s="94"/>
    </row>
    <row r="6" spans="1:19" s="7" customFormat="1" ht="15" customHeight="1">
      <c r="A6" s="5" t="s">
        <v>9</v>
      </c>
      <c r="B6" s="96" t="s">
        <v>87</v>
      </c>
      <c r="C6" s="6"/>
      <c r="D6" s="6"/>
      <c r="E6" s="6"/>
      <c r="F6" s="6"/>
      <c r="G6" s="93" t="s">
        <v>10</v>
      </c>
      <c r="H6" s="93"/>
      <c r="I6" s="117" t="s">
        <v>62</v>
      </c>
      <c r="J6" s="117"/>
    </row>
    <row r="7" spans="1:19" s="7" customFormat="1" ht="9.9499999999999993" customHeight="1">
      <c r="A7" s="6"/>
      <c r="B7" s="6"/>
      <c r="C7" s="6"/>
      <c r="D7" s="6"/>
      <c r="E7" s="6"/>
      <c r="F7" s="6"/>
      <c r="G7" s="97"/>
      <c r="H7" s="97"/>
      <c r="I7" s="89"/>
      <c r="J7" s="89"/>
    </row>
    <row r="8" spans="1:19" s="7" customFormat="1" ht="15" customHeight="1">
      <c r="A8" s="5" t="s">
        <v>11</v>
      </c>
      <c r="B8" s="5" t="s">
        <v>63</v>
      </c>
      <c r="C8" s="6"/>
      <c r="D8" s="6"/>
      <c r="E8" s="6"/>
      <c r="F8" s="6"/>
      <c r="G8" s="98" t="s">
        <v>8</v>
      </c>
      <c r="H8" s="98"/>
      <c r="I8" s="99" t="s">
        <v>8</v>
      </c>
      <c r="J8" s="89"/>
    </row>
    <row r="9" spans="1:19" s="7" customFormat="1" ht="15" customHeight="1">
      <c r="A9" s="6"/>
      <c r="B9" s="5" t="s">
        <v>64</v>
      </c>
      <c r="C9" s="6"/>
      <c r="D9" s="6"/>
      <c r="E9" s="6"/>
      <c r="F9" s="6"/>
      <c r="G9" s="97"/>
      <c r="H9" s="97"/>
      <c r="I9" s="89"/>
      <c r="J9" s="89"/>
    </row>
    <row r="10" spans="1:19" s="7" customFormat="1" ht="15" customHeight="1">
      <c r="A10" s="6"/>
      <c r="B10" s="5" t="s">
        <v>65</v>
      </c>
      <c r="C10" s="6"/>
      <c r="D10" s="6"/>
      <c r="E10" s="6"/>
      <c r="F10" s="6"/>
      <c r="G10" s="89"/>
      <c r="H10" s="89"/>
      <c r="I10" s="89"/>
      <c r="J10" s="89"/>
    </row>
    <row r="11" spans="1:19" s="7" customFormat="1" ht="15" customHeight="1">
      <c r="A11" s="6"/>
      <c r="B11" s="5" t="s">
        <v>66</v>
      </c>
      <c r="C11" s="6"/>
      <c r="D11" s="6"/>
      <c r="E11" s="6"/>
      <c r="F11" s="6"/>
      <c r="G11" s="89"/>
      <c r="H11" s="89"/>
      <c r="I11" s="89"/>
      <c r="J11" s="89"/>
    </row>
    <row r="12" spans="1:19" s="7" customFormat="1" ht="15" customHeight="1">
      <c r="A12" s="6"/>
      <c r="B12" s="5" t="s">
        <v>67</v>
      </c>
      <c r="C12" s="6"/>
      <c r="D12" s="6"/>
      <c r="E12" s="6"/>
      <c r="F12" s="6"/>
      <c r="G12" s="89"/>
      <c r="H12" s="89"/>
      <c r="I12" s="89"/>
      <c r="J12" s="89"/>
    </row>
    <row r="13" spans="1:19" s="7" customFormat="1" ht="15" customHeight="1">
      <c r="A13" s="6"/>
      <c r="B13" s="5" t="s">
        <v>68</v>
      </c>
      <c r="C13" s="6"/>
      <c r="D13" s="6"/>
      <c r="E13" s="6"/>
      <c r="F13" s="6"/>
      <c r="G13" s="89"/>
      <c r="H13" s="89"/>
      <c r="I13" s="89"/>
      <c r="J13" s="89"/>
    </row>
    <row r="14" spans="1:19" s="7" customFormat="1" ht="9.9499999999999993" customHeight="1">
      <c r="A14" s="6"/>
      <c r="B14" s="5"/>
      <c r="C14" s="6"/>
      <c r="D14" s="6"/>
      <c r="E14" s="6"/>
      <c r="F14" s="6"/>
      <c r="G14" s="6"/>
      <c r="H14" s="6"/>
      <c r="I14" s="6"/>
      <c r="J14" s="6"/>
    </row>
    <row r="15" spans="1:19" s="7" customFormat="1" ht="15" customHeight="1">
      <c r="A15" s="5" t="s">
        <v>12</v>
      </c>
      <c r="B15" s="5" t="s">
        <v>55</v>
      </c>
      <c r="C15" s="11"/>
      <c r="D15" s="11"/>
      <c r="E15" s="6"/>
      <c r="F15" s="74" t="s">
        <v>88</v>
      </c>
      <c r="G15" s="74"/>
      <c r="H15" s="74"/>
      <c r="I15" s="74"/>
      <c r="J15" s="74"/>
    </row>
    <row r="16" spans="1:19" s="7" customFormat="1" ht="9.9499999999999993" customHeight="1">
      <c r="A16" s="5"/>
      <c r="B16" s="10"/>
      <c r="C16" s="11"/>
      <c r="D16" s="11"/>
      <c r="E16" s="6"/>
      <c r="F16" s="6"/>
      <c r="G16" s="6"/>
      <c r="H16" s="6"/>
      <c r="I16" s="6"/>
      <c r="J16" s="6"/>
    </row>
    <row r="17" spans="1:16" s="7" customFormat="1" ht="15" customHeight="1">
      <c r="A17" s="73" t="s">
        <v>41</v>
      </c>
      <c r="B17" s="5" t="s">
        <v>56</v>
      </c>
      <c r="C17" s="5"/>
      <c r="D17" s="5"/>
      <c r="E17" s="5"/>
      <c r="F17" s="74" t="s">
        <v>13</v>
      </c>
      <c r="G17" s="9" t="s">
        <v>57</v>
      </c>
      <c r="H17" s="9"/>
      <c r="I17" s="9"/>
      <c r="J17" s="12"/>
    </row>
    <row r="18" spans="1:16" s="7" customFormat="1" ht="9.9499999999999993" customHeight="1" thickBot="1">
      <c r="A18" s="13" t="s">
        <v>8</v>
      </c>
      <c r="B18" s="13" t="s">
        <v>8</v>
      </c>
      <c r="C18" s="13"/>
      <c r="D18" s="13"/>
      <c r="E18" s="13"/>
      <c r="F18" s="14" t="s">
        <v>8</v>
      </c>
      <c r="G18" s="15" t="s">
        <v>8</v>
      </c>
      <c r="H18" s="15"/>
      <c r="I18" s="15"/>
      <c r="J18" s="16"/>
    </row>
    <row r="19" spans="1:16" s="7" customFormat="1" ht="15" customHeight="1" thickTop="1">
      <c r="A19" s="5" t="s">
        <v>42</v>
      </c>
      <c r="B19" s="92" t="s">
        <v>43</v>
      </c>
      <c r="C19" s="17" t="s">
        <v>37</v>
      </c>
      <c r="D19" s="17" t="s">
        <v>37</v>
      </c>
      <c r="E19" s="17" t="s">
        <v>47</v>
      </c>
      <c r="F19" s="5"/>
      <c r="G19" s="17" t="s">
        <v>39</v>
      </c>
      <c r="H19" s="17"/>
      <c r="I19" s="17"/>
      <c r="J19" s="17" t="s">
        <v>14</v>
      </c>
    </row>
    <row r="20" spans="1:16" s="7" customFormat="1" ht="15" customHeight="1" thickBot="1">
      <c r="A20" s="13" t="s">
        <v>8</v>
      </c>
      <c r="B20" s="18"/>
      <c r="C20" s="19" t="s">
        <v>38</v>
      </c>
      <c r="D20" s="19" t="s">
        <v>45</v>
      </c>
      <c r="E20" s="19" t="s">
        <v>15</v>
      </c>
      <c r="F20" s="13" t="s">
        <v>8</v>
      </c>
      <c r="G20" s="19" t="s">
        <v>40</v>
      </c>
      <c r="H20" s="19"/>
      <c r="I20" s="20"/>
      <c r="J20" s="19" t="s">
        <v>16</v>
      </c>
    </row>
    <row r="21" spans="1:16" s="7" customFormat="1" ht="14.1" customHeight="1" thickTop="1">
      <c r="A21" s="9"/>
      <c r="B21" s="21" t="s">
        <v>33</v>
      </c>
      <c r="C21" s="22"/>
      <c r="D21" s="22"/>
      <c r="E21" s="12"/>
      <c r="F21" s="110" t="s">
        <v>89</v>
      </c>
      <c r="G21" s="110"/>
      <c r="H21" s="110"/>
      <c r="I21" s="110"/>
      <c r="J21" s="110"/>
      <c r="K21" s="12"/>
      <c r="L21" s="23"/>
      <c r="M21" s="5"/>
      <c r="N21" s="23"/>
      <c r="O21" s="12"/>
      <c r="P21" s="23"/>
    </row>
    <row r="22" spans="1:16" ht="13.9" customHeight="1">
      <c r="A22" s="82"/>
      <c r="B22" s="86" t="s">
        <v>34</v>
      </c>
      <c r="C22" s="86"/>
      <c r="D22" s="86"/>
      <c r="E22" s="85"/>
      <c r="F22" s="85"/>
      <c r="G22" s="85"/>
      <c r="H22" s="85"/>
      <c r="I22" s="85"/>
      <c r="J22" s="85"/>
      <c r="K22" s="85"/>
      <c r="L22" s="83"/>
      <c r="M22" s="73"/>
      <c r="N22" s="83"/>
      <c r="O22" s="85"/>
      <c r="P22" s="83"/>
    </row>
    <row r="23" spans="1:16" ht="13.9" customHeight="1">
      <c r="A23" s="82"/>
      <c r="B23" s="107" t="s">
        <v>44</v>
      </c>
      <c r="C23" s="86"/>
      <c r="D23" s="86"/>
      <c r="E23" s="85"/>
      <c r="F23" s="85"/>
      <c r="G23" s="85"/>
      <c r="H23" s="85"/>
      <c r="I23" s="85"/>
      <c r="J23" s="85"/>
      <c r="K23" s="85"/>
      <c r="L23" s="83"/>
      <c r="M23" s="73"/>
      <c r="N23" s="83"/>
      <c r="O23" s="85"/>
      <c r="P23" s="83"/>
    </row>
    <row r="24" spans="1:16" ht="13.9" customHeight="1">
      <c r="A24" s="82"/>
      <c r="B24" s="106" t="s">
        <v>69</v>
      </c>
      <c r="C24" s="86"/>
      <c r="D24" s="86"/>
      <c r="E24" s="85"/>
      <c r="F24" s="85"/>
      <c r="G24" s="85"/>
      <c r="H24" s="85"/>
      <c r="I24" s="85"/>
      <c r="J24" s="85"/>
      <c r="K24" s="85"/>
      <c r="L24" s="83"/>
      <c r="M24" s="73"/>
      <c r="N24" s="83"/>
      <c r="O24" s="85"/>
      <c r="P24" s="83"/>
    </row>
    <row r="25" spans="1:16" ht="14.1" customHeight="1">
      <c r="A25" s="52"/>
      <c r="B25" s="21" t="s">
        <v>70</v>
      </c>
      <c r="C25" s="21"/>
      <c r="D25" s="21"/>
      <c r="E25" s="26"/>
      <c r="F25" s="5"/>
      <c r="G25" s="17"/>
      <c r="H25" s="17"/>
      <c r="I25" s="24"/>
      <c r="J25" s="25"/>
    </row>
    <row r="26" spans="1:16" ht="14.1" customHeight="1">
      <c r="A26" s="52"/>
      <c r="B26" s="21" t="s">
        <v>81</v>
      </c>
      <c r="C26" s="21"/>
      <c r="D26" s="21"/>
      <c r="E26" s="26"/>
      <c r="F26" s="5"/>
      <c r="G26" s="17"/>
      <c r="H26" s="17"/>
      <c r="I26" s="24"/>
      <c r="J26" s="25"/>
    </row>
    <row r="27" spans="1:16" ht="14.1" customHeight="1">
      <c r="A27" s="52"/>
      <c r="B27" s="21" t="s">
        <v>71</v>
      </c>
      <c r="C27" s="100">
        <v>65</v>
      </c>
      <c r="D27" s="100">
        <v>59</v>
      </c>
      <c r="E27" s="26">
        <v>18.600000000000001</v>
      </c>
      <c r="F27" s="5" t="s">
        <v>17</v>
      </c>
      <c r="G27" s="108">
        <v>5.9</v>
      </c>
      <c r="H27" s="17" t="s">
        <v>90</v>
      </c>
      <c r="I27" s="24"/>
      <c r="J27" s="109">
        <f>E27*G27</f>
        <v>109.74000000000001</v>
      </c>
    </row>
    <row r="28" spans="1:16" ht="14.1" customHeight="1">
      <c r="A28" s="52"/>
      <c r="B28" s="21" t="s">
        <v>72</v>
      </c>
      <c r="C28" s="100">
        <v>30</v>
      </c>
      <c r="D28" s="100">
        <v>27</v>
      </c>
      <c r="E28" s="26">
        <v>8.1</v>
      </c>
      <c r="F28" s="5" t="s">
        <v>17</v>
      </c>
      <c r="G28" s="108">
        <v>5.9</v>
      </c>
      <c r="H28" s="17" t="s">
        <v>90</v>
      </c>
      <c r="I28" s="24"/>
      <c r="J28" s="109">
        <f t="shared" ref="J28:J33" si="0">E28*G28</f>
        <v>47.79</v>
      </c>
    </row>
    <row r="29" spans="1:16" ht="14.1" customHeight="1">
      <c r="A29" s="52"/>
      <c r="B29" s="21" t="s">
        <v>73</v>
      </c>
      <c r="C29" s="100">
        <v>70</v>
      </c>
      <c r="D29" s="100">
        <v>64</v>
      </c>
      <c r="E29" s="26">
        <v>20.399999999999999</v>
      </c>
      <c r="F29" s="5" t="s">
        <v>17</v>
      </c>
      <c r="G29" s="108">
        <v>5.9</v>
      </c>
      <c r="H29" s="17" t="s">
        <v>90</v>
      </c>
      <c r="I29" s="24"/>
      <c r="J29" s="109">
        <f t="shared" si="0"/>
        <v>120.36</v>
      </c>
    </row>
    <row r="30" spans="1:16" ht="14.1" customHeight="1">
      <c r="A30" s="52"/>
      <c r="B30" s="21" t="s">
        <v>74</v>
      </c>
      <c r="C30" s="100">
        <v>40</v>
      </c>
      <c r="D30" s="100">
        <v>36</v>
      </c>
      <c r="E30" s="26">
        <v>11.2</v>
      </c>
      <c r="F30" s="5" t="s">
        <v>17</v>
      </c>
      <c r="G30" s="108">
        <v>5.9</v>
      </c>
      <c r="H30" s="17" t="s">
        <v>90</v>
      </c>
      <c r="I30" s="24"/>
      <c r="J30" s="109">
        <f t="shared" si="0"/>
        <v>66.08</v>
      </c>
    </row>
    <row r="31" spans="1:16" ht="14.1" customHeight="1">
      <c r="A31" s="52"/>
      <c r="B31" s="21" t="s">
        <v>75</v>
      </c>
      <c r="C31" s="100">
        <v>40</v>
      </c>
      <c r="D31" s="100">
        <v>36</v>
      </c>
      <c r="E31" s="26">
        <v>11.6</v>
      </c>
      <c r="F31" s="5" t="s">
        <v>17</v>
      </c>
      <c r="G31" s="108">
        <v>5.9</v>
      </c>
      <c r="H31" s="17" t="s">
        <v>90</v>
      </c>
      <c r="I31" s="24"/>
      <c r="J31" s="109">
        <f t="shared" si="0"/>
        <v>68.44</v>
      </c>
    </row>
    <row r="32" spans="1:16" ht="14.1" customHeight="1">
      <c r="A32" s="52"/>
      <c r="B32" s="21" t="s">
        <v>76</v>
      </c>
      <c r="C32" s="100">
        <v>65</v>
      </c>
      <c r="D32" s="100">
        <v>59</v>
      </c>
      <c r="E32" s="26">
        <v>18.600000000000001</v>
      </c>
      <c r="F32" s="5" t="s">
        <v>17</v>
      </c>
      <c r="G32" s="108">
        <v>5.9</v>
      </c>
      <c r="H32" s="17" t="s">
        <v>90</v>
      </c>
      <c r="I32" s="24"/>
      <c r="J32" s="109">
        <f t="shared" si="0"/>
        <v>109.74000000000001</v>
      </c>
    </row>
    <row r="33" spans="1:26" ht="14.1" customHeight="1">
      <c r="A33" s="52"/>
      <c r="B33" s="21" t="s">
        <v>77</v>
      </c>
      <c r="C33" s="100">
        <v>40</v>
      </c>
      <c r="D33" s="100">
        <v>36</v>
      </c>
      <c r="E33" s="26">
        <v>12.9</v>
      </c>
      <c r="F33" s="5" t="s">
        <v>17</v>
      </c>
      <c r="G33" s="108">
        <v>5.9</v>
      </c>
      <c r="H33" s="17" t="s">
        <v>90</v>
      </c>
      <c r="I33" s="24"/>
      <c r="J33" s="109">
        <f t="shared" si="0"/>
        <v>76.110000000000014</v>
      </c>
    </row>
    <row r="34" spans="1:26" ht="14.1" customHeight="1">
      <c r="A34" s="52"/>
      <c r="B34" s="21"/>
      <c r="C34" s="100"/>
      <c r="D34" s="100"/>
      <c r="E34" s="26"/>
      <c r="F34" s="5"/>
      <c r="G34" s="17"/>
      <c r="H34" s="17"/>
      <c r="I34" s="24"/>
      <c r="J34" s="25"/>
    </row>
    <row r="35" spans="1:26" ht="14.1" customHeight="1">
      <c r="A35" s="52"/>
      <c r="B35" s="21"/>
      <c r="C35" s="100"/>
      <c r="D35" s="100"/>
      <c r="E35" s="26"/>
      <c r="F35" s="5"/>
      <c r="G35" s="17"/>
      <c r="H35" s="17"/>
      <c r="I35" s="24"/>
      <c r="J35" s="25"/>
    </row>
    <row r="36" spans="1:26" ht="14.1" customHeight="1">
      <c r="A36" s="52"/>
      <c r="B36" s="21" t="s">
        <v>86</v>
      </c>
      <c r="C36" s="21"/>
      <c r="D36" s="21"/>
      <c r="E36" s="26"/>
      <c r="F36" s="5"/>
      <c r="G36" s="17"/>
      <c r="H36" s="17"/>
      <c r="I36" s="24"/>
      <c r="J36" s="25"/>
    </row>
    <row r="37" spans="1:26" ht="14.1" customHeight="1">
      <c r="A37" s="52"/>
      <c r="B37" s="21" t="s">
        <v>80</v>
      </c>
      <c r="C37" s="21"/>
      <c r="D37" s="21"/>
      <c r="E37" s="26"/>
      <c r="F37" s="5"/>
      <c r="G37" s="17"/>
      <c r="H37" s="17"/>
      <c r="I37" s="24"/>
      <c r="J37" s="25"/>
    </row>
    <row r="38" spans="1:26" ht="14.1" customHeight="1">
      <c r="A38" s="52"/>
      <c r="B38" s="21" t="s">
        <v>75</v>
      </c>
      <c r="C38" s="100">
        <v>50</v>
      </c>
      <c r="D38" s="100">
        <v>45</v>
      </c>
      <c r="E38" s="26">
        <v>23.1</v>
      </c>
      <c r="F38" s="5" t="s">
        <v>17</v>
      </c>
      <c r="G38" s="108">
        <v>5.2</v>
      </c>
      <c r="H38" s="17" t="s">
        <v>90</v>
      </c>
      <c r="I38" s="24"/>
      <c r="J38" s="109">
        <f t="shared" ref="J38:J39" si="1">E38*G38</f>
        <v>120.12</v>
      </c>
    </row>
    <row r="39" spans="1:26" ht="14.1" customHeight="1">
      <c r="A39" s="52"/>
      <c r="B39" s="21" t="s">
        <v>73</v>
      </c>
      <c r="C39" s="100">
        <v>50</v>
      </c>
      <c r="D39" s="100">
        <v>45</v>
      </c>
      <c r="E39" s="26">
        <v>23.2</v>
      </c>
      <c r="F39" s="5" t="s">
        <v>17</v>
      </c>
      <c r="G39" s="108">
        <v>5.2</v>
      </c>
      <c r="H39" s="17" t="s">
        <v>90</v>
      </c>
      <c r="I39" s="24"/>
      <c r="J39" s="109">
        <f t="shared" si="1"/>
        <v>120.64</v>
      </c>
    </row>
    <row r="40" spans="1:26" ht="14.1" customHeight="1">
      <c r="A40" s="52"/>
      <c r="B40" s="21"/>
      <c r="C40" s="100"/>
      <c r="D40" s="100"/>
      <c r="E40" s="26"/>
      <c r="F40" s="5"/>
      <c r="G40" s="17"/>
      <c r="H40" s="17"/>
      <c r="I40" s="24"/>
      <c r="J40" s="25"/>
    </row>
    <row r="41" spans="1:26" ht="14.1" customHeight="1">
      <c r="A41" s="52"/>
      <c r="B41" s="21"/>
      <c r="C41" s="100"/>
      <c r="D41" s="100"/>
      <c r="E41" s="26"/>
      <c r="F41" s="5"/>
      <c r="G41" s="17"/>
      <c r="H41" s="17"/>
      <c r="I41" s="24"/>
      <c r="J41" s="25"/>
    </row>
    <row r="42" spans="1:26" ht="14.1" customHeight="1">
      <c r="A42" s="52"/>
      <c r="B42" s="21" t="s">
        <v>78</v>
      </c>
      <c r="C42" s="100"/>
      <c r="D42" s="100"/>
      <c r="E42" s="26"/>
      <c r="F42" s="5"/>
      <c r="G42" s="17"/>
      <c r="H42" s="17"/>
      <c r="I42" s="24"/>
      <c r="J42" s="25"/>
    </row>
    <row r="43" spans="1:26" ht="14.1" customHeight="1">
      <c r="A43" s="52"/>
      <c r="B43" s="21" t="s">
        <v>79</v>
      </c>
      <c r="C43" s="100"/>
      <c r="D43" s="100"/>
      <c r="E43" s="26"/>
      <c r="F43" s="5"/>
      <c r="G43" s="17"/>
      <c r="H43" s="17"/>
      <c r="I43" s="24"/>
      <c r="J43" s="25"/>
    </row>
    <row r="44" spans="1:26" ht="14.1" customHeight="1">
      <c r="A44" s="52"/>
      <c r="B44" s="21" t="s">
        <v>82</v>
      </c>
      <c r="C44" s="100">
        <v>4</v>
      </c>
      <c r="D44" s="100">
        <v>3</v>
      </c>
      <c r="E44" s="26">
        <v>0.3</v>
      </c>
      <c r="F44" s="5" t="s">
        <v>17</v>
      </c>
      <c r="G44" s="108">
        <v>4</v>
      </c>
      <c r="H44" s="17" t="s">
        <v>90</v>
      </c>
      <c r="I44" s="24" t="s">
        <v>20</v>
      </c>
      <c r="J44" s="109">
        <f t="shared" ref="J44" si="2">E44*G44</f>
        <v>1.2</v>
      </c>
    </row>
    <row r="45" spans="1:26" ht="14.1" customHeight="1">
      <c r="A45" s="9"/>
      <c r="B45" s="88"/>
      <c r="C45" s="22"/>
      <c r="D45" s="22"/>
      <c r="E45" s="26"/>
      <c r="F45" s="5"/>
      <c r="G45" s="17"/>
      <c r="H45" s="17"/>
      <c r="I45" s="24"/>
      <c r="J45" s="25"/>
      <c r="K45" s="84"/>
    </row>
    <row r="46" spans="1:26" s="3" customFormat="1" ht="14.1" customHeight="1">
      <c r="A46" s="30" t="s">
        <v>18</v>
      </c>
      <c r="B46" s="31"/>
      <c r="C46" s="101">
        <f>SUM(C25:C45)</f>
        <v>454</v>
      </c>
      <c r="D46" s="101">
        <f>SUM(D25:D45)</f>
        <v>410</v>
      </c>
      <c r="E46" s="32">
        <f>SUM(E27:E44)</f>
        <v>148</v>
      </c>
      <c r="F46" s="33" t="s">
        <v>19</v>
      </c>
      <c r="G46" s="34"/>
      <c r="H46" s="34"/>
      <c r="I46" s="35" t="s">
        <v>20</v>
      </c>
      <c r="J46" s="32">
        <f>SUM(J25:J45)</f>
        <v>840.22</v>
      </c>
      <c r="K46" s="27"/>
      <c r="L46" s="28"/>
      <c r="M46" s="27"/>
      <c r="N46" s="29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s="3" customFormat="1" ht="14.1" customHeight="1">
      <c r="A47" s="12" t="s">
        <v>1</v>
      </c>
      <c r="B47" s="12"/>
      <c r="C47" s="37" t="s">
        <v>52</v>
      </c>
      <c r="D47" s="37" t="s">
        <v>52</v>
      </c>
      <c r="E47" s="36" t="s">
        <v>21</v>
      </c>
      <c r="F47" s="6" t="s">
        <v>22</v>
      </c>
      <c r="G47" s="23"/>
      <c r="H47" s="23"/>
      <c r="I47" s="37" t="s">
        <v>23</v>
      </c>
      <c r="J47" s="36" t="s">
        <v>24</v>
      </c>
      <c r="K47" s="27"/>
      <c r="L47" s="28"/>
      <c r="M47" s="27"/>
      <c r="N47" s="29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s="3" customFormat="1" ht="14.1" customHeight="1">
      <c r="A48" s="12"/>
      <c r="B48" s="12"/>
      <c r="C48" s="12"/>
      <c r="D48" s="12"/>
      <c r="E48" s="36"/>
      <c r="F48" s="6"/>
      <c r="G48" s="23"/>
      <c r="H48" s="23"/>
      <c r="I48" s="37"/>
      <c r="J48" s="36"/>
      <c r="K48" s="27"/>
      <c r="L48" s="28"/>
      <c r="M48" s="27"/>
      <c r="N48" s="29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s="3" customFormat="1" ht="14.1" customHeight="1">
      <c r="A49" s="52" t="s">
        <v>91</v>
      </c>
      <c r="B49" s="12"/>
      <c r="C49" s="12"/>
      <c r="D49" s="12"/>
      <c r="E49" s="12"/>
      <c r="F49" s="12"/>
      <c r="G49" s="12"/>
      <c r="H49" s="12"/>
      <c r="I49" s="37"/>
      <c r="J49" s="36"/>
      <c r="K49" s="27"/>
      <c r="L49" s="28"/>
      <c r="M49" s="27"/>
      <c r="N49" s="29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1" customHeight="1">
      <c r="A50" s="9"/>
      <c r="B50" s="9"/>
      <c r="C50" s="87"/>
      <c r="D50" s="87"/>
      <c r="E50" s="12"/>
      <c r="F50" s="12"/>
      <c r="G50" s="12"/>
      <c r="H50" s="12"/>
      <c r="I50" s="37"/>
      <c r="J50" s="36"/>
      <c r="K50" s="12"/>
      <c r="L50" s="6"/>
      <c r="M50" s="23"/>
      <c r="N50" s="12"/>
      <c r="O50" s="23"/>
    </row>
    <row r="51" spans="1:26" ht="14.1" customHeight="1">
      <c r="A51" s="9"/>
      <c r="B51" s="9"/>
      <c r="C51" s="87"/>
      <c r="D51" s="87"/>
      <c r="E51" s="12"/>
      <c r="F51" s="12"/>
      <c r="G51" s="12"/>
      <c r="H51" s="12"/>
      <c r="I51" s="37"/>
      <c r="J51" s="36"/>
      <c r="K51" s="12"/>
      <c r="L51" s="6"/>
      <c r="M51" s="23"/>
      <c r="N51" s="12"/>
      <c r="O51" s="23"/>
    </row>
    <row r="52" spans="1:26" ht="14.1" customHeight="1">
      <c r="A52" s="9"/>
      <c r="B52" s="9"/>
      <c r="C52" s="87"/>
      <c r="D52" s="87"/>
      <c r="E52" s="12"/>
      <c r="F52" s="12"/>
      <c r="G52" s="12"/>
      <c r="H52" s="12"/>
      <c r="I52" s="37"/>
      <c r="J52" s="36"/>
      <c r="K52" s="12"/>
      <c r="L52" s="6"/>
      <c r="M52" s="23"/>
      <c r="N52" s="12"/>
      <c r="O52" s="23"/>
    </row>
    <row r="53" spans="1:26" ht="14.1" customHeight="1">
      <c r="A53" s="9"/>
      <c r="B53" s="9"/>
      <c r="C53" s="87"/>
      <c r="D53" s="87"/>
      <c r="E53" s="12"/>
      <c r="F53" s="12"/>
      <c r="G53" s="12"/>
      <c r="H53" s="12"/>
      <c r="I53" s="37"/>
      <c r="J53" s="36"/>
      <c r="K53" s="12"/>
      <c r="L53" s="6"/>
      <c r="M53" s="23"/>
      <c r="N53" s="12"/>
      <c r="O53" s="23"/>
    </row>
    <row r="54" spans="1:26" ht="14.1" customHeight="1">
      <c r="A54" s="9"/>
      <c r="B54" s="9"/>
      <c r="C54" s="87"/>
      <c r="D54" s="87"/>
      <c r="E54" s="12"/>
      <c r="F54" s="12"/>
      <c r="G54" s="12"/>
      <c r="H54" s="12"/>
      <c r="I54" s="37"/>
      <c r="J54" s="36"/>
      <c r="K54" s="12"/>
      <c r="L54" s="6"/>
      <c r="M54" s="23"/>
      <c r="N54" s="12"/>
      <c r="O54" s="23"/>
    </row>
    <row r="55" spans="1:26" ht="14.1" customHeight="1">
      <c r="A55" s="9"/>
      <c r="B55" s="9"/>
      <c r="C55" s="87"/>
      <c r="D55" s="87"/>
      <c r="E55" s="38" t="s">
        <v>29</v>
      </c>
      <c r="F55" s="39"/>
      <c r="G55" s="39"/>
      <c r="H55" s="39"/>
      <c r="I55" s="37"/>
      <c r="J55" s="36"/>
      <c r="K55" s="12"/>
      <c r="L55" s="6"/>
      <c r="M55" s="23"/>
      <c r="N55" s="12"/>
      <c r="O55" s="23"/>
    </row>
    <row r="56" spans="1:26" ht="14.1" customHeight="1">
      <c r="A56" s="9"/>
      <c r="B56" s="9"/>
      <c r="C56" s="87"/>
      <c r="D56" s="87"/>
      <c r="E56" s="39"/>
      <c r="F56" s="39"/>
      <c r="G56" s="39"/>
      <c r="H56" s="39"/>
      <c r="I56" s="37"/>
      <c r="J56" s="36"/>
      <c r="N56" s="12"/>
      <c r="O56" s="23"/>
    </row>
    <row r="57" spans="1:26" ht="14.1" customHeight="1">
      <c r="A57" s="9"/>
      <c r="B57" s="9"/>
      <c r="C57" s="87"/>
      <c r="D57" s="87"/>
      <c r="I57" s="37"/>
      <c r="J57" s="36"/>
      <c r="N57" s="12"/>
      <c r="O57" s="23"/>
    </row>
    <row r="58" spans="1:26" ht="14.1" customHeight="1">
      <c r="A58" s="9"/>
      <c r="B58" s="9"/>
      <c r="C58" s="87"/>
      <c r="D58" s="87"/>
      <c r="E58" s="12"/>
      <c r="F58" s="12"/>
      <c r="G58" s="12"/>
      <c r="H58" s="12"/>
      <c r="I58" s="37"/>
      <c r="J58" s="36"/>
    </row>
    <row r="59" spans="1:26" ht="14.1" customHeight="1">
      <c r="A59" s="9"/>
      <c r="B59" s="9"/>
      <c r="C59" s="87"/>
      <c r="D59" s="87"/>
      <c r="E59" s="12" t="s">
        <v>46</v>
      </c>
      <c r="F59" s="12"/>
      <c r="G59" s="12"/>
      <c r="H59" s="12"/>
      <c r="I59" s="4"/>
    </row>
    <row r="60" spans="1:26" ht="14.1" customHeight="1">
      <c r="A60" s="9"/>
      <c r="B60" s="9"/>
      <c r="C60" s="87"/>
      <c r="D60" s="87"/>
    </row>
    <row r="61" spans="1:26" ht="14.1" customHeight="1">
      <c r="B61" s="9"/>
      <c r="C61" s="87"/>
      <c r="D61" s="87"/>
    </row>
    <row r="62" spans="1:26" ht="14.1" customHeight="1"/>
    <row r="63" spans="1:26" ht="14.1" customHeight="1"/>
    <row r="64" spans="1:26" ht="14.1" customHeight="1"/>
    <row r="65" ht="14.1" customHeight="1"/>
    <row r="66" ht="14.1" customHeight="1"/>
    <row r="67" ht="14.1" customHeight="1"/>
    <row r="68" ht="14.1" customHeight="1"/>
    <row r="69" ht="14.1" customHeight="1"/>
    <row r="70" ht="14.1" customHeight="1"/>
    <row r="71" ht="14.1" customHeight="1"/>
    <row r="72" ht="14.1" customHeight="1"/>
    <row r="73" ht="14.1" customHeight="1"/>
    <row r="74" ht="14.1" customHeight="1"/>
    <row r="75" ht="14.1" customHeight="1"/>
    <row r="76" ht="14.1" customHeight="1"/>
    <row r="77" ht="14.1" customHeight="1"/>
    <row r="78" ht="14.1" customHeight="1"/>
    <row r="79" ht="14.1" customHeight="1"/>
    <row r="80" ht="14.1" customHeight="1"/>
    <row r="81" ht="14.1" customHeight="1"/>
    <row r="82" ht="14.1" customHeight="1"/>
    <row r="83" ht="14.1" customHeight="1"/>
    <row r="84" ht="14.1" customHeight="1"/>
    <row r="85" ht="14.1" customHeight="1"/>
    <row r="86" ht="14.1" customHeight="1"/>
    <row r="87" ht="14.1" customHeight="1"/>
    <row r="88" ht="14.1" customHeight="1"/>
    <row r="89" ht="14.1" customHeight="1"/>
    <row r="90" ht="14.1" customHeight="1"/>
    <row r="91" ht="14.1" customHeight="1"/>
    <row r="92" ht="14.1" customHeight="1"/>
    <row r="93" ht="14.1" customHeight="1"/>
    <row r="94" ht="14.1" customHeight="1"/>
    <row r="95" ht="14.1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spans="5:5" ht="15" customHeight="1"/>
    <row r="130" spans="5:5" ht="15" customHeight="1"/>
    <row r="131" spans="5:5" ht="15" customHeight="1"/>
    <row r="132" spans="5:5" ht="15" customHeight="1"/>
    <row r="133" spans="5:5" ht="15" customHeight="1"/>
    <row r="134" spans="5:5" ht="15" customHeight="1"/>
    <row r="135" spans="5:5" ht="15" customHeight="1"/>
    <row r="136" spans="5:5" ht="15" customHeight="1"/>
    <row r="137" spans="5:5" ht="15" customHeight="1">
      <c r="E137" s="41"/>
    </row>
    <row r="138" spans="5:5" ht="15" customHeight="1"/>
  </sheetData>
  <mergeCells count="7">
    <mergeCell ref="F21:J21"/>
    <mergeCell ref="A1:J1"/>
    <mergeCell ref="K1:S1"/>
    <mergeCell ref="A2:J2"/>
    <mergeCell ref="A3:J3"/>
    <mergeCell ref="A4:J4"/>
    <mergeCell ref="I6:J6"/>
  </mergeCells>
  <phoneticPr fontId="3" type="noConversion"/>
  <hyperlinks>
    <hyperlink ref="A3" r:id="rId1" xr:uid="{0E3080BF-0F76-40AD-AF3C-17025B2C715C}"/>
  </hyperlinks>
  <printOptions horizontalCentered="1"/>
  <pageMargins left="0.19685039370078741" right="0.19685039370078741" top="0.35433070866141736" bottom="0.19685039370078741" header="0.31496062992125984" footer="0.31496062992125984"/>
  <pageSetup paperSize="9" scale="85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5"/>
  <sheetViews>
    <sheetView view="pageBreakPreview" zoomScaleNormal="100" zoomScaleSheetLayoutView="100" workbookViewId="0">
      <selection activeCell="E8" sqref="E8"/>
    </sheetView>
  </sheetViews>
  <sheetFormatPr defaultRowHeight="12.2" customHeight="1"/>
  <cols>
    <col min="1" max="1" width="8.875" style="59" customWidth="1"/>
    <col min="2" max="2" width="7.875" style="59" customWidth="1"/>
    <col min="3" max="3" width="9.125" style="58" customWidth="1"/>
    <col min="4" max="4" width="9" style="40"/>
    <col min="5" max="5" width="23.125" style="40" customWidth="1"/>
    <col min="6" max="7" width="10.375" style="40" customWidth="1"/>
    <col min="8" max="8" width="10.75" style="40" customWidth="1"/>
    <col min="9" max="9" width="5.5" style="40" customWidth="1"/>
    <col min="10" max="10" width="9.75" style="46" customWidth="1"/>
    <col min="11" max="11" width="9.375" style="4" bestFit="1" customWidth="1"/>
    <col min="12" max="257" width="9" style="4"/>
    <col min="258" max="259" width="8.875" style="4" customWidth="1"/>
    <col min="260" max="260" width="9.125" style="4" customWidth="1"/>
    <col min="261" max="261" width="9" style="4"/>
    <col min="262" max="262" width="27.25" style="4" customWidth="1"/>
    <col min="263" max="263" width="12.25" style="4" customWidth="1"/>
    <col min="264" max="264" width="5.375" style="4" customWidth="1"/>
    <col min="265" max="265" width="11.875" style="4" customWidth="1"/>
    <col min="266" max="266" width="15.125" style="4" customWidth="1"/>
    <col min="267" max="513" width="9" style="4"/>
    <col min="514" max="515" width="8.875" style="4" customWidth="1"/>
    <col min="516" max="516" width="9.125" style="4" customWidth="1"/>
    <col min="517" max="517" width="9" style="4"/>
    <col min="518" max="518" width="27.25" style="4" customWidth="1"/>
    <col min="519" max="519" width="12.25" style="4" customWidth="1"/>
    <col min="520" max="520" width="5.375" style="4" customWidth="1"/>
    <col min="521" max="521" width="11.875" style="4" customWidth="1"/>
    <col min="522" max="522" width="15.125" style="4" customWidth="1"/>
    <col min="523" max="769" width="9" style="4"/>
    <col min="770" max="771" width="8.875" style="4" customWidth="1"/>
    <col min="772" max="772" width="9.125" style="4" customWidth="1"/>
    <col min="773" max="773" width="9" style="4"/>
    <col min="774" max="774" width="27.25" style="4" customWidth="1"/>
    <col min="775" max="775" width="12.25" style="4" customWidth="1"/>
    <col min="776" max="776" width="5.375" style="4" customWidth="1"/>
    <col min="777" max="777" width="11.875" style="4" customWidth="1"/>
    <col min="778" max="778" width="15.125" style="4" customWidth="1"/>
    <col min="779" max="1025" width="9" style="4"/>
    <col min="1026" max="1027" width="8.875" style="4" customWidth="1"/>
    <col min="1028" max="1028" width="9.125" style="4" customWidth="1"/>
    <col min="1029" max="1029" width="9" style="4"/>
    <col min="1030" max="1030" width="27.25" style="4" customWidth="1"/>
    <col min="1031" max="1031" width="12.25" style="4" customWidth="1"/>
    <col min="1032" max="1032" width="5.375" style="4" customWidth="1"/>
    <col min="1033" max="1033" width="11.875" style="4" customWidth="1"/>
    <col min="1034" max="1034" width="15.125" style="4" customWidth="1"/>
    <col min="1035" max="1281" width="9" style="4"/>
    <col min="1282" max="1283" width="8.875" style="4" customWidth="1"/>
    <col min="1284" max="1284" width="9.125" style="4" customWidth="1"/>
    <col min="1285" max="1285" width="9" style="4"/>
    <col min="1286" max="1286" width="27.25" style="4" customWidth="1"/>
    <col min="1287" max="1287" width="12.25" style="4" customWidth="1"/>
    <col min="1288" max="1288" width="5.375" style="4" customWidth="1"/>
    <col min="1289" max="1289" width="11.875" style="4" customWidth="1"/>
    <col min="1290" max="1290" width="15.125" style="4" customWidth="1"/>
    <col min="1291" max="1537" width="9" style="4"/>
    <col min="1538" max="1539" width="8.875" style="4" customWidth="1"/>
    <col min="1540" max="1540" width="9.125" style="4" customWidth="1"/>
    <col min="1541" max="1541" width="9" style="4"/>
    <col min="1542" max="1542" width="27.25" style="4" customWidth="1"/>
    <col min="1543" max="1543" width="12.25" style="4" customWidth="1"/>
    <col min="1544" max="1544" width="5.375" style="4" customWidth="1"/>
    <col min="1545" max="1545" width="11.875" style="4" customWidth="1"/>
    <col min="1546" max="1546" width="15.125" style="4" customWidth="1"/>
    <col min="1547" max="1793" width="9" style="4"/>
    <col min="1794" max="1795" width="8.875" style="4" customWidth="1"/>
    <col min="1796" max="1796" width="9.125" style="4" customWidth="1"/>
    <col min="1797" max="1797" width="9" style="4"/>
    <col min="1798" max="1798" width="27.25" style="4" customWidth="1"/>
    <col min="1799" max="1799" width="12.25" style="4" customWidth="1"/>
    <col min="1800" max="1800" width="5.375" style="4" customWidth="1"/>
    <col min="1801" max="1801" width="11.875" style="4" customWidth="1"/>
    <col min="1802" max="1802" width="15.125" style="4" customWidth="1"/>
    <col min="1803" max="2049" width="9" style="4"/>
    <col min="2050" max="2051" width="8.875" style="4" customWidth="1"/>
    <col min="2052" max="2052" width="9.125" style="4" customWidth="1"/>
    <col min="2053" max="2053" width="9" style="4"/>
    <col min="2054" max="2054" width="27.25" style="4" customWidth="1"/>
    <col min="2055" max="2055" width="12.25" style="4" customWidth="1"/>
    <col min="2056" max="2056" width="5.375" style="4" customWidth="1"/>
    <col min="2057" max="2057" width="11.875" style="4" customWidth="1"/>
    <col min="2058" max="2058" width="15.125" style="4" customWidth="1"/>
    <col min="2059" max="2305" width="9" style="4"/>
    <col min="2306" max="2307" width="8.875" style="4" customWidth="1"/>
    <col min="2308" max="2308" width="9.125" style="4" customWidth="1"/>
    <col min="2309" max="2309" width="9" style="4"/>
    <col min="2310" max="2310" width="27.25" style="4" customWidth="1"/>
    <col min="2311" max="2311" width="12.25" style="4" customWidth="1"/>
    <col min="2312" max="2312" width="5.375" style="4" customWidth="1"/>
    <col min="2313" max="2313" width="11.875" style="4" customWidth="1"/>
    <col min="2314" max="2314" width="15.125" style="4" customWidth="1"/>
    <col min="2315" max="2561" width="9" style="4"/>
    <col min="2562" max="2563" width="8.875" style="4" customWidth="1"/>
    <col min="2564" max="2564" width="9.125" style="4" customWidth="1"/>
    <col min="2565" max="2565" width="9" style="4"/>
    <col min="2566" max="2566" width="27.25" style="4" customWidth="1"/>
    <col min="2567" max="2567" width="12.25" style="4" customWidth="1"/>
    <col min="2568" max="2568" width="5.375" style="4" customWidth="1"/>
    <col min="2569" max="2569" width="11.875" style="4" customWidth="1"/>
    <col min="2570" max="2570" width="15.125" style="4" customWidth="1"/>
    <col min="2571" max="2817" width="9" style="4"/>
    <col min="2818" max="2819" width="8.875" style="4" customWidth="1"/>
    <col min="2820" max="2820" width="9.125" style="4" customWidth="1"/>
    <col min="2821" max="2821" width="9" style="4"/>
    <col min="2822" max="2822" width="27.25" style="4" customWidth="1"/>
    <col min="2823" max="2823" width="12.25" style="4" customWidth="1"/>
    <col min="2824" max="2824" width="5.375" style="4" customWidth="1"/>
    <col min="2825" max="2825" width="11.875" style="4" customWidth="1"/>
    <col min="2826" max="2826" width="15.125" style="4" customWidth="1"/>
    <col min="2827" max="3073" width="9" style="4"/>
    <col min="3074" max="3075" width="8.875" style="4" customWidth="1"/>
    <col min="3076" max="3076" width="9.125" style="4" customWidth="1"/>
    <col min="3077" max="3077" width="9" style="4"/>
    <col min="3078" max="3078" width="27.25" style="4" customWidth="1"/>
    <col min="3079" max="3079" width="12.25" style="4" customWidth="1"/>
    <col min="3080" max="3080" width="5.375" style="4" customWidth="1"/>
    <col min="3081" max="3081" width="11.875" style="4" customWidth="1"/>
    <col min="3082" max="3082" width="15.125" style="4" customWidth="1"/>
    <col min="3083" max="3329" width="9" style="4"/>
    <col min="3330" max="3331" width="8.875" style="4" customWidth="1"/>
    <col min="3332" max="3332" width="9.125" style="4" customWidth="1"/>
    <col min="3333" max="3333" width="9" style="4"/>
    <col min="3334" max="3334" width="27.25" style="4" customWidth="1"/>
    <col min="3335" max="3335" width="12.25" style="4" customWidth="1"/>
    <col min="3336" max="3336" width="5.375" style="4" customWidth="1"/>
    <col min="3337" max="3337" width="11.875" style="4" customWidth="1"/>
    <col min="3338" max="3338" width="15.125" style="4" customWidth="1"/>
    <col min="3339" max="3585" width="9" style="4"/>
    <col min="3586" max="3587" width="8.875" style="4" customWidth="1"/>
    <col min="3588" max="3588" width="9.125" style="4" customWidth="1"/>
    <col min="3589" max="3589" width="9" style="4"/>
    <col min="3590" max="3590" width="27.25" style="4" customWidth="1"/>
    <col min="3591" max="3591" width="12.25" style="4" customWidth="1"/>
    <col min="3592" max="3592" width="5.375" style="4" customWidth="1"/>
    <col min="3593" max="3593" width="11.875" style="4" customWidth="1"/>
    <col min="3594" max="3594" width="15.125" style="4" customWidth="1"/>
    <col min="3595" max="3841" width="9" style="4"/>
    <col min="3842" max="3843" width="8.875" style="4" customWidth="1"/>
    <col min="3844" max="3844" width="9.125" style="4" customWidth="1"/>
    <col min="3845" max="3845" width="9" style="4"/>
    <col min="3846" max="3846" width="27.25" style="4" customWidth="1"/>
    <col min="3847" max="3847" width="12.25" style="4" customWidth="1"/>
    <col min="3848" max="3848" width="5.375" style="4" customWidth="1"/>
    <col min="3849" max="3849" width="11.875" style="4" customWidth="1"/>
    <col min="3850" max="3850" width="15.125" style="4" customWidth="1"/>
    <col min="3851" max="4097" width="9" style="4"/>
    <col min="4098" max="4099" width="8.875" style="4" customWidth="1"/>
    <col min="4100" max="4100" width="9.125" style="4" customWidth="1"/>
    <col min="4101" max="4101" width="9" style="4"/>
    <col min="4102" max="4102" width="27.25" style="4" customWidth="1"/>
    <col min="4103" max="4103" width="12.25" style="4" customWidth="1"/>
    <col min="4104" max="4104" width="5.375" style="4" customWidth="1"/>
    <col min="4105" max="4105" width="11.875" style="4" customWidth="1"/>
    <col min="4106" max="4106" width="15.125" style="4" customWidth="1"/>
    <col min="4107" max="4353" width="9" style="4"/>
    <col min="4354" max="4355" width="8.875" style="4" customWidth="1"/>
    <col min="4356" max="4356" width="9.125" style="4" customWidth="1"/>
    <col min="4357" max="4357" width="9" style="4"/>
    <col min="4358" max="4358" width="27.25" style="4" customWidth="1"/>
    <col min="4359" max="4359" width="12.25" style="4" customWidth="1"/>
    <col min="4360" max="4360" width="5.375" style="4" customWidth="1"/>
    <col min="4361" max="4361" width="11.875" style="4" customWidth="1"/>
    <col min="4362" max="4362" width="15.125" style="4" customWidth="1"/>
    <col min="4363" max="4609" width="9" style="4"/>
    <col min="4610" max="4611" width="8.875" style="4" customWidth="1"/>
    <col min="4612" max="4612" width="9.125" style="4" customWidth="1"/>
    <col min="4613" max="4613" width="9" style="4"/>
    <col min="4614" max="4614" width="27.25" style="4" customWidth="1"/>
    <col min="4615" max="4615" width="12.25" style="4" customWidth="1"/>
    <col min="4616" max="4616" width="5.375" style="4" customWidth="1"/>
    <col min="4617" max="4617" width="11.875" style="4" customWidth="1"/>
    <col min="4618" max="4618" width="15.125" style="4" customWidth="1"/>
    <col min="4619" max="4865" width="9" style="4"/>
    <col min="4866" max="4867" width="8.875" style="4" customWidth="1"/>
    <col min="4868" max="4868" width="9.125" style="4" customWidth="1"/>
    <col min="4869" max="4869" width="9" style="4"/>
    <col min="4870" max="4870" width="27.25" style="4" customWidth="1"/>
    <col min="4871" max="4871" width="12.25" style="4" customWidth="1"/>
    <col min="4872" max="4872" width="5.375" style="4" customWidth="1"/>
    <col min="4873" max="4873" width="11.875" style="4" customWidth="1"/>
    <col min="4874" max="4874" width="15.125" style="4" customWidth="1"/>
    <col min="4875" max="5121" width="9" style="4"/>
    <col min="5122" max="5123" width="8.875" style="4" customWidth="1"/>
    <col min="5124" max="5124" width="9.125" style="4" customWidth="1"/>
    <col min="5125" max="5125" width="9" style="4"/>
    <col min="5126" max="5126" width="27.25" style="4" customWidth="1"/>
    <col min="5127" max="5127" width="12.25" style="4" customWidth="1"/>
    <col min="5128" max="5128" width="5.375" style="4" customWidth="1"/>
    <col min="5129" max="5129" width="11.875" style="4" customWidth="1"/>
    <col min="5130" max="5130" width="15.125" style="4" customWidth="1"/>
    <col min="5131" max="5377" width="9" style="4"/>
    <col min="5378" max="5379" width="8.875" style="4" customWidth="1"/>
    <col min="5380" max="5380" width="9.125" style="4" customWidth="1"/>
    <col min="5381" max="5381" width="9" style="4"/>
    <col min="5382" max="5382" width="27.25" style="4" customWidth="1"/>
    <col min="5383" max="5383" width="12.25" style="4" customWidth="1"/>
    <col min="5384" max="5384" width="5.375" style="4" customWidth="1"/>
    <col min="5385" max="5385" width="11.875" style="4" customWidth="1"/>
    <col min="5386" max="5386" width="15.125" style="4" customWidth="1"/>
    <col min="5387" max="5633" width="9" style="4"/>
    <col min="5634" max="5635" width="8.875" style="4" customWidth="1"/>
    <col min="5636" max="5636" width="9.125" style="4" customWidth="1"/>
    <col min="5637" max="5637" width="9" style="4"/>
    <col min="5638" max="5638" width="27.25" style="4" customWidth="1"/>
    <col min="5639" max="5639" width="12.25" style="4" customWidth="1"/>
    <col min="5640" max="5640" width="5.375" style="4" customWidth="1"/>
    <col min="5641" max="5641" width="11.875" style="4" customWidth="1"/>
    <col min="5642" max="5642" width="15.125" style="4" customWidth="1"/>
    <col min="5643" max="5889" width="9" style="4"/>
    <col min="5890" max="5891" width="8.875" style="4" customWidth="1"/>
    <col min="5892" max="5892" width="9.125" style="4" customWidth="1"/>
    <col min="5893" max="5893" width="9" style="4"/>
    <col min="5894" max="5894" width="27.25" style="4" customWidth="1"/>
    <col min="5895" max="5895" width="12.25" style="4" customWidth="1"/>
    <col min="5896" max="5896" width="5.375" style="4" customWidth="1"/>
    <col min="5897" max="5897" width="11.875" style="4" customWidth="1"/>
    <col min="5898" max="5898" width="15.125" style="4" customWidth="1"/>
    <col min="5899" max="6145" width="9" style="4"/>
    <col min="6146" max="6147" width="8.875" style="4" customWidth="1"/>
    <col min="6148" max="6148" width="9.125" style="4" customWidth="1"/>
    <col min="6149" max="6149" width="9" style="4"/>
    <col min="6150" max="6150" width="27.25" style="4" customWidth="1"/>
    <col min="6151" max="6151" width="12.25" style="4" customWidth="1"/>
    <col min="6152" max="6152" width="5.375" style="4" customWidth="1"/>
    <col min="6153" max="6153" width="11.875" style="4" customWidth="1"/>
    <col min="6154" max="6154" width="15.125" style="4" customWidth="1"/>
    <col min="6155" max="6401" width="9" style="4"/>
    <col min="6402" max="6403" width="8.875" style="4" customWidth="1"/>
    <col min="6404" max="6404" width="9.125" style="4" customWidth="1"/>
    <col min="6405" max="6405" width="9" style="4"/>
    <col min="6406" max="6406" width="27.25" style="4" customWidth="1"/>
    <col min="6407" max="6407" width="12.25" style="4" customWidth="1"/>
    <col min="6408" max="6408" width="5.375" style="4" customWidth="1"/>
    <col min="6409" max="6409" width="11.875" style="4" customWidth="1"/>
    <col min="6410" max="6410" width="15.125" style="4" customWidth="1"/>
    <col min="6411" max="6657" width="9" style="4"/>
    <col min="6658" max="6659" width="8.875" style="4" customWidth="1"/>
    <col min="6660" max="6660" width="9.125" style="4" customWidth="1"/>
    <col min="6661" max="6661" width="9" style="4"/>
    <col min="6662" max="6662" width="27.25" style="4" customWidth="1"/>
    <col min="6663" max="6663" width="12.25" style="4" customWidth="1"/>
    <col min="6664" max="6664" width="5.375" style="4" customWidth="1"/>
    <col min="6665" max="6665" width="11.875" style="4" customWidth="1"/>
    <col min="6666" max="6666" width="15.125" style="4" customWidth="1"/>
    <col min="6667" max="6913" width="9" style="4"/>
    <col min="6914" max="6915" width="8.875" style="4" customWidth="1"/>
    <col min="6916" max="6916" width="9.125" style="4" customWidth="1"/>
    <col min="6917" max="6917" width="9" style="4"/>
    <col min="6918" max="6918" width="27.25" style="4" customWidth="1"/>
    <col min="6919" max="6919" width="12.25" style="4" customWidth="1"/>
    <col min="6920" max="6920" width="5.375" style="4" customWidth="1"/>
    <col min="6921" max="6921" width="11.875" style="4" customWidth="1"/>
    <col min="6922" max="6922" width="15.125" style="4" customWidth="1"/>
    <col min="6923" max="7169" width="9" style="4"/>
    <col min="7170" max="7171" width="8.875" style="4" customWidth="1"/>
    <col min="7172" max="7172" width="9.125" style="4" customWidth="1"/>
    <col min="7173" max="7173" width="9" style="4"/>
    <col min="7174" max="7174" width="27.25" style="4" customWidth="1"/>
    <col min="7175" max="7175" width="12.25" style="4" customWidth="1"/>
    <col min="7176" max="7176" width="5.375" style="4" customWidth="1"/>
    <col min="7177" max="7177" width="11.875" style="4" customWidth="1"/>
    <col min="7178" max="7178" width="15.125" style="4" customWidth="1"/>
    <col min="7179" max="7425" width="9" style="4"/>
    <col min="7426" max="7427" width="8.875" style="4" customWidth="1"/>
    <col min="7428" max="7428" width="9.125" style="4" customWidth="1"/>
    <col min="7429" max="7429" width="9" style="4"/>
    <col min="7430" max="7430" width="27.25" style="4" customWidth="1"/>
    <col min="7431" max="7431" width="12.25" style="4" customWidth="1"/>
    <col min="7432" max="7432" width="5.375" style="4" customWidth="1"/>
    <col min="7433" max="7433" width="11.875" style="4" customWidth="1"/>
    <col min="7434" max="7434" width="15.125" style="4" customWidth="1"/>
    <col min="7435" max="7681" width="9" style="4"/>
    <col min="7682" max="7683" width="8.875" style="4" customWidth="1"/>
    <col min="7684" max="7684" width="9.125" style="4" customWidth="1"/>
    <col min="7685" max="7685" width="9" style="4"/>
    <col min="7686" max="7686" width="27.25" style="4" customWidth="1"/>
    <col min="7687" max="7687" width="12.25" style="4" customWidth="1"/>
    <col min="7688" max="7688" width="5.375" style="4" customWidth="1"/>
    <col min="7689" max="7689" width="11.875" style="4" customWidth="1"/>
    <col min="7690" max="7690" width="15.125" style="4" customWidth="1"/>
    <col min="7691" max="7937" width="9" style="4"/>
    <col min="7938" max="7939" width="8.875" style="4" customWidth="1"/>
    <col min="7940" max="7940" width="9.125" style="4" customWidth="1"/>
    <col min="7941" max="7941" width="9" style="4"/>
    <col min="7942" max="7942" width="27.25" style="4" customWidth="1"/>
    <col min="7943" max="7943" width="12.25" style="4" customWidth="1"/>
    <col min="7944" max="7944" width="5.375" style="4" customWidth="1"/>
    <col min="7945" max="7945" width="11.875" style="4" customWidth="1"/>
    <col min="7946" max="7946" width="15.125" style="4" customWidth="1"/>
    <col min="7947" max="8193" width="9" style="4"/>
    <col min="8194" max="8195" width="8.875" style="4" customWidth="1"/>
    <col min="8196" max="8196" width="9.125" style="4" customWidth="1"/>
    <col min="8197" max="8197" width="9" style="4"/>
    <col min="8198" max="8198" width="27.25" style="4" customWidth="1"/>
    <col min="8199" max="8199" width="12.25" style="4" customWidth="1"/>
    <col min="8200" max="8200" width="5.375" style="4" customWidth="1"/>
    <col min="8201" max="8201" width="11.875" style="4" customWidth="1"/>
    <col min="8202" max="8202" width="15.125" style="4" customWidth="1"/>
    <col min="8203" max="8449" width="9" style="4"/>
    <col min="8450" max="8451" width="8.875" style="4" customWidth="1"/>
    <col min="8452" max="8452" width="9.125" style="4" customWidth="1"/>
    <col min="8453" max="8453" width="9" style="4"/>
    <col min="8454" max="8454" width="27.25" style="4" customWidth="1"/>
    <col min="8455" max="8455" width="12.25" style="4" customWidth="1"/>
    <col min="8456" max="8456" width="5.375" style="4" customWidth="1"/>
    <col min="8457" max="8457" width="11.875" style="4" customWidth="1"/>
    <col min="8458" max="8458" width="15.125" style="4" customWidth="1"/>
    <col min="8459" max="8705" width="9" style="4"/>
    <col min="8706" max="8707" width="8.875" style="4" customWidth="1"/>
    <col min="8708" max="8708" width="9.125" style="4" customWidth="1"/>
    <col min="8709" max="8709" width="9" style="4"/>
    <col min="8710" max="8710" width="27.25" style="4" customWidth="1"/>
    <col min="8711" max="8711" width="12.25" style="4" customWidth="1"/>
    <col min="8712" max="8712" width="5.375" style="4" customWidth="1"/>
    <col min="8713" max="8713" width="11.875" style="4" customWidth="1"/>
    <col min="8714" max="8714" width="15.125" style="4" customWidth="1"/>
    <col min="8715" max="8961" width="9" style="4"/>
    <col min="8962" max="8963" width="8.875" style="4" customWidth="1"/>
    <col min="8964" max="8964" width="9.125" style="4" customWidth="1"/>
    <col min="8965" max="8965" width="9" style="4"/>
    <col min="8966" max="8966" width="27.25" style="4" customWidth="1"/>
    <col min="8967" max="8967" width="12.25" style="4" customWidth="1"/>
    <col min="8968" max="8968" width="5.375" style="4" customWidth="1"/>
    <col min="8969" max="8969" width="11.875" style="4" customWidth="1"/>
    <col min="8970" max="8970" width="15.125" style="4" customWidth="1"/>
    <col min="8971" max="9217" width="9" style="4"/>
    <col min="9218" max="9219" width="8.875" style="4" customWidth="1"/>
    <col min="9220" max="9220" width="9.125" style="4" customWidth="1"/>
    <col min="9221" max="9221" width="9" style="4"/>
    <col min="9222" max="9222" width="27.25" style="4" customWidth="1"/>
    <col min="9223" max="9223" width="12.25" style="4" customWidth="1"/>
    <col min="9224" max="9224" width="5.375" style="4" customWidth="1"/>
    <col min="9225" max="9225" width="11.875" style="4" customWidth="1"/>
    <col min="9226" max="9226" width="15.125" style="4" customWidth="1"/>
    <col min="9227" max="9473" width="9" style="4"/>
    <col min="9474" max="9475" width="8.875" style="4" customWidth="1"/>
    <col min="9476" max="9476" width="9.125" style="4" customWidth="1"/>
    <col min="9477" max="9477" width="9" style="4"/>
    <col min="9478" max="9478" width="27.25" style="4" customWidth="1"/>
    <col min="9479" max="9479" width="12.25" style="4" customWidth="1"/>
    <col min="9480" max="9480" width="5.375" style="4" customWidth="1"/>
    <col min="9481" max="9481" width="11.875" style="4" customWidth="1"/>
    <col min="9482" max="9482" width="15.125" style="4" customWidth="1"/>
    <col min="9483" max="9729" width="9" style="4"/>
    <col min="9730" max="9731" width="8.875" style="4" customWidth="1"/>
    <col min="9732" max="9732" width="9.125" style="4" customWidth="1"/>
    <col min="9733" max="9733" width="9" style="4"/>
    <col min="9734" max="9734" width="27.25" style="4" customWidth="1"/>
    <col min="9735" max="9735" width="12.25" style="4" customWidth="1"/>
    <col min="9736" max="9736" width="5.375" style="4" customWidth="1"/>
    <col min="9737" max="9737" width="11.875" style="4" customWidth="1"/>
    <col min="9738" max="9738" width="15.125" style="4" customWidth="1"/>
    <col min="9739" max="9985" width="9" style="4"/>
    <col min="9986" max="9987" width="8.875" style="4" customWidth="1"/>
    <col min="9988" max="9988" width="9.125" style="4" customWidth="1"/>
    <col min="9989" max="9989" width="9" style="4"/>
    <col min="9990" max="9990" width="27.25" style="4" customWidth="1"/>
    <col min="9991" max="9991" width="12.25" style="4" customWidth="1"/>
    <col min="9992" max="9992" width="5.375" style="4" customWidth="1"/>
    <col min="9993" max="9993" width="11.875" style="4" customWidth="1"/>
    <col min="9994" max="9994" width="15.125" style="4" customWidth="1"/>
    <col min="9995" max="10241" width="9" style="4"/>
    <col min="10242" max="10243" width="8.875" style="4" customWidth="1"/>
    <col min="10244" max="10244" width="9.125" style="4" customWidth="1"/>
    <col min="10245" max="10245" width="9" style="4"/>
    <col min="10246" max="10246" width="27.25" style="4" customWidth="1"/>
    <col min="10247" max="10247" width="12.25" style="4" customWidth="1"/>
    <col min="10248" max="10248" width="5.375" style="4" customWidth="1"/>
    <col min="10249" max="10249" width="11.875" style="4" customWidth="1"/>
    <col min="10250" max="10250" width="15.125" style="4" customWidth="1"/>
    <col min="10251" max="10497" width="9" style="4"/>
    <col min="10498" max="10499" width="8.875" style="4" customWidth="1"/>
    <col min="10500" max="10500" width="9.125" style="4" customWidth="1"/>
    <col min="10501" max="10501" width="9" style="4"/>
    <col min="10502" max="10502" width="27.25" style="4" customWidth="1"/>
    <col min="10503" max="10503" width="12.25" style="4" customWidth="1"/>
    <col min="10504" max="10504" width="5.375" style="4" customWidth="1"/>
    <col min="10505" max="10505" width="11.875" style="4" customWidth="1"/>
    <col min="10506" max="10506" width="15.125" style="4" customWidth="1"/>
    <col min="10507" max="10753" width="9" style="4"/>
    <col min="10754" max="10755" width="8.875" style="4" customWidth="1"/>
    <col min="10756" max="10756" width="9.125" style="4" customWidth="1"/>
    <col min="10757" max="10757" width="9" style="4"/>
    <col min="10758" max="10758" width="27.25" style="4" customWidth="1"/>
    <col min="10759" max="10759" width="12.25" style="4" customWidth="1"/>
    <col min="10760" max="10760" width="5.375" style="4" customWidth="1"/>
    <col min="10761" max="10761" width="11.875" style="4" customWidth="1"/>
    <col min="10762" max="10762" width="15.125" style="4" customWidth="1"/>
    <col min="10763" max="11009" width="9" style="4"/>
    <col min="11010" max="11011" width="8.875" style="4" customWidth="1"/>
    <col min="11012" max="11012" width="9.125" style="4" customWidth="1"/>
    <col min="11013" max="11013" width="9" style="4"/>
    <col min="11014" max="11014" width="27.25" style="4" customWidth="1"/>
    <col min="11015" max="11015" width="12.25" style="4" customWidth="1"/>
    <col min="11016" max="11016" width="5.375" style="4" customWidth="1"/>
    <col min="11017" max="11017" width="11.875" style="4" customWidth="1"/>
    <col min="11018" max="11018" width="15.125" style="4" customWidth="1"/>
    <col min="11019" max="11265" width="9" style="4"/>
    <col min="11266" max="11267" width="8.875" style="4" customWidth="1"/>
    <col min="11268" max="11268" width="9.125" style="4" customWidth="1"/>
    <col min="11269" max="11269" width="9" style="4"/>
    <col min="11270" max="11270" width="27.25" style="4" customWidth="1"/>
    <col min="11271" max="11271" width="12.25" style="4" customWidth="1"/>
    <col min="11272" max="11272" width="5.375" style="4" customWidth="1"/>
    <col min="11273" max="11273" width="11.875" style="4" customWidth="1"/>
    <col min="11274" max="11274" width="15.125" style="4" customWidth="1"/>
    <col min="11275" max="11521" width="9" style="4"/>
    <col min="11522" max="11523" width="8.875" style="4" customWidth="1"/>
    <col min="11524" max="11524" width="9.125" style="4" customWidth="1"/>
    <col min="11525" max="11525" width="9" style="4"/>
    <col min="11526" max="11526" width="27.25" style="4" customWidth="1"/>
    <col min="11527" max="11527" width="12.25" style="4" customWidth="1"/>
    <col min="11528" max="11528" width="5.375" style="4" customWidth="1"/>
    <col min="11529" max="11529" width="11.875" style="4" customWidth="1"/>
    <col min="11530" max="11530" width="15.125" style="4" customWidth="1"/>
    <col min="11531" max="11777" width="9" style="4"/>
    <col min="11778" max="11779" width="8.875" style="4" customWidth="1"/>
    <col min="11780" max="11780" width="9.125" style="4" customWidth="1"/>
    <col min="11781" max="11781" width="9" style="4"/>
    <col min="11782" max="11782" width="27.25" style="4" customWidth="1"/>
    <col min="11783" max="11783" width="12.25" style="4" customWidth="1"/>
    <col min="11784" max="11784" width="5.375" style="4" customWidth="1"/>
    <col min="11785" max="11785" width="11.875" style="4" customWidth="1"/>
    <col min="11786" max="11786" width="15.125" style="4" customWidth="1"/>
    <col min="11787" max="12033" width="9" style="4"/>
    <col min="12034" max="12035" width="8.875" style="4" customWidth="1"/>
    <col min="12036" max="12036" width="9.125" style="4" customWidth="1"/>
    <col min="12037" max="12037" width="9" style="4"/>
    <col min="12038" max="12038" width="27.25" style="4" customWidth="1"/>
    <col min="12039" max="12039" width="12.25" style="4" customWidth="1"/>
    <col min="12040" max="12040" width="5.375" style="4" customWidth="1"/>
    <col min="12041" max="12041" width="11.875" style="4" customWidth="1"/>
    <col min="12042" max="12042" width="15.125" style="4" customWidth="1"/>
    <col min="12043" max="12289" width="9" style="4"/>
    <col min="12290" max="12291" width="8.875" style="4" customWidth="1"/>
    <col min="12292" max="12292" width="9.125" style="4" customWidth="1"/>
    <col min="12293" max="12293" width="9" style="4"/>
    <col min="12294" max="12294" width="27.25" style="4" customWidth="1"/>
    <col min="12295" max="12295" width="12.25" style="4" customWidth="1"/>
    <col min="12296" max="12296" width="5.375" style="4" customWidth="1"/>
    <col min="12297" max="12297" width="11.875" style="4" customWidth="1"/>
    <col min="12298" max="12298" width="15.125" style="4" customWidth="1"/>
    <col min="12299" max="12545" width="9" style="4"/>
    <col min="12546" max="12547" width="8.875" style="4" customWidth="1"/>
    <col min="12548" max="12548" width="9.125" style="4" customWidth="1"/>
    <col min="12549" max="12549" width="9" style="4"/>
    <col min="12550" max="12550" width="27.25" style="4" customWidth="1"/>
    <col min="12551" max="12551" width="12.25" style="4" customWidth="1"/>
    <col min="12552" max="12552" width="5.375" style="4" customWidth="1"/>
    <col min="12553" max="12553" width="11.875" style="4" customWidth="1"/>
    <col min="12554" max="12554" width="15.125" style="4" customWidth="1"/>
    <col min="12555" max="12801" width="9" style="4"/>
    <col min="12802" max="12803" width="8.875" style="4" customWidth="1"/>
    <col min="12804" max="12804" width="9.125" style="4" customWidth="1"/>
    <col min="12805" max="12805" width="9" style="4"/>
    <col min="12806" max="12806" width="27.25" style="4" customWidth="1"/>
    <col min="12807" max="12807" width="12.25" style="4" customWidth="1"/>
    <col min="12808" max="12808" width="5.375" style="4" customWidth="1"/>
    <col min="12809" max="12809" width="11.875" style="4" customWidth="1"/>
    <col min="12810" max="12810" width="15.125" style="4" customWidth="1"/>
    <col min="12811" max="13057" width="9" style="4"/>
    <col min="13058" max="13059" width="8.875" style="4" customWidth="1"/>
    <col min="13060" max="13060" width="9.125" style="4" customWidth="1"/>
    <col min="13061" max="13061" width="9" style="4"/>
    <col min="13062" max="13062" width="27.25" style="4" customWidth="1"/>
    <col min="13063" max="13063" width="12.25" style="4" customWidth="1"/>
    <col min="13064" max="13064" width="5.375" style="4" customWidth="1"/>
    <col min="13065" max="13065" width="11.875" style="4" customWidth="1"/>
    <col min="13066" max="13066" width="15.125" style="4" customWidth="1"/>
    <col min="13067" max="13313" width="9" style="4"/>
    <col min="13314" max="13315" width="8.875" style="4" customWidth="1"/>
    <col min="13316" max="13316" width="9.125" style="4" customWidth="1"/>
    <col min="13317" max="13317" width="9" style="4"/>
    <col min="13318" max="13318" width="27.25" style="4" customWidth="1"/>
    <col min="13319" max="13319" width="12.25" style="4" customWidth="1"/>
    <col min="13320" max="13320" width="5.375" style="4" customWidth="1"/>
    <col min="13321" max="13321" width="11.875" style="4" customWidth="1"/>
    <col min="13322" max="13322" width="15.125" style="4" customWidth="1"/>
    <col min="13323" max="13569" width="9" style="4"/>
    <col min="13570" max="13571" width="8.875" style="4" customWidth="1"/>
    <col min="13572" max="13572" width="9.125" style="4" customWidth="1"/>
    <col min="13573" max="13573" width="9" style="4"/>
    <col min="13574" max="13574" width="27.25" style="4" customWidth="1"/>
    <col min="13575" max="13575" width="12.25" style="4" customWidth="1"/>
    <col min="13576" max="13576" width="5.375" style="4" customWidth="1"/>
    <col min="13577" max="13577" width="11.875" style="4" customWidth="1"/>
    <col min="13578" max="13578" width="15.125" style="4" customWidth="1"/>
    <col min="13579" max="13825" width="9" style="4"/>
    <col min="13826" max="13827" width="8.875" style="4" customWidth="1"/>
    <col min="13828" max="13828" width="9.125" style="4" customWidth="1"/>
    <col min="13829" max="13829" width="9" style="4"/>
    <col min="13830" max="13830" width="27.25" style="4" customWidth="1"/>
    <col min="13831" max="13831" width="12.25" style="4" customWidth="1"/>
    <col min="13832" max="13832" width="5.375" style="4" customWidth="1"/>
    <col min="13833" max="13833" width="11.875" style="4" customWidth="1"/>
    <col min="13834" max="13834" width="15.125" style="4" customWidth="1"/>
    <col min="13835" max="14081" width="9" style="4"/>
    <col min="14082" max="14083" width="8.875" style="4" customWidth="1"/>
    <col min="14084" max="14084" width="9.125" style="4" customWidth="1"/>
    <col min="14085" max="14085" width="9" style="4"/>
    <col min="14086" max="14086" width="27.25" style="4" customWidth="1"/>
    <col min="14087" max="14087" width="12.25" style="4" customWidth="1"/>
    <col min="14088" max="14088" width="5.375" style="4" customWidth="1"/>
    <col min="14089" max="14089" width="11.875" style="4" customWidth="1"/>
    <col min="14090" max="14090" width="15.125" style="4" customWidth="1"/>
    <col min="14091" max="14337" width="9" style="4"/>
    <col min="14338" max="14339" width="8.875" style="4" customWidth="1"/>
    <col min="14340" max="14340" width="9.125" style="4" customWidth="1"/>
    <col min="14341" max="14341" width="9" style="4"/>
    <col min="14342" max="14342" width="27.25" style="4" customWidth="1"/>
    <col min="14343" max="14343" width="12.25" style="4" customWidth="1"/>
    <col min="14344" max="14344" width="5.375" style="4" customWidth="1"/>
    <col min="14345" max="14345" width="11.875" style="4" customWidth="1"/>
    <col min="14346" max="14346" width="15.125" style="4" customWidth="1"/>
    <col min="14347" max="14593" width="9" style="4"/>
    <col min="14594" max="14595" width="8.875" style="4" customWidth="1"/>
    <col min="14596" max="14596" width="9.125" style="4" customWidth="1"/>
    <col min="14597" max="14597" width="9" style="4"/>
    <col min="14598" max="14598" width="27.25" style="4" customWidth="1"/>
    <col min="14599" max="14599" width="12.25" style="4" customWidth="1"/>
    <col min="14600" max="14600" width="5.375" style="4" customWidth="1"/>
    <col min="14601" max="14601" width="11.875" style="4" customWidth="1"/>
    <col min="14602" max="14602" width="15.125" style="4" customWidth="1"/>
    <col min="14603" max="14849" width="9" style="4"/>
    <col min="14850" max="14851" width="8.875" style="4" customWidth="1"/>
    <col min="14852" max="14852" width="9.125" style="4" customWidth="1"/>
    <col min="14853" max="14853" width="9" style="4"/>
    <col min="14854" max="14854" width="27.25" style="4" customWidth="1"/>
    <col min="14855" max="14855" width="12.25" style="4" customWidth="1"/>
    <col min="14856" max="14856" width="5.375" style="4" customWidth="1"/>
    <col min="14857" max="14857" width="11.875" style="4" customWidth="1"/>
    <col min="14858" max="14858" width="15.125" style="4" customWidth="1"/>
    <col min="14859" max="15105" width="9" style="4"/>
    <col min="15106" max="15107" width="8.875" style="4" customWidth="1"/>
    <col min="15108" max="15108" width="9.125" style="4" customWidth="1"/>
    <col min="15109" max="15109" width="9" style="4"/>
    <col min="15110" max="15110" width="27.25" style="4" customWidth="1"/>
    <col min="15111" max="15111" width="12.25" style="4" customWidth="1"/>
    <col min="15112" max="15112" width="5.375" style="4" customWidth="1"/>
    <col min="15113" max="15113" width="11.875" style="4" customWidth="1"/>
    <col min="15114" max="15114" width="15.125" style="4" customWidth="1"/>
    <col min="15115" max="15361" width="9" style="4"/>
    <col min="15362" max="15363" width="8.875" style="4" customWidth="1"/>
    <col min="15364" max="15364" width="9.125" style="4" customWidth="1"/>
    <col min="15365" max="15365" width="9" style="4"/>
    <col min="15366" max="15366" width="27.25" style="4" customWidth="1"/>
    <col min="15367" max="15367" width="12.25" style="4" customWidth="1"/>
    <col min="15368" max="15368" width="5.375" style="4" customWidth="1"/>
    <col min="15369" max="15369" width="11.875" style="4" customWidth="1"/>
    <col min="15370" max="15370" width="15.125" style="4" customWidth="1"/>
    <col min="15371" max="15617" width="9" style="4"/>
    <col min="15618" max="15619" width="8.875" style="4" customWidth="1"/>
    <col min="15620" max="15620" width="9.125" style="4" customWidth="1"/>
    <col min="15621" max="15621" width="9" style="4"/>
    <col min="15622" max="15622" width="27.25" style="4" customWidth="1"/>
    <col min="15623" max="15623" width="12.25" style="4" customWidth="1"/>
    <col min="15624" max="15624" width="5.375" style="4" customWidth="1"/>
    <col min="15625" max="15625" width="11.875" style="4" customWidth="1"/>
    <col min="15626" max="15626" width="15.125" style="4" customWidth="1"/>
    <col min="15627" max="15873" width="9" style="4"/>
    <col min="15874" max="15875" width="8.875" style="4" customWidth="1"/>
    <col min="15876" max="15876" width="9.125" style="4" customWidth="1"/>
    <col min="15877" max="15877" width="9" style="4"/>
    <col min="15878" max="15878" width="27.25" style="4" customWidth="1"/>
    <col min="15879" max="15879" width="12.25" style="4" customWidth="1"/>
    <col min="15880" max="15880" width="5.375" style="4" customWidth="1"/>
    <col min="15881" max="15881" width="11.875" style="4" customWidth="1"/>
    <col min="15882" max="15882" width="15.125" style="4" customWidth="1"/>
    <col min="15883" max="16129" width="9" style="4"/>
    <col min="16130" max="16131" width="8.875" style="4" customWidth="1"/>
    <col min="16132" max="16132" width="9.125" style="4" customWidth="1"/>
    <col min="16133" max="16133" width="9" style="4"/>
    <col min="16134" max="16134" width="27.25" style="4" customWidth="1"/>
    <col min="16135" max="16135" width="12.25" style="4" customWidth="1"/>
    <col min="16136" max="16136" width="5.375" style="4" customWidth="1"/>
    <col min="16137" max="16137" width="11.875" style="4" customWidth="1"/>
    <col min="16138" max="16138" width="15.125" style="4" customWidth="1"/>
    <col min="16139" max="16384" width="9" style="4"/>
  </cols>
  <sheetData>
    <row r="1" spans="1:15" s="1" customFormat="1" ht="37.5">
      <c r="A1" s="111" t="s">
        <v>93</v>
      </c>
      <c r="B1" s="111"/>
      <c r="C1" s="111"/>
      <c r="D1" s="111"/>
      <c r="E1" s="111"/>
      <c r="F1" s="111"/>
      <c r="G1" s="111"/>
      <c r="H1" s="111"/>
      <c r="I1" s="111"/>
      <c r="J1" s="111"/>
      <c r="K1" s="42"/>
      <c r="L1" s="42"/>
      <c r="M1" s="42"/>
      <c r="N1" s="42"/>
      <c r="O1" s="42"/>
    </row>
    <row r="2" spans="1:15" s="3" customFormat="1" ht="18">
      <c r="A2" s="115" t="s">
        <v>94</v>
      </c>
      <c r="B2" s="115"/>
      <c r="C2" s="115"/>
      <c r="D2" s="115"/>
      <c r="E2" s="115"/>
      <c r="F2" s="115"/>
      <c r="G2" s="115"/>
      <c r="H2" s="115"/>
      <c r="I2" s="115"/>
      <c r="J2" s="115"/>
      <c r="K2" s="43"/>
      <c r="L2" s="43"/>
      <c r="M2" s="43"/>
      <c r="N2" s="43"/>
      <c r="O2" s="43"/>
    </row>
    <row r="3" spans="1:15" s="3" customFormat="1" ht="18">
      <c r="A3" s="125" t="s">
        <v>95</v>
      </c>
      <c r="B3" s="115"/>
      <c r="C3" s="115"/>
      <c r="D3" s="115"/>
      <c r="E3" s="115"/>
      <c r="F3" s="115"/>
      <c r="G3" s="115"/>
      <c r="H3" s="115"/>
      <c r="I3" s="115"/>
      <c r="J3" s="115"/>
      <c r="K3" s="43"/>
      <c r="L3" s="43"/>
      <c r="M3" s="43"/>
      <c r="N3" s="43"/>
      <c r="O3" s="43"/>
    </row>
    <row r="4" spans="1:15" ht="21.2" customHeight="1">
      <c r="A4" s="120" t="s">
        <v>25</v>
      </c>
      <c r="B4" s="120"/>
      <c r="C4" s="120"/>
      <c r="D4" s="120"/>
      <c r="E4" s="120"/>
      <c r="F4" s="120"/>
      <c r="G4" s="120"/>
      <c r="H4" s="120"/>
      <c r="I4" s="120"/>
      <c r="J4" s="120"/>
    </row>
    <row r="5" spans="1:15" ht="9.75" customHeight="1">
      <c r="A5" s="44"/>
      <c r="B5" s="44"/>
      <c r="C5" s="45"/>
      <c r="D5" s="45"/>
      <c r="E5" s="45"/>
      <c r="F5" s="45"/>
      <c r="G5" s="45"/>
      <c r="H5" s="45"/>
      <c r="I5" s="45"/>
    </row>
    <row r="6" spans="1:15" s="7" customFormat="1" ht="15" customHeight="1">
      <c r="A6" s="73" t="s">
        <v>0</v>
      </c>
      <c r="B6" s="5"/>
      <c r="C6" s="76" t="str">
        <f>'invoice for shipping'!B6</f>
        <v>WAN-26003-TN-20260413</v>
      </c>
      <c r="D6" s="6"/>
      <c r="E6" s="6"/>
      <c r="F6" s="6"/>
      <c r="G6" s="6"/>
      <c r="H6" s="93" t="s">
        <v>30</v>
      </c>
      <c r="I6" s="75" t="str">
        <f>'invoice for shipping'!I6</f>
        <v>APR. 13, 2026</v>
      </c>
    </row>
    <row r="7" spans="1:15" s="7" customFormat="1" ht="7.15" customHeight="1">
      <c r="A7" s="6"/>
      <c r="B7" s="6"/>
      <c r="C7" s="6"/>
      <c r="D7" s="6"/>
      <c r="E7" s="6"/>
      <c r="F7" s="6"/>
      <c r="G7" s="6"/>
      <c r="H7" s="8"/>
      <c r="I7" s="8"/>
      <c r="J7" s="47"/>
    </row>
    <row r="8" spans="1:15" s="7" customFormat="1" ht="15" customHeight="1">
      <c r="A8" s="73" t="s">
        <v>2</v>
      </c>
      <c r="B8" s="73"/>
      <c r="C8" s="73" t="str">
        <f>'invoice for shipping'!B8</f>
        <v>PT. NIRWANA ALABARE GARMENT</v>
      </c>
      <c r="D8" s="77"/>
      <c r="E8" s="77"/>
      <c r="F8" s="77"/>
      <c r="G8" s="77"/>
      <c r="H8" s="74" t="s">
        <v>1</v>
      </c>
      <c r="I8" s="74"/>
      <c r="J8" s="74" t="s">
        <v>1</v>
      </c>
    </row>
    <row r="9" spans="1:15" s="7" customFormat="1" ht="15" customHeight="1">
      <c r="A9" s="77"/>
      <c r="B9" s="77"/>
      <c r="C9" s="73" t="str">
        <f>'invoice for shipping'!B9</f>
        <v>Jl. Raya Rancaekek - Majalaya No. 289</v>
      </c>
      <c r="D9" s="77"/>
      <c r="E9" s="77"/>
      <c r="F9" s="77"/>
      <c r="G9" s="77"/>
      <c r="H9" s="74" t="s">
        <v>1</v>
      </c>
      <c r="I9" s="74"/>
      <c r="J9" s="74" t="s">
        <v>1</v>
      </c>
    </row>
    <row r="10" spans="1:15" s="7" customFormat="1" ht="15" customHeight="1">
      <c r="A10" s="77"/>
      <c r="B10" s="77"/>
      <c r="C10" s="73" t="str">
        <f>'invoice for shipping'!B10</f>
        <v>Solokanjeruk, Kec. Solokanjeruk</v>
      </c>
      <c r="D10" s="77"/>
      <c r="E10" s="77"/>
      <c r="F10" s="77"/>
      <c r="G10" s="77"/>
      <c r="H10" s="74" t="s">
        <v>1</v>
      </c>
      <c r="I10" s="74"/>
      <c r="J10" s="74" t="s">
        <v>1</v>
      </c>
    </row>
    <row r="11" spans="1:15" s="7" customFormat="1" ht="15" customHeight="1">
      <c r="A11" s="77"/>
      <c r="B11" s="77"/>
      <c r="C11" s="73" t="str">
        <f>'invoice for shipping'!B11</f>
        <v>Kab. Bandung, Jawa Barat 40376</v>
      </c>
      <c r="D11" s="77"/>
      <c r="E11" s="77"/>
      <c r="F11" s="77"/>
      <c r="G11" s="77"/>
      <c r="H11" s="77"/>
      <c r="I11" s="77"/>
      <c r="J11" s="74" t="s">
        <v>1</v>
      </c>
    </row>
    <row r="12" spans="1:15" s="7" customFormat="1" ht="15" customHeight="1">
      <c r="A12" s="77"/>
      <c r="B12" s="77"/>
      <c r="C12" s="73" t="str">
        <f>'invoice for shipping'!B12</f>
        <v>Phone : +62-22-85962076</v>
      </c>
      <c r="D12" s="77"/>
      <c r="E12" s="77"/>
      <c r="F12" s="77"/>
      <c r="G12" s="77"/>
      <c r="H12" s="77"/>
      <c r="I12" s="77"/>
      <c r="J12" s="74"/>
    </row>
    <row r="13" spans="1:15" s="7" customFormat="1" ht="15" customHeight="1">
      <c r="A13" s="77"/>
      <c r="B13" s="77"/>
      <c r="C13" s="73" t="str">
        <f>'invoice for shipping'!B13</f>
        <v>Attn : Ayu/Della/Pak Gun Gun</v>
      </c>
      <c r="D13" s="77"/>
      <c r="E13" s="77"/>
      <c r="F13" s="77"/>
      <c r="G13" s="77"/>
      <c r="H13" s="77"/>
      <c r="I13" s="77"/>
      <c r="J13" s="74"/>
    </row>
    <row r="14" spans="1:15" s="7" customFormat="1" ht="7.15" customHeight="1">
      <c r="A14" s="77"/>
      <c r="B14" s="77"/>
      <c r="C14" s="73"/>
      <c r="D14" s="77"/>
      <c r="E14" s="77"/>
      <c r="F14" s="77"/>
      <c r="G14" s="77"/>
      <c r="H14" s="77"/>
      <c r="I14" s="77"/>
      <c r="J14" s="78"/>
    </row>
    <row r="15" spans="1:15" s="7" customFormat="1" ht="14.25">
      <c r="A15" s="73" t="s">
        <v>3</v>
      </c>
      <c r="B15" s="73"/>
      <c r="C15" s="76" t="str">
        <f>'invoice for shipping'!B15</f>
        <v>BY AIR CARGO</v>
      </c>
      <c r="D15" s="79"/>
      <c r="E15" s="77"/>
      <c r="F15" s="77"/>
      <c r="G15" s="77"/>
      <c r="H15" s="77"/>
      <c r="I15" s="77"/>
      <c r="J15" s="78"/>
    </row>
    <row r="16" spans="1:15" s="7" customFormat="1" ht="7.15" customHeight="1">
      <c r="A16" s="73"/>
      <c r="B16" s="73"/>
      <c r="C16" s="80"/>
      <c r="D16" s="80"/>
      <c r="E16" s="81"/>
      <c r="F16" s="77"/>
      <c r="G16" s="77"/>
      <c r="H16" s="77"/>
      <c r="I16" s="77"/>
      <c r="J16" s="78"/>
    </row>
    <row r="17" spans="1:19" s="7" customFormat="1" ht="14.25">
      <c r="A17" s="73" t="s">
        <v>50</v>
      </c>
      <c r="B17" s="73"/>
      <c r="C17" s="73" t="str">
        <f>'invoice for shipping'!B17</f>
        <v>SHANGHAI, CHINA</v>
      </c>
      <c r="D17" s="73"/>
      <c r="E17" s="73"/>
      <c r="F17" s="77"/>
      <c r="G17" s="93" t="s">
        <v>4</v>
      </c>
      <c r="H17" s="82" t="str">
        <f>'invoice for shipping'!G17</f>
        <v>JAKARTA, INDONESIA</v>
      </c>
      <c r="I17" s="82"/>
      <c r="J17" s="83"/>
    </row>
    <row r="18" spans="1:19" s="12" customFormat="1" ht="7.15" customHeight="1">
      <c r="A18" s="48" t="s">
        <v>1</v>
      </c>
      <c r="B18" s="48"/>
      <c r="C18" s="121" t="s">
        <v>1</v>
      </c>
      <c r="D18" s="121"/>
      <c r="E18" s="121"/>
      <c r="F18" s="121"/>
      <c r="G18" s="121"/>
      <c r="H18" s="121"/>
      <c r="I18" s="121"/>
      <c r="J18" s="121"/>
      <c r="K18" s="23"/>
      <c r="L18" s="23"/>
      <c r="M18" s="23"/>
      <c r="N18" s="23"/>
      <c r="O18" s="23"/>
      <c r="P18" s="23"/>
      <c r="Q18" s="23"/>
      <c r="R18" s="23"/>
      <c r="S18" s="23"/>
    </row>
    <row r="19" spans="1:19" s="12" customFormat="1" ht="12.75">
      <c r="A19" s="9" t="s">
        <v>5</v>
      </c>
      <c r="B19" s="9"/>
      <c r="C19" s="122" t="s">
        <v>26</v>
      </c>
      <c r="D19" s="122"/>
      <c r="E19" s="122"/>
      <c r="F19" s="123" t="s">
        <v>36</v>
      </c>
      <c r="G19" s="123" t="s">
        <v>48</v>
      </c>
      <c r="H19" s="17" t="s">
        <v>51</v>
      </c>
      <c r="I19" s="17"/>
      <c r="J19" s="17" t="s">
        <v>35</v>
      </c>
      <c r="N19" s="17"/>
      <c r="O19" s="17"/>
      <c r="P19" s="17"/>
      <c r="Q19" s="17"/>
      <c r="R19" s="17"/>
      <c r="S19" s="17"/>
    </row>
    <row r="20" spans="1:19" s="12" customFormat="1" ht="12.75">
      <c r="A20" s="48" t="s">
        <v>1</v>
      </c>
      <c r="B20" s="48"/>
      <c r="C20" s="49"/>
      <c r="D20" s="49"/>
      <c r="E20" s="49"/>
      <c r="F20" s="124"/>
      <c r="G20" s="124"/>
      <c r="H20" s="50" t="s">
        <v>6</v>
      </c>
      <c r="I20" s="50"/>
      <c r="J20" s="51" t="s">
        <v>6</v>
      </c>
      <c r="N20" s="17"/>
      <c r="O20" s="17"/>
      <c r="P20" s="17"/>
      <c r="Q20" s="17"/>
      <c r="R20" s="17"/>
      <c r="S20" s="17"/>
    </row>
    <row r="21" spans="1:19" s="7" customFormat="1" ht="14.25">
      <c r="A21" s="9"/>
      <c r="B21" s="9"/>
      <c r="C21" s="21" t="str">
        <f>'invoice for shipping'!B21</f>
        <v>KNITTED FABRIC</v>
      </c>
      <c r="D21" s="22"/>
      <c r="E21" s="22"/>
      <c r="F21" s="12"/>
      <c r="G21" s="12"/>
      <c r="H21" s="12"/>
      <c r="I21" s="12"/>
      <c r="J21" s="23"/>
    </row>
    <row r="22" spans="1:19" ht="10.15" customHeight="1">
      <c r="A22" s="9"/>
      <c r="B22" s="9"/>
      <c r="C22" s="86" t="str">
        <f>'invoice for shipping'!B22</f>
        <v>*********************</v>
      </c>
      <c r="D22" s="22"/>
      <c r="E22" s="22"/>
      <c r="F22" s="12"/>
      <c r="G22" s="12"/>
      <c r="H22" s="12"/>
      <c r="I22" s="12"/>
      <c r="J22" s="23"/>
    </row>
    <row r="23" spans="1:19" ht="13.9" customHeight="1">
      <c r="A23" s="9"/>
      <c r="B23" s="9"/>
      <c r="C23" s="91" t="str">
        <f>'invoice for shipping'!B23</f>
        <v>HS CODE : 6006</v>
      </c>
      <c r="D23" s="22"/>
      <c r="E23" s="22"/>
      <c r="F23" s="12"/>
      <c r="G23" s="12"/>
      <c r="H23" s="12"/>
      <c r="I23" s="12"/>
      <c r="J23" s="23"/>
    </row>
    <row r="24" spans="1:19" ht="13.9" customHeight="1">
      <c r="A24" s="9"/>
      <c r="B24" s="9"/>
      <c r="C24" s="91" t="str">
        <f>'invoice for shipping'!B24</f>
        <v>PO#REEF SP27 SMS</v>
      </c>
      <c r="D24" s="22"/>
      <c r="E24" s="22"/>
      <c r="F24" s="12"/>
      <c r="G24" s="12"/>
      <c r="H24" s="12"/>
      <c r="I24" s="12"/>
      <c r="J24" s="23"/>
    </row>
    <row r="25" spans="1:19" ht="13.9" customHeight="1">
      <c r="A25" s="9"/>
      <c r="B25" s="52"/>
      <c r="C25" s="21" t="str">
        <f>'invoice for shipping'!B25</f>
        <v>70%BAMBOO VISCOSE 30%POLYESTER</v>
      </c>
      <c r="D25" s="22"/>
      <c r="E25" s="22"/>
      <c r="F25" s="25"/>
      <c r="G25" s="25"/>
      <c r="H25" s="25"/>
      <c r="I25" s="25"/>
      <c r="J25" s="25"/>
      <c r="K25" s="84"/>
    </row>
    <row r="26" spans="1:19" ht="13.9" customHeight="1">
      <c r="A26" s="9"/>
      <c r="B26" s="52"/>
      <c r="C26" s="21" t="str">
        <f>'invoice for shipping'!B26</f>
        <v>155GSM - 245G/Y - 66"WIDTH</v>
      </c>
      <c r="D26" s="22"/>
      <c r="E26" s="22"/>
      <c r="F26" s="25"/>
      <c r="G26" s="25"/>
      <c r="H26" s="25"/>
      <c r="I26" s="25"/>
      <c r="J26" s="25"/>
      <c r="K26" s="84"/>
    </row>
    <row r="27" spans="1:19" ht="13.9" customHeight="1">
      <c r="A27" s="9">
        <v>1</v>
      </c>
      <c r="B27" s="52" t="s">
        <v>83</v>
      </c>
      <c r="C27" s="21" t="str">
        <f>'invoice for shipping'!B27</f>
        <v>OYSTER MUSHROOM</v>
      </c>
      <c r="D27" s="22"/>
      <c r="E27" s="22"/>
      <c r="F27" s="90">
        <v>65</v>
      </c>
      <c r="G27" s="90">
        <v>59</v>
      </c>
      <c r="H27" s="25">
        <v>18.600000000000001</v>
      </c>
      <c r="I27" s="25" t="s">
        <v>49</v>
      </c>
      <c r="J27" s="25">
        <v>18.899999999999999</v>
      </c>
      <c r="K27" s="84"/>
    </row>
    <row r="28" spans="1:19" ht="13.9" customHeight="1">
      <c r="A28" s="9">
        <v>1</v>
      </c>
      <c r="B28" s="52" t="s">
        <v>83</v>
      </c>
      <c r="C28" s="21" t="str">
        <f>'invoice for shipping'!B28</f>
        <v>GREEN BAY</v>
      </c>
      <c r="D28" s="22"/>
      <c r="E28" s="22"/>
      <c r="F28" s="90">
        <v>30</v>
      </c>
      <c r="G28" s="90">
        <v>27</v>
      </c>
      <c r="H28" s="25">
        <v>8.1</v>
      </c>
      <c r="I28" s="25" t="s">
        <v>49</v>
      </c>
      <c r="J28" s="25">
        <v>8.4</v>
      </c>
      <c r="K28" s="84"/>
    </row>
    <row r="29" spans="1:19" ht="13.9" customHeight="1">
      <c r="A29" s="9">
        <v>1</v>
      </c>
      <c r="B29" s="52" t="s">
        <v>83</v>
      </c>
      <c r="C29" s="21" t="str">
        <f>'invoice for shipping'!B29</f>
        <v>CAVIAR</v>
      </c>
      <c r="D29" s="22"/>
      <c r="E29" s="22"/>
      <c r="F29" s="90">
        <v>70</v>
      </c>
      <c r="G29" s="90">
        <v>64</v>
      </c>
      <c r="H29" s="25">
        <v>20.399999999999999</v>
      </c>
      <c r="I29" s="25" t="s">
        <v>49</v>
      </c>
      <c r="J29" s="25">
        <v>20.7</v>
      </c>
      <c r="K29" s="84"/>
    </row>
    <row r="30" spans="1:19" ht="13.9" customHeight="1">
      <c r="A30" s="9">
        <v>1</v>
      </c>
      <c r="B30" s="52" t="s">
        <v>83</v>
      </c>
      <c r="C30" s="21" t="str">
        <f>'invoice for shipping'!B30</f>
        <v>QUIET SHADE</v>
      </c>
      <c r="D30" s="22"/>
      <c r="E30" s="22"/>
      <c r="F30" s="90">
        <v>40</v>
      </c>
      <c r="G30" s="90">
        <v>36</v>
      </c>
      <c r="H30" s="25">
        <v>11.2</v>
      </c>
      <c r="I30" s="25" t="s">
        <v>49</v>
      </c>
      <c r="J30" s="25">
        <v>11.5</v>
      </c>
      <c r="K30" s="84"/>
    </row>
    <row r="31" spans="1:19" ht="13.9" customHeight="1">
      <c r="A31" s="9">
        <v>1</v>
      </c>
      <c r="B31" s="52" t="s">
        <v>83</v>
      </c>
      <c r="C31" s="21" t="str">
        <f>'invoice for shipping'!B31</f>
        <v>INSIGNIA BLUE</v>
      </c>
      <c r="D31" s="22"/>
      <c r="E31" s="22"/>
      <c r="F31" s="90">
        <v>40</v>
      </c>
      <c r="G31" s="90">
        <v>36</v>
      </c>
      <c r="H31" s="25">
        <v>11.6</v>
      </c>
      <c r="I31" s="25" t="s">
        <v>49</v>
      </c>
      <c r="J31" s="25">
        <v>11.9</v>
      </c>
      <c r="K31" s="84"/>
    </row>
    <row r="32" spans="1:19" ht="13.9" customHeight="1">
      <c r="A32" s="9">
        <v>1</v>
      </c>
      <c r="B32" s="52" t="s">
        <v>83</v>
      </c>
      <c r="C32" s="21" t="str">
        <f>'invoice for shipping'!B32</f>
        <v>BLUE HAZY</v>
      </c>
      <c r="D32" s="22"/>
      <c r="E32" s="22"/>
      <c r="F32" s="90">
        <v>65</v>
      </c>
      <c r="G32" s="90">
        <v>59</v>
      </c>
      <c r="H32" s="25">
        <v>18.600000000000001</v>
      </c>
      <c r="I32" s="25" t="s">
        <v>49</v>
      </c>
      <c r="J32" s="25">
        <v>18.899999999999999</v>
      </c>
      <c r="K32" s="84"/>
    </row>
    <row r="33" spans="1:19" ht="13.9" customHeight="1">
      <c r="A33" s="9">
        <v>1</v>
      </c>
      <c r="B33" s="52" t="s">
        <v>83</v>
      </c>
      <c r="C33" s="21" t="str">
        <f>'invoice for shipping'!B33</f>
        <v>SACHET PINK</v>
      </c>
      <c r="D33" s="22"/>
      <c r="E33" s="22"/>
      <c r="F33" s="90">
        <v>40</v>
      </c>
      <c r="G33" s="90">
        <v>36</v>
      </c>
      <c r="H33" s="25">
        <v>12.9</v>
      </c>
      <c r="I33" s="25" t="s">
        <v>49</v>
      </c>
      <c r="J33" s="25">
        <v>13.2</v>
      </c>
      <c r="K33" s="84"/>
    </row>
    <row r="34" spans="1:19" ht="13.9" customHeight="1">
      <c r="A34" s="9"/>
      <c r="B34" s="52"/>
      <c r="C34" s="21"/>
      <c r="D34" s="22"/>
      <c r="E34" s="22"/>
      <c r="F34" s="90"/>
      <c r="G34" s="90"/>
      <c r="H34" s="25"/>
      <c r="I34" s="25"/>
      <c r="J34" s="25"/>
      <c r="K34" s="84"/>
    </row>
    <row r="35" spans="1:19" ht="13.9" customHeight="1">
      <c r="A35" s="9"/>
      <c r="B35" s="52"/>
      <c r="C35" s="21" t="str">
        <f>'invoice for shipping'!B36</f>
        <v>71%POLYESTER 25%RAYON 4%SPANDEX</v>
      </c>
      <c r="D35" s="22"/>
      <c r="E35" s="22"/>
      <c r="F35" s="90"/>
      <c r="G35" s="90"/>
      <c r="H35" s="25"/>
      <c r="I35" s="25"/>
      <c r="J35" s="25"/>
      <c r="K35" s="84"/>
    </row>
    <row r="36" spans="1:19" ht="13.9" customHeight="1">
      <c r="A36" s="9"/>
      <c r="B36" s="52"/>
      <c r="C36" s="21" t="str">
        <f>'invoice for shipping'!B37</f>
        <v>330GSM - 475G/Y - 60"WIDTH</v>
      </c>
      <c r="D36" s="22"/>
      <c r="E36" s="22"/>
      <c r="F36" s="90"/>
      <c r="G36" s="90"/>
      <c r="H36" s="25"/>
      <c r="I36" s="25"/>
      <c r="J36" s="25"/>
      <c r="K36" s="84"/>
    </row>
    <row r="37" spans="1:19" ht="13.9" customHeight="1">
      <c r="A37" s="9">
        <v>1</v>
      </c>
      <c r="B37" s="52" t="s">
        <v>83</v>
      </c>
      <c r="C37" s="21" t="str">
        <f>'invoice for shipping'!B38</f>
        <v>INSIGNIA BLUE</v>
      </c>
      <c r="D37" s="22"/>
      <c r="E37" s="22"/>
      <c r="F37" s="90">
        <v>50</v>
      </c>
      <c r="G37" s="90">
        <v>45</v>
      </c>
      <c r="H37" s="25">
        <v>23.1</v>
      </c>
      <c r="I37" s="25" t="s">
        <v>49</v>
      </c>
      <c r="J37" s="25">
        <v>23.4</v>
      </c>
      <c r="K37" s="84"/>
    </row>
    <row r="38" spans="1:19" ht="13.9" customHeight="1">
      <c r="A38" s="9"/>
      <c r="B38" s="52"/>
      <c r="C38" s="21"/>
      <c r="D38" s="22"/>
      <c r="E38" s="22"/>
      <c r="F38" s="90"/>
      <c r="G38" s="90"/>
      <c r="H38" s="25"/>
      <c r="I38" s="25"/>
      <c r="J38" s="25"/>
      <c r="K38" s="84"/>
    </row>
    <row r="39" spans="1:19" ht="13.9" customHeight="1">
      <c r="A39" s="9"/>
      <c r="B39" s="52"/>
      <c r="C39" s="21" t="str">
        <f>'invoice for shipping'!B39</f>
        <v>CAVIAR</v>
      </c>
      <c r="D39" s="22"/>
      <c r="E39" s="22"/>
      <c r="F39" s="90">
        <v>50</v>
      </c>
      <c r="G39" s="90">
        <v>45</v>
      </c>
      <c r="H39" s="25">
        <v>23.2</v>
      </c>
      <c r="I39" s="25" t="s">
        <v>49</v>
      </c>
      <c r="J39" s="25">
        <v>23.5</v>
      </c>
      <c r="K39" s="84"/>
    </row>
    <row r="40" spans="1:19" ht="13.9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84"/>
    </row>
    <row r="41" spans="1:19" ht="13.9" customHeight="1">
      <c r="A41" s="9"/>
      <c r="B41" s="52"/>
      <c r="C41" s="21" t="str">
        <f>'invoice for shipping'!B42</f>
        <v>100%POLYESTER MESH</v>
      </c>
      <c r="D41" s="22"/>
      <c r="E41" s="22"/>
      <c r="F41" s="90"/>
      <c r="G41" s="90"/>
      <c r="H41" s="25"/>
      <c r="I41" s="25"/>
      <c r="J41" s="25"/>
      <c r="K41" s="84"/>
    </row>
    <row r="42" spans="1:19" ht="13.9" customHeight="1">
      <c r="A42" s="9"/>
      <c r="B42" s="52"/>
      <c r="C42" s="21" t="str">
        <f>'invoice for shipping'!B43</f>
        <v>75GSM - 105G/Y - 60"WIDTH</v>
      </c>
      <c r="D42" s="22"/>
      <c r="E42" s="22"/>
      <c r="F42" s="90"/>
      <c r="G42" s="90"/>
      <c r="H42" s="25"/>
      <c r="I42" s="25"/>
      <c r="J42" s="25"/>
      <c r="K42" s="84"/>
    </row>
    <row r="43" spans="1:19" ht="13.9" customHeight="1">
      <c r="A43" s="48"/>
      <c r="B43" s="104"/>
      <c r="C43" s="53" t="str">
        <f>'invoice for shipping'!B44</f>
        <v>BLCAK</v>
      </c>
      <c r="D43" s="54"/>
      <c r="E43" s="54"/>
      <c r="F43" s="102">
        <v>4</v>
      </c>
      <c r="G43" s="102">
        <v>3</v>
      </c>
      <c r="H43" s="55">
        <v>0.3</v>
      </c>
      <c r="I43" s="55" t="s">
        <v>59</v>
      </c>
      <c r="J43" s="55">
        <v>0.6</v>
      </c>
      <c r="K43" s="84"/>
    </row>
    <row r="44" spans="1:19" ht="13.9" customHeight="1">
      <c r="A44" s="9" t="s">
        <v>61</v>
      </c>
      <c r="B44" s="9">
        <v>1</v>
      </c>
      <c r="C44" s="21" t="s">
        <v>83</v>
      </c>
      <c r="D44" s="22"/>
      <c r="E44" s="22"/>
      <c r="F44" s="90">
        <f>SUM(F39:F43)</f>
        <v>54</v>
      </c>
      <c r="G44" s="90">
        <f>SUM(G39:G43)</f>
        <v>48</v>
      </c>
      <c r="H44" s="25">
        <f>SUM(H39:H43)</f>
        <v>23.5</v>
      </c>
      <c r="I44" s="25" t="s">
        <v>60</v>
      </c>
      <c r="J44" s="25">
        <f>SUM(J39:J43)</f>
        <v>24.1</v>
      </c>
      <c r="K44" s="84"/>
    </row>
    <row r="45" spans="1:19" s="12" customFormat="1" ht="14.1" customHeight="1">
      <c r="A45" s="48"/>
      <c r="B45" s="48"/>
      <c r="C45" s="53"/>
      <c r="D45" s="54"/>
      <c r="E45" s="54"/>
      <c r="F45" s="102"/>
      <c r="G45" s="103"/>
      <c r="H45" s="55"/>
      <c r="I45" s="55"/>
      <c r="J45" s="55"/>
      <c r="K45" s="17"/>
      <c r="L45" s="17"/>
      <c r="M45" s="17"/>
      <c r="N45" s="17"/>
      <c r="O45" s="17"/>
      <c r="P45" s="17"/>
      <c r="Q45" s="17"/>
      <c r="R45" s="17"/>
      <c r="S45" s="17"/>
    </row>
    <row r="46" spans="1:19" s="12" customFormat="1" ht="12.75">
      <c r="A46" s="9" t="s">
        <v>27</v>
      </c>
      <c r="B46" s="90">
        <f>SUM(A27:A37)+B44</f>
        <v>9</v>
      </c>
      <c r="C46" s="118" t="s">
        <v>84</v>
      </c>
      <c r="D46" s="118"/>
      <c r="E46" s="25" t="s">
        <v>1</v>
      </c>
      <c r="F46" s="90">
        <f>SUM(F27:F37)+F44</f>
        <v>454</v>
      </c>
      <c r="G46" s="90">
        <f>SUM(G27:G37)+G44</f>
        <v>410</v>
      </c>
      <c r="H46" s="25">
        <f>SUM(H27:H37)+H44</f>
        <v>148</v>
      </c>
      <c r="I46" s="25" t="s">
        <v>49</v>
      </c>
      <c r="J46" s="25">
        <f>SUM(J27:J37)+J44</f>
        <v>151</v>
      </c>
      <c r="K46" s="17"/>
      <c r="L46" s="17"/>
      <c r="M46" s="17"/>
      <c r="N46" s="17"/>
      <c r="O46" s="17"/>
      <c r="P46" s="17"/>
      <c r="Q46" s="17"/>
      <c r="R46" s="17"/>
      <c r="S46" s="17"/>
    </row>
    <row r="47" spans="1:19" s="12" customFormat="1" ht="12.75">
      <c r="A47" s="12" t="s">
        <v>1</v>
      </c>
      <c r="B47" s="37" t="s">
        <v>28</v>
      </c>
      <c r="C47" s="119" t="s">
        <v>58</v>
      </c>
      <c r="D47" s="119"/>
      <c r="E47" s="36" t="s">
        <v>1</v>
      </c>
      <c r="F47" s="37" t="s">
        <v>53</v>
      </c>
      <c r="G47" s="37" t="s">
        <v>53</v>
      </c>
      <c r="H47" s="36" t="s">
        <v>54</v>
      </c>
      <c r="I47" s="36"/>
      <c r="J47" s="36" t="s">
        <v>21</v>
      </c>
      <c r="K47" s="17"/>
      <c r="L47" s="17"/>
      <c r="M47" s="17"/>
      <c r="N47" s="17"/>
      <c r="O47" s="17"/>
      <c r="P47" s="17"/>
      <c r="Q47" s="17"/>
      <c r="R47" s="17"/>
      <c r="S47" s="17"/>
    </row>
    <row r="48" spans="1:19" s="12" customFormat="1" ht="14.1" customHeight="1">
      <c r="A48" s="9"/>
      <c r="B48" s="9"/>
      <c r="J48" s="23"/>
      <c r="K48" s="17"/>
      <c r="L48" s="17"/>
      <c r="M48" s="17"/>
      <c r="N48" s="17"/>
      <c r="O48" s="17"/>
      <c r="P48" s="17"/>
      <c r="Q48" s="17"/>
      <c r="R48" s="17"/>
      <c r="S48" s="17"/>
    </row>
    <row r="49" spans="1:19" s="12" customFormat="1" ht="14.1" customHeight="1">
      <c r="A49" s="9" t="s">
        <v>85</v>
      </c>
      <c r="B49" s="9"/>
      <c r="J49" s="23"/>
      <c r="K49" s="17"/>
      <c r="L49" s="17"/>
      <c r="M49" s="17"/>
      <c r="N49" s="17"/>
      <c r="O49" s="17"/>
      <c r="P49" s="17"/>
      <c r="Q49" s="17"/>
      <c r="R49" s="17"/>
      <c r="S49" s="17"/>
    </row>
    <row r="50" spans="1:19" ht="14.1" customHeight="1">
      <c r="A50" s="9"/>
      <c r="B50" s="9"/>
      <c r="C50" s="12"/>
      <c r="D50" s="22"/>
      <c r="E50" s="22"/>
      <c r="F50" s="22"/>
      <c r="G50" s="22"/>
      <c r="H50" s="22"/>
      <c r="I50" s="22"/>
      <c r="J50" s="56"/>
      <c r="K50" s="12"/>
      <c r="L50" s="23"/>
    </row>
    <row r="51" spans="1:19" ht="14.1" customHeight="1">
      <c r="A51" s="9"/>
      <c r="B51" s="9"/>
      <c r="C51" s="12"/>
      <c r="D51" s="22"/>
      <c r="E51" s="22"/>
      <c r="F51" s="22"/>
      <c r="G51" s="38" t="s">
        <v>31</v>
      </c>
      <c r="H51" s="22"/>
      <c r="I51" s="22"/>
      <c r="J51" s="23"/>
      <c r="K51" s="12"/>
      <c r="L51" s="23"/>
    </row>
    <row r="52" spans="1:19" ht="14.1" customHeight="1">
      <c r="A52" s="9"/>
      <c r="B52" s="9"/>
      <c r="C52" s="12"/>
      <c r="D52" s="22"/>
      <c r="E52" s="22"/>
      <c r="F52" s="22"/>
      <c r="G52" s="12"/>
      <c r="H52" s="22"/>
      <c r="I52" s="22"/>
      <c r="J52" s="23"/>
    </row>
    <row r="53" spans="1:19" ht="14.1" customHeight="1">
      <c r="A53" s="9"/>
      <c r="B53" s="9"/>
      <c r="C53" s="12"/>
      <c r="D53" s="22"/>
      <c r="E53" s="22"/>
      <c r="F53" s="22"/>
      <c r="G53" s="12"/>
      <c r="H53" s="22"/>
      <c r="I53" s="22"/>
    </row>
    <row r="54" spans="1:19" ht="14.1" customHeight="1">
      <c r="A54" s="9"/>
      <c r="B54" s="9"/>
      <c r="C54" s="12"/>
      <c r="D54" s="22"/>
      <c r="E54" s="22"/>
      <c r="F54" s="22"/>
      <c r="G54" s="12"/>
      <c r="H54" s="22"/>
      <c r="I54" s="22"/>
    </row>
    <row r="55" spans="1:19" ht="14.1" customHeight="1">
      <c r="A55" s="9"/>
      <c r="B55" s="9"/>
      <c r="C55" s="12"/>
      <c r="D55" s="22"/>
      <c r="E55" s="22"/>
      <c r="F55" s="22"/>
      <c r="G55" s="57" t="s">
        <v>32</v>
      </c>
      <c r="H55" s="12"/>
      <c r="I55" s="12"/>
    </row>
    <row r="56" spans="1:19" ht="14.1" customHeight="1">
      <c r="A56" s="9"/>
      <c r="B56" s="9"/>
      <c r="C56" s="12"/>
      <c r="D56" s="22"/>
      <c r="E56" s="22"/>
      <c r="F56" s="22"/>
    </row>
    <row r="57" spans="1:19" ht="14.1" customHeight="1">
      <c r="A57" s="4"/>
      <c r="B57" s="4"/>
    </row>
    <row r="58" spans="1:19" ht="14.1" customHeight="1">
      <c r="A58" s="4"/>
      <c r="B58" s="4"/>
    </row>
    <row r="59" spans="1:19" ht="14.1" customHeight="1">
      <c r="A59" s="4"/>
      <c r="B59" s="4"/>
    </row>
    <row r="60" spans="1:19" ht="14.1" customHeight="1">
      <c r="A60" s="4"/>
      <c r="B60" s="4"/>
    </row>
    <row r="61" spans="1:19" ht="15" customHeight="1">
      <c r="A61" s="4"/>
      <c r="B61" s="4"/>
    </row>
    <row r="62" spans="1:19" ht="15" customHeight="1">
      <c r="A62" s="4"/>
      <c r="B62" s="4"/>
    </row>
    <row r="63" spans="1:19" ht="15" customHeight="1">
      <c r="A63" s="4"/>
      <c r="B63" s="4"/>
    </row>
    <row r="64" spans="1:19" ht="15" customHeight="1">
      <c r="A64" s="40"/>
      <c r="B64" s="40"/>
    </row>
    <row r="65" spans="1:2" ht="15" customHeight="1">
      <c r="A65" s="40"/>
      <c r="B65" s="40"/>
    </row>
    <row r="66" spans="1:2" ht="15" customHeight="1">
      <c r="A66" s="40"/>
      <c r="B66" s="40"/>
    </row>
    <row r="67" spans="1:2" ht="15" customHeight="1">
      <c r="A67" s="40"/>
      <c r="B67" s="40"/>
    </row>
    <row r="68" spans="1:2" ht="15" customHeight="1">
      <c r="A68" s="40"/>
      <c r="B68" s="40"/>
    </row>
    <row r="69" spans="1:2" ht="15" customHeight="1">
      <c r="A69" s="40"/>
      <c r="B69" s="40"/>
    </row>
    <row r="70" spans="1:2" ht="15" customHeight="1">
      <c r="A70" s="40"/>
      <c r="B70" s="40"/>
    </row>
    <row r="71" spans="1:2" ht="15" customHeight="1">
      <c r="A71" s="40"/>
      <c r="B71" s="40"/>
    </row>
    <row r="72" spans="1:2" ht="15" customHeight="1">
      <c r="A72" s="40"/>
      <c r="B72" s="40"/>
    </row>
    <row r="73" spans="1:2" ht="15" customHeight="1">
      <c r="A73" s="40"/>
      <c r="B73" s="40"/>
    </row>
    <row r="74" spans="1:2" ht="15" customHeight="1">
      <c r="A74" s="40"/>
      <c r="B74" s="40"/>
    </row>
    <row r="75" spans="1:2" ht="15" customHeight="1">
      <c r="A75" s="40"/>
      <c r="B75" s="40"/>
    </row>
    <row r="76" spans="1:2" ht="15" customHeight="1">
      <c r="A76" s="40"/>
      <c r="B76" s="40"/>
    </row>
    <row r="77" spans="1:2" ht="15" customHeight="1">
      <c r="A77" s="40"/>
      <c r="B77" s="40"/>
    </row>
    <row r="78" spans="1:2" ht="15" customHeight="1">
      <c r="A78" s="40"/>
      <c r="B78" s="40"/>
    </row>
    <row r="79" spans="1:2" ht="15" customHeight="1">
      <c r="A79" s="40"/>
      <c r="B79" s="40"/>
    </row>
    <row r="80" spans="1:2" ht="15" customHeight="1">
      <c r="A80" s="40"/>
      <c r="B80" s="40"/>
    </row>
    <row r="81" spans="1:2" ht="15" customHeight="1">
      <c r="A81" s="40"/>
      <c r="B81" s="40"/>
    </row>
    <row r="82" spans="1:2" ht="15" customHeight="1">
      <c r="A82" s="40"/>
      <c r="B82" s="40"/>
    </row>
    <row r="83" spans="1:2" ht="15" customHeight="1">
      <c r="A83" s="40"/>
      <c r="B83" s="40"/>
    </row>
    <row r="84" spans="1:2" ht="15" customHeight="1">
      <c r="A84" s="40"/>
      <c r="B84" s="40"/>
    </row>
    <row r="85" spans="1:2" ht="15" customHeight="1">
      <c r="A85" s="40"/>
      <c r="B85" s="40"/>
    </row>
    <row r="86" spans="1:2" ht="15" customHeight="1">
      <c r="A86" s="40"/>
      <c r="B86" s="40"/>
    </row>
    <row r="87" spans="1:2" ht="15" customHeight="1">
      <c r="A87" s="40"/>
      <c r="B87" s="40"/>
    </row>
    <row r="88" spans="1:2" ht="15" customHeight="1">
      <c r="A88" s="40"/>
      <c r="B88" s="40"/>
    </row>
    <row r="89" spans="1:2" ht="15" customHeight="1">
      <c r="A89" s="40"/>
      <c r="B89" s="40"/>
    </row>
    <row r="90" spans="1:2" ht="15" customHeight="1">
      <c r="A90" s="40"/>
      <c r="B90" s="40"/>
    </row>
    <row r="91" spans="1:2" ht="15" customHeight="1">
      <c r="A91" s="40"/>
      <c r="B91" s="40"/>
    </row>
    <row r="92" spans="1:2" ht="15" customHeight="1">
      <c r="A92" s="40"/>
      <c r="B92" s="40"/>
    </row>
    <row r="93" spans="1:2" ht="15" customHeight="1">
      <c r="A93" s="40"/>
      <c r="B93" s="40"/>
    </row>
    <row r="94" spans="1:2" ht="15" customHeight="1">
      <c r="A94" s="40"/>
      <c r="B94" s="40"/>
    </row>
    <row r="95" spans="1:2" ht="15" customHeight="1">
      <c r="A95" s="40"/>
      <c r="B95" s="40"/>
    </row>
    <row r="96" spans="1:2" ht="15" customHeight="1">
      <c r="A96" s="40"/>
      <c r="B96" s="40"/>
    </row>
    <row r="97" spans="1:10" ht="15" customHeight="1">
      <c r="A97" s="40"/>
      <c r="B97" s="40"/>
    </row>
    <row r="98" spans="1:10" ht="15" customHeight="1">
      <c r="A98" s="40"/>
      <c r="B98" s="40"/>
    </row>
    <row r="99" spans="1:10" ht="15" customHeight="1">
      <c r="A99" s="40"/>
      <c r="B99" s="40"/>
    </row>
    <row r="100" spans="1:10" ht="15" customHeight="1"/>
    <row r="101" spans="1:10" ht="15" customHeight="1"/>
    <row r="102" spans="1:10" ht="15" customHeight="1"/>
    <row r="103" spans="1:10" ht="15" customHeight="1"/>
    <row r="104" spans="1:10" ht="15" customHeight="1">
      <c r="H104" s="4"/>
      <c r="I104" s="4"/>
    </row>
    <row r="105" spans="1:10" ht="15" customHeight="1">
      <c r="H105" s="4"/>
      <c r="I105" s="4"/>
    </row>
    <row r="106" spans="1:10" ht="15" customHeight="1">
      <c r="H106" s="4"/>
      <c r="I106" s="4"/>
    </row>
    <row r="107" spans="1:10" ht="15" customHeight="1">
      <c r="H107" s="4"/>
      <c r="I107" s="4"/>
    </row>
    <row r="108" spans="1:10" ht="15" customHeight="1">
      <c r="H108" s="4"/>
      <c r="I108" s="4"/>
    </row>
    <row r="109" spans="1:10" ht="15" customHeight="1">
      <c r="H109" s="4"/>
      <c r="I109" s="4"/>
    </row>
    <row r="110" spans="1:10" ht="15" customHeight="1"/>
    <row r="111" spans="1:10" ht="15" customHeight="1">
      <c r="A111" s="4"/>
      <c r="B111" s="4"/>
      <c r="C111" s="60"/>
    </row>
    <row r="112" spans="1:10" s="65" customFormat="1" ht="15" customHeight="1">
      <c r="A112" s="61"/>
      <c r="B112" s="61"/>
      <c r="C112" s="62"/>
      <c r="D112" s="62"/>
      <c r="E112" s="62"/>
      <c r="F112" s="62"/>
      <c r="G112" s="62"/>
      <c r="H112" s="63"/>
      <c r="I112" s="63"/>
      <c r="J112" s="64"/>
    </row>
    <row r="113" spans="1:10" s="65" customFormat="1" ht="15" customHeight="1">
      <c r="A113" s="61"/>
      <c r="B113" s="61"/>
      <c r="C113" s="62"/>
      <c r="D113" s="62"/>
      <c r="E113" s="62"/>
      <c r="F113" s="62"/>
      <c r="G113" s="62"/>
      <c r="H113" s="63"/>
      <c r="I113" s="63"/>
      <c r="J113" s="64"/>
    </row>
    <row r="114" spans="1:10" s="65" customFormat="1" ht="15" customHeight="1">
      <c r="A114" s="61"/>
      <c r="B114" s="61"/>
      <c r="C114" s="62"/>
      <c r="D114" s="62"/>
      <c r="E114" s="62"/>
      <c r="F114" s="62"/>
      <c r="G114" s="62"/>
      <c r="H114" s="63"/>
      <c r="I114" s="63"/>
      <c r="J114" s="64"/>
    </row>
    <row r="115" spans="1:10" s="65" customFormat="1" ht="15" customHeight="1">
      <c r="A115" s="61"/>
      <c r="B115" s="61"/>
      <c r="C115" s="62"/>
      <c r="D115" s="62"/>
      <c r="E115" s="62"/>
      <c r="F115" s="62"/>
      <c r="G115" s="62"/>
      <c r="H115" s="63"/>
      <c r="I115" s="63"/>
      <c r="J115" s="64"/>
    </row>
    <row r="116" spans="1:10" s="65" customFormat="1" ht="15" customHeight="1">
      <c r="A116" s="61"/>
      <c r="B116" s="61"/>
      <c r="C116" s="62"/>
      <c r="D116" s="62"/>
      <c r="E116" s="62"/>
      <c r="F116" s="62"/>
      <c r="G116" s="62"/>
      <c r="H116" s="63"/>
      <c r="I116" s="63"/>
      <c r="J116" s="64"/>
    </row>
    <row r="117" spans="1:10" s="65" customFormat="1" ht="15" customHeight="1">
      <c r="A117" s="61"/>
      <c r="B117" s="61"/>
      <c r="C117" s="62"/>
      <c r="D117" s="62"/>
      <c r="E117" s="62"/>
      <c r="F117" s="62"/>
      <c r="G117" s="62"/>
      <c r="H117" s="63"/>
      <c r="I117" s="63"/>
      <c r="J117" s="64"/>
    </row>
    <row r="118" spans="1:10" s="65" customFormat="1" ht="15" customHeight="1">
      <c r="A118" s="61"/>
      <c r="B118" s="61"/>
      <c r="C118" s="62"/>
      <c r="D118" s="62"/>
      <c r="E118" s="62"/>
      <c r="F118" s="62"/>
      <c r="G118" s="62"/>
      <c r="H118" s="63"/>
      <c r="I118" s="63"/>
      <c r="J118" s="64"/>
    </row>
    <row r="119" spans="1:10" s="65" customFormat="1" ht="15" customHeight="1">
      <c r="A119" s="61"/>
      <c r="B119" s="61"/>
      <c r="C119" s="62"/>
      <c r="D119" s="62"/>
      <c r="E119" s="62"/>
      <c r="F119" s="62"/>
      <c r="G119" s="62"/>
      <c r="H119" s="63"/>
      <c r="I119" s="63"/>
      <c r="J119" s="64"/>
    </row>
    <row r="120" spans="1:10" s="65" customFormat="1" ht="15" customHeight="1">
      <c r="A120" s="61"/>
      <c r="B120" s="61"/>
      <c r="C120" s="62"/>
      <c r="D120" s="62"/>
      <c r="E120" s="62"/>
      <c r="F120" s="62"/>
      <c r="G120" s="62"/>
      <c r="H120" s="63"/>
      <c r="I120" s="63"/>
      <c r="J120" s="64"/>
    </row>
    <row r="121" spans="1:10" s="65" customFormat="1" ht="15" customHeight="1">
      <c r="A121" s="61"/>
      <c r="B121" s="61"/>
      <c r="C121" s="62"/>
      <c r="D121" s="62"/>
      <c r="E121" s="62"/>
      <c r="F121" s="62"/>
      <c r="G121" s="62"/>
      <c r="H121" s="63"/>
      <c r="I121" s="63"/>
      <c r="J121" s="64"/>
    </row>
    <row r="122" spans="1:10" s="65" customFormat="1" ht="15" customHeight="1">
      <c r="A122" s="61"/>
      <c r="B122" s="61"/>
      <c r="C122" s="62"/>
      <c r="D122" s="62"/>
      <c r="E122" s="62"/>
      <c r="F122" s="62"/>
      <c r="G122" s="62"/>
      <c r="H122" s="63"/>
      <c r="I122" s="63"/>
      <c r="J122" s="64"/>
    </row>
    <row r="123" spans="1:10" s="65" customFormat="1" ht="15" customHeight="1">
      <c r="A123" s="61"/>
      <c r="B123" s="61"/>
      <c r="C123" s="62"/>
      <c r="D123" s="62"/>
      <c r="E123" s="62"/>
      <c r="F123" s="62"/>
      <c r="G123" s="62"/>
      <c r="H123" s="63"/>
      <c r="I123" s="63"/>
      <c r="J123" s="64"/>
    </row>
    <row r="124" spans="1:10" s="65" customFormat="1" ht="15" customHeight="1">
      <c r="A124" s="61"/>
      <c r="B124" s="61"/>
      <c r="C124" s="62"/>
      <c r="D124" s="62"/>
      <c r="E124" s="62"/>
      <c r="F124" s="62"/>
      <c r="G124" s="62"/>
      <c r="H124" s="63"/>
      <c r="I124" s="63"/>
      <c r="J124" s="64"/>
    </row>
    <row r="125" spans="1:10" s="65" customFormat="1" ht="15" customHeight="1">
      <c r="A125" s="61"/>
      <c r="B125" s="61"/>
      <c r="C125" s="62"/>
      <c r="D125" s="62"/>
      <c r="E125" s="62"/>
      <c r="F125" s="62"/>
      <c r="G125" s="62"/>
      <c r="H125" s="63"/>
      <c r="I125" s="63"/>
      <c r="J125" s="64"/>
    </row>
    <row r="126" spans="1:10" s="65" customFormat="1" ht="15" customHeight="1">
      <c r="A126" s="61"/>
      <c r="B126" s="61"/>
      <c r="C126" s="62"/>
      <c r="D126" s="62"/>
      <c r="E126" s="62"/>
      <c r="F126" s="62"/>
      <c r="G126" s="62"/>
      <c r="H126" s="63"/>
      <c r="I126" s="63"/>
      <c r="J126" s="64"/>
    </row>
    <row r="127" spans="1:10" s="65" customFormat="1" ht="15" customHeight="1">
      <c r="A127" s="61"/>
      <c r="B127" s="61"/>
      <c r="C127" s="62"/>
      <c r="D127" s="62"/>
      <c r="E127" s="62"/>
      <c r="F127" s="62"/>
      <c r="G127" s="62"/>
      <c r="H127" s="63"/>
      <c r="I127" s="63"/>
      <c r="J127" s="64"/>
    </row>
    <row r="128" spans="1:10" s="65" customFormat="1" ht="15" customHeight="1">
      <c r="A128" s="61"/>
      <c r="B128" s="61"/>
      <c r="C128" s="62"/>
      <c r="D128" s="62"/>
      <c r="E128" s="62"/>
      <c r="F128" s="62"/>
      <c r="G128" s="62"/>
      <c r="H128" s="63"/>
      <c r="I128" s="63"/>
      <c r="J128" s="64"/>
    </row>
    <row r="129" spans="1:10" s="65" customFormat="1" ht="15" customHeight="1">
      <c r="A129" s="61"/>
      <c r="B129" s="61"/>
      <c r="C129" s="62"/>
      <c r="D129" s="62"/>
      <c r="E129" s="62"/>
      <c r="F129" s="62"/>
      <c r="G129" s="62"/>
      <c r="H129" s="63"/>
      <c r="I129" s="63"/>
      <c r="J129" s="64"/>
    </row>
    <row r="130" spans="1:10" s="65" customFormat="1" ht="15" customHeight="1">
      <c r="A130" s="61"/>
      <c r="B130" s="61"/>
      <c r="C130" s="62"/>
      <c r="D130" s="62"/>
      <c r="E130" s="62"/>
      <c r="F130" s="62"/>
      <c r="G130" s="62"/>
      <c r="H130" s="63"/>
      <c r="I130" s="63"/>
      <c r="J130" s="64"/>
    </row>
    <row r="131" spans="1:10" s="65" customFormat="1" ht="15" customHeight="1">
      <c r="A131" s="61"/>
      <c r="B131" s="61"/>
      <c r="C131" s="62"/>
      <c r="D131" s="62"/>
      <c r="E131" s="62"/>
      <c r="F131" s="62"/>
      <c r="G131" s="62"/>
      <c r="H131" s="63"/>
      <c r="I131" s="63"/>
      <c r="J131" s="64"/>
    </row>
    <row r="132" spans="1:10" s="65" customFormat="1" ht="15" customHeight="1">
      <c r="A132" s="61"/>
      <c r="B132" s="61"/>
      <c r="C132" s="62"/>
      <c r="D132" s="62"/>
      <c r="E132" s="62"/>
      <c r="F132" s="62"/>
      <c r="G132" s="62"/>
      <c r="H132" s="63"/>
      <c r="I132" s="63"/>
      <c r="J132" s="64"/>
    </row>
    <row r="133" spans="1:10" s="65" customFormat="1" ht="15" customHeight="1">
      <c r="A133" s="61"/>
      <c r="B133" s="61"/>
      <c r="C133" s="62"/>
      <c r="D133" s="62"/>
      <c r="E133" s="62"/>
      <c r="F133" s="62"/>
      <c r="G133" s="62"/>
      <c r="H133" s="63"/>
      <c r="I133" s="63"/>
      <c r="J133" s="64"/>
    </row>
    <row r="134" spans="1:10" ht="15" customHeight="1">
      <c r="A134" s="66"/>
      <c r="B134" s="66"/>
      <c r="C134" s="67"/>
      <c r="D134" s="67"/>
      <c r="E134" s="67"/>
      <c r="F134" s="67"/>
      <c r="G134" s="67"/>
      <c r="J134" s="68"/>
    </row>
    <row r="135" spans="1:10" ht="15" customHeight="1">
      <c r="A135" s="66"/>
      <c r="B135" s="66"/>
      <c r="C135" s="67"/>
      <c r="D135" s="67"/>
      <c r="E135" s="67"/>
      <c r="F135" s="67"/>
      <c r="G135" s="67"/>
      <c r="H135" s="69"/>
      <c r="I135" s="69"/>
      <c r="J135" s="68"/>
    </row>
    <row r="136" spans="1:10" ht="15" customHeight="1">
      <c r="A136" s="66"/>
      <c r="B136" s="66"/>
      <c r="C136" s="67"/>
      <c r="D136" s="67"/>
      <c r="E136" s="67"/>
      <c r="F136" s="67"/>
      <c r="G136" s="67"/>
      <c r="H136" s="69"/>
      <c r="I136" s="69"/>
      <c r="J136" s="68"/>
    </row>
    <row r="192" ht="15" customHeight="1"/>
    <row r="193" spans="1:9" ht="15" customHeight="1">
      <c r="A193" s="70"/>
      <c r="B193" s="70"/>
    </row>
    <row r="194" spans="1:9" ht="15" customHeight="1">
      <c r="A194" s="4"/>
      <c r="B194" s="4"/>
      <c r="C194" s="71"/>
    </row>
    <row r="195" spans="1:9" ht="15" customHeight="1">
      <c r="A195" s="4"/>
      <c r="B195" s="4"/>
      <c r="C195" s="72"/>
    </row>
    <row r="196" spans="1:9" ht="15" customHeight="1">
      <c r="A196" s="4"/>
      <c r="B196" s="4"/>
      <c r="C196" s="72"/>
      <c r="H196" s="41"/>
      <c r="I196" s="41"/>
    </row>
    <row r="197" spans="1:9" ht="15" customHeight="1">
      <c r="A197" s="4"/>
      <c r="B197" s="4"/>
      <c r="C197" s="72"/>
      <c r="F197" s="70"/>
      <c r="G197" s="70"/>
    </row>
    <row r="198" spans="1:9" ht="15" customHeight="1">
      <c r="A198" s="4"/>
      <c r="B198" s="4"/>
      <c r="C198" s="72"/>
      <c r="F198" s="70"/>
      <c r="G198" s="70"/>
    </row>
    <row r="199" spans="1:9" ht="15" customHeight="1">
      <c r="A199" s="4"/>
      <c r="B199" s="4"/>
      <c r="C199" s="72"/>
      <c r="F199" s="70"/>
      <c r="G199" s="70"/>
    </row>
    <row r="200" spans="1:9" ht="15" customHeight="1">
      <c r="A200" s="4"/>
      <c r="B200" s="4"/>
      <c r="C200" s="72"/>
      <c r="F200" s="70"/>
      <c r="G200" s="70"/>
    </row>
    <row r="201" spans="1:9" ht="15" customHeight="1">
      <c r="A201" s="4"/>
      <c r="B201" s="4"/>
      <c r="F201" s="70"/>
      <c r="G201" s="70"/>
      <c r="H201" s="4"/>
      <c r="I201" s="4"/>
    </row>
    <row r="202" spans="1:9" ht="15" customHeight="1">
      <c r="A202" s="4"/>
      <c r="B202" s="4"/>
      <c r="F202" s="70"/>
      <c r="G202" s="70"/>
      <c r="H202" s="4"/>
      <c r="I202" s="4"/>
    </row>
    <row r="203" spans="1:9" ht="15" customHeight="1">
      <c r="A203" s="4"/>
      <c r="B203" s="4"/>
      <c r="H203" s="4"/>
      <c r="I203" s="4"/>
    </row>
    <row r="204" spans="1:9" ht="12.75" customHeight="1">
      <c r="A204" s="4"/>
      <c r="B204" s="4"/>
      <c r="H204" s="4"/>
      <c r="I204" s="4"/>
    </row>
    <row r="205" spans="1:9" ht="12.75" customHeight="1">
      <c r="A205" s="40"/>
      <c r="B205" s="40"/>
      <c r="H205" s="4"/>
      <c r="I205" s="4"/>
    </row>
  </sheetData>
  <mergeCells count="10">
    <mergeCell ref="C46:D46"/>
    <mergeCell ref="C47:D47"/>
    <mergeCell ref="A1:J1"/>
    <mergeCell ref="A2:J2"/>
    <mergeCell ref="A3:J3"/>
    <mergeCell ref="A4:J4"/>
    <mergeCell ref="C18:J18"/>
    <mergeCell ref="C19:E19"/>
    <mergeCell ref="F19:F20"/>
    <mergeCell ref="G19:G20"/>
  </mergeCells>
  <phoneticPr fontId="2" type="noConversion"/>
  <hyperlinks>
    <hyperlink ref="A3" r:id="rId1" xr:uid="{F00B8AEF-CA04-4EBA-94F3-429C17FE024A}"/>
  </hyperlinks>
  <printOptions horizontalCentered="1"/>
  <pageMargins left="0.19685039370078741" right="0.19685039370078741" top="0.39370078740157483" bottom="0.39370078740157483" header="0.51181102362204722" footer="0.51181102362204722"/>
  <pageSetup paperSize="9" scale="90" orientation="portrait" r:id="rId2"/>
  <headerFooter alignWithMargins="0">
    <oddFooter>&amp;C&amp;"MS Reference Sans Serif,標準"&amp;10PAGE:&amp;N/&amp;P</oddFooter>
  </headerFooter>
  <rowBreaks count="1" manualBreakCount="1">
    <brk id="11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invoice for payment</vt:lpstr>
      <vt:lpstr>invoice for shipping</vt:lpstr>
      <vt:lpstr>PL</vt:lpstr>
      <vt:lpstr>'invoice for payment'!Print_Area</vt:lpstr>
      <vt:lpstr>'invoice for shipping'!Print_Area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Amanda Hsiao</cp:lastModifiedBy>
  <cp:lastPrinted>2026-04-13T02:05:06Z</cp:lastPrinted>
  <dcterms:created xsi:type="dcterms:W3CDTF">2014-04-22T04:00:41Z</dcterms:created>
  <dcterms:modified xsi:type="dcterms:W3CDTF">2026-04-13T07:21:55Z</dcterms:modified>
</cp:coreProperties>
</file>