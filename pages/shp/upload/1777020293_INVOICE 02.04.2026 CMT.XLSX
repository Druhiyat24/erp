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admexim3-pc\0 DATA SRI\EKSPORT\1. GAP\Shipment GAP\2026\04. APRIL\02.04.2026\"/>
    </mc:Choice>
  </mc:AlternateContent>
  <xr:revisionPtr revIDLastSave="0" documentId="13_ncr:1_{40FBF5BE-7E01-4AD7-8274-94F74E8AC1D8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Sheet1" sheetId="128" r:id="rId1"/>
    <sheet name="reff" sheetId="162" r:id="rId2"/>
    <sheet name="39" sheetId="129" r:id="rId3"/>
    <sheet name="40" sheetId="133" r:id="rId4"/>
    <sheet name="41" sheetId="134" r:id="rId5"/>
    <sheet name="42" sheetId="135" r:id="rId6"/>
  </sheets>
  <externalReferences>
    <externalReference r:id="rId7"/>
    <externalReference r:id="rId8"/>
    <externalReference r:id="rId9"/>
  </externalReferences>
  <definedNames>
    <definedName name="_box2">[1]参数!$B$3</definedName>
    <definedName name="a" localSheetId="2">[2]xdata!#REF!</definedName>
    <definedName name="a" localSheetId="3">[2]xdata!#REF!</definedName>
    <definedName name="a" localSheetId="4">[2]xdata!#REF!</definedName>
    <definedName name="a" localSheetId="5">[2]xdata!#REF!</definedName>
    <definedName name="a">[2]xdata!#REF!</definedName>
    <definedName name="b" localSheetId="2">[2]xdata!#REF!</definedName>
    <definedName name="b" localSheetId="3">[2]xdata!#REF!</definedName>
    <definedName name="b" localSheetId="4">[2]xdata!#REF!</definedName>
    <definedName name="b" localSheetId="5">[2]xdata!#REF!</definedName>
    <definedName name="b">[2]xdata!#REF!</definedName>
    <definedName name="C_O" localSheetId="2">[2]xdata!#REF!</definedName>
    <definedName name="C_O" localSheetId="3">[2]xdata!#REF!</definedName>
    <definedName name="C_O" localSheetId="4">[2]xdata!#REF!</definedName>
    <definedName name="C_O" localSheetId="5">[2]xdata!#REF!</definedName>
    <definedName name="C_O">[2]xdata!#REF!</definedName>
    <definedName name="CBM">[3]参数!$E$3</definedName>
    <definedName name="Dept_no" localSheetId="2">[2]xdata!#REF!</definedName>
    <definedName name="Dept_no" localSheetId="3">[2]xdata!#REF!</definedName>
    <definedName name="Dept_no" localSheetId="4">[2]xdata!#REF!</definedName>
    <definedName name="Dept_no" localSheetId="5">[2]xdata!#REF!</definedName>
    <definedName name="Dept_no">[2]xdata!#REF!</definedName>
    <definedName name="Description">[3]参数!$E$1</definedName>
    <definedName name="E_L" localSheetId="2">[2]xdata!#REF!</definedName>
    <definedName name="E_L" localSheetId="3">[2]xdata!#REF!</definedName>
    <definedName name="E_L" localSheetId="4">[2]xdata!#REF!</definedName>
    <definedName name="E_L" localSheetId="5">[2]xdata!#REF!</definedName>
    <definedName name="E_L">[2]xdata!#REF!</definedName>
    <definedName name="INVOICE">[2]xdata!$B$2</definedName>
    <definedName name="_xlnm.Print_Area" localSheetId="2">'39'!$B$1:$I$57</definedName>
    <definedName name="_xlnm.Print_Area" localSheetId="3">'40'!$B$1:$I$57</definedName>
    <definedName name="_xlnm.Print_Area" localSheetId="4">'41'!$B$1:$I$57</definedName>
    <definedName name="_xlnm.Print_Area" localSheetId="5">'42'!$B$1:$I$57</definedName>
    <definedName name="v" localSheetId="2">[2]xdata!#REF!</definedName>
    <definedName name="v" localSheetId="3">[2]xdata!#REF!</definedName>
    <definedName name="v" localSheetId="4">[2]xdata!#REF!</definedName>
    <definedName name="v" localSheetId="5">[2]xdata!#REF!</definedName>
    <definedName name="v">[2]xdata!#REF!</definedName>
    <definedName name="出货日期">[2]xdata!$B$1</definedName>
    <definedName name="单件重">[1]参数!$B$6</definedName>
    <definedName name="单净重">[3]参数!$E$5</definedName>
    <definedName name="箱尺寸">[3]参数!$E$7</definedName>
    <definedName name="箱重">[3]参数!$E$4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2" i="134" l="1"/>
  <c r="I32" i="134" s="1"/>
  <c r="F32" i="133"/>
  <c r="F34" i="133" s="1"/>
  <c r="F32" i="129"/>
  <c r="F34" i="129" s="1"/>
  <c r="C3" i="133"/>
  <c r="H3" i="135"/>
  <c r="H3" i="134"/>
  <c r="H3" i="133"/>
  <c r="F32" i="135"/>
  <c r="I32" i="133" l="1"/>
  <c r="I34" i="133" s="1"/>
  <c r="F34" i="135"/>
  <c r="I32" i="129" l="1"/>
  <c r="F34" i="134"/>
  <c r="B27" i="135" l="1"/>
  <c r="B27" i="134"/>
  <c r="E21" i="129" l="1"/>
  <c r="E21" i="133" l="1"/>
  <c r="E21" i="135"/>
  <c r="E21" i="134"/>
  <c r="C21" i="129"/>
  <c r="C21" i="134"/>
  <c r="C21" i="135"/>
  <c r="C21" i="133"/>
  <c r="H52" i="129"/>
  <c r="H52" i="134"/>
  <c r="H52" i="135"/>
  <c r="H52" i="133"/>
  <c r="I32" i="135" l="1"/>
  <c r="I34" i="135" s="1"/>
  <c r="I36" i="135" s="1"/>
  <c r="I38" i="135" s="1"/>
  <c r="I23" i="135"/>
  <c r="H23" i="135"/>
  <c r="G23" i="135"/>
  <c r="F23" i="135"/>
  <c r="E23" i="135"/>
  <c r="D21" i="135"/>
  <c r="B21" i="135"/>
  <c r="B15" i="135"/>
  <c r="B16" i="135" s="1"/>
  <c r="B17" i="135" s="1"/>
  <c r="B18" i="135" s="1"/>
  <c r="G14" i="135"/>
  <c r="G15" i="135" s="1"/>
  <c r="G16" i="135" s="1"/>
  <c r="G17" i="135" s="1"/>
  <c r="H21" i="135" s="1"/>
  <c r="I34" i="134" l="1"/>
  <c r="I36" i="134" s="1"/>
  <c r="I38" i="134" s="1"/>
  <c r="I23" i="134"/>
  <c r="H23" i="134"/>
  <c r="G23" i="134"/>
  <c r="F23" i="134"/>
  <c r="E23" i="134"/>
  <c r="D21" i="134"/>
  <c r="B21" i="134"/>
  <c r="B15" i="134"/>
  <c r="G14" i="134"/>
  <c r="G15" i="134" s="1"/>
  <c r="G16" i="134" s="1"/>
  <c r="G17" i="134" s="1"/>
  <c r="H21" i="134" s="1"/>
  <c r="B16" i="134" l="1"/>
  <c r="B17" i="134" s="1"/>
  <c r="B18" i="134" s="1"/>
  <c r="C3" i="134" l="1"/>
  <c r="C3" i="135" s="1"/>
  <c r="B27" i="133" l="1"/>
  <c r="I23" i="133"/>
  <c r="H23" i="133"/>
  <c r="G23" i="133"/>
  <c r="F23" i="133"/>
  <c r="E23" i="133"/>
  <c r="D21" i="133"/>
  <c r="B21" i="133"/>
  <c r="B15" i="133"/>
  <c r="B16" i="133" s="1"/>
  <c r="B17" i="133" s="1"/>
  <c r="B18" i="133" s="1"/>
  <c r="G14" i="133"/>
  <c r="G15" i="133" s="1"/>
  <c r="G16" i="133" s="1"/>
  <c r="G17" i="133" s="1"/>
  <c r="H21" i="133" s="1"/>
  <c r="I34" i="129"/>
  <c r="I36" i="129" s="1"/>
  <c r="I38" i="129" s="1"/>
  <c r="B27" i="129"/>
  <c r="I23" i="129"/>
  <c r="H23" i="129"/>
  <c r="G23" i="129"/>
  <c r="F23" i="129"/>
  <c r="E23" i="129"/>
  <c r="D21" i="129"/>
  <c r="B21" i="129"/>
  <c r="B15" i="129"/>
  <c r="B16" i="129" s="1"/>
  <c r="B17" i="129" s="1"/>
  <c r="B18" i="129" s="1"/>
  <c r="G14" i="129"/>
  <c r="G15" i="129" s="1"/>
  <c r="G16" i="129" s="1"/>
  <c r="G17" i="129" s="1"/>
  <c r="H21" i="129" s="1"/>
  <c r="I36" i="133" l="1"/>
  <c r="I38" i="133" s="1"/>
  <c r="L25" i="128"/>
  <c r="K12" i="128"/>
  <c r="L24" i="128" l="1"/>
  <c r="L23" i="128"/>
  <c r="L22" i="128"/>
  <c r="L21" i="128"/>
  <c r="L20" i="128"/>
  <c r="L19" i="128"/>
  <c r="L18" i="128"/>
  <c r="L17" i="128"/>
  <c r="L16" i="128"/>
  <c r="L15" i="128"/>
  <c r="L14" i="128"/>
  <c r="L13" i="128"/>
  <c r="L12" i="128"/>
  <c r="L11" i="128"/>
  <c r="L10" i="128"/>
  <c r="L9" i="128"/>
  <c r="L8" i="128"/>
  <c r="L7" i="128"/>
  <c r="L6" i="128"/>
  <c r="L5" i="128"/>
  <c r="K11" i="128"/>
  <c r="K10" i="128"/>
  <c r="K9" i="128"/>
  <c r="K8" i="128"/>
  <c r="K7" i="128"/>
  <c r="K6" i="128"/>
  <c r="K5" i="128"/>
  <c r="B18" i="128"/>
  <c r="B17" i="128"/>
</calcChain>
</file>

<file path=xl/sharedStrings.xml><?xml version="1.0" encoding="utf-8"?>
<sst xmlns="http://schemas.openxmlformats.org/spreadsheetml/2006/main" count="479" uniqueCount="186">
  <si>
    <t>Exim Manager</t>
  </si>
  <si>
    <t>Yus Yulius</t>
  </si>
  <si>
    <t xml:space="preserve">REFF </t>
  </si>
  <si>
    <t>Prepare's Name</t>
  </si>
  <si>
    <t>I hereby certify that all information provided is true and correct</t>
  </si>
  <si>
    <t>KABUPATEN BANDUNG 40382 JABAR , INDONESIA</t>
  </si>
  <si>
    <t>JL RAYA RANCAEKEK-MAJALAYA NO 289 , SOLOKAN JERUK- MAJALAYA</t>
  </si>
  <si>
    <t>PT NIRWANA ALABARE GARMENT</t>
  </si>
  <si>
    <t>Manufacturer Information</t>
  </si>
  <si>
    <t>Invoice Notes :</t>
  </si>
  <si>
    <t>Net Invoice Total</t>
  </si>
  <si>
    <t>Less early Payment discount of 5% per term and conditions of the purchase order(s)</t>
  </si>
  <si>
    <t>Gross Invoice Sub total</t>
  </si>
  <si>
    <t>Hard Tag Cost</t>
  </si>
  <si>
    <t>Sub Total</t>
  </si>
  <si>
    <t>Total Dozens</t>
  </si>
  <si>
    <t>Extended Line Total</t>
  </si>
  <si>
    <t>Unit Cost</t>
  </si>
  <si>
    <t>Quantity Invoiced (Each)</t>
  </si>
  <si>
    <t>Total Pieces (Custom Units)</t>
  </si>
  <si>
    <t>Color Name</t>
  </si>
  <si>
    <t>Color Code</t>
  </si>
  <si>
    <t>Invoice Summary</t>
  </si>
  <si>
    <t>Product Description</t>
  </si>
  <si>
    <t>JAKARTA,ID</t>
  </si>
  <si>
    <t>OCEAN</t>
  </si>
  <si>
    <t>Total Carton</t>
  </si>
  <si>
    <t>Total Net Net Weight(KGS)</t>
  </si>
  <si>
    <t>Total Net Weight(KGS)</t>
  </si>
  <si>
    <t>Total Gross Weight(KGS)</t>
  </si>
  <si>
    <t>Port Of Loading</t>
  </si>
  <si>
    <t>Transfer Point</t>
  </si>
  <si>
    <t>Term of Sale</t>
  </si>
  <si>
    <t>Ship Mode</t>
  </si>
  <si>
    <t>ID</t>
  </si>
  <si>
    <t>USD</t>
  </si>
  <si>
    <t xml:space="preserve">Country of origin </t>
  </si>
  <si>
    <t>Final Destination</t>
  </si>
  <si>
    <t>Payment Term</t>
  </si>
  <si>
    <t>Currency</t>
  </si>
  <si>
    <t>Chanel Description</t>
  </si>
  <si>
    <t>Brand</t>
  </si>
  <si>
    <t>Style NO</t>
  </si>
  <si>
    <t>Dest Purchase</t>
  </si>
  <si>
    <t>SHIP TO :</t>
  </si>
  <si>
    <t>PURCHASER</t>
  </si>
  <si>
    <t>JAWABARAT 40382 INDONESIA</t>
  </si>
  <si>
    <t>KABUPATEN BANDUNG</t>
  </si>
  <si>
    <t xml:space="preserve">SOLOKAN JERUK - MAJALAYA </t>
  </si>
  <si>
    <t>JL RAYA RAANCAEKEK - MAJALAYA NO 289</t>
  </si>
  <si>
    <t xml:space="preserve">PT NIRWANA ALABARE GARMENT </t>
  </si>
  <si>
    <t xml:space="preserve">SELLER </t>
  </si>
  <si>
    <t>DATE</t>
  </si>
  <si>
    <t>INVOICE NO :</t>
  </si>
  <si>
    <t>KG</t>
  </si>
  <si>
    <t>Vol</t>
  </si>
  <si>
    <t>Unit</t>
  </si>
  <si>
    <t>Gross</t>
  </si>
  <si>
    <t>Net</t>
  </si>
  <si>
    <t>Net Net</t>
  </si>
  <si>
    <t>Pkg Count</t>
  </si>
  <si>
    <t>Item Qty</t>
  </si>
  <si>
    <t>CBM</t>
  </si>
  <si>
    <t xml:space="preserve"> </t>
  </si>
  <si>
    <t>OLD NAVY, LLC</t>
  </si>
  <si>
    <t>2 FOLSOM STREET</t>
  </si>
  <si>
    <t>SAN FRANCISCO, CALIFORNIA</t>
  </si>
  <si>
    <t>UNITED STATES</t>
  </si>
  <si>
    <t>110 MERRITT BLVD</t>
  </si>
  <si>
    <t>FISHKILL, NY</t>
  </si>
  <si>
    <t>OLD NAVY (CANADA) INC.</t>
  </si>
  <si>
    <t>9500 MCLAUGHLIN ROAD N</t>
  </si>
  <si>
    <t>BRAMPTON, ONTARIO</t>
  </si>
  <si>
    <t>L6X 0B8</t>
  </si>
  <si>
    <t>CANADA</t>
  </si>
  <si>
    <t>94105</t>
  </si>
  <si>
    <t>12524</t>
  </si>
  <si>
    <t>6001 GREEN POINTE DR S</t>
  </si>
  <si>
    <t>GROVEPORT, OH</t>
  </si>
  <si>
    <t>43125</t>
  </si>
  <si>
    <t>Discount</t>
  </si>
  <si>
    <t>SHIP FROM</t>
  </si>
  <si>
    <t>KANMAX ENTERPRISES LTD</t>
  </si>
  <si>
    <t>60 PAYA LEBAR ROAD</t>
  </si>
  <si>
    <t>#04-21 PAYA LEBAR SQUARE</t>
  </si>
  <si>
    <t>409051 SINGAPORE</t>
  </si>
  <si>
    <t>(NO FS)</t>
  </si>
  <si>
    <t>FISHKILL NY ONLINE-0007</t>
  </si>
  <si>
    <t>OHO OHIO OMNI-0016</t>
  </si>
  <si>
    <t>CANADA OMNI CAO-0040</t>
  </si>
  <si>
    <t>MDC OLD NAVY, LLC</t>
  </si>
  <si>
    <t>9271 MERIDIAN WAY</t>
  </si>
  <si>
    <t>WEST CHESTER, OH</t>
  </si>
  <si>
    <t>45069</t>
  </si>
  <si>
    <t>Buyer</t>
  </si>
  <si>
    <t>Seller</t>
  </si>
  <si>
    <t>SINGAPORE</t>
  </si>
  <si>
    <t>409051</t>
  </si>
  <si>
    <t>ODC-0018</t>
  </si>
  <si>
    <t>WESTERN OMNI WEO-0008</t>
  </si>
  <si>
    <t>3400 NORTH GAP DR</t>
  </si>
  <si>
    <t>FRESNO, CA</t>
  </si>
  <si>
    <t>93727</t>
  </si>
  <si>
    <t>FDC-0026</t>
  </si>
  <si>
    <t>3685 NORTH GAP DRIVE</t>
  </si>
  <si>
    <t>LVO LONGVIEW OMNI-0047</t>
  </si>
  <si>
    <t>5401 MICKEY MELTON BLD</t>
  </si>
  <si>
    <t>LONGVIEW, TX</t>
  </si>
  <si>
    <t>75605</t>
  </si>
  <si>
    <t>SDC-0017</t>
  </si>
  <si>
    <t>100 GAP BOULEVARD</t>
  </si>
  <si>
    <t>GALLATIN, TN</t>
  </si>
  <si>
    <t>37066</t>
  </si>
  <si>
    <t>EXPEDITORS INTL LRD OLD NAVY, LLC</t>
  </si>
  <si>
    <t>8510 BOB BULLOCK LOOP</t>
  </si>
  <si>
    <t>LAREDO, TX</t>
  </si>
  <si>
    <t>78045</t>
  </si>
  <si>
    <t>GPS STRATEGIC ALLIANCES, LLC</t>
  </si>
  <si>
    <t>55 THOMAS ST</t>
  </si>
  <si>
    <t>NEW YORK, NY</t>
  </si>
  <si>
    <t>10013</t>
  </si>
  <si>
    <t>MULTIBRAND WHLSL GPS STRATEGIC ALLIANCES, LLC</t>
  </si>
  <si>
    <t>AVENIDA RANDOLPH</t>
  </si>
  <si>
    <t>MANZANA 10</t>
  </si>
  <si>
    <t>COLON FREE ZONE</t>
  </si>
  <si>
    <t>PANAMA</t>
  </si>
  <si>
    <t>BDC-0015</t>
  </si>
  <si>
    <t>GAP (UK HOLDINGS) LIMITED</t>
  </si>
  <si>
    <t>13TH FLOOR, ONE ANGEL COURT</t>
  </si>
  <si>
    <t>LONDON, UNITED KINGDOM</t>
  </si>
  <si>
    <t>EC2R 7HJ</t>
  </si>
  <si>
    <t>UNITED KINGDOM</t>
  </si>
  <si>
    <t>HKG DC</t>
  </si>
  <si>
    <t>55 WING KEI ROAD, KWAI CHUNG, NT</t>
  </si>
  <si>
    <t>HONG KONG</t>
  </si>
  <si>
    <t xml:space="preserve">COMPARTMENT 1503, 15/F, </t>
  </si>
  <si>
    <t>KERRY CARGO CENTRE,</t>
  </si>
  <si>
    <t>CHARLES'S WAIN WORLDWIDE CORP</t>
  </si>
  <si>
    <t>8A JALAN HARMONIUM 35/2</t>
  </si>
  <si>
    <t>TAMAN DESA TERBAU, JOHOR BAHRU</t>
  </si>
  <si>
    <t>MALAYSIA</t>
  </si>
  <si>
    <t>JOHOR 81100</t>
  </si>
  <si>
    <t>GAP EUROPE LIMITED</t>
  </si>
  <si>
    <t>13TH FLOOR,ONE ANGEL COURT</t>
  </si>
  <si>
    <t>LONDON</t>
  </si>
  <si>
    <t>EDC(EU FRANCHISE HUB)</t>
  </si>
  <si>
    <t>SESE NETHERLANDS B.V</t>
  </si>
  <si>
    <t>KAAPSTADWEG 38A</t>
  </si>
  <si>
    <t>THE NETHERLANDS</t>
  </si>
  <si>
    <t>NETHERLANDS</t>
  </si>
  <si>
    <t>EXPEDITORS INT'L GPS STRATEGIC ALLIANCES, LLC</t>
  </si>
  <si>
    <t>AL TAYER HC-3 &amp; H4</t>
  </si>
  <si>
    <t>JEBEL ALI FZE</t>
  </si>
  <si>
    <t>DUBAI</t>
  </si>
  <si>
    <t>UNITED ARAB EMIRATES</t>
  </si>
  <si>
    <t>THE GAP, INC.</t>
  </si>
  <si>
    <t>PFC -0024</t>
  </si>
  <si>
    <t>2225 S 75TH AVE</t>
  </si>
  <si>
    <t>PHOENIX, AZ</t>
  </si>
  <si>
    <t>85043</t>
  </si>
  <si>
    <t>TDC - 0020</t>
  </si>
  <si>
    <t>200 GAP BLVD.</t>
  </si>
  <si>
    <t>US EASTERN EAO-0004</t>
  </si>
  <si>
    <t>100 MERRITT BOULEVARD</t>
  </si>
  <si>
    <t>NDC-0028</t>
  </si>
  <si>
    <t>PDC-0014</t>
  </si>
  <si>
    <t>3400 NORTH GAP DR.</t>
  </si>
  <si>
    <t>GAP JAPAN K.K.</t>
  </si>
  <si>
    <t>32-10 SENDAGAYA, 5-CHOME</t>
  </si>
  <si>
    <t>SHIBUYA-KU</t>
  </si>
  <si>
    <t>TOKYO, TOKYO [TOKYO]</t>
  </si>
  <si>
    <t>151-0051 JAPAN</t>
  </si>
  <si>
    <t>JPD-0030</t>
  </si>
  <si>
    <t>15-27 CHIDORI</t>
  </si>
  <si>
    <t>URAYASU, TIBA [CHIBA]</t>
  </si>
  <si>
    <t>279-0032</t>
  </si>
  <si>
    <t>JAPAN</t>
  </si>
  <si>
    <t>00</t>
  </si>
  <si>
    <t>GIRLS COTTON FIBERS, KNIT PULLOVER, WITH NO NECK CLOSURE, STITCH COUNT IS GREATER THAN 9/2CM, REACHES WAIST [60% COTTON 40% POLYESTER]</t>
  </si>
  <si>
    <t>CALLA LILY 451</t>
  </si>
  <si>
    <t>RETAIL</t>
  </si>
  <si>
    <t>BLACKJACK JAS</t>
  </si>
  <si>
    <t>255K0079</t>
  </si>
  <si>
    <t>265K0006</t>
  </si>
  <si>
    <t>02</t>
  </si>
  <si>
    <t>COMERCIAL INVOICE CMT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</si>
</sst>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.00_);_(&quot;$&quot;* \(#,##0.00\);_(&quot;$&quot;* &quot;-&quot;??_);_(@_)"/>
    <numFmt numFmtId="165" formatCode="#,###\ &quot;PCS&quot;"/>
    <numFmt numFmtId="166" formatCode="#,##0.000"/>
    <numFmt numFmtId="167" formatCode="[$-409]d\-mmm\-yy;@"/>
    <numFmt numFmtId="168" formatCode="000#&quot;ENAG0625&quot;"/>
    <numFmt numFmtId="169" formatCode="000#&quot;ENAG0426&quot;"/>
  </numFmts>
  <fonts count="15" x14ac:knownFonts="1"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rgb="FF1A1A1A"/>
      <name val="Arial"/>
      <family val="2"/>
    </font>
    <font>
      <sz val="11"/>
      <color rgb="FF1A1A1A"/>
      <name val="Arial"/>
      <family val="2"/>
    </font>
    <font>
      <b/>
      <sz val="12"/>
      <name val="Arial"/>
      <family val="2"/>
    </font>
    <font>
      <sz val="12"/>
      <name val="Calibri"/>
      <family val="2"/>
    </font>
    <font>
      <sz val="20"/>
      <name val="Calibri"/>
      <family val="2"/>
    </font>
    <font>
      <b/>
      <sz val="11"/>
      <color rgb="FF1A1A1A"/>
      <name val="Arial"/>
      <family val="2"/>
    </font>
    <font>
      <sz val="14"/>
      <name val="Calibri"/>
      <family val="2"/>
    </font>
    <font>
      <sz val="18"/>
      <name val="Calibri"/>
      <family val="2"/>
    </font>
    <font>
      <sz val="12"/>
      <name val="Arial"/>
      <family val="2"/>
    </font>
    <font>
      <sz val="12"/>
      <color theme="1"/>
      <name val="Cambria"/>
      <family val="1"/>
    </font>
    <font>
      <b/>
      <sz val="11"/>
      <color rgb="FF29292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2" fillId="2" borderId="0" xfId="0" quotePrefix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4" fontId="3" fillId="0" borderId="11" xfId="0" applyNumberFormat="1" applyFont="1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wrapText="1"/>
    </xf>
    <xf numFmtId="2" fontId="0" fillId="0" borderId="11" xfId="0" applyNumberFormat="1" applyBorder="1" applyAlignment="1">
      <alignment horizontal="center" vertical="center"/>
    </xf>
    <xf numFmtId="164" fontId="0" fillId="0" borderId="11" xfId="1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" xfId="0" quotePrefix="1" applyBorder="1"/>
    <xf numFmtId="0" fontId="0" fillId="0" borderId="0" xfId="0" applyNumberFormat="1" applyBorder="1"/>
    <xf numFmtId="166" fontId="0" fillId="0" borderId="1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0" fillId="0" borderId="5" xfId="0" applyBorder="1" applyAlignment="1">
      <alignment horizontal="left"/>
    </xf>
    <xf numFmtId="0" fontId="3" fillId="0" borderId="0" xfId="0" applyFont="1" applyBorder="1"/>
    <xf numFmtId="0" fontId="3" fillId="0" borderId="5" xfId="0" applyFont="1" applyBorder="1"/>
    <xf numFmtId="167" fontId="0" fillId="0" borderId="0" xfId="0" applyNumberFormat="1" applyBorder="1"/>
    <xf numFmtId="0" fontId="7" fillId="0" borderId="0" xfId="0" applyFont="1" applyBorder="1"/>
    <xf numFmtId="0" fontId="8" fillId="0" borderId="0" xfId="0" applyFont="1" applyBorder="1" applyAlignment="1">
      <alignment horizontal="center" wrapText="1"/>
    </xf>
    <xf numFmtId="0" fontId="9" fillId="3" borderId="0" xfId="0" applyFont="1" applyFill="1" applyAlignment="1">
      <alignment horizontal="center" vertical="center"/>
    </xf>
    <xf numFmtId="0" fontId="10" fillId="0" borderId="0" xfId="0" applyFont="1" applyBorder="1" applyAlignment="1">
      <alignment vertical="center" wrapText="1"/>
    </xf>
    <xf numFmtId="0" fontId="11" fillId="0" borderId="15" xfId="0" applyFont="1" applyBorder="1" applyAlignment="1">
      <alignment vertical="center" wrapText="1"/>
    </xf>
    <xf numFmtId="0" fontId="11" fillId="0" borderId="16" xfId="0" applyFont="1" applyBorder="1" applyAlignment="1">
      <alignment vertical="center" wrapText="1"/>
    </xf>
    <xf numFmtId="0" fontId="11" fillId="0" borderId="17" xfId="0" applyFont="1" applyBorder="1" applyAlignment="1">
      <alignment vertical="center" wrapText="1"/>
    </xf>
    <xf numFmtId="164" fontId="0" fillId="0" borderId="0" xfId="0" applyNumberFormat="1"/>
    <xf numFmtId="4" fontId="0" fillId="0" borderId="0" xfId="0" applyNumberFormat="1"/>
    <xf numFmtId="0" fontId="0" fillId="0" borderId="11" xfId="0" quotePrefix="1" applyBorder="1" applyAlignment="1">
      <alignment horizontal="center" vertical="center" wrapText="1"/>
    </xf>
    <xf numFmtId="0" fontId="12" fillId="2" borderId="0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right" vertical="center" wrapText="1"/>
    </xf>
    <xf numFmtId="168" fontId="0" fillId="0" borderId="4" xfId="0" applyNumberFormat="1" applyBorder="1"/>
    <xf numFmtId="0" fontId="3" fillId="0" borderId="0" xfId="0" applyFont="1"/>
    <xf numFmtId="0" fontId="0" fillId="0" borderId="11" xfId="0" applyBorder="1" applyAlignment="1">
      <alignment horizontal="right" vertical="center"/>
    </xf>
    <xf numFmtId="166" fontId="0" fillId="0" borderId="0" xfId="0" applyNumberFormat="1"/>
    <xf numFmtId="0" fontId="13" fillId="0" borderId="13" xfId="0" applyFont="1" applyBorder="1" applyAlignment="1">
      <alignment horizontal="center" vertical="center"/>
    </xf>
    <xf numFmtId="3" fontId="5" fillId="3" borderId="0" xfId="0" applyNumberFormat="1" applyFont="1" applyFill="1" applyAlignment="1">
      <alignment horizontal="right" vertical="center" wrapText="1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4" borderId="0" xfId="0" applyFill="1"/>
    <xf numFmtId="0" fontId="0" fillId="0" borderId="21" xfId="0" applyBorder="1"/>
    <xf numFmtId="0" fontId="0" fillId="0" borderId="21" xfId="0" quotePrefix="1" applyBorder="1"/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quotePrefix="1" applyNumberFormat="1"/>
    <xf numFmtId="0" fontId="14" fillId="0" borderId="0" xfId="0" applyFont="1"/>
    <xf numFmtId="0" fontId="0" fillId="0" borderId="11" xfId="0" applyBorder="1" applyAlignment="1">
      <alignment horizontal="center" vertical="center"/>
    </xf>
    <xf numFmtId="169" fontId="0" fillId="0" borderId="0" xfId="0" quotePrefix="1" applyNumberFormat="1" applyBorder="1" applyAlignment="1">
      <alignment horizontal="left"/>
    </xf>
    <xf numFmtId="3" fontId="0" fillId="0" borderId="14" xfId="0" applyNumberFormat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quotePrefix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165" fontId="0" fillId="0" borderId="14" xfId="0" applyNumberForma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245960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Users\JessicaTan\AppData\Local\Temp\wz4df8\1.22%20AM42,AM45B\&#32479;&#35745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DATA%20EXPORT%20UPDATE\2021\Export%20November%202021\Walmart%20Jegging%202021\Walmart%20Jegging%20shipment%203\Final%20Document\DRAFT%20SHIP%20DOC%20INITIAL%20GINGHAM%208%20NO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rper\Sharper\Sharper\&#33337;&#21153;&#25991;&#20214;\4.&#21033;&#20016;\1.1%20QUELLE%20Germany\1.1%20Shipping%20docs(&#26631;&#20934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报关"/>
      <sheetName val="码数统计 (2)"/>
      <sheetName val="CLP"/>
      <sheetName val="Invoice"/>
      <sheetName val="码数统计"/>
      <sheetName val="参数"/>
      <sheetName val="批次"/>
      <sheetName val="Booking1"/>
      <sheetName val="登记表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53X48X9 CM</v>
          </cell>
        </row>
        <row r="6">
          <cell r="B6">
            <v>0.17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data"/>
      <sheetName val="1.INVOICE"/>
      <sheetName val="2.HANGER INVOICE"/>
      <sheetName val="3.PL CONTAINER 1 INI"/>
      <sheetName val="4.FS COVER"/>
      <sheetName val="PLIST CONT 2 INI"/>
      <sheetName val="7.FACTORY CO"/>
      <sheetName val="Container Load Plan"/>
      <sheetName val="Sheet1"/>
      <sheetName val="CONTAINER DETAIL"/>
    </sheetNames>
    <sheetDataSet>
      <sheetData sheetId="0">
        <row r="1">
          <cell r="B1">
            <v>44511</v>
          </cell>
        </row>
        <row r="2">
          <cell r="B2" t="str">
            <v>YTK2110003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参数"/>
      <sheetName val="invoice"/>
      <sheetName val="packing"/>
      <sheetName val="Schedule 2"/>
      <sheetName val="DN打印"/>
    </sheetNames>
    <sheetDataSet>
      <sheetData sheetId="0" refreshError="1">
        <row r="1">
          <cell r="E1" t="str">
            <v>LADIES' 100% COTTON WOVEN BLOUSE</v>
          </cell>
        </row>
        <row r="3">
          <cell r="E3">
            <v>7.1999999999999995E-2</v>
          </cell>
        </row>
        <row r="4">
          <cell r="E4">
            <v>1</v>
          </cell>
        </row>
        <row r="5">
          <cell r="E5">
            <v>0.25</v>
          </cell>
        </row>
        <row r="7">
          <cell r="E7" t="str">
            <v>60X40X30 CM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51"/>
  <sheetViews>
    <sheetView workbookViewId="0">
      <selection activeCell="K4" sqref="K4"/>
    </sheetView>
  </sheetViews>
  <sheetFormatPr defaultRowHeight="12.75" x14ac:dyDescent="0.2"/>
  <cols>
    <col min="1" max="1" width="3.5703125" customWidth="1"/>
    <col min="2" max="2" width="36.42578125" bestFit="1" customWidth="1"/>
    <col min="3" max="3" width="2.140625" style="53" customWidth="1"/>
    <col min="4" max="4" width="31.5703125" customWidth="1"/>
    <col min="5" max="5" width="2.140625" style="53" customWidth="1"/>
    <col min="6" max="8" width="26.7109375" customWidth="1"/>
    <col min="9" max="9" width="51.7109375" bestFit="1" customWidth="1"/>
    <col min="10" max="10" width="4.28515625" customWidth="1"/>
    <col min="11" max="11" width="31.7109375" bestFit="1" customWidth="1"/>
  </cols>
  <sheetData>
    <row r="3" spans="2:12" x14ac:dyDescent="0.2">
      <c r="B3" t="s">
        <v>95</v>
      </c>
      <c r="D3" t="s">
        <v>94</v>
      </c>
      <c r="F3" t="s">
        <v>37</v>
      </c>
    </row>
    <row r="5" spans="2:12" x14ac:dyDescent="0.2">
      <c r="B5" s="10" t="s">
        <v>82</v>
      </c>
      <c r="D5" s="10" t="s">
        <v>64</v>
      </c>
      <c r="F5" s="10" t="s">
        <v>87</v>
      </c>
      <c r="G5" s="10" t="s">
        <v>98</v>
      </c>
      <c r="H5" s="10" t="s">
        <v>88</v>
      </c>
      <c r="I5" s="10" t="s">
        <v>99</v>
      </c>
      <c r="K5" t="str">
        <f>D5</f>
        <v>OLD NAVY, LLC</v>
      </c>
      <c r="L5" t="str">
        <f>F5</f>
        <v>FISHKILL NY ONLINE-0007</v>
      </c>
    </row>
    <row r="6" spans="2:12" x14ac:dyDescent="0.2">
      <c r="B6" s="54" t="s">
        <v>83</v>
      </c>
      <c r="D6" s="54" t="s">
        <v>65</v>
      </c>
      <c r="F6" s="54" t="s">
        <v>68</v>
      </c>
      <c r="G6" s="54" t="s">
        <v>68</v>
      </c>
      <c r="H6" s="54" t="s">
        <v>77</v>
      </c>
      <c r="I6" s="54" t="s">
        <v>100</v>
      </c>
      <c r="K6" t="str">
        <f>D11</f>
        <v>GPS STRATEGIC ALLIANCES, LLC</v>
      </c>
      <c r="L6" t="str">
        <f>G5</f>
        <v>ODC-0018</v>
      </c>
    </row>
    <row r="7" spans="2:12" x14ac:dyDescent="0.2">
      <c r="B7" s="54" t="s">
        <v>84</v>
      </c>
      <c r="D7" s="54" t="s">
        <v>66</v>
      </c>
      <c r="F7" s="54" t="s">
        <v>69</v>
      </c>
      <c r="G7" s="54" t="s">
        <v>69</v>
      </c>
      <c r="H7" s="54" t="s">
        <v>78</v>
      </c>
      <c r="I7" s="54" t="s">
        <v>101</v>
      </c>
      <c r="K7" t="str">
        <f>D17</f>
        <v>OLD NAVY (CANADA) INC.</v>
      </c>
      <c r="L7" t="str">
        <f>H5</f>
        <v>OHO OHIO OMNI-0016</v>
      </c>
    </row>
    <row r="8" spans="2:12" x14ac:dyDescent="0.2">
      <c r="B8" s="55" t="s">
        <v>97</v>
      </c>
      <c r="D8" s="55" t="s">
        <v>75</v>
      </c>
      <c r="F8" s="55" t="s">
        <v>76</v>
      </c>
      <c r="G8" s="55" t="s">
        <v>76</v>
      </c>
      <c r="H8" s="55" t="s">
        <v>79</v>
      </c>
      <c r="I8" s="55" t="s">
        <v>102</v>
      </c>
      <c r="K8" t="str">
        <f>D23</f>
        <v>GAP (UK HOLDINGS) LIMITED</v>
      </c>
      <c r="L8" t="str">
        <f>I5</f>
        <v>WESTERN OMNI WEO-0008</v>
      </c>
    </row>
    <row r="9" spans="2:12" x14ac:dyDescent="0.2">
      <c r="B9" s="9" t="s">
        <v>96</v>
      </c>
      <c r="D9" s="9" t="s">
        <v>67</v>
      </c>
      <c r="F9" s="9" t="s">
        <v>67</v>
      </c>
      <c r="G9" s="9" t="s">
        <v>67</v>
      </c>
      <c r="H9" s="9" t="s">
        <v>67</v>
      </c>
      <c r="I9" s="9" t="s">
        <v>67</v>
      </c>
      <c r="K9" t="str">
        <f>D29</f>
        <v>GAP EUROPE LIMITED</v>
      </c>
      <c r="L9" t="str">
        <f>F11</f>
        <v>FDC-0026</v>
      </c>
    </row>
    <row r="10" spans="2:12" x14ac:dyDescent="0.2">
      <c r="K10" t="str">
        <f>D35</f>
        <v>GPS STRATEGIC ALLIANCES, LLC</v>
      </c>
      <c r="L10" t="str">
        <f>G11</f>
        <v>LVO LONGVIEW OMNI-0047</v>
      </c>
    </row>
    <row r="11" spans="2:12" x14ac:dyDescent="0.2">
      <c r="B11" s="10" t="s">
        <v>137</v>
      </c>
      <c r="D11" s="10" t="s">
        <v>117</v>
      </c>
      <c r="F11" s="10" t="s">
        <v>103</v>
      </c>
      <c r="G11" s="10" t="s">
        <v>105</v>
      </c>
      <c r="H11" s="10" t="s">
        <v>109</v>
      </c>
      <c r="I11" s="10" t="s">
        <v>113</v>
      </c>
      <c r="K11" t="str">
        <f>D41</f>
        <v>THE GAP, INC.</v>
      </c>
      <c r="L11" t="str">
        <f>H11</f>
        <v>SDC-0017</v>
      </c>
    </row>
    <row r="12" spans="2:12" x14ac:dyDescent="0.2">
      <c r="B12" s="54" t="s">
        <v>138</v>
      </c>
      <c r="D12" s="54" t="s">
        <v>118</v>
      </c>
      <c r="F12" s="54" t="s">
        <v>104</v>
      </c>
      <c r="G12" s="54" t="s">
        <v>106</v>
      </c>
      <c r="H12" s="54" t="s">
        <v>110</v>
      </c>
      <c r="I12" s="54" t="s">
        <v>114</v>
      </c>
      <c r="K12" t="str">
        <f>D47</f>
        <v>GAP JAPAN K.K.</v>
      </c>
      <c r="L12" t="str">
        <f>I11</f>
        <v>EXPEDITORS INTL LRD OLD NAVY, LLC</v>
      </c>
    </row>
    <row r="13" spans="2:12" x14ac:dyDescent="0.2">
      <c r="B13" s="54" t="s">
        <v>139</v>
      </c>
      <c r="D13" s="54" t="s">
        <v>119</v>
      </c>
      <c r="F13" s="54" t="s">
        <v>101</v>
      </c>
      <c r="G13" s="54" t="s">
        <v>107</v>
      </c>
      <c r="H13" s="54" t="s">
        <v>111</v>
      </c>
      <c r="I13" s="54" t="s">
        <v>115</v>
      </c>
      <c r="L13" t="str">
        <f>F17</f>
        <v>BDC-0015</v>
      </c>
    </row>
    <row r="14" spans="2:12" x14ac:dyDescent="0.2">
      <c r="B14" s="54" t="s">
        <v>141</v>
      </c>
      <c r="D14" s="55" t="s">
        <v>120</v>
      </c>
      <c r="F14" s="55" t="s">
        <v>102</v>
      </c>
      <c r="G14" s="55" t="s">
        <v>108</v>
      </c>
      <c r="H14" s="55" t="s">
        <v>112</v>
      </c>
      <c r="I14" s="55" t="s">
        <v>116</v>
      </c>
      <c r="L14" t="str">
        <f>G17</f>
        <v>CANADA OMNI CAO-0040</v>
      </c>
    </row>
    <row r="15" spans="2:12" x14ac:dyDescent="0.2">
      <c r="B15" s="9" t="s">
        <v>140</v>
      </c>
      <c r="D15" s="9" t="s">
        <v>67</v>
      </c>
      <c r="F15" s="9" t="s">
        <v>67</v>
      </c>
      <c r="G15" s="9" t="s">
        <v>67</v>
      </c>
      <c r="H15" s="9" t="s">
        <v>67</v>
      </c>
      <c r="I15" s="9" t="s">
        <v>67</v>
      </c>
      <c r="L15" t="str">
        <f>H17</f>
        <v>MDC OLD NAVY, LLC</v>
      </c>
    </row>
    <row r="16" spans="2:12" x14ac:dyDescent="0.2">
      <c r="L16" t="str">
        <f>I17</f>
        <v>MULTIBRAND WHLSL GPS STRATEGIC ALLIANCES, LLC</v>
      </c>
    </row>
    <row r="17" spans="2:12" x14ac:dyDescent="0.2">
      <c r="B17" t="str">
        <f>B5</f>
        <v>KANMAX ENTERPRISES LTD</v>
      </c>
      <c r="D17" s="10" t="s">
        <v>70</v>
      </c>
      <c r="F17" s="10" t="s">
        <v>126</v>
      </c>
      <c r="G17" s="10" t="s">
        <v>89</v>
      </c>
      <c r="H17" s="10" t="s">
        <v>90</v>
      </c>
      <c r="I17" s="10" t="s">
        <v>121</v>
      </c>
      <c r="L17" t="str">
        <f>F23</f>
        <v>HKG DC</v>
      </c>
    </row>
    <row r="18" spans="2:12" x14ac:dyDescent="0.2">
      <c r="B18" t="str">
        <f>B11</f>
        <v>CHARLES'S WAIN WORLDWIDE CORP</v>
      </c>
      <c r="D18" s="54" t="s">
        <v>71</v>
      </c>
      <c r="F18" s="54" t="s">
        <v>71</v>
      </c>
      <c r="G18" s="54" t="s">
        <v>71</v>
      </c>
      <c r="H18" s="54" t="s">
        <v>91</v>
      </c>
      <c r="I18" s="54" t="s">
        <v>122</v>
      </c>
      <c r="L18" t="str">
        <f>G23</f>
        <v>EDC(EU FRANCHISE HUB)</v>
      </c>
    </row>
    <row r="19" spans="2:12" x14ac:dyDescent="0.2">
      <c r="D19" s="54" t="s">
        <v>72</v>
      </c>
      <c r="F19" s="54" t="s">
        <v>72</v>
      </c>
      <c r="G19" s="54" t="s">
        <v>72</v>
      </c>
      <c r="H19" s="54" t="s">
        <v>92</v>
      </c>
      <c r="I19" s="54" t="s">
        <v>123</v>
      </c>
      <c r="L19" t="str">
        <f>H23</f>
        <v>EXPEDITORS INT'L GPS STRATEGIC ALLIANCES, LLC</v>
      </c>
    </row>
    <row r="20" spans="2:12" x14ac:dyDescent="0.2">
      <c r="D20" s="54" t="s">
        <v>73</v>
      </c>
      <c r="F20" s="54" t="s">
        <v>73</v>
      </c>
      <c r="G20" s="54" t="s">
        <v>73</v>
      </c>
      <c r="H20" s="55" t="s">
        <v>93</v>
      </c>
      <c r="I20" s="54" t="s">
        <v>124</v>
      </c>
      <c r="L20" t="str">
        <f>I23</f>
        <v>PFC -0024</v>
      </c>
    </row>
    <row r="21" spans="2:12" x14ac:dyDescent="0.2">
      <c r="D21" s="9" t="s">
        <v>74</v>
      </c>
      <c r="F21" s="9" t="s">
        <v>74</v>
      </c>
      <c r="G21" s="9" t="s">
        <v>74</v>
      </c>
      <c r="H21" s="9" t="s">
        <v>67</v>
      </c>
      <c r="I21" s="9" t="s">
        <v>125</v>
      </c>
      <c r="L21" t="str">
        <f>F29</f>
        <v>TDC - 0020</v>
      </c>
    </row>
    <row r="22" spans="2:12" x14ac:dyDescent="0.2">
      <c r="L22" t="str">
        <f>G29</f>
        <v>US EASTERN EAO-0004</v>
      </c>
    </row>
    <row r="23" spans="2:12" x14ac:dyDescent="0.2">
      <c r="D23" s="10" t="s">
        <v>127</v>
      </c>
      <c r="F23" s="10" t="s">
        <v>132</v>
      </c>
      <c r="G23" s="10" t="s">
        <v>145</v>
      </c>
      <c r="H23" s="10" t="s">
        <v>150</v>
      </c>
      <c r="I23" s="10" t="s">
        <v>156</v>
      </c>
      <c r="L23" t="str">
        <f>H29</f>
        <v>NDC-0028</v>
      </c>
    </row>
    <row r="24" spans="2:12" x14ac:dyDescent="0.2">
      <c r="D24" s="54" t="s">
        <v>128</v>
      </c>
      <c r="F24" s="54" t="s">
        <v>135</v>
      </c>
      <c r="G24" s="54" t="s">
        <v>146</v>
      </c>
      <c r="H24" s="54" t="s">
        <v>151</v>
      </c>
      <c r="I24" s="54" t="s">
        <v>157</v>
      </c>
      <c r="L24" t="str">
        <f>I29</f>
        <v>PDC-0014</v>
      </c>
    </row>
    <row r="25" spans="2:12" x14ac:dyDescent="0.2">
      <c r="D25" s="54" t="s">
        <v>129</v>
      </c>
      <c r="F25" s="54" t="s">
        <v>136</v>
      </c>
      <c r="G25" s="54" t="s">
        <v>147</v>
      </c>
      <c r="H25" s="54" t="s">
        <v>152</v>
      </c>
      <c r="I25" s="54" t="s">
        <v>158</v>
      </c>
      <c r="L25" t="str">
        <f>F35</f>
        <v>JPD-0030</v>
      </c>
    </row>
    <row r="26" spans="2:12" x14ac:dyDescent="0.2">
      <c r="D26" s="54" t="s">
        <v>130</v>
      </c>
      <c r="F26" s="54" t="s">
        <v>133</v>
      </c>
      <c r="G26" s="54" t="s">
        <v>148</v>
      </c>
      <c r="H26" s="54" t="s">
        <v>153</v>
      </c>
      <c r="I26" s="55" t="s">
        <v>159</v>
      </c>
    </row>
    <row r="27" spans="2:12" x14ac:dyDescent="0.2">
      <c r="D27" s="9" t="s">
        <v>131</v>
      </c>
      <c r="F27" s="9" t="s">
        <v>134</v>
      </c>
      <c r="G27" s="9" t="s">
        <v>149</v>
      </c>
      <c r="H27" s="9" t="s">
        <v>154</v>
      </c>
      <c r="I27" s="9" t="s">
        <v>67</v>
      </c>
    </row>
    <row r="28" spans="2:12" x14ac:dyDescent="0.2">
      <c r="D28" s="10"/>
    </row>
    <row r="29" spans="2:12" x14ac:dyDescent="0.2">
      <c r="D29" s="10" t="s">
        <v>142</v>
      </c>
      <c r="F29" s="10" t="s">
        <v>160</v>
      </c>
      <c r="G29" s="10" t="s">
        <v>162</v>
      </c>
      <c r="H29" s="10" t="s">
        <v>164</v>
      </c>
      <c r="I29" s="10" t="s">
        <v>165</v>
      </c>
    </row>
    <row r="30" spans="2:12" x14ac:dyDescent="0.2">
      <c r="D30" s="54" t="s">
        <v>143</v>
      </c>
      <c r="F30" s="54" t="s">
        <v>161</v>
      </c>
      <c r="G30" s="54" t="s">
        <v>163</v>
      </c>
      <c r="H30" s="54" t="s">
        <v>163</v>
      </c>
      <c r="I30" s="54" t="s">
        <v>166</v>
      </c>
    </row>
    <row r="31" spans="2:12" x14ac:dyDescent="0.2">
      <c r="D31" s="54" t="s">
        <v>144</v>
      </c>
      <c r="F31" s="54" t="s">
        <v>111</v>
      </c>
      <c r="G31" s="54" t="s">
        <v>69</v>
      </c>
      <c r="H31" s="54" t="s">
        <v>69</v>
      </c>
      <c r="I31" s="54" t="s">
        <v>101</v>
      </c>
    </row>
    <row r="32" spans="2:12" x14ac:dyDescent="0.2">
      <c r="D32" s="54" t="s">
        <v>130</v>
      </c>
      <c r="F32" s="55" t="s">
        <v>112</v>
      </c>
      <c r="G32" s="55" t="s">
        <v>76</v>
      </c>
      <c r="H32" s="55" t="s">
        <v>76</v>
      </c>
      <c r="I32" s="55" t="s">
        <v>102</v>
      </c>
    </row>
    <row r="33" spans="4:9" x14ac:dyDescent="0.2">
      <c r="D33" s="9" t="s">
        <v>131</v>
      </c>
      <c r="F33" s="9" t="s">
        <v>67</v>
      </c>
      <c r="G33" s="9" t="s">
        <v>67</v>
      </c>
      <c r="H33" s="9" t="s">
        <v>67</v>
      </c>
      <c r="I33" s="9" t="s">
        <v>67</v>
      </c>
    </row>
    <row r="35" spans="4:9" x14ac:dyDescent="0.2">
      <c r="D35" s="10" t="s">
        <v>117</v>
      </c>
      <c r="F35" s="10" t="s">
        <v>172</v>
      </c>
    </row>
    <row r="36" spans="4:9" x14ac:dyDescent="0.2">
      <c r="D36" s="54" t="s">
        <v>118</v>
      </c>
      <c r="F36" s="54" t="s">
        <v>173</v>
      </c>
    </row>
    <row r="37" spans="4:9" x14ac:dyDescent="0.2">
      <c r="D37" s="54" t="s">
        <v>119</v>
      </c>
      <c r="F37" s="54" t="s">
        <v>174</v>
      </c>
    </row>
    <row r="38" spans="4:9" x14ac:dyDescent="0.2">
      <c r="D38" s="55" t="s">
        <v>120</v>
      </c>
      <c r="F38" s="54" t="s">
        <v>175</v>
      </c>
    </row>
    <row r="39" spans="4:9" x14ac:dyDescent="0.2">
      <c r="D39" s="9" t="s">
        <v>67</v>
      </c>
      <c r="F39" s="9" t="s">
        <v>176</v>
      </c>
    </row>
    <row r="41" spans="4:9" x14ac:dyDescent="0.2">
      <c r="D41" s="10" t="s">
        <v>155</v>
      </c>
    </row>
    <row r="42" spans="4:9" x14ac:dyDescent="0.2">
      <c r="D42" s="54" t="s">
        <v>65</v>
      </c>
    </row>
    <row r="43" spans="4:9" x14ac:dyDescent="0.2">
      <c r="D43" s="54" t="s">
        <v>66</v>
      </c>
    </row>
    <row r="44" spans="4:9" x14ac:dyDescent="0.2">
      <c r="D44" s="55" t="s">
        <v>75</v>
      </c>
    </row>
    <row r="45" spans="4:9" x14ac:dyDescent="0.2">
      <c r="D45" s="9" t="s">
        <v>67</v>
      </c>
    </row>
    <row r="47" spans="4:9" x14ac:dyDescent="0.2">
      <c r="D47" s="10" t="s">
        <v>167</v>
      </c>
    </row>
    <row r="48" spans="4:9" x14ac:dyDescent="0.2">
      <c r="D48" s="54" t="s">
        <v>168</v>
      </c>
    </row>
    <row r="49" spans="4:4" x14ac:dyDescent="0.2">
      <c r="D49" s="54" t="s">
        <v>169</v>
      </c>
    </row>
    <row r="50" spans="4:4" x14ac:dyDescent="0.2">
      <c r="D50" s="55" t="s">
        <v>170</v>
      </c>
    </row>
    <row r="51" spans="4:4" x14ac:dyDescent="0.2">
      <c r="D51" s="9" t="s">
        <v>171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29"/>
  <sheetViews>
    <sheetView workbookViewId="0">
      <selection activeCell="G7" sqref="G7"/>
    </sheetView>
  </sheetViews>
  <sheetFormatPr defaultRowHeight="12.75" x14ac:dyDescent="0.2"/>
  <sheetData>
    <row r="2" spans="2:9" ht="15" x14ac:dyDescent="0.25">
      <c r="B2" s="60">
        <v>1</v>
      </c>
      <c r="C2" t="s">
        <v>182</v>
      </c>
      <c r="E2" s="60">
        <v>1</v>
      </c>
      <c r="F2">
        <v>881293</v>
      </c>
      <c r="H2" s="60">
        <v>1</v>
      </c>
      <c r="I2" s="61" t="s">
        <v>180</v>
      </c>
    </row>
    <row r="3" spans="2:9" ht="15" x14ac:dyDescent="0.25">
      <c r="B3" s="60">
        <v>2</v>
      </c>
      <c r="C3" t="s">
        <v>182</v>
      </c>
      <c r="E3" s="60">
        <v>2</v>
      </c>
      <c r="F3">
        <v>881293</v>
      </c>
      <c r="H3" s="60">
        <v>2</v>
      </c>
      <c r="I3" s="61" t="s">
        <v>180</v>
      </c>
    </row>
    <row r="4" spans="2:9" ht="15" x14ac:dyDescent="0.25">
      <c r="B4" s="60">
        <v>3</v>
      </c>
      <c r="C4" t="s">
        <v>183</v>
      </c>
      <c r="E4" s="60">
        <v>3</v>
      </c>
      <c r="F4">
        <v>878746</v>
      </c>
      <c r="H4" s="60">
        <v>3</v>
      </c>
      <c r="I4" s="61" t="s">
        <v>180</v>
      </c>
    </row>
    <row r="5" spans="2:9" ht="15" x14ac:dyDescent="0.25">
      <c r="B5" s="60">
        <v>4</v>
      </c>
      <c r="C5" t="s">
        <v>183</v>
      </c>
      <c r="E5" s="60">
        <v>4</v>
      </c>
      <c r="F5">
        <v>878746</v>
      </c>
      <c r="H5" s="60">
        <v>4</v>
      </c>
      <c r="I5" s="61" t="s">
        <v>180</v>
      </c>
    </row>
    <row r="6" spans="2:9" ht="15" x14ac:dyDescent="0.25">
      <c r="B6" s="60">
        <v>5</v>
      </c>
      <c r="E6" s="60">
        <v>5</v>
      </c>
      <c r="H6" s="60">
        <v>5</v>
      </c>
      <c r="I6" s="61"/>
    </row>
    <row r="7" spans="2:9" ht="15" x14ac:dyDescent="0.25">
      <c r="B7" s="60">
        <v>6</v>
      </c>
      <c r="E7" s="60">
        <v>6</v>
      </c>
      <c r="H7" s="60">
        <v>6</v>
      </c>
      <c r="I7" s="61"/>
    </row>
    <row r="8" spans="2:9" ht="15" x14ac:dyDescent="0.25">
      <c r="B8" s="60">
        <v>7</v>
      </c>
      <c r="E8" s="60">
        <v>7</v>
      </c>
      <c r="H8" s="60">
        <v>7</v>
      </c>
      <c r="I8" s="61"/>
    </row>
    <row r="9" spans="2:9" ht="15" x14ac:dyDescent="0.25">
      <c r="B9" s="60">
        <v>8</v>
      </c>
      <c r="E9" s="60">
        <v>8</v>
      </c>
      <c r="H9" s="60">
        <v>8</v>
      </c>
      <c r="I9" s="61"/>
    </row>
    <row r="10" spans="2:9" ht="15" x14ac:dyDescent="0.25">
      <c r="B10" s="60">
        <v>9</v>
      </c>
      <c r="E10" s="60">
        <v>9</v>
      </c>
      <c r="H10" s="60">
        <v>9</v>
      </c>
      <c r="I10" s="61"/>
    </row>
    <row r="11" spans="2:9" ht="15" x14ac:dyDescent="0.25">
      <c r="B11" s="60">
        <v>10</v>
      </c>
      <c r="E11" s="60">
        <v>10</v>
      </c>
      <c r="H11" s="60">
        <v>10</v>
      </c>
      <c r="I11" s="61"/>
    </row>
    <row r="12" spans="2:9" ht="15" x14ac:dyDescent="0.25">
      <c r="B12" s="60">
        <v>11</v>
      </c>
      <c r="E12" s="60">
        <v>11</v>
      </c>
      <c r="H12" s="60">
        <v>11</v>
      </c>
      <c r="I12" s="61"/>
    </row>
    <row r="13" spans="2:9" ht="15" x14ac:dyDescent="0.25">
      <c r="B13" s="60">
        <v>12</v>
      </c>
      <c r="E13" s="60">
        <v>12</v>
      </c>
      <c r="H13" s="60">
        <v>12</v>
      </c>
      <c r="I13" s="61"/>
    </row>
    <row r="14" spans="2:9" ht="15" x14ac:dyDescent="0.25">
      <c r="B14" s="60">
        <v>13</v>
      </c>
      <c r="E14" s="60">
        <v>13</v>
      </c>
      <c r="H14" s="60">
        <v>13</v>
      </c>
      <c r="I14" s="61"/>
    </row>
    <row r="15" spans="2:9" ht="15" x14ac:dyDescent="0.25">
      <c r="B15" s="60">
        <v>14</v>
      </c>
      <c r="E15" s="60">
        <v>14</v>
      </c>
      <c r="H15" s="60">
        <v>14</v>
      </c>
      <c r="I15" s="61"/>
    </row>
    <row r="16" spans="2:9" ht="15" x14ac:dyDescent="0.25">
      <c r="B16" s="60">
        <v>15</v>
      </c>
      <c r="E16" s="60">
        <v>15</v>
      </c>
      <c r="H16" s="60">
        <v>15</v>
      </c>
      <c r="I16" s="61"/>
    </row>
    <row r="17" spans="2:11" ht="15" x14ac:dyDescent="0.25">
      <c r="B17" s="60">
        <v>16</v>
      </c>
      <c r="E17" s="60">
        <v>16</v>
      </c>
      <c r="H17" s="60">
        <v>16</v>
      </c>
      <c r="I17" s="61"/>
    </row>
    <row r="18" spans="2:11" ht="15" x14ac:dyDescent="0.25">
      <c r="B18" s="60">
        <v>17</v>
      </c>
      <c r="E18" s="60">
        <v>17</v>
      </c>
      <c r="H18" s="60">
        <v>17</v>
      </c>
      <c r="I18" s="61"/>
    </row>
    <row r="19" spans="2:11" ht="15" x14ac:dyDescent="0.25">
      <c r="B19" s="60">
        <v>18</v>
      </c>
      <c r="E19" s="60">
        <v>18</v>
      </c>
      <c r="H19" s="60">
        <v>18</v>
      </c>
      <c r="I19" s="61"/>
    </row>
    <row r="20" spans="2:11" ht="15" x14ac:dyDescent="0.25">
      <c r="B20" s="60">
        <v>19</v>
      </c>
      <c r="E20" s="60">
        <v>19</v>
      </c>
      <c r="H20" s="60">
        <v>19</v>
      </c>
      <c r="I20" s="61"/>
    </row>
    <row r="21" spans="2:11" ht="15" x14ac:dyDescent="0.25">
      <c r="B21" s="60">
        <v>20</v>
      </c>
      <c r="E21" s="60">
        <v>20</v>
      </c>
      <c r="H21" s="60">
        <v>20</v>
      </c>
      <c r="I21" s="61"/>
    </row>
    <row r="22" spans="2:11" ht="15" x14ac:dyDescent="0.25">
      <c r="B22" s="60">
        <v>21</v>
      </c>
      <c r="E22" s="60">
        <v>21</v>
      </c>
      <c r="H22" s="60">
        <v>21</v>
      </c>
      <c r="I22" s="61"/>
      <c r="K22" t="s">
        <v>63</v>
      </c>
    </row>
    <row r="23" spans="2:11" ht="15" x14ac:dyDescent="0.25">
      <c r="B23" s="60">
        <v>22</v>
      </c>
      <c r="E23" s="60">
        <v>22</v>
      </c>
      <c r="H23" s="60">
        <v>22</v>
      </c>
      <c r="I23" s="61"/>
    </row>
    <row r="24" spans="2:11" ht="15" x14ac:dyDescent="0.25">
      <c r="B24" s="60">
        <v>23</v>
      </c>
      <c r="E24" s="60">
        <v>23</v>
      </c>
      <c r="H24" s="60">
        <v>23</v>
      </c>
      <c r="I24" s="61"/>
    </row>
    <row r="25" spans="2:11" ht="15" x14ac:dyDescent="0.25">
      <c r="B25" s="60">
        <v>24</v>
      </c>
      <c r="E25" s="60">
        <v>24</v>
      </c>
      <c r="H25" s="60">
        <v>24</v>
      </c>
      <c r="I25" s="61"/>
    </row>
    <row r="26" spans="2:11" ht="15" x14ac:dyDescent="0.25">
      <c r="B26" s="60">
        <v>25</v>
      </c>
      <c r="E26" s="60">
        <v>25</v>
      </c>
      <c r="H26" s="60">
        <v>25</v>
      </c>
      <c r="I26" s="61"/>
    </row>
    <row r="27" spans="2:11" ht="15" x14ac:dyDescent="0.25">
      <c r="B27" s="60">
        <v>26</v>
      </c>
      <c r="E27" s="60">
        <v>26</v>
      </c>
      <c r="H27" s="60">
        <v>26</v>
      </c>
      <c r="I27" s="61"/>
    </row>
    <row r="28" spans="2:11" x14ac:dyDescent="0.2">
      <c r="B28" s="60">
        <v>27</v>
      </c>
      <c r="E28" s="60">
        <v>27</v>
      </c>
      <c r="H28" s="60">
        <v>27</v>
      </c>
    </row>
    <row r="29" spans="2:11" x14ac:dyDescent="0.2">
      <c r="B29" s="60">
        <v>28</v>
      </c>
      <c r="E29" s="60">
        <v>28</v>
      </c>
      <c r="H29" s="60">
        <v>28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V58"/>
  <sheetViews>
    <sheetView view="pageBreakPreview" topLeftCell="A2" zoomScaleNormal="100" zoomScaleSheetLayoutView="100" workbookViewId="0">
      <selection activeCell="I32" sqref="I3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6" t="s">
        <v>185</v>
      </c>
      <c r="C2" s="67"/>
      <c r="D2" s="67"/>
      <c r="E2" s="67"/>
      <c r="F2" s="67"/>
      <c r="G2" s="67"/>
      <c r="H2" s="67"/>
      <c r="I2" s="68"/>
      <c r="J2" s="43">
        <v>61739604</v>
      </c>
      <c r="K2" s="50">
        <v>2000</v>
      </c>
      <c r="L2" s="44">
        <v>12</v>
      </c>
      <c r="M2" s="44">
        <v>147.19</v>
      </c>
      <c r="N2" s="44">
        <v>151.19</v>
      </c>
      <c r="O2" s="44">
        <v>163.19</v>
      </c>
      <c r="P2" s="44" t="s">
        <v>54</v>
      </c>
      <c r="Q2" s="44">
        <v>0.80500000000000005</v>
      </c>
      <c r="R2" s="44" t="s">
        <v>62</v>
      </c>
    </row>
    <row r="3" spans="2:22" x14ac:dyDescent="0.2">
      <c r="B3" s="6" t="s">
        <v>53</v>
      </c>
      <c r="C3" s="63">
        <v>39</v>
      </c>
      <c r="D3" s="5"/>
      <c r="E3" s="5"/>
      <c r="F3" s="5"/>
      <c r="G3" s="5" t="s">
        <v>52</v>
      </c>
      <c r="H3" s="31">
        <v>46114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178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100 GAP BOULEVARD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GALLATIN, TN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37066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1">
        <f>J2</f>
        <v>61739604</v>
      </c>
      <c r="C21" s="52">
        <f>VLOOKUP($K56,reff!E2:F29,2,0)</f>
        <v>881293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1" t="s">
        <v>35</v>
      </c>
      <c r="G21" s="51"/>
      <c r="H21" s="49" t="str">
        <f>IF(LEFT(G17,2)="CA","CA",IF(LEFT(G17,2)="UN","US",IF(LEFT(G17,2)="PA","PA",IF(LEFT(G17,2)="JA","JP"))))</f>
        <v>US</v>
      </c>
      <c r="I21" s="51" t="s">
        <v>34</v>
      </c>
      <c r="K21" s="20">
        <v>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1" t="s">
        <v>25</v>
      </c>
      <c r="C23" s="51"/>
      <c r="D23" s="51" t="s">
        <v>24</v>
      </c>
      <c r="E23" s="51" t="str">
        <f>+D23</f>
        <v>JAKARTA,ID</v>
      </c>
      <c r="F23" s="23">
        <f>+O2</f>
        <v>163.19</v>
      </c>
      <c r="G23" s="23">
        <f>+N2</f>
        <v>151.19</v>
      </c>
      <c r="H23" s="23">
        <f>+M2</f>
        <v>147.19</v>
      </c>
      <c r="I23" s="51">
        <f>+L2</f>
        <v>12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9" t="s">
        <v>23</v>
      </c>
      <c r="C26" s="70"/>
      <c r="D26" s="70"/>
      <c r="E26" s="70"/>
      <c r="F26" s="70"/>
      <c r="G26" s="70"/>
      <c r="H26" s="70"/>
      <c r="I26" s="71"/>
    </row>
    <row r="27" spans="2:13" ht="24.75" customHeight="1" x14ac:dyDescent="0.2">
      <c r="B27" s="72" t="str">
        <f>+K4</f>
        <v>GIRLS COTTON FIBERS, KNIT PULLOVER, WITH NO NECK CLOSURE, STITCH COUNT IS GREATER THAN 9/2CM, REACHES WAIST [60% COTTON 40% POLYESTER]</v>
      </c>
      <c r="C27" s="73"/>
      <c r="D27" s="73"/>
      <c r="E27" s="73"/>
      <c r="F27" s="73"/>
      <c r="G27" s="73"/>
      <c r="H27" s="73"/>
      <c r="I27" s="74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1" t="s">
        <v>21</v>
      </c>
      <c r="C31" s="51" t="s">
        <v>20</v>
      </c>
      <c r="D31" s="75" t="s">
        <v>19</v>
      </c>
      <c r="E31" s="75"/>
      <c r="F31" s="75" t="s">
        <v>18</v>
      </c>
      <c r="G31" s="75"/>
      <c r="H31" s="51" t="s">
        <v>17</v>
      </c>
      <c r="I31" s="19" t="s">
        <v>16</v>
      </c>
      <c r="M31"/>
    </row>
    <row r="32" spans="2:13" ht="24.75" customHeight="1" x14ac:dyDescent="0.2">
      <c r="B32" s="41" t="s">
        <v>177</v>
      </c>
      <c r="C32" s="19" t="s">
        <v>179</v>
      </c>
      <c r="D32" s="64"/>
      <c r="E32" s="65"/>
      <c r="F32" s="64">
        <f>+K2</f>
        <v>2000</v>
      </c>
      <c r="G32" s="65"/>
      <c r="H32" s="17">
        <v>0.57999999999999996</v>
      </c>
      <c r="I32" s="18">
        <f>+H32*F32</f>
        <v>1160</v>
      </c>
      <c r="K32" s="48"/>
      <c r="M32" s="39"/>
    </row>
    <row r="33" spans="2:11" ht="21" customHeight="1" x14ac:dyDescent="0.2">
      <c r="B33" s="15" t="s">
        <v>15</v>
      </c>
      <c r="C33" s="15"/>
      <c r="D33" s="69"/>
      <c r="E33" s="71"/>
      <c r="F33" s="69"/>
      <c r="G33" s="71"/>
      <c r="H33" s="17"/>
      <c r="I33" s="51"/>
    </row>
    <row r="34" spans="2:11" ht="21.75" customHeight="1" x14ac:dyDescent="0.2">
      <c r="B34" s="15" t="s">
        <v>14</v>
      </c>
      <c r="C34" s="15"/>
      <c r="D34" s="80"/>
      <c r="E34" s="81"/>
      <c r="F34" s="64">
        <f>SUM(F32:G33)</f>
        <v>2000</v>
      </c>
      <c r="G34" s="65"/>
      <c r="H34" s="15"/>
      <c r="I34" s="14">
        <f>SUM(I32:I33)</f>
        <v>1160</v>
      </c>
      <c r="J34" s="40"/>
      <c r="K34" s="40"/>
    </row>
    <row r="35" spans="2:11" ht="21.75" customHeight="1" x14ac:dyDescent="0.2">
      <c r="B35" s="16" t="s">
        <v>13</v>
      </c>
      <c r="C35" s="15"/>
      <c r="D35" s="69"/>
      <c r="E35" s="71"/>
      <c r="F35" s="69"/>
      <c r="G35" s="71"/>
      <c r="H35" s="15"/>
      <c r="I35" s="51"/>
      <c r="J35" s="40"/>
    </row>
    <row r="36" spans="2:11" ht="21.75" customHeight="1" x14ac:dyDescent="0.2">
      <c r="B36" s="16" t="s">
        <v>12</v>
      </c>
      <c r="C36" s="15"/>
      <c r="D36" s="69"/>
      <c r="E36" s="71"/>
      <c r="F36" s="69"/>
      <c r="G36" s="71"/>
      <c r="H36" s="15"/>
      <c r="I36" s="14">
        <f>+I34</f>
        <v>1160</v>
      </c>
    </row>
    <row r="37" spans="2:11" ht="20.25" customHeight="1" x14ac:dyDescent="0.2">
      <c r="B37" s="15" t="s">
        <v>80</v>
      </c>
      <c r="C37" s="69" t="s">
        <v>11</v>
      </c>
      <c r="D37" s="70"/>
      <c r="E37" s="70"/>
      <c r="F37" s="70"/>
      <c r="G37" s="70"/>
      <c r="H37" s="71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1160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7" t="s">
        <v>7</v>
      </c>
      <c r="C46" s="77"/>
      <c r="D46" s="77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255K0079</v>
      </c>
      <c r="I52" s="8"/>
      <c r="K52">
        <v>1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8" t="s">
        <v>1</v>
      </c>
      <c r="D55" s="78"/>
      <c r="E55" s="5"/>
      <c r="F55" s="5"/>
      <c r="G55" s="5"/>
      <c r="H55" s="5"/>
      <c r="I55" s="4"/>
    </row>
    <row r="56" spans="2:11" x14ac:dyDescent="0.2">
      <c r="B56" s="6"/>
      <c r="C56" s="79" t="s">
        <v>0</v>
      </c>
      <c r="D56" s="79"/>
      <c r="E56" s="5"/>
      <c r="F56" s="5"/>
      <c r="G56" s="5"/>
      <c r="H56" s="5"/>
      <c r="I56" s="4"/>
      <c r="K56">
        <v>1</v>
      </c>
    </row>
    <row r="57" spans="2:11" x14ac:dyDescent="0.2">
      <c r="B57" s="2"/>
      <c r="C57" s="76"/>
      <c r="D57" s="76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D32:E32"/>
    <mergeCell ref="B2:I2"/>
    <mergeCell ref="B26:I26"/>
    <mergeCell ref="B27:I27"/>
    <mergeCell ref="D31:E31"/>
    <mergeCell ref="F31:G31"/>
    <mergeCell ref="F32:G32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2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2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2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V58"/>
  <sheetViews>
    <sheetView tabSelected="1" view="pageBreakPreview" zoomScaleNormal="100" zoomScaleSheetLayoutView="100" workbookViewId="0">
      <selection activeCell="J2" sqref="J2:R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6" t="s">
        <v>185</v>
      </c>
      <c r="C2" s="67"/>
      <c r="D2" s="67"/>
      <c r="E2" s="67"/>
      <c r="F2" s="67"/>
      <c r="G2" s="67"/>
      <c r="H2" s="67"/>
      <c r="I2" s="68"/>
      <c r="J2" s="43">
        <v>61739611</v>
      </c>
      <c r="K2" s="50">
        <v>2000</v>
      </c>
      <c r="L2" s="44">
        <v>12</v>
      </c>
      <c r="M2" s="44">
        <v>147.19</v>
      </c>
      <c r="N2" s="44">
        <v>151.19</v>
      </c>
      <c r="O2" s="44">
        <v>163.19</v>
      </c>
      <c r="P2" s="44" t="s">
        <v>54</v>
      </c>
      <c r="Q2" s="44">
        <v>0.80500000000000005</v>
      </c>
      <c r="R2" s="44" t="s">
        <v>62</v>
      </c>
    </row>
    <row r="3" spans="2:22" x14ac:dyDescent="0.2">
      <c r="B3" s="6" t="s">
        <v>53</v>
      </c>
      <c r="C3" s="63">
        <f>+'39'!C3+1</f>
        <v>40</v>
      </c>
      <c r="D3" s="5"/>
      <c r="E3" s="5"/>
      <c r="F3" s="5"/>
      <c r="G3" s="5" t="s">
        <v>52</v>
      </c>
      <c r="H3" s="31">
        <f>+'39'!H3+0</f>
        <v>46114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178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103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3685 NORTH GAP DRIVE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1">
        <f>J2</f>
        <v>61739611</v>
      </c>
      <c r="C21" s="52">
        <f>VLOOKUP($K56,reff!E2:F29,2,0)</f>
        <v>881293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1" t="s">
        <v>35</v>
      </c>
      <c r="G21" s="51"/>
      <c r="H21" s="49" t="str">
        <f>IF(LEFT(G17,2)="CA","CA",IF(LEFT(G17,2)="UN","US",IF(LEFT(G17,2)="PA","PA",IF(LEFT(G17,2)="JA","JP"))))</f>
        <v>US</v>
      </c>
      <c r="I21" s="51" t="s">
        <v>34</v>
      </c>
      <c r="K21" s="20">
        <v>2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1" t="s">
        <v>25</v>
      </c>
      <c r="C23" s="51"/>
      <c r="D23" s="51" t="s">
        <v>24</v>
      </c>
      <c r="E23" s="51" t="str">
        <f>+D23</f>
        <v>JAKARTA,ID</v>
      </c>
      <c r="F23" s="23">
        <f>+O2</f>
        <v>163.19</v>
      </c>
      <c r="G23" s="23">
        <f>+N2</f>
        <v>151.19</v>
      </c>
      <c r="H23" s="23">
        <f>+M2</f>
        <v>147.19</v>
      </c>
      <c r="I23" s="51">
        <f>+L2</f>
        <v>12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9" t="s">
        <v>23</v>
      </c>
      <c r="C26" s="70"/>
      <c r="D26" s="70"/>
      <c r="E26" s="70"/>
      <c r="F26" s="70"/>
      <c r="G26" s="70"/>
      <c r="H26" s="70"/>
      <c r="I26" s="71"/>
    </row>
    <row r="27" spans="2:13" ht="24.75" customHeight="1" x14ac:dyDescent="0.2">
      <c r="B27" s="72" t="str">
        <f>+K4</f>
        <v>GIRLS COTTON FIBERS, KNIT PULLOVER, WITH NO NECK CLOSURE, STITCH COUNT IS GREATER THAN 9/2CM, REACHES WAIST [60% COTTON 40% POLYESTER]</v>
      </c>
      <c r="C27" s="73"/>
      <c r="D27" s="73"/>
      <c r="E27" s="73"/>
      <c r="F27" s="73"/>
      <c r="G27" s="73"/>
      <c r="H27" s="73"/>
      <c r="I27" s="74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1" t="s">
        <v>21</v>
      </c>
      <c r="C31" s="51" t="s">
        <v>20</v>
      </c>
      <c r="D31" s="75" t="s">
        <v>19</v>
      </c>
      <c r="E31" s="75"/>
      <c r="F31" s="75" t="s">
        <v>18</v>
      </c>
      <c r="G31" s="75"/>
      <c r="H31" s="51" t="s">
        <v>17</v>
      </c>
      <c r="I31" s="19" t="s">
        <v>16</v>
      </c>
      <c r="M31"/>
    </row>
    <row r="32" spans="2:13" ht="24.75" customHeight="1" x14ac:dyDescent="0.2">
      <c r="B32" s="41" t="s">
        <v>177</v>
      </c>
      <c r="C32" s="19" t="s">
        <v>179</v>
      </c>
      <c r="D32" s="64"/>
      <c r="E32" s="65"/>
      <c r="F32" s="64">
        <f>+K2</f>
        <v>2000</v>
      </c>
      <c r="G32" s="65"/>
      <c r="H32" s="17">
        <v>0.57999999999999996</v>
      </c>
      <c r="I32" s="18">
        <f>+H32*F32</f>
        <v>1160</v>
      </c>
      <c r="K32" s="48"/>
      <c r="M32" s="39"/>
    </row>
    <row r="33" spans="2:11" ht="21" customHeight="1" x14ac:dyDescent="0.2">
      <c r="B33" s="15" t="s">
        <v>15</v>
      </c>
      <c r="C33" s="15"/>
      <c r="D33" s="69"/>
      <c r="E33" s="71"/>
      <c r="F33" s="69"/>
      <c r="G33" s="71"/>
      <c r="H33" s="17"/>
      <c r="I33" s="51"/>
    </row>
    <row r="34" spans="2:11" ht="21.75" customHeight="1" x14ac:dyDescent="0.2">
      <c r="B34" s="15" t="s">
        <v>14</v>
      </c>
      <c r="C34" s="15"/>
      <c r="D34" s="80"/>
      <c r="E34" s="81"/>
      <c r="F34" s="64">
        <f>SUM(F32:G32)</f>
        <v>2000</v>
      </c>
      <c r="G34" s="65"/>
      <c r="H34" s="15"/>
      <c r="I34" s="14">
        <f>SUM(I32:I33)</f>
        <v>1160</v>
      </c>
      <c r="J34" s="40"/>
      <c r="K34" s="40"/>
    </row>
    <row r="35" spans="2:11" ht="21.75" customHeight="1" x14ac:dyDescent="0.2">
      <c r="B35" s="16" t="s">
        <v>13</v>
      </c>
      <c r="C35" s="15"/>
      <c r="D35" s="69"/>
      <c r="E35" s="71"/>
      <c r="F35" s="69"/>
      <c r="G35" s="71"/>
      <c r="H35" s="15"/>
      <c r="I35" s="51"/>
      <c r="J35" s="40"/>
    </row>
    <row r="36" spans="2:11" ht="21.75" customHeight="1" x14ac:dyDescent="0.2">
      <c r="B36" s="16" t="s">
        <v>12</v>
      </c>
      <c r="C36" s="15"/>
      <c r="D36" s="69"/>
      <c r="E36" s="71"/>
      <c r="F36" s="69"/>
      <c r="G36" s="71"/>
      <c r="H36" s="15"/>
      <c r="I36" s="14">
        <f>+I34</f>
        <v>1160</v>
      </c>
    </row>
    <row r="37" spans="2:11" ht="20.25" customHeight="1" x14ac:dyDescent="0.2">
      <c r="B37" s="15" t="s">
        <v>80</v>
      </c>
      <c r="C37" s="69" t="s">
        <v>11</v>
      </c>
      <c r="D37" s="70"/>
      <c r="E37" s="70"/>
      <c r="F37" s="70"/>
      <c r="G37" s="70"/>
      <c r="H37" s="71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1160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7" t="s">
        <v>7</v>
      </c>
      <c r="C46" s="77"/>
      <c r="D46" s="77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255K0079</v>
      </c>
      <c r="I52" s="8"/>
      <c r="K52">
        <v>2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8" t="s">
        <v>1</v>
      </c>
      <c r="D55" s="78"/>
      <c r="E55" s="5"/>
      <c r="F55" s="5"/>
      <c r="G55" s="5"/>
      <c r="H55" s="5"/>
      <c r="I55" s="4"/>
    </row>
    <row r="56" spans="2:11" x14ac:dyDescent="0.2">
      <c r="B56" s="6"/>
      <c r="C56" s="79" t="s">
        <v>0</v>
      </c>
      <c r="D56" s="79"/>
      <c r="E56" s="5"/>
      <c r="F56" s="5"/>
      <c r="G56" s="5"/>
      <c r="H56" s="5"/>
      <c r="I56" s="4"/>
      <c r="K56">
        <v>2</v>
      </c>
    </row>
    <row r="57" spans="2:11" x14ac:dyDescent="0.2">
      <c r="B57" s="2"/>
      <c r="C57" s="76"/>
      <c r="D57" s="76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F33:G33"/>
    <mergeCell ref="B2:I2"/>
    <mergeCell ref="B26:I26"/>
    <mergeCell ref="B27:I27"/>
    <mergeCell ref="D31:E31"/>
    <mergeCell ref="F31:G31"/>
    <mergeCell ref="D32:E32"/>
    <mergeCell ref="F32:G32"/>
    <mergeCell ref="D33:E33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3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3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V58"/>
  <sheetViews>
    <sheetView view="pageBreakPreview" topLeftCell="A21" zoomScaleNormal="100" zoomScaleSheetLayoutView="100" workbookViewId="0">
      <selection activeCell="I32" sqref="I3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6" t="s">
        <v>185</v>
      </c>
      <c r="C2" s="67"/>
      <c r="D2" s="67"/>
      <c r="E2" s="67"/>
      <c r="F2" s="67"/>
      <c r="G2" s="67"/>
      <c r="H2" s="67"/>
      <c r="I2" s="68"/>
      <c r="J2" s="43">
        <v>61739631</v>
      </c>
      <c r="K2" s="50">
        <v>2000</v>
      </c>
      <c r="L2" s="44">
        <v>12</v>
      </c>
      <c r="M2" s="44">
        <v>147.19</v>
      </c>
      <c r="N2" s="44">
        <v>151.19</v>
      </c>
      <c r="O2" s="44">
        <v>163.19</v>
      </c>
      <c r="P2" s="44" t="s">
        <v>54</v>
      </c>
      <c r="Q2" s="44">
        <v>0.80500000000000005</v>
      </c>
      <c r="R2" s="44" t="s">
        <v>62</v>
      </c>
    </row>
    <row r="3" spans="2:22" x14ac:dyDescent="0.2">
      <c r="B3" s="6" t="s">
        <v>53</v>
      </c>
      <c r="C3" s="63">
        <f>+'40'!C3+1</f>
        <v>41</v>
      </c>
      <c r="D3" s="5"/>
      <c r="E3" s="5"/>
      <c r="F3" s="5"/>
      <c r="G3" s="5" t="s">
        <v>52</v>
      </c>
      <c r="H3" s="31">
        <f>+'39'!H3+0</f>
        <v>46114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178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100 GAP BOULEVARD</v>
      </c>
      <c r="H14" s="5"/>
      <c r="I14" s="4"/>
    </row>
    <row r="15" spans="2:22" ht="15" customHeight="1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GALLATIN, TN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37066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7">
        <f>J2</f>
        <v>61739631</v>
      </c>
      <c r="C21" s="56">
        <f>VLOOKUP($K56,reff!E2:F29,2,0)</f>
        <v>878746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7" t="s">
        <v>35</v>
      </c>
      <c r="G21" s="57"/>
      <c r="H21" s="49" t="str">
        <f>IF(LEFT(G17,2)="CA","CA",IF(LEFT(G17,2)="UN","US",IF(LEFT(G17,2)="PA","PA",IF(LEFT(G17,2)="JA","JP"))))</f>
        <v>US</v>
      </c>
      <c r="I21" s="57" t="s">
        <v>34</v>
      </c>
      <c r="K21" s="20">
        <v>3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7" t="s">
        <v>25</v>
      </c>
      <c r="C23" s="57"/>
      <c r="D23" s="57" t="s">
        <v>24</v>
      </c>
      <c r="E23" s="57" t="str">
        <f>+D23</f>
        <v>JAKARTA,ID</v>
      </c>
      <c r="F23" s="23">
        <f>+O2</f>
        <v>163.19</v>
      </c>
      <c r="G23" s="23">
        <f>+N2</f>
        <v>151.19</v>
      </c>
      <c r="H23" s="23">
        <f>+M2</f>
        <v>147.19</v>
      </c>
      <c r="I23" s="57">
        <f>+L2</f>
        <v>12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9" t="s">
        <v>23</v>
      </c>
      <c r="C26" s="70"/>
      <c r="D26" s="70"/>
      <c r="E26" s="70"/>
      <c r="F26" s="70"/>
      <c r="G26" s="70"/>
      <c r="H26" s="70"/>
      <c r="I26" s="71"/>
    </row>
    <row r="27" spans="2:13" ht="24.75" customHeight="1" x14ac:dyDescent="0.2">
      <c r="B27" s="72" t="str">
        <f>+K4</f>
        <v>GIRLS COTTON FIBERS, KNIT PULLOVER, WITH NO NECK CLOSURE, STITCH COUNT IS GREATER THAN 9/2CM, REACHES WAIST [60% COTTON 40% POLYESTER]</v>
      </c>
      <c r="C27" s="73"/>
      <c r="D27" s="73"/>
      <c r="E27" s="73"/>
      <c r="F27" s="73"/>
      <c r="G27" s="73"/>
      <c r="H27" s="73"/>
      <c r="I27" s="74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7" t="s">
        <v>21</v>
      </c>
      <c r="C31" s="57" t="s">
        <v>20</v>
      </c>
      <c r="D31" s="75" t="s">
        <v>19</v>
      </c>
      <c r="E31" s="75"/>
      <c r="F31" s="75" t="s">
        <v>18</v>
      </c>
      <c r="G31" s="75"/>
      <c r="H31" s="57" t="s">
        <v>17</v>
      </c>
      <c r="I31" s="19" t="s">
        <v>16</v>
      </c>
      <c r="M31"/>
    </row>
    <row r="32" spans="2:13" ht="27.75" customHeight="1" x14ac:dyDescent="0.2">
      <c r="B32" s="41" t="s">
        <v>184</v>
      </c>
      <c r="C32" s="19" t="s">
        <v>181</v>
      </c>
      <c r="D32" s="64"/>
      <c r="E32" s="65"/>
      <c r="F32" s="64">
        <f>+K2</f>
        <v>2000</v>
      </c>
      <c r="G32" s="65"/>
      <c r="H32" s="17">
        <v>0.57999999999999996</v>
      </c>
      <c r="I32" s="18">
        <f>+H32*F32</f>
        <v>1160</v>
      </c>
      <c r="K32" s="48"/>
      <c r="M32" s="39"/>
    </row>
    <row r="33" spans="2:11" ht="21" customHeight="1" x14ac:dyDescent="0.2">
      <c r="B33" s="15" t="s">
        <v>15</v>
      </c>
      <c r="C33" s="15"/>
      <c r="D33" s="69"/>
      <c r="E33" s="71"/>
      <c r="F33" s="69"/>
      <c r="G33" s="71"/>
      <c r="H33" s="17"/>
      <c r="I33" s="57"/>
    </row>
    <row r="34" spans="2:11" ht="21.75" customHeight="1" x14ac:dyDescent="0.2">
      <c r="B34" s="15" t="s">
        <v>14</v>
      </c>
      <c r="C34" s="15"/>
      <c r="D34" s="80"/>
      <c r="E34" s="81"/>
      <c r="F34" s="64">
        <f>SUM(F32:G33)</f>
        <v>2000</v>
      </c>
      <c r="G34" s="65"/>
      <c r="H34" s="15"/>
      <c r="I34" s="14">
        <f>SUM(I32:I33)</f>
        <v>1160</v>
      </c>
      <c r="J34" s="40"/>
      <c r="K34" s="40"/>
    </row>
    <row r="35" spans="2:11" ht="21.75" customHeight="1" x14ac:dyDescent="0.2">
      <c r="B35" s="16" t="s">
        <v>13</v>
      </c>
      <c r="C35" s="15"/>
      <c r="D35" s="69"/>
      <c r="E35" s="71"/>
      <c r="F35" s="69"/>
      <c r="G35" s="71"/>
      <c r="H35" s="15"/>
      <c r="I35" s="57"/>
      <c r="J35" s="40"/>
    </row>
    <row r="36" spans="2:11" ht="21.75" customHeight="1" x14ac:dyDescent="0.2">
      <c r="B36" s="16" t="s">
        <v>12</v>
      </c>
      <c r="C36" s="15"/>
      <c r="D36" s="69"/>
      <c r="E36" s="71"/>
      <c r="F36" s="69"/>
      <c r="G36" s="71"/>
      <c r="H36" s="15"/>
      <c r="I36" s="14">
        <f>+I34</f>
        <v>1160</v>
      </c>
    </row>
    <row r="37" spans="2:11" ht="20.25" customHeight="1" x14ac:dyDescent="0.2">
      <c r="B37" s="15" t="s">
        <v>80</v>
      </c>
      <c r="C37" s="69" t="s">
        <v>11</v>
      </c>
      <c r="D37" s="70"/>
      <c r="E37" s="70"/>
      <c r="F37" s="70"/>
      <c r="G37" s="70"/>
      <c r="H37" s="71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1160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7" t="s">
        <v>7</v>
      </c>
      <c r="C46" s="77"/>
      <c r="D46" s="77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265K0006</v>
      </c>
      <c r="I52" s="8"/>
      <c r="K52">
        <v>3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8" t="s">
        <v>1</v>
      </c>
      <c r="D55" s="78"/>
      <c r="E55" s="5"/>
      <c r="F55" s="5"/>
      <c r="G55" s="5"/>
      <c r="H55" s="5"/>
      <c r="I55" s="4"/>
    </row>
    <row r="56" spans="2:11" x14ac:dyDescent="0.2">
      <c r="B56" s="6"/>
      <c r="C56" s="79" t="s">
        <v>0</v>
      </c>
      <c r="D56" s="79"/>
      <c r="E56" s="5"/>
      <c r="F56" s="5"/>
      <c r="G56" s="5"/>
      <c r="H56" s="5"/>
      <c r="I56" s="4"/>
      <c r="K56">
        <v>3</v>
      </c>
    </row>
    <row r="57" spans="2:11" x14ac:dyDescent="0.2">
      <c r="B57" s="2"/>
      <c r="C57" s="76"/>
      <c r="D57" s="76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400-000000000000}">
          <x14:formula1>
            <xm:f>Sheet1!$L$5:$L$25</xm:f>
          </x14:formula1>
          <xm:sqref>G13</xm:sqref>
        </x14:dataValidation>
        <x14:dataValidation type="list" allowBlank="1" showInputMessage="1" showErrorMessage="1" xr:uid="{00000000-0002-0000-04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400-000002000000}">
          <x14:formula1>
            <xm:f>Sheet1!$K$5:$K$12</xm:f>
          </x14:formula1>
          <xm:sqref>B14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V58"/>
  <sheetViews>
    <sheetView view="pageBreakPreview" topLeftCell="A20" zoomScaleNormal="100" zoomScaleSheetLayoutView="100" workbookViewId="0">
      <selection activeCell="I32" sqref="I32"/>
    </sheetView>
  </sheetViews>
  <sheetFormatPr defaultRowHeight="12.75" x14ac:dyDescent="0.2"/>
  <cols>
    <col min="2" max="2" width="15.7109375" customWidth="1"/>
    <col min="3" max="3" width="22.855468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6" t="s">
        <v>185</v>
      </c>
      <c r="C2" s="67"/>
      <c r="D2" s="67"/>
      <c r="E2" s="67"/>
      <c r="F2" s="67"/>
      <c r="G2" s="67"/>
      <c r="H2" s="67"/>
      <c r="I2" s="68"/>
      <c r="J2" s="43">
        <v>61739634</v>
      </c>
      <c r="K2" s="50">
        <v>2000</v>
      </c>
      <c r="L2" s="44">
        <v>12</v>
      </c>
      <c r="M2" s="44">
        <v>147.19</v>
      </c>
      <c r="N2" s="44">
        <v>151.19</v>
      </c>
      <c r="O2" s="44">
        <v>163.19</v>
      </c>
      <c r="P2" s="44" t="s">
        <v>54</v>
      </c>
      <c r="Q2" s="44">
        <v>0.80500000000000005</v>
      </c>
      <c r="R2" s="44" t="s">
        <v>62</v>
      </c>
    </row>
    <row r="3" spans="2:22" x14ac:dyDescent="0.2">
      <c r="B3" s="6" t="s">
        <v>53</v>
      </c>
      <c r="C3" s="63">
        <f>+'41'!C3+1</f>
        <v>42</v>
      </c>
      <c r="D3" s="5"/>
      <c r="E3" s="5"/>
      <c r="F3" s="5"/>
      <c r="G3" s="5" t="s">
        <v>52</v>
      </c>
      <c r="H3" s="31">
        <f>+'39'!H3+0</f>
        <v>46114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178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103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3685 NORTH GAP DRIVE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8">
        <f>J2</f>
        <v>61739634</v>
      </c>
      <c r="C21" s="59">
        <f>VLOOKUP($K56,reff!E2:F29,2,0)</f>
        <v>878746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8" t="s">
        <v>35</v>
      </c>
      <c r="G21" s="58"/>
      <c r="H21" s="49" t="str">
        <f>IF(LEFT(G17,2)="CA","CA",IF(LEFT(G17,2)="UN","US",IF(LEFT(G17,2)="PA","PA",IF(LEFT(G17,2)="JA","JP"))))</f>
        <v>US</v>
      </c>
      <c r="I21" s="58" t="s">
        <v>34</v>
      </c>
      <c r="K21" s="20">
        <v>4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8" t="s">
        <v>25</v>
      </c>
      <c r="C23" s="58"/>
      <c r="D23" s="58" t="s">
        <v>24</v>
      </c>
      <c r="E23" s="58" t="str">
        <f>+D23</f>
        <v>JAKARTA,ID</v>
      </c>
      <c r="F23" s="23">
        <f>+O2</f>
        <v>163.19</v>
      </c>
      <c r="G23" s="23">
        <f>+N2</f>
        <v>151.19</v>
      </c>
      <c r="H23" s="23">
        <f>+M2</f>
        <v>147.19</v>
      </c>
      <c r="I23" s="58">
        <f>+L2</f>
        <v>12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9" t="s">
        <v>23</v>
      </c>
      <c r="C26" s="70"/>
      <c r="D26" s="70"/>
      <c r="E26" s="70"/>
      <c r="F26" s="70"/>
      <c r="G26" s="70"/>
      <c r="H26" s="70"/>
      <c r="I26" s="71"/>
    </row>
    <row r="27" spans="2:13" ht="24.75" customHeight="1" x14ac:dyDescent="0.2">
      <c r="B27" s="72" t="str">
        <f>+K4</f>
        <v>GIRLS COTTON FIBERS, KNIT PULLOVER, WITH NO NECK CLOSURE, STITCH COUNT IS GREATER THAN 9/2CM, REACHES WAIST [60% COTTON 40% POLYESTER]</v>
      </c>
      <c r="C27" s="73"/>
      <c r="D27" s="73"/>
      <c r="E27" s="73"/>
      <c r="F27" s="73"/>
      <c r="G27" s="73"/>
      <c r="H27" s="73"/>
      <c r="I27" s="74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8" t="s">
        <v>21</v>
      </c>
      <c r="C31" s="58" t="s">
        <v>20</v>
      </c>
      <c r="D31" s="75" t="s">
        <v>19</v>
      </c>
      <c r="E31" s="75"/>
      <c r="F31" s="75" t="s">
        <v>18</v>
      </c>
      <c r="G31" s="75"/>
      <c r="H31" s="58" t="s">
        <v>17</v>
      </c>
      <c r="I31" s="19" t="s">
        <v>16</v>
      </c>
      <c r="M31"/>
    </row>
    <row r="32" spans="2:13" ht="24" customHeight="1" x14ac:dyDescent="0.2">
      <c r="B32" s="41" t="s">
        <v>184</v>
      </c>
      <c r="C32" s="19" t="s">
        <v>181</v>
      </c>
      <c r="D32" s="64"/>
      <c r="E32" s="65"/>
      <c r="F32" s="64">
        <f>+K2</f>
        <v>2000</v>
      </c>
      <c r="G32" s="65"/>
      <c r="H32" s="17">
        <v>0.57999999999999996</v>
      </c>
      <c r="I32" s="18">
        <f>+H32*F32</f>
        <v>1160</v>
      </c>
      <c r="K32" s="48"/>
      <c r="M32" s="39"/>
    </row>
    <row r="33" spans="2:11" ht="21" customHeight="1" x14ac:dyDescent="0.2">
      <c r="B33" s="15" t="s">
        <v>15</v>
      </c>
      <c r="C33" s="15"/>
      <c r="D33" s="69"/>
      <c r="E33" s="71"/>
      <c r="F33" s="69"/>
      <c r="G33" s="71"/>
      <c r="H33" s="17"/>
      <c r="I33" s="62"/>
    </row>
    <row r="34" spans="2:11" ht="21.75" customHeight="1" x14ac:dyDescent="0.2">
      <c r="B34" s="15" t="s">
        <v>14</v>
      </c>
      <c r="C34" s="15"/>
      <c r="D34" s="80"/>
      <c r="E34" s="81"/>
      <c r="F34" s="64">
        <f>SUM(F32:G33)</f>
        <v>2000</v>
      </c>
      <c r="G34" s="65"/>
      <c r="H34" s="15"/>
      <c r="I34" s="14">
        <f>SUM(I32:I32)</f>
        <v>1160</v>
      </c>
      <c r="J34" s="40"/>
      <c r="K34" s="40"/>
    </row>
    <row r="35" spans="2:11" ht="21.75" customHeight="1" x14ac:dyDescent="0.2">
      <c r="B35" s="16" t="s">
        <v>13</v>
      </c>
      <c r="C35" s="15"/>
      <c r="D35" s="69"/>
      <c r="E35" s="71"/>
      <c r="F35" s="69"/>
      <c r="G35" s="71"/>
      <c r="H35" s="15"/>
      <c r="I35" s="58"/>
      <c r="J35" s="40"/>
    </row>
    <row r="36" spans="2:11" ht="21.75" customHeight="1" x14ac:dyDescent="0.2">
      <c r="B36" s="16" t="s">
        <v>12</v>
      </c>
      <c r="C36" s="15"/>
      <c r="D36" s="69"/>
      <c r="E36" s="71"/>
      <c r="F36" s="69"/>
      <c r="G36" s="71"/>
      <c r="H36" s="15"/>
      <c r="I36" s="14">
        <f>+I34</f>
        <v>1160</v>
      </c>
    </row>
    <row r="37" spans="2:11" ht="20.25" customHeight="1" x14ac:dyDescent="0.2">
      <c r="B37" s="15" t="s">
        <v>80</v>
      </c>
      <c r="C37" s="69" t="s">
        <v>11</v>
      </c>
      <c r="D37" s="70"/>
      <c r="E37" s="70"/>
      <c r="F37" s="70"/>
      <c r="G37" s="70"/>
      <c r="H37" s="71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1160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7" t="s">
        <v>7</v>
      </c>
      <c r="C46" s="77"/>
      <c r="D46" s="77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265K0006</v>
      </c>
      <c r="I52" s="8"/>
      <c r="K52">
        <v>4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8" t="s">
        <v>1</v>
      </c>
      <c r="D55" s="78"/>
      <c r="E55" s="5"/>
      <c r="F55" s="5"/>
      <c r="G55" s="5"/>
      <c r="H55" s="5"/>
      <c r="I55" s="4"/>
    </row>
    <row r="56" spans="2:11" x14ac:dyDescent="0.2">
      <c r="B56" s="6"/>
      <c r="C56" s="79" t="s">
        <v>0</v>
      </c>
      <c r="D56" s="79"/>
      <c r="E56" s="5"/>
      <c r="F56" s="5"/>
      <c r="G56" s="5"/>
      <c r="H56" s="5"/>
      <c r="I56" s="4"/>
      <c r="K56">
        <v>4</v>
      </c>
    </row>
    <row r="57" spans="2:11" x14ac:dyDescent="0.2">
      <c r="B57" s="2"/>
      <c r="C57" s="76"/>
      <c r="D57" s="76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F35:G35"/>
    <mergeCell ref="D32:E32"/>
    <mergeCell ref="F32:G32"/>
    <mergeCell ref="B2:I2"/>
    <mergeCell ref="B26:I26"/>
    <mergeCell ref="B27:I27"/>
    <mergeCell ref="D31:E31"/>
    <mergeCell ref="F31:G31"/>
    <mergeCell ref="D34:E34"/>
    <mergeCell ref="F34:G34"/>
    <mergeCell ref="D35:E35"/>
    <mergeCell ref="D33:E33"/>
    <mergeCell ref="F33:G33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8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500-000000000000}">
          <x14:formula1>
            <xm:f>Sheet1!$L$5:$L$25</xm:f>
          </x14:formula1>
          <xm:sqref>G13</xm:sqref>
        </x14:dataValidation>
        <x14:dataValidation type="list" allowBlank="1" showInputMessage="1" showErrorMessage="1" xr:uid="{00000000-0002-0000-05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500-000002000000}">
          <x14:formula1>
            <xm:f>Sheet1!$K$5:$K$12</xm:f>
          </x14:formula1>
          <xm:sqref>B14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Sheet1</vt:lpstr>
      <vt:lpstr>reff</vt:lpstr>
      <vt:lpstr>39</vt:lpstr>
      <vt:lpstr>40</vt:lpstr>
      <vt:lpstr>41</vt:lpstr>
      <vt:lpstr>42</vt:lpstr>
      <vt:lpstr>'39'!Print_Area</vt:lpstr>
      <vt:lpstr>'40'!Print_Area</vt:lpstr>
      <vt:lpstr>'41'!Print_Area</vt:lpstr>
      <vt:lpstr>'42'!Print_Area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ADMEXIM3</dc:creator>
  <cp:lastModifiedBy>ADM EXIM</cp:lastModifiedBy>
  <cp:lastPrinted>2026-03-26T03:09:34Z</cp:lastPrinted>
  <dcterms:created xsi:type="dcterms:W3CDTF">2024-04-17T09:56:05Z</dcterms:created>
  <dcterms:modified xsi:type="dcterms:W3CDTF">2026-04-02T02:51:27Z</dcterms:modified>
</cp:coreProperties>
</file>