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0 DATA SRI\EKSPORT\3. KITH\2026\7. Juli\16 JULI 2026\USA (DC.4)\"/>
    </mc:Choice>
  </mc:AlternateContent>
  <bookViews>
    <workbookView xWindow="-28920" yWindow="-120" windowWidth="29040" windowHeight="15720" activeTab="1"/>
  </bookViews>
  <sheets>
    <sheet name="Template Guidelines" sheetId="6" r:id="rId1"/>
    <sheet name="Invoice" sheetId="1" r:id="rId2"/>
    <sheet name="Packing List" sheetId="3" r:id="rId3"/>
    <sheet name="Data Validation" sheetId="4" state="hidden" r:id="rId4"/>
  </sheets>
  <definedNames>
    <definedName name="_xlnm._FilterDatabase" localSheetId="1" hidden="1">Invoice!$A$20:$I$20</definedName>
    <definedName name="_xlnm._FilterDatabase" localSheetId="2" hidden="1">'Packing List'!$A$14:$R$14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N24" i="3" l="1"/>
  <c r="N23" i="3"/>
  <c r="N22" i="3"/>
  <c r="N21" i="3"/>
  <c r="K20" i="3"/>
  <c r="N20" i="3" s="1"/>
  <c r="J19" i="3"/>
  <c r="N19" i="3" s="1"/>
  <c r="N18" i="3"/>
  <c r="J18" i="3"/>
  <c r="N17" i="3"/>
  <c r="N16" i="3"/>
  <c r="N15" i="3"/>
  <c r="O30" i="3"/>
  <c r="P30" i="3"/>
  <c r="Q30" i="3"/>
  <c r="N30" i="3" l="1"/>
  <c r="C22" i="1"/>
  <c r="B22" i="1"/>
  <c r="G22" i="1" s="1"/>
  <c r="A22" i="1"/>
  <c r="C21" i="1" l="1"/>
  <c r="G21" i="1"/>
  <c r="A21" i="1"/>
  <c r="I22" i="1" l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Q7" i="3"/>
  <c r="I21" i="1"/>
  <c r="A2" i="1"/>
  <c r="A42" i="1"/>
  <c r="Q9" i="3"/>
  <c r="F8" i="3"/>
  <c r="A13" i="3"/>
  <c r="A12" i="3"/>
  <c r="A11" i="3"/>
  <c r="A10" i="3"/>
  <c r="A9" i="3"/>
  <c r="F15" i="1"/>
  <c r="A3" i="1"/>
  <c r="A1" i="1"/>
  <c r="D15" i="1"/>
  <c r="C15" i="1"/>
  <c r="A19" i="1"/>
  <c r="I38" i="1" l="1"/>
  <c r="Q11" i="3"/>
  <c r="Q13" i="3"/>
  <c r="A17" i="1"/>
  <c r="A3" i="3" l="1"/>
  <c r="A2" i="3"/>
  <c r="A1" i="3"/>
  <c r="F7" i="3"/>
  <c r="A7" i="3"/>
  <c r="G38" i="1"/>
  <c r="B40" i="1"/>
  <c r="B39" i="1"/>
  <c r="A8" i="3" l="1"/>
</calcChain>
</file>

<file path=xl/comments1.xml><?xml version="1.0" encoding="utf-8"?>
<comments xmlns="http://schemas.openxmlformats.org/spreadsheetml/2006/main">
  <authors>
    <author>Aida Habashi Y Cano-Coloma</author>
  </authors>
  <commentList>
    <comment ref="A7" authorId="0" shapeId="0">
      <text>
        <r>
          <rPr>
            <b/>
            <sz val="9"/>
            <color indexed="81"/>
            <rFont val="Tahoma"/>
            <family val="2"/>
          </rPr>
          <t>Aida Habashi Y Cano-Coloma:</t>
        </r>
        <r>
          <rPr>
            <sz val="9"/>
            <color indexed="81"/>
            <rFont val="Tahoma"/>
            <family val="2"/>
          </rPr>
          <t xml:space="preserve">
= Factory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Aida Habashi Y Cano-Coloma:</t>
        </r>
        <r>
          <rPr>
            <sz val="9"/>
            <color indexed="81"/>
            <rFont val="Tahoma"/>
            <family val="2"/>
          </rPr>
          <t xml:space="preserve">
= Vendor</t>
        </r>
      </text>
    </comment>
  </commentList>
</comments>
</file>

<file path=xl/sharedStrings.xml><?xml version="1.0" encoding="utf-8"?>
<sst xmlns="http://schemas.openxmlformats.org/spreadsheetml/2006/main" count="306" uniqueCount="140">
  <si>
    <t>EXPORT REFERENCES</t>
  </si>
  <si>
    <t>INCOTERMS</t>
  </si>
  <si>
    <t>PAYMENT TERMS</t>
  </si>
  <si>
    <t>PO #</t>
  </si>
  <si>
    <t>PRODUCT ID</t>
  </si>
  <si>
    <t>COLOR NAME</t>
  </si>
  <si>
    <t>DESCRIPTION</t>
  </si>
  <si>
    <t>COMPOSITION</t>
  </si>
  <si>
    <t>HTS CODE</t>
  </si>
  <si>
    <t>COO</t>
  </si>
  <si>
    <t>QTY</t>
  </si>
  <si>
    <t>FOB PER UNIT (USD)</t>
  </si>
  <si>
    <t>EXT COST (USD)</t>
  </si>
  <si>
    <t>TOTALS</t>
  </si>
  <si>
    <t>GR WGT (kg):</t>
  </si>
  <si>
    <t>NT WGT (kg):</t>
  </si>
  <si>
    <t>DECLARATION: WE DECLARE THAT THIS INVOICE SHOWS THE ACTUAL PRICE OF THE GOODS DESCRIBED AND THAT ALL PARTICULARS ARE TRUE AND CORRECT</t>
  </si>
  <si>
    <t xml:space="preserve"> </t>
  </si>
  <si>
    <t>SIGNATURE OF SHIPPER/EXPORTER</t>
  </si>
  <si>
    <t>PACKING LIST</t>
  </si>
  <si>
    <t>INVOICE#:</t>
  </si>
  <si>
    <t>INVOICE DATE:</t>
  </si>
  <si>
    <t>GROSS WGT (kg):</t>
  </si>
  <si>
    <t>NET WGT (kg):</t>
  </si>
  <si>
    <t>CARTON #</t>
  </si>
  <si>
    <t>DESTINATION</t>
  </si>
  <si>
    <t>OS</t>
  </si>
  <si>
    <t>XS</t>
  </si>
  <si>
    <t>S</t>
  </si>
  <si>
    <t>M</t>
  </si>
  <si>
    <t>L</t>
  </si>
  <si>
    <t>XL</t>
  </si>
  <si>
    <t>XXL</t>
  </si>
  <si>
    <t>TTL PER STYLE</t>
  </si>
  <si>
    <t># OF CTNS</t>
  </si>
  <si>
    <t>GROSS WGT PER CARTON (kg)</t>
  </si>
  <si>
    <t>NET WGT PER CARTON (kg)</t>
  </si>
  <si>
    <t>CARTON DIMENSIONS (cm)</t>
  </si>
  <si>
    <t>TTL</t>
  </si>
  <si>
    <t>INVOICE DATE</t>
  </si>
  <si>
    <t>INVOICE #</t>
  </si>
  <si>
    <t>MANUFACTURER ID (MID)</t>
  </si>
  <si>
    <t>COMPANY NAME</t>
  </si>
  <si>
    <t>-</t>
  </si>
  <si>
    <t>BE BRU</t>
  </si>
  <si>
    <t>BRUSSELS-CAPITAL REGION</t>
  </si>
  <si>
    <t>RECEIVER</t>
  </si>
  <si>
    <t>FISCAL REPRESENTATIVE</t>
  </si>
  <si>
    <t>ANTWERP</t>
  </si>
  <si>
    <t>REGION of ULTIMATE DESTINATION</t>
  </si>
  <si>
    <t>UN/LOCODE</t>
  </si>
  <si>
    <t>BE ANR</t>
  </si>
  <si>
    <t>SELLER</t>
  </si>
  <si>
    <t>FOB</t>
  </si>
  <si>
    <t>EXW</t>
  </si>
  <si>
    <t>DAP</t>
  </si>
  <si>
    <t>DDP</t>
  </si>
  <si>
    <t>COUNTRY</t>
  </si>
  <si>
    <t>CONTACT PERSON</t>
  </si>
  <si>
    <t>EMAIL/PHONE</t>
  </si>
  <si>
    <t>STREET ADDRESS</t>
  </si>
  <si>
    <t>IMPORTER</t>
  </si>
  <si>
    <t>BUYER</t>
  </si>
  <si>
    <t>KDC20 c/o Bleckmann
Industrieweg 38 C
2280 Grobbendonk
Belgium
Koen Verhoeven
customercare.kith.grobbendonk@bleckmann.com</t>
  </si>
  <si>
    <t>KDC4 c/o Omlog USA
1000 Rand Blvd., Building 3
Phillipsburg, NJ, 08865
Carmen Amodio
201-552-7208
Carmen.Amodio@omlog.com</t>
  </si>
  <si>
    <t>Savino Del Benne Canada Corp.
175 Clairville Drive
Etobicoke, Ontario, M9W 6K9
Zahid Abbasi
customstoronto@savinodelbene.com</t>
  </si>
  <si>
    <t>DHL Express (Canada) Ltd
18 Parkshore Dr
Brampton ON, L6T 5M1
Cecile Yantha
ddpbrokerage.ca@dhl.com</t>
  </si>
  <si>
    <t>KDC30 c/o Bleckmann UK Ltd
Plot MPN1 Westland Way
Magna Park, Lutterworth LE17 4UE
United Kingdom
Mark Gamberini
mark.gamberini@bleckmann.com, goodsin.uk4@bleckmann.com</t>
  </si>
  <si>
    <t>Bleckmann UK
Plot 2110 Tornado, Magna ParkWellington Parkway, Lutterworth LE17 4XP
Rasa Kebleriene
uk.customs@bleckmann.com</t>
  </si>
  <si>
    <t>Kith Logistics LLC
25 Kent Ave, Suite 301
Brooklyn, NY 11249
USA
EIN# 81-0814080</t>
  </si>
  <si>
    <t>FORWARDER</t>
  </si>
  <si>
    <t>Kith EU Logistics LLC
25 Kent Ave, Suite 301
Brooklyn, NY 11249
USA
VAT: BE0754748090 | EORI: BEUS000414 </t>
  </si>
  <si>
    <t>Bleckmann Customs Department
Korte Mate 7-9
BE 9042 Desteldonk
Karolina Mielczarek
importteam@bleckmann.com</t>
  </si>
  <si>
    <t>Kreston-VDN, Nering 14
1650 Beersel, Belgium</t>
  </si>
  <si>
    <t>REPRESENTATIVE</t>
  </si>
  <si>
    <t>REGION</t>
  </si>
  <si>
    <t>EU</t>
  </si>
  <si>
    <t>HK</t>
  </si>
  <si>
    <t>US</t>
  </si>
  <si>
    <t>CA</t>
  </si>
  <si>
    <t>GB</t>
  </si>
  <si>
    <t>Kith Logistics LLC
25 Kent Ave, Suite 301
Brooklyn, NY 11249
USA
ap@kithnyc.com
PH: +1 212 473 4654</t>
  </si>
  <si>
    <t>REGION OF ULTIMATE DESTINATION</t>
  </si>
  <si>
    <t>INCOTERM</t>
  </si>
  <si>
    <t>Kith Canada Logistics ULC
25 Kent Ave, Suite 301
Brooklyn, NY 11249
USA
Importer# 75233 4144 RM0001 | GST/HST# 75233 4144 RT0001</t>
  </si>
  <si>
    <t>Kith EU Logistics LLC
25 Kent Ave, Suite 301
Brooklyn, NY 11249
USA
VAT: GB380473393 | EORI: GB380473393000</t>
  </si>
  <si>
    <t>Omlog (Asia) Limited
3/F, EW International Tower
120 Texaco Rd Tsuen Wan
NT
Business Reg.: 50905626-002</t>
  </si>
  <si>
    <t>Omlog (Asia) Limited
3/F, EW International Tower
120 Texaco Rd Tsuen Wan
NT
omlog-kithhk@omlogasia.com</t>
  </si>
  <si>
    <t>TRANSPORT MODE</t>
  </si>
  <si>
    <t>AIR</t>
  </si>
  <si>
    <t>OCEAN</t>
  </si>
  <si>
    <t>SMALL PARCEL</t>
  </si>
  <si>
    <t>CITY, STATE, ZIP</t>
  </si>
  <si>
    <t>Do not delete or modify any formulas in this template.</t>
  </si>
  <si>
    <t>Enter your data only in the designated fields (highlighted in yellow)</t>
  </si>
  <si>
    <t>K01WH Soho
644 Broadway
New York, NY 10012
David Levy
646-648-6285 EXT. 202
david@kithnyc.com</t>
  </si>
  <si>
    <t>K02 LA
8500 Sunset Blvd
Los Angeles, CA 90069
Esther Martinez
424-512-2800
esther.m@kithnyc.com</t>
  </si>
  <si>
    <t>K04 Kids
62 Bleecker St
New York, NY 10012
Jarleny Pichardo
646-889-2900
jarleny.pichardo@kithnyc.com</t>
  </si>
  <si>
    <t xml:space="preserve">K06 Miami
1931 Collins Ave
Miami Beach, FL 33139
Joel Jarquin
954-540-9277
joel.jarquin@kithnyc.com </t>
  </si>
  <si>
    <t>K10 MDD
3907 NE 1st Avenue, Suite 201
Miami, FL 33137
Toly Vinitsky / Elliot Martinez
305-469-7952
toly@kithnyc.com / Elliot.Martinez@kithnyc.com</t>
  </si>
  <si>
    <t>K11 Rodeo
262 North Rodeo Dr.
Beverly Hills, CA 90210
Christopher Rosario
347-486-2571
christopher.rosario@kithnyc.com</t>
  </si>
  <si>
    <t>K08 Hawaii 
Royal Hawaiian Center, 2301 Kalakaua Ave., Bldg. C, Unit CST215
Honolulu, HI 96815
Daniel Bautista
808-769-7964
daniel.b@kithnyc.com</t>
  </si>
  <si>
    <t>K07 Brooklyn
233 Flatbush Ave
Brooklyn, NY 11217
Alberto Del Moral
917-742-8524
alberto.delmoral@kithnyc.com</t>
  </si>
  <si>
    <t>K12 Williamsburg
25 Kent Ave., Suite 102
Brooklyn, NY 11249
Scott Scrivens
440-787-7221
scott.scrivens@kithnyc.com</t>
  </si>
  <si>
    <t>K13 Malibu
23465 Civic Center Way, Ste #110
Malibu, CA 90265
Raj Malhorta
484-707-6570
amit.malhotra@kithnyc.com</t>
  </si>
  <si>
    <t>K71 Toronto
78 Yorkville Ave
Toronto, ON M5R 1B9
Canada
Jon Valdez 
647-761-2859
jon.valdez@kithnyc.com</t>
  </si>
  <si>
    <t>MANUFACTURER</t>
  </si>
  <si>
    <t>DHL Express
77 Comair Blvd
Erlanger, KY 41018
USA
premierteam@dhl.com</t>
  </si>
  <si>
    <t>K99 HQ Office
25 Kent Ave, Suite 301
Brooklyn, NY 11249
logistics@kithnyc.com</t>
  </si>
  <si>
    <t>KDC70 c/o Bergen Logistics
3925 Steelers Ave E
Brampton, ON L6T 5W5
Canada
Shane Francis
3925canada@bergenlogistics.com</t>
  </si>
  <si>
    <t>K14 Dumbo
55 Water Street, Space 1F/1M
Brooklyn, NY 11201
Bernardo Torralba
bernardo.torralba@kithnyc.com</t>
  </si>
  <si>
    <t>BROKER - AIR &amp; OCEAN</t>
  </si>
  <si>
    <t>BROKER - SMALL PARCEL</t>
  </si>
  <si>
    <t>NOTIFY BROKER</t>
  </si>
  <si>
    <t>After entering data, save the file with a new name to keep the original template unchanged. DO NOT copy/paste the data.</t>
  </si>
  <si>
    <t>KDC c/o Omlog Asia Ltd
Unit B 2/F, Goodman Western Plaza
No. 3 San On Street, Tuen Mun
Hong Kong, New Territories
Miriam, PH 852 3511 5388
omlog-kithhk@omlogasia.com</t>
  </si>
  <si>
    <t>PT NIRWANA ALABARE GARMENT</t>
  </si>
  <si>
    <t>JL RAYA RANCAEKEK MAJALAYA, 289, SOLOKANJERUK,</t>
  </si>
  <si>
    <t>BANDUNG</t>
  </si>
  <si>
    <t>INDONESIA</t>
  </si>
  <si>
    <t>NENG KURNIA / YULIA VIRA</t>
  </si>
  <si>
    <t>022 8596-2076</t>
  </si>
  <si>
    <t>T/T</t>
  </si>
  <si>
    <t>IDNAG289BDG</t>
  </si>
  <si>
    <t>CONTINENT8 PTE LTD</t>
  </si>
  <si>
    <t>00 TAMPINES AVENUE# 09-02</t>
  </si>
  <si>
    <t>INCOME AT TAMPINES JUNCTION</t>
  </si>
  <si>
    <t>SINGAPORE 529693</t>
  </si>
  <si>
    <t>EMAIL : DKURNIATI@CONTINENT-EIGHT.COM</t>
  </si>
  <si>
    <t>PHONE : 6221 30205577</t>
  </si>
  <si>
    <t>KHM034600</t>
  </si>
  <si>
    <t>SHADOW</t>
  </si>
  <si>
    <t>K-TECH</t>
  </si>
  <si>
    <t xml:space="preserve">62 X 43 X 25 </t>
  </si>
  <si>
    <t xml:space="preserve">HENNA </t>
  </si>
  <si>
    <t>KHM034601</t>
  </si>
  <si>
    <t>100% COTTON</t>
  </si>
  <si>
    <t xml:space="preserve"> 6109.10.0012</t>
  </si>
  <si>
    <t>USA (DC 4)</t>
  </si>
  <si>
    <t>0417/E/NAG/0726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</si>
</sst>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/mmm/yy"/>
    <numFmt numFmtId="165" formatCode="0;\-0;"/>
    <numFmt numFmtId="166" formatCode="0;\-0;;@\,"/>
  </numFmts>
  <fonts count="24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0000FF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34"/>
      <color rgb="FF0000FF"/>
      <name val="Calibri"/>
      <family val="2"/>
    </font>
    <font>
      <sz val="11"/>
      <name val="Calibri"/>
      <family val="2"/>
    </font>
    <font>
      <sz val="13"/>
      <color rgb="FF0000FF"/>
      <name val="Calibri"/>
      <family val="2"/>
    </font>
    <font>
      <sz val="11"/>
      <color rgb="FF0000FF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9"/>
      <color rgb="FFFF0000"/>
      <name val="Calibri"/>
      <family val="2"/>
    </font>
    <font>
      <b/>
      <sz val="9"/>
      <color rgb="FF0000FF"/>
      <name val="Calibri"/>
      <family val="2"/>
    </font>
    <font>
      <b/>
      <u/>
      <sz val="16"/>
      <color rgb="FFFF0000"/>
      <name val="Calibri"/>
      <family val="2"/>
    </font>
    <font>
      <u/>
      <sz val="16"/>
      <color theme="1"/>
      <name val="Calibri"/>
      <family val="2"/>
    </font>
    <font>
      <u/>
      <sz val="16"/>
      <name val="Calibri"/>
      <family val="2"/>
    </font>
    <font>
      <b/>
      <sz val="11"/>
      <color rgb="FFFF0000"/>
      <name val="Arial"/>
      <family val="2"/>
      <scheme val="minor"/>
    </font>
    <font>
      <i/>
      <sz val="10"/>
      <color theme="1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ECECEC"/>
      </patternFill>
    </fill>
  </fills>
  <borders count="7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0" xfId="0" applyFont="1" applyProtection="1">
      <protection locked="0"/>
    </xf>
    <xf numFmtId="0" fontId="1" fillId="0" borderId="31" xfId="0" applyFont="1" applyBorder="1" applyProtection="1">
      <protection locked="0"/>
    </xf>
    <xf numFmtId="0" fontId="1" fillId="0" borderId="39" xfId="0" applyFont="1" applyBorder="1" applyAlignment="1" applyProtection="1">
      <alignment horizontal="left" vertical="center"/>
      <protection locked="0"/>
    </xf>
    <xf numFmtId="0" fontId="1" fillId="0" borderId="61" xfId="0" applyFont="1" applyBorder="1" applyAlignment="1" applyProtection="1">
      <alignment horizontal="left" vertical="center"/>
      <protection locked="0"/>
    </xf>
    <xf numFmtId="0" fontId="1" fillId="0" borderId="41" xfId="0" applyFont="1" applyBorder="1" applyAlignment="1" applyProtection="1">
      <alignment horizontal="left" vertical="center"/>
      <protection locked="0"/>
    </xf>
    <xf numFmtId="0" fontId="1" fillId="0" borderId="71" xfId="0" applyFont="1" applyBorder="1" applyAlignment="1" applyProtection="1">
      <alignment horizontal="left" vertical="center"/>
      <protection locked="0"/>
    </xf>
    <xf numFmtId="0" fontId="1" fillId="0" borderId="57" xfId="0" applyFont="1" applyBorder="1" applyAlignment="1" applyProtection="1">
      <alignment horizontal="left" vertical="center"/>
      <protection locked="0"/>
    </xf>
    <xf numFmtId="165" fontId="1" fillId="0" borderId="49" xfId="0" applyNumberFormat="1" applyFont="1" applyBorder="1" applyAlignment="1" applyProtection="1">
      <alignment horizontal="center"/>
      <protection locked="0"/>
    </xf>
    <xf numFmtId="165" fontId="1" fillId="0" borderId="17" xfId="0" applyNumberFormat="1" applyFont="1" applyBorder="1" applyAlignment="1" applyProtection="1">
      <alignment horizontal="center"/>
      <protection locked="0"/>
    </xf>
    <xf numFmtId="166" fontId="1" fillId="0" borderId="17" xfId="0" applyNumberFormat="1" applyFont="1" applyBorder="1" applyAlignment="1" applyProtection="1">
      <alignment horizontal="center"/>
      <protection locked="0"/>
    </xf>
    <xf numFmtId="2" fontId="1" fillId="0" borderId="17" xfId="0" applyNumberFormat="1" applyFont="1" applyBorder="1" applyAlignment="1" applyProtection="1">
      <alignment horizontal="center"/>
      <protection locked="0"/>
    </xf>
    <xf numFmtId="165" fontId="1" fillId="0" borderId="51" xfId="0" applyNumberFormat="1" applyFont="1" applyBorder="1" applyAlignment="1" applyProtection="1">
      <alignment horizontal="center"/>
      <protection locked="0"/>
    </xf>
    <xf numFmtId="165" fontId="1" fillId="0" borderId="18" xfId="0" applyNumberFormat="1" applyFont="1" applyBorder="1" applyAlignment="1" applyProtection="1">
      <alignment horizontal="center"/>
      <protection locked="0"/>
    </xf>
    <xf numFmtId="166" fontId="1" fillId="0" borderId="18" xfId="0" applyNumberFormat="1" applyFont="1" applyBorder="1" applyAlignment="1" applyProtection="1">
      <alignment horizontal="center"/>
      <protection locked="0"/>
    </xf>
    <xf numFmtId="2" fontId="1" fillId="0" borderId="18" xfId="0" applyNumberFormat="1" applyFont="1" applyBorder="1" applyAlignment="1" applyProtection="1">
      <alignment horizontal="center"/>
      <protection locked="0"/>
    </xf>
    <xf numFmtId="165" fontId="1" fillId="0" borderId="53" xfId="0" applyNumberFormat="1" applyFont="1" applyBorder="1" applyAlignment="1" applyProtection="1">
      <alignment horizontal="center"/>
      <protection locked="0"/>
    </xf>
    <xf numFmtId="165" fontId="1" fillId="0" borderId="20" xfId="0" applyNumberFormat="1" applyFont="1" applyBorder="1" applyAlignment="1" applyProtection="1">
      <alignment horizontal="center"/>
      <protection locked="0"/>
    </xf>
    <xf numFmtId="166" fontId="1" fillId="0" borderId="20" xfId="0" applyNumberFormat="1" applyFont="1" applyBorder="1" applyAlignment="1" applyProtection="1">
      <alignment horizontal="center"/>
      <protection locked="0"/>
    </xf>
    <xf numFmtId="2" fontId="1" fillId="0" borderId="20" xfId="0" applyNumberFormat="1" applyFont="1" applyBorder="1" applyAlignment="1" applyProtection="1">
      <alignment horizontal="center"/>
      <protection locked="0"/>
    </xf>
    <xf numFmtId="0" fontId="1" fillId="0" borderId="31" xfId="0" applyFont="1" applyBorder="1" applyAlignment="1" applyProtection="1">
      <alignment vertical="center"/>
      <protection locked="0"/>
    </xf>
    <xf numFmtId="14" fontId="4" fillId="0" borderId="60" xfId="0" applyNumberFormat="1" applyFont="1" applyBorder="1" applyAlignment="1" applyProtection="1">
      <alignment horizontal="left" vertical="center"/>
      <protection locked="0"/>
    </xf>
    <xf numFmtId="14" fontId="4" fillId="0" borderId="64" xfId="0" applyNumberFormat="1" applyFont="1" applyBorder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4" fillId="3" borderId="9" xfId="0" applyFont="1" applyFill="1" applyBorder="1" applyAlignment="1" applyProtection="1">
      <alignment horizontal="center" vertical="center"/>
      <protection locked="0"/>
    </xf>
    <xf numFmtId="166" fontId="4" fillId="3" borderId="10" xfId="0" applyNumberFormat="1" applyFont="1" applyFill="1" applyBorder="1" applyAlignment="1" applyProtection="1">
      <alignment horizontal="center" vertical="center"/>
      <protection locked="0"/>
    </xf>
    <xf numFmtId="1" fontId="4" fillId="3" borderId="10" xfId="0" applyNumberFormat="1" applyFont="1" applyFill="1" applyBorder="1" applyAlignment="1" applyProtection="1">
      <alignment horizontal="center" vertical="center"/>
      <protection locked="0"/>
    </xf>
    <xf numFmtId="2" fontId="4" fillId="3" borderId="10" xfId="0" applyNumberFormat="1" applyFont="1" applyFill="1" applyBorder="1" applyAlignment="1" applyProtection="1">
      <alignment horizontal="center" vertical="center"/>
      <protection locked="0"/>
    </xf>
    <xf numFmtId="0" fontId="4" fillId="3" borderId="11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vertical="center"/>
      <protection locked="0"/>
    </xf>
    <xf numFmtId="0" fontId="1" fillId="0" borderId="23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4" fillId="0" borderId="63" xfId="0" applyFont="1" applyBorder="1" applyProtection="1">
      <protection locked="0"/>
    </xf>
    <xf numFmtId="0" fontId="12" fillId="2" borderId="32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center" vertical="center" wrapText="1"/>
    </xf>
    <xf numFmtId="0" fontId="12" fillId="2" borderId="75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165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2" borderId="74" xfId="0" applyFont="1" applyFill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4" fontId="4" fillId="0" borderId="13" xfId="0" applyNumberFormat="1" applyFont="1" applyBorder="1" applyAlignment="1">
      <alignment horizontal="left" vertical="center"/>
    </xf>
    <xf numFmtId="0" fontId="2" fillId="5" borderId="12" xfId="0" applyFont="1" applyFill="1" applyBorder="1" applyAlignment="1">
      <alignment vertical="center"/>
    </xf>
    <xf numFmtId="0" fontId="8" fillId="4" borderId="13" xfId="0" applyFont="1" applyFill="1" applyBorder="1"/>
    <xf numFmtId="0" fontId="8" fillId="4" borderId="15" xfId="0" applyFont="1" applyFill="1" applyBorder="1"/>
    <xf numFmtId="0" fontId="2" fillId="5" borderId="9" xfId="0" applyFont="1" applyFill="1" applyBorder="1" applyAlignment="1">
      <alignment vertical="center"/>
    </xf>
    <xf numFmtId="0" fontId="3" fillId="5" borderId="10" xfId="0" applyFont="1" applyFill="1" applyBorder="1" applyAlignment="1">
      <alignment horizontal="left" vertical="center"/>
    </xf>
    <xf numFmtId="0" fontId="1" fillId="5" borderId="10" xfId="0" applyFont="1" applyFill="1" applyBorder="1" applyAlignment="1">
      <alignment horizontal="left" vertical="center"/>
    </xf>
    <xf numFmtId="0" fontId="1" fillId="5" borderId="15" xfId="0" applyFont="1" applyFill="1" applyBorder="1" applyAlignment="1">
      <alignment horizontal="left" vertical="center"/>
    </xf>
    <xf numFmtId="2" fontId="4" fillId="0" borderId="26" xfId="0" applyNumberFormat="1" applyFont="1" applyBorder="1" applyAlignment="1">
      <alignment vertical="center"/>
    </xf>
    <xf numFmtId="2" fontId="4" fillId="0" borderId="28" xfId="0" applyNumberFormat="1" applyFont="1" applyBorder="1" applyAlignment="1">
      <alignment vertical="center"/>
    </xf>
    <xf numFmtId="0" fontId="1" fillId="0" borderId="31" xfId="0" applyFont="1" applyBorder="1"/>
    <xf numFmtId="0" fontId="8" fillId="0" borderId="41" xfId="0" applyFont="1" applyBorder="1"/>
    <xf numFmtId="0" fontId="2" fillId="2" borderId="58" xfId="0" applyFont="1" applyFill="1" applyBorder="1" applyAlignment="1">
      <alignment vertical="center"/>
    </xf>
    <xf numFmtId="0" fontId="2" fillId="2" borderId="62" xfId="0" applyFont="1" applyFill="1" applyBorder="1" applyAlignment="1">
      <alignment vertical="center"/>
    </xf>
    <xf numFmtId="0" fontId="14" fillId="2" borderId="39" xfId="0" applyFont="1" applyFill="1" applyBorder="1" applyAlignment="1">
      <alignment vertical="center"/>
    </xf>
    <xf numFmtId="0" fontId="2" fillId="2" borderId="47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" fontId="4" fillId="0" borderId="25" xfId="0" quotePrefix="1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right" vertical="center"/>
    </xf>
    <xf numFmtId="0" fontId="2" fillId="2" borderId="45" xfId="0" applyFont="1" applyFill="1" applyBorder="1" applyAlignment="1">
      <alignment vertical="center"/>
    </xf>
    <xf numFmtId="0" fontId="2" fillId="2" borderId="46" xfId="0" applyFont="1" applyFill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5" fillId="0" borderId="31" xfId="0" applyFont="1" applyBorder="1" applyAlignment="1">
      <alignment vertical="center"/>
    </xf>
    <xf numFmtId="2" fontId="1" fillId="0" borderId="70" xfId="0" applyNumberFormat="1" applyFont="1" applyBorder="1" applyAlignment="1">
      <alignment horizontal="center"/>
    </xf>
    <xf numFmtId="4" fontId="4" fillId="0" borderId="48" xfId="0" applyNumberFormat="1" applyFont="1" applyBorder="1" applyAlignment="1">
      <alignment horizontal="center" vertical="center"/>
    </xf>
    <xf numFmtId="166" fontId="4" fillId="0" borderId="25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44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16" fillId="0" borderId="40" xfId="0" applyFont="1" applyBorder="1" applyAlignment="1">
      <alignment horizontal="center" vertical="center"/>
    </xf>
    <xf numFmtId="0" fontId="11" fillId="0" borderId="40" xfId="0" applyFont="1" applyBorder="1" applyAlignment="1">
      <alignment vertical="center"/>
    </xf>
    <xf numFmtId="0" fontId="11" fillId="0" borderId="31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1" fillId="0" borderId="55" xfId="0" applyFont="1" applyBorder="1" applyAlignment="1">
      <alignment vertical="center"/>
    </xf>
    <xf numFmtId="0" fontId="1" fillId="0" borderId="56" xfId="0" applyFont="1" applyBorder="1" applyAlignment="1">
      <alignment vertical="center"/>
    </xf>
    <xf numFmtId="0" fontId="1" fillId="0" borderId="57" xfId="0" applyFont="1" applyBorder="1" applyAlignment="1">
      <alignment vertical="center"/>
    </xf>
    <xf numFmtId="165" fontId="1" fillId="0" borderId="68" xfId="0" applyNumberFormat="1" applyFont="1" applyBorder="1" applyAlignment="1">
      <alignment horizontal="center"/>
    </xf>
    <xf numFmtId="165" fontId="1" fillId="0" borderId="69" xfId="0" applyNumberFormat="1" applyFont="1" applyBorder="1" applyAlignment="1">
      <alignment horizontal="center"/>
    </xf>
    <xf numFmtId="166" fontId="1" fillId="0" borderId="69" xfId="0" applyNumberFormat="1" applyFont="1" applyBorder="1" applyAlignment="1">
      <alignment horizontal="center"/>
    </xf>
    <xf numFmtId="4" fontId="1" fillId="0" borderId="69" xfId="0" applyNumberFormat="1" applyFont="1" applyBorder="1" applyAlignment="1">
      <alignment horizontal="center"/>
    </xf>
    <xf numFmtId="0" fontId="1" fillId="0" borderId="31" xfId="0" applyFont="1" applyBorder="1" applyAlignment="1">
      <alignment horizontal="left" vertical="center"/>
    </xf>
    <xf numFmtId="0" fontId="21" fillId="0" borderId="0" xfId="0" applyFont="1"/>
    <xf numFmtId="0" fontId="1" fillId="0" borderId="0" xfId="0" applyFont="1" applyAlignment="1" applyProtection="1">
      <alignment wrapText="1"/>
      <protection locked="0"/>
    </xf>
    <xf numFmtId="0" fontId="1" fillId="0" borderId="31" xfId="0" quotePrefix="1" applyFont="1" applyBorder="1"/>
    <xf numFmtId="2" fontId="4" fillId="0" borderId="13" xfId="0" applyNumberFormat="1" applyFont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 wrapText="1"/>
      <protection locked="0"/>
    </xf>
    <xf numFmtId="0" fontId="2" fillId="2" borderId="33" xfId="0" applyFont="1" applyFill="1" applyBorder="1" applyAlignment="1" applyProtection="1">
      <alignment horizontal="center" vertical="center"/>
      <protection locked="0"/>
    </xf>
    <xf numFmtId="2" fontId="1" fillId="0" borderId="50" xfId="0" applyNumberFormat="1" applyFont="1" applyBorder="1" applyAlignment="1" applyProtection="1">
      <alignment horizontal="center"/>
      <protection locked="0"/>
    </xf>
    <xf numFmtId="2" fontId="1" fillId="0" borderId="52" xfId="0" applyNumberFormat="1" applyFont="1" applyBorder="1" applyAlignment="1" applyProtection="1">
      <alignment horizontal="center"/>
      <protection locked="0"/>
    </xf>
    <xf numFmtId="2" fontId="1" fillId="0" borderId="54" xfId="0" applyNumberFormat="1" applyFont="1" applyBorder="1" applyAlignment="1" applyProtection="1">
      <alignment horizontal="center"/>
      <protection locked="0"/>
    </xf>
    <xf numFmtId="0" fontId="22" fillId="0" borderId="37" xfId="0" applyFont="1" applyBorder="1" applyAlignment="1">
      <alignment horizontal="left" vertical="center"/>
    </xf>
    <xf numFmtId="0" fontId="22" fillId="0" borderId="40" xfId="0" applyFont="1" applyBorder="1" applyAlignment="1">
      <alignment horizontal="left" vertical="center"/>
    </xf>
    <xf numFmtId="0" fontId="22" fillId="0" borderId="55" xfId="0" applyFont="1" applyBorder="1" applyAlignment="1">
      <alignment horizontal="left" vertical="center"/>
    </xf>
    <xf numFmtId="0" fontId="1" fillId="0" borderId="72" xfId="0" applyFont="1" applyBorder="1" applyAlignment="1" applyProtection="1">
      <alignment horizontal="left" vertical="center" wrapText="1"/>
      <protection locked="0"/>
    </xf>
    <xf numFmtId="2" fontId="23" fillId="0" borderId="36" xfId="0" applyNumberFormat="1" applyFont="1" applyBorder="1" applyAlignment="1" applyProtection="1">
      <alignment horizontal="center" vertical="center"/>
      <protection locked="0"/>
    </xf>
    <xf numFmtId="0" fontId="23" fillId="0" borderId="35" xfId="0" applyFont="1" applyBorder="1" applyAlignment="1" applyProtection="1">
      <alignment horizontal="center" vertical="center"/>
      <protection locked="0"/>
    </xf>
    <xf numFmtId="0" fontId="23" fillId="0" borderId="36" xfId="0" applyFont="1" applyBorder="1" applyAlignment="1" applyProtection="1">
      <alignment horizontal="center" vertical="center"/>
      <protection locked="0"/>
    </xf>
    <xf numFmtId="0" fontId="23" fillId="0" borderId="19" xfId="0" applyFont="1" applyBorder="1" applyAlignment="1" applyProtection="1">
      <alignment horizontal="center" vertical="center"/>
      <protection locked="0"/>
    </xf>
    <xf numFmtId="0" fontId="23" fillId="0" borderId="18" xfId="0" applyFont="1" applyBorder="1" applyAlignment="1" applyProtection="1">
      <alignment horizontal="center" vertical="center"/>
      <protection locked="0"/>
    </xf>
    <xf numFmtId="0" fontId="8" fillId="0" borderId="73" xfId="0" applyFont="1" applyBorder="1" applyAlignment="1">
      <alignment horizontal="left" vertical="top" wrapText="1"/>
    </xf>
    <xf numFmtId="0" fontId="8" fillId="0" borderId="71" xfId="0" applyFont="1" applyBorder="1" applyAlignment="1">
      <alignment horizontal="left" vertical="top" wrapText="1"/>
    </xf>
    <xf numFmtId="0" fontId="8" fillId="0" borderId="72" xfId="0" applyFont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 wrapText="1"/>
    </xf>
    <xf numFmtId="0" fontId="8" fillId="0" borderId="39" xfId="0" applyFont="1" applyBorder="1" applyAlignment="1">
      <alignment horizontal="left" vertical="top" wrapText="1"/>
    </xf>
    <xf numFmtId="0" fontId="8" fillId="0" borderId="40" xfId="0" applyFont="1" applyBorder="1" applyAlignment="1">
      <alignment horizontal="left" vertical="top" wrapText="1"/>
    </xf>
    <xf numFmtId="0" fontId="8" fillId="0" borderId="41" xfId="0" applyFont="1" applyBorder="1" applyAlignment="1">
      <alignment horizontal="left" vertical="top" wrapText="1"/>
    </xf>
    <xf numFmtId="0" fontId="8" fillId="0" borderId="55" xfId="0" applyFont="1" applyBorder="1" applyAlignment="1">
      <alignment horizontal="left" vertical="top" wrapText="1"/>
    </xf>
    <xf numFmtId="0" fontId="8" fillId="0" borderId="57" xfId="0" applyFont="1" applyBorder="1" applyAlignment="1">
      <alignment horizontal="left" vertical="top" wrapText="1"/>
    </xf>
    <xf numFmtId="0" fontId="8" fillId="0" borderId="38" xfId="0" applyFont="1" applyBorder="1" applyAlignment="1">
      <alignment horizontal="left" vertical="top" wrapText="1"/>
    </xf>
    <xf numFmtId="0" fontId="8" fillId="0" borderId="31" xfId="0" applyFont="1" applyBorder="1" applyAlignment="1">
      <alignment horizontal="left" vertical="top" wrapText="1"/>
    </xf>
    <xf numFmtId="0" fontId="8" fillId="0" borderId="56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 wrapText="1"/>
    </xf>
    <xf numFmtId="0" fontId="1" fillId="0" borderId="39" xfId="0" applyFont="1" applyBorder="1" applyAlignment="1">
      <alignment horizontal="left" vertical="top" wrapText="1"/>
    </xf>
    <xf numFmtId="0" fontId="1" fillId="0" borderId="40" xfId="0" applyFont="1" applyBorder="1" applyAlignment="1">
      <alignment horizontal="left" vertical="top" wrapText="1"/>
    </xf>
    <xf numFmtId="0" fontId="1" fillId="0" borderId="41" xfId="0" applyFont="1" applyBorder="1" applyAlignment="1">
      <alignment horizontal="left" vertical="top" wrapText="1"/>
    </xf>
    <xf numFmtId="0" fontId="1" fillId="0" borderId="55" xfId="0" applyFont="1" applyBorder="1" applyAlignment="1">
      <alignment horizontal="left" vertical="top" wrapText="1"/>
    </xf>
    <xf numFmtId="0" fontId="1" fillId="0" borderId="57" xfId="0" applyFont="1" applyBorder="1" applyAlignment="1">
      <alignment horizontal="left" vertical="top" wrapText="1"/>
    </xf>
    <xf numFmtId="0" fontId="4" fillId="0" borderId="65" xfId="0" applyFont="1" applyBorder="1" applyAlignment="1" applyProtection="1">
      <alignment horizontal="left" vertical="center"/>
      <protection locked="0"/>
    </xf>
    <xf numFmtId="0" fontId="4" fillId="0" borderId="66" xfId="0" applyFont="1" applyBorder="1" applyAlignment="1" applyProtection="1">
      <alignment horizontal="left" vertical="center"/>
      <protection locked="0"/>
    </xf>
    <xf numFmtId="0" fontId="8" fillId="0" borderId="37" xfId="0" applyFont="1" applyBorder="1" applyAlignment="1" applyProtection="1">
      <alignment horizontal="left" vertical="top" wrapText="1"/>
      <protection locked="0"/>
    </xf>
    <xf numFmtId="0" fontId="8" fillId="0" borderId="38" xfId="0" applyFont="1" applyBorder="1" applyAlignment="1" applyProtection="1">
      <alignment horizontal="left" vertical="top" wrapText="1"/>
      <protection locked="0"/>
    </xf>
    <xf numFmtId="0" fontId="8" fillId="0" borderId="39" xfId="0" applyFont="1" applyBorder="1" applyAlignment="1" applyProtection="1">
      <alignment horizontal="left" vertical="top" wrapText="1"/>
      <protection locked="0"/>
    </xf>
    <xf numFmtId="0" fontId="8" fillId="0" borderId="40" xfId="0" applyFont="1" applyBorder="1" applyAlignment="1" applyProtection="1">
      <alignment horizontal="left" vertical="top" wrapText="1"/>
      <protection locked="0"/>
    </xf>
    <xf numFmtId="0" fontId="8" fillId="0" borderId="31" xfId="0" applyFont="1" applyBorder="1" applyAlignment="1" applyProtection="1">
      <alignment horizontal="left" vertical="top" wrapText="1"/>
      <protection locked="0"/>
    </xf>
    <xf numFmtId="0" fontId="8" fillId="0" borderId="41" xfId="0" applyFont="1" applyBorder="1" applyAlignment="1" applyProtection="1">
      <alignment horizontal="left" vertical="top" wrapText="1"/>
      <protection locked="0"/>
    </xf>
    <xf numFmtId="0" fontId="8" fillId="0" borderId="55" xfId="0" applyFont="1" applyBorder="1" applyAlignment="1" applyProtection="1">
      <alignment horizontal="left" vertical="top" wrapText="1"/>
      <protection locked="0"/>
    </xf>
    <xf numFmtId="0" fontId="8" fillId="0" borderId="56" xfId="0" applyFont="1" applyBorder="1" applyAlignment="1" applyProtection="1">
      <alignment horizontal="left" vertical="top" wrapText="1"/>
      <protection locked="0"/>
    </xf>
    <xf numFmtId="0" fontId="8" fillId="0" borderId="57" xfId="0" applyFont="1" applyBorder="1" applyAlignment="1" applyProtection="1">
      <alignment horizontal="left" vertical="top" wrapText="1"/>
      <protection locked="0"/>
    </xf>
    <xf numFmtId="0" fontId="13" fillId="2" borderId="62" xfId="0" applyFont="1" applyFill="1" applyBorder="1" applyAlignment="1">
      <alignment horizontal="left" vertical="center"/>
    </xf>
    <xf numFmtId="0" fontId="13" fillId="2" borderId="59" xfId="0" applyFont="1" applyFill="1" applyBorder="1" applyAlignment="1">
      <alignment horizontal="left" vertical="center"/>
    </xf>
    <xf numFmtId="0" fontId="4" fillId="0" borderId="63" xfId="0" applyFont="1" applyBorder="1" applyAlignment="1" applyProtection="1">
      <alignment horizontal="left"/>
      <protection locked="0"/>
    </xf>
    <xf numFmtId="0" fontId="4" fillId="0" borderId="64" xfId="0" applyFont="1" applyBorder="1" applyAlignment="1" applyProtection="1">
      <alignment horizontal="left"/>
      <protection locked="0"/>
    </xf>
    <xf numFmtId="0" fontId="2" fillId="2" borderId="62" xfId="0" applyFont="1" applyFill="1" applyBorder="1" applyAlignment="1">
      <alignment horizontal="left" vertical="center"/>
    </xf>
    <xf numFmtId="0" fontId="2" fillId="2" borderId="59" xfId="0" applyFont="1" applyFill="1" applyBorder="1" applyAlignment="1">
      <alignment horizontal="left" vertical="center"/>
    </xf>
    <xf numFmtId="164" fontId="9" fillId="0" borderId="40" xfId="0" applyNumberFormat="1" applyFont="1" applyBorder="1" applyAlignment="1">
      <alignment horizontal="center" vertical="center"/>
    </xf>
    <xf numFmtId="0" fontId="1" fillId="0" borderId="31" xfId="0" applyFont="1" applyBorder="1"/>
    <xf numFmtId="0" fontId="8" fillId="0" borderId="41" xfId="0" applyFont="1" applyBorder="1"/>
    <xf numFmtId="164" fontId="9" fillId="0" borderId="42" xfId="0" applyNumberFormat="1" applyFont="1" applyBorder="1" applyAlignment="1">
      <alignment horizontal="center" vertical="center"/>
    </xf>
    <xf numFmtId="0" fontId="8" fillId="0" borderId="7" xfId="0" applyFont="1" applyBorder="1"/>
    <xf numFmtId="0" fontId="8" fillId="0" borderId="43" xfId="0" applyFont="1" applyBorder="1"/>
    <xf numFmtId="0" fontId="1" fillId="0" borderId="40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0" fillId="0" borderId="31" xfId="0" applyFont="1" applyBorder="1"/>
    <xf numFmtId="0" fontId="10" fillId="0" borderId="41" xfId="0" applyFont="1" applyBorder="1"/>
    <xf numFmtId="0" fontId="13" fillId="2" borderId="37" xfId="0" applyFont="1" applyFill="1" applyBorder="1" applyAlignment="1">
      <alignment horizontal="left" vertical="center"/>
    </xf>
    <xf numFmtId="0" fontId="13" fillId="2" borderId="39" xfId="0" applyFont="1" applyFill="1" applyBorder="1" applyAlignment="1">
      <alignment horizontal="left" vertical="center"/>
    </xf>
    <xf numFmtId="0" fontId="13" fillId="2" borderId="38" xfId="0" applyFont="1" applyFill="1" applyBorder="1" applyAlignment="1">
      <alignment horizontal="left" vertical="center"/>
    </xf>
    <xf numFmtId="0" fontId="2" fillId="2" borderId="37" xfId="0" applyFont="1" applyFill="1" applyBorder="1" applyAlignment="1">
      <alignment horizontal="left" vertical="center"/>
    </xf>
    <xf numFmtId="0" fontId="2" fillId="2" borderId="38" xfId="0" applyFont="1" applyFill="1" applyBorder="1" applyAlignment="1">
      <alignment horizontal="left" vertical="center"/>
    </xf>
    <xf numFmtId="0" fontId="2" fillId="2" borderId="40" xfId="0" applyFont="1" applyFill="1" applyBorder="1" applyAlignment="1">
      <alignment horizontal="left" vertical="center"/>
    </xf>
    <xf numFmtId="0" fontId="2" fillId="2" borderId="41" xfId="0" applyFont="1" applyFill="1" applyBorder="1" applyAlignment="1">
      <alignment horizontal="left" vertical="center"/>
    </xf>
    <xf numFmtId="0" fontId="3" fillId="0" borderId="4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13" fillId="2" borderId="40" xfId="0" applyFont="1" applyFill="1" applyBorder="1" applyAlignment="1">
      <alignment horizontal="left" vertical="center"/>
    </xf>
    <xf numFmtId="0" fontId="13" fillId="2" borderId="31" xfId="0" applyFont="1" applyFill="1" applyBorder="1" applyAlignment="1">
      <alignment horizontal="left" vertical="center"/>
    </xf>
    <xf numFmtId="0" fontId="13" fillId="2" borderId="41" xfId="0" applyFont="1" applyFill="1" applyBorder="1" applyAlignment="1">
      <alignment horizontal="left" vertical="center"/>
    </xf>
    <xf numFmtId="0" fontId="4" fillId="0" borderId="65" xfId="0" applyFont="1" applyBorder="1" applyAlignment="1">
      <alignment horizontal="left" vertical="center"/>
    </xf>
    <xf numFmtId="0" fontId="4" fillId="0" borderId="66" xfId="0" applyFont="1" applyBorder="1" applyAlignment="1">
      <alignment horizontal="left" vertical="center"/>
    </xf>
    <xf numFmtId="0" fontId="2" fillId="2" borderId="55" xfId="0" applyFont="1" applyFill="1" applyBorder="1" applyAlignment="1">
      <alignment horizontal="left" vertical="center"/>
    </xf>
    <xf numFmtId="0" fontId="2" fillId="2" borderId="57" xfId="0" applyFont="1" applyFill="1" applyBorder="1" applyAlignment="1">
      <alignment horizontal="left" vertical="center"/>
    </xf>
    <xf numFmtId="0" fontId="14" fillId="2" borderId="37" xfId="0" applyFont="1" applyFill="1" applyBorder="1" applyAlignment="1">
      <alignment horizontal="left" vertical="center"/>
    </xf>
    <xf numFmtId="0" fontId="14" fillId="2" borderId="39" xfId="0" applyFont="1" applyFill="1" applyBorder="1" applyAlignment="1">
      <alignment horizontal="left" vertical="center"/>
    </xf>
    <xf numFmtId="0" fontId="2" fillId="2" borderId="65" xfId="0" applyFont="1" applyFill="1" applyBorder="1" applyAlignment="1">
      <alignment horizontal="left" vertical="center"/>
    </xf>
    <xf numFmtId="0" fontId="2" fillId="2" borderId="67" xfId="0" applyFont="1" applyFill="1" applyBorder="1" applyAlignment="1">
      <alignment horizontal="left" vertical="center"/>
    </xf>
    <xf numFmtId="0" fontId="18" fillId="0" borderId="40" xfId="0" applyFont="1" applyBorder="1" applyAlignment="1" applyProtection="1">
      <alignment horizontal="center" vertical="center"/>
      <protection locked="0"/>
    </xf>
    <xf numFmtId="0" fontId="19" fillId="0" borderId="31" xfId="0" applyFont="1" applyBorder="1" applyProtection="1">
      <protection locked="0"/>
    </xf>
    <xf numFmtId="0" fontId="20" fillId="0" borderId="41" xfId="0" applyFont="1" applyBorder="1" applyProtection="1">
      <protection locked="0"/>
    </xf>
    <xf numFmtId="0" fontId="8" fillId="0" borderId="26" xfId="0" applyFont="1" applyBorder="1" applyAlignment="1">
      <alignment horizontal="left" vertical="top" wrapText="1"/>
    </xf>
    <xf numFmtId="0" fontId="8" fillId="0" borderId="30" xfId="0" applyFont="1" applyBorder="1" applyAlignment="1">
      <alignment horizontal="left" vertical="top" wrapText="1"/>
    </xf>
    <xf numFmtId="0" fontId="8" fillId="0" borderId="27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28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/>
    <xf numFmtId="0" fontId="8" fillId="0" borderId="5" xfId="0" applyFont="1" applyBorder="1"/>
    <xf numFmtId="164" fontId="7" fillId="0" borderId="1" xfId="0" applyNumberFormat="1" applyFont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164" fontId="9" fillId="0" borderId="4" xfId="0" applyNumberFormat="1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0" fontId="8" fillId="0" borderId="8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8" fillId="0" borderId="13" xfId="0" applyFont="1" applyBorder="1"/>
    <xf numFmtId="0" fontId="8" fillId="0" borderId="14" xfId="0" applyFont="1" applyBorder="1"/>
  </cellXfs>
  <cellStyles count="1">
    <cellStyle name="Normal" xfId="0" builtinId="0"/>
  </cellStyles>
  <dxfs count="101"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381514" cy="1187824"/>
    <xdr:pic>
      <xdr:nvPicPr>
        <xdr:cNvPr id="2" name="Picture 1">
          <a:extLst>
            <a:ext uri="{FF2B5EF4-FFF2-40B4-BE49-F238E27FC236}">
              <a16:creationId xmlns:a16="http://schemas.microsoft.com/office/drawing/2014/main" id="{E5891E74-DF0D-4570-BDCA-2D076345B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5381514" cy="118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523712" cy="1211035"/>
    <xdr:pic>
      <xdr:nvPicPr>
        <xdr:cNvPr id="2" name="Picture 1">
          <a:extLst>
            <a:ext uri="{FF2B5EF4-FFF2-40B4-BE49-F238E27FC236}">
              <a16:creationId xmlns:a16="http://schemas.microsoft.com/office/drawing/2014/main" id="{E5891E74-DF0D-4570-BDCA-2D076345B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20523712" cy="1211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4" sqref="A4"/>
    </sheetView>
  </sheetViews>
  <sheetFormatPr defaultRowHeight="14.25" x14ac:dyDescent="0.2"/>
  <cols>
    <col min="1" max="1" width="8.125" customWidth="1"/>
  </cols>
  <sheetData>
    <row r="1" spans="1:1" ht="15" x14ac:dyDescent="0.25">
      <c r="A1" s="106" t="s">
        <v>93</v>
      </c>
    </row>
    <row r="2" spans="1:1" ht="15" x14ac:dyDescent="0.25">
      <c r="A2" s="106" t="s">
        <v>94</v>
      </c>
    </row>
    <row r="3" spans="1:1" ht="15" x14ac:dyDescent="0.25">
      <c r="A3" s="106" t="s">
        <v>114</v>
      </c>
    </row>
    <row r="4" spans="1:1" ht="15" x14ac:dyDescent="0.25">
      <c r="A4" s="10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tabSelected="1" zoomScale="80" zoomScaleNormal="80" workbookViewId="0">
      <selection activeCell="D15" sqref="D15:E19"/>
    </sheetView>
  </sheetViews>
  <sheetFormatPr defaultColWidth="12.625" defaultRowHeight="15" x14ac:dyDescent="0.25"/>
  <cols>
    <col min="1" max="1" width="14.75" style="2" customWidth="1"/>
    <col min="2" max="2" width="40.25" style="1" customWidth="1"/>
    <col min="3" max="3" width="53.625" style="1" customWidth="1"/>
    <col min="4" max="4" width="24.75" style="1" customWidth="1"/>
    <col min="5" max="5" width="18.875" style="1" customWidth="1"/>
    <col min="6" max="6" width="9.125" style="1" bestFit="1" customWidth="1"/>
    <col min="7" max="7" width="8.75" style="1" bestFit="1" customWidth="1"/>
    <col min="8" max="8" width="16.375" style="1" customWidth="1"/>
    <col min="9" max="9" width="15.5" style="1" customWidth="1"/>
    <col min="10" max="11" width="12.625" style="1"/>
    <col min="12" max="12" width="12.625" style="1" customWidth="1"/>
    <col min="13" max="16384" width="12.625" style="1"/>
  </cols>
  <sheetData>
    <row r="1" spans="1:9" ht="43.5" x14ac:dyDescent="0.25">
      <c r="A1" s="166" t="str">
        <f>IF(C8&lt;&gt;"", C8, "COMPANY NAME")</f>
        <v>CONTINENT8 PTE LTD</v>
      </c>
      <c r="B1" s="167"/>
      <c r="C1" s="167"/>
      <c r="D1" s="167"/>
      <c r="E1" s="167"/>
      <c r="F1" s="167"/>
      <c r="G1" s="167"/>
      <c r="H1" s="167"/>
      <c r="I1" s="168"/>
    </row>
    <row r="2" spans="1:9" ht="17.25" x14ac:dyDescent="0.25">
      <c r="A2" s="159" t="str">
        <f>IF(COUNTA(C9:C11)&gt;0, C9 &amp; IF(C10&lt;&gt;"", ", " &amp; C10, "") &amp; IF(C11&lt;&gt;"", ", " &amp; C11, ""), "ADDRESS, CITY, STATE, ZIP/POSTAL, COUNTRY")</f>
        <v>00 TAMPINES AVENUE# 09-02, INCOME AT TAMPINES JUNCTION, SINGAPORE 529693</v>
      </c>
      <c r="B2" s="160"/>
      <c r="C2" s="160"/>
      <c r="D2" s="160"/>
      <c r="E2" s="160"/>
      <c r="F2" s="160"/>
      <c r="G2" s="160"/>
      <c r="H2" s="160"/>
      <c r="I2" s="161"/>
    </row>
    <row r="3" spans="1:9" ht="18" thickBot="1" x14ac:dyDescent="0.3">
      <c r="A3" s="162" t="str">
        <f>IF(C13&lt;&gt;"", C13, "EMAIL/PHONE")</f>
        <v>PHONE : 6221 30205577</v>
      </c>
      <c r="B3" s="163"/>
      <c r="C3" s="163"/>
      <c r="D3" s="163"/>
      <c r="E3" s="163"/>
      <c r="F3" s="163"/>
      <c r="G3" s="163"/>
      <c r="H3" s="163"/>
      <c r="I3" s="164"/>
    </row>
    <row r="4" spans="1:9" ht="15.75" thickBot="1" x14ac:dyDescent="0.3">
      <c r="A4" s="165"/>
      <c r="B4" s="160"/>
      <c r="C4" s="160"/>
      <c r="D4" s="160"/>
      <c r="E4" s="160"/>
      <c r="F4" s="160"/>
      <c r="G4" s="160"/>
      <c r="H4" s="160"/>
      <c r="I4" s="161"/>
    </row>
    <row r="5" spans="1:9" ht="15.75" thickBot="1" x14ac:dyDescent="0.3">
      <c r="A5" s="157" t="s">
        <v>40</v>
      </c>
      <c r="B5" s="158"/>
      <c r="C5" s="69" t="s">
        <v>39</v>
      </c>
      <c r="D5" s="69" t="s">
        <v>1</v>
      </c>
      <c r="E5" s="70" t="s">
        <v>2</v>
      </c>
      <c r="F5" s="157" t="s">
        <v>88</v>
      </c>
      <c r="G5" s="158"/>
      <c r="H5" s="153" t="s">
        <v>0</v>
      </c>
      <c r="I5" s="154"/>
    </row>
    <row r="6" spans="1:9" ht="15.75" thickBot="1" x14ac:dyDescent="0.3">
      <c r="A6" s="142" t="s">
        <v>139</v>
      </c>
      <c r="B6" s="143"/>
      <c r="C6" s="21">
        <v>46219</v>
      </c>
      <c r="D6" s="22" t="s">
        <v>54</v>
      </c>
      <c r="E6" s="39" t="s">
        <v>122</v>
      </c>
      <c r="F6" s="155" t="s">
        <v>90</v>
      </c>
      <c r="G6" s="156"/>
      <c r="H6" s="155"/>
      <c r="I6" s="156"/>
    </row>
    <row r="7" spans="1:9" ht="15.75" thickBot="1" x14ac:dyDescent="0.3">
      <c r="A7" s="192" t="s">
        <v>106</v>
      </c>
      <c r="B7" s="193"/>
      <c r="C7" s="71" t="s">
        <v>52</v>
      </c>
      <c r="D7" s="175" t="s">
        <v>62</v>
      </c>
      <c r="E7" s="176"/>
      <c r="F7" s="175" t="s">
        <v>46</v>
      </c>
      <c r="G7" s="177"/>
      <c r="H7" s="177"/>
      <c r="I7" s="176"/>
    </row>
    <row r="8" spans="1:9" ht="15" customHeight="1" x14ac:dyDescent="0.25">
      <c r="A8" s="115" t="s">
        <v>42</v>
      </c>
      <c r="B8" s="3" t="s">
        <v>116</v>
      </c>
      <c r="C8" s="4" t="s">
        <v>124</v>
      </c>
      <c r="D8" s="136" t="s">
        <v>81</v>
      </c>
      <c r="E8" s="137"/>
      <c r="F8" s="144" t="s">
        <v>64</v>
      </c>
      <c r="G8" s="145"/>
      <c r="H8" s="145"/>
      <c r="I8" s="146"/>
    </row>
    <row r="9" spans="1:9" x14ac:dyDescent="0.25">
      <c r="A9" s="116" t="s">
        <v>60</v>
      </c>
      <c r="B9" s="5" t="s">
        <v>117</v>
      </c>
      <c r="C9" s="6" t="s">
        <v>125</v>
      </c>
      <c r="D9" s="138"/>
      <c r="E9" s="139"/>
      <c r="F9" s="147"/>
      <c r="G9" s="148"/>
      <c r="H9" s="148"/>
      <c r="I9" s="149"/>
    </row>
    <row r="10" spans="1:9" x14ac:dyDescent="0.25">
      <c r="A10" s="116" t="s">
        <v>92</v>
      </c>
      <c r="B10" s="5" t="s">
        <v>118</v>
      </c>
      <c r="C10" s="6" t="s">
        <v>126</v>
      </c>
      <c r="D10" s="138"/>
      <c r="E10" s="139"/>
      <c r="F10" s="147"/>
      <c r="G10" s="148"/>
      <c r="H10" s="148"/>
      <c r="I10" s="149"/>
    </row>
    <row r="11" spans="1:9" x14ac:dyDescent="0.25">
      <c r="A11" s="116" t="s">
        <v>57</v>
      </c>
      <c r="B11" s="5" t="s">
        <v>119</v>
      </c>
      <c r="C11" s="6" t="s">
        <v>127</v>
      </c>
      <c r="D11" s="138"/>
      <c r="E11" s="139"/>
      <c r="F11" s="147"/>
      <c r="G11" s="148"/>
      <c r="H11" s="148"/>
      <c r="I11" s="149"/>
    </row>
    <row r="12" spans="1:9" x14ac:dyDescent="0.25">
      <c r="A12" s="116" t="s">
        <v>58</v>
      </c>
      <c r="B12" s="5" t="s">
        <v>120</v>
      </c>
      <c r="C12" s="6" t="s">
        <v>128</v>
      </c>
      <c r="D12" s="138"/>
      <c r="E12" s="139"/>
      <c r="F12" s="147"/>
      <c r="G12" s="148"/>
      <c r="H12" s="148"/>
      <c r="I12" s="149"/>
    </row>
    <row r="13" spans="1:9" ht="15.75" thickBot="1" x14ac:dyDescent="0.3">
      <c r="A13" s="117" t="s">
        <v>59</v>
      </c>
      <c r="B13" s="7" t="s">
        <v>121</v>
      </c>
      <c r="C13" s="118" t="s">
        <v>129</v>
      </c>
      <c r="D13" s="140"/>
      <c r="E13" s="141"/>
      <c r="F13" s="150"/>
      <c r="G13" s="151"/>
      <c r="H13" s="151"/>
      <c r="I13" s="152"/>
    </row>
    <row r="14" spans="1:9" ht="15.75" thickBot="1" x14ac:dyDescent="0.3">
      <c r="A14" s="190" t="s">
        <v>41</v>
      </c>
      <c r="B14" s="191"/>
      <c r="C14" s="69" t="s">
        <v>61</v>
      </c>
      <c r="D14" s="180" t="s">
        <v>47</v>
      </c>
      <c r="E14" s="181"/>
      <c r="F14" s="185" t="s">
        <v>113</v>
      </c>
      <c r="G14" s="186"/>
      <c r="H14" s="186"/>
      <c r="I14" s="187"/>
    </row>
    <row r="15" spans="1:9" ht="15.75" thickBot="1" x14ac:dyDescent="0.3">
      <c r="A15" s="142" t="s">
        <v>123</v>
      </c>
      <c r="B15" s="143"/>
      <c r="C15" s="124" t="str">
        <f>IFERROR(INDEX('Data Validation'!D18:D35, MATCH(F8, 'Data Validation'!C18:C35, 0)), "")</f>
        <v>Kith Logistics LLC
25 Kent Ave, Suite 301
Brooklyn, NY 11249
USA
EIN# 81-0814080</v>
      </c>
      <c r="D15" s="127" t="str">
        <f>IFERROR(INDEX('Data Validation'!G18:G35, MATCH(F8, 'Data Validation'!C18:C35, 0)), "")</f>
        <v>-</v>
      </c>
      <c r="E15" s="128"/>
      <c r="F15" s="127" t="str">
        <f>IFERROR(
   IF(COUNTIF('Data Validation'!C18:C35, F8),
      IF(OR(F6="AIR", F6="OCEAN"),
         INDEX('Data Validation'!E18:E35, MATCH(F8, 'Data Validation'!C18:C35, 0)),
      IF(F6="SMALL PARCEL",
         INDEX('Data Validation'!F18:F35, MATCH(F8, 'Data Validation'!C18:C35, 0)),
      "")),
   ""),
"")</f>
        <v>FORWARDER</v>
      </c>
      <c r="G15" s="133"/>
      <c r="H15" s="133"/>
      <c r="I15" s="128"/>
    </row>
    <row r="16" spans="1:9" ht="15.75" thickBot="1" x14ac:dyDescent="0.3">
      <c r="A16" s="194" t="s">
        <v>49</v>
      </c>
      <c r="B16" s="195"/>
      <c r="C16" s="125"/>
      <c r="D16" s="129"/>
      <c r="E16" s="130"/>
      <c r="F16" s="129"/>
      <c r="G16" s="134"/>
      <c r="H16" s="134"/>
      <c r="I16" s="130"/>
    </row>
    <row r="17" spans="1:12" ht="15.75" thickBot="1" x14ac:dyDescent="0.3">
      <c r="A17" s="188" t="str">
        <f>IF(F8="KDC20 c/o Bleckmann
Industrieweg 38 C
2280 Grobbendonk
Belgium
Koen Verhoeven
customercare.kith.grobbendonk@bleckmann.com",IF(F6="OCEAN","ANTWERP",IF(F6="AIR","BRUSSELS-CAPITAL REGION",IF(F6="SMALL PARCEL","BRUSSELS-CAPITAL REGION",""))),"")</f>
        <v/>
      </c>
      <c r="B17" s="189"/>
      <c r="C17" s="125"/>
      <c r="D17" s="129"/>
      <c r="E17" s="130"/>
      <c r="F17" s="129"/>
      <c r="G17" s="134"/>
      <c r="H17" s="134"/>
      <c r="I17" s="130"/>
    </row>
    <row r="18" spans="1:12" ht="15.75" thickBot="1" x14ac:dyDescent="0.3">
      <c r="A18" s="178" t="s">
        <v>50</v>
      </c>
      <c r="B18" s="179"/>
      <c r="C18" s="125"/>
      <c r="D18" s="129"/>
      <c r="E18" s="130"/>
      <c r="F18" s="129"/>
      <c r="G18" s="134"/>
      <c r="H18" s="134"/>
      <c r="I18" s="130"/>
      <c r="L18" s="107"/>
    </row>
    <row r="19" spans="1:12" ht="15.75" thickBot="1" x14ac:dyDescent="0.3">
      <c r="A19" s="188" t="str">
        <f>IF(F8="KDC20 c/o Bleckmann
Industrieweg 38 C
2280 Grobbendonk
Belgium
Koen Verhoeven
customercare.kith.grobbendonk@bleckmann.com",IF(F6="OCEAN","BE ANR",IF(F6="AIR","BE BRU",IF(F6="SMALL PARCEL","BE BRU",""))),"")</f>
        <v/>
      </c>
      <c r="B19" s="189"/>
      <c r="C19" s="126"/>
      <c r="D19" s="131"/>
      <c r="E19" s="132"/>
      <c r="F19" s="131"/>
      <c r="G19" s="135"/>
      <c r="H19" s="135"/>
      <c r="I19" s="132"/>
    </row>
    <row r="20" spans="1:12" ht="30.75" thickBot="1" x14ac:dyDescent="0.3">
      <c r="A20" s="72" t="s">
        <v>3</v>
      </c>
      <c r="B20" s="73" t="s">
        <v>4</v>
      </c>
      <c r="C20" s="74" t="s">
        <v>6</v>
      </c>
      <c r="D20" s="74" t="s">
        <v>7</v>
      </c>
      <c r="E20" s="74" t="s">
        <v>8</v>
      </c>
      <c r="F20" s="74" t="s">
        <v>9</v>
      </c>
      <c r="G20" s="74" t="s">
        <v>10</v>
      </c>
      <c r="H20" s="74" t="s">
        <v>11</v>
      </c>
      <c r="I20" s="75" t="s">
        <v>12</v>
      </c>
    </row>
    <row r="21" spans="1:12" x14ac:dyDescent="0.25">
      <c r="A21" s="8">
        <f>+'Packing List'!C15</f>
        <v>115154</v>
      </c>
      <c r="B21" s="9" t="str">
        <f>+'Packing List'!D15</f>
        <v>KHM034600</v>
      </c>
      <c r="C21" s="9" t="str">
        <f>+'Packing List'!F15</f>
        <v>K-TECH</v>
      </c>
      <c r="D21" s="9" t="s">
        <v>136</v>
      </c>
      <c r="E21" s="9" t="s">
        <v>137</v>
      </c>
      <c r="F21" s="9"/>
      <c r="G21" s="10">
        <f>SUMIF('Packing List'!D15:D28,Invoice!B21,'Packing List'!N15:N28)</f>
        <v>651</v>
      </c>
      <c r="H21" s="11">
        <v>2.5</v>
      </c>
      <c r="I21" s="112">
        <f t="shared" ref="I21:I36" si="0">G21*H21</f>
        <v>1627.5</v>
      </c>
    </row>
    <row r="22" spans="1:12" x14ac:dyDescent="0.25">
      <c r="A22" s="12">
        <f>+'Packing List'!C25</f>
        <v>115154</v>
      </c>
      <c r="B22" s="13" t="str">
        <f>+'Packing List'!D25</f>
        <v>KHM034601</v>
      </c>
      <c r="C22" s="13" t="str">
        <f>+'Packing List'!F25</f>
        <v>K-TECH</v>
      </c>
      <c r="D22" s="13" t="s">
        <v>136</v>
      </c>
      <c r="E22" s="13" t="s">
        <v>137</v>
      </c>
      <c r="F22" s="13"/>
      <c r="G22" s="18">
        <f>SUMIF('Packing List'!D15:D28,Invoice!B22,'Packing List'!N15:N28)</f>
        <v>205</v>
      </c>
      <c r="H22" s="15">
        <v>3.5</v>
      </c>
      <c r="I22" s="113">
        <f t="shared" si="0"/>
        <v>717.5</v>
      </c>
    </row>
    <row r="23" spans="1:12" x14ac:dyDescent="0.25">
      <c r="A23" s="12"/>
      <c r="B23" s="13"/>
      <c r="C23" s="13"/>
      <c r="D23" s="13"/>
      <c r="E23" s="13"/>
      <c r="F23" s="13"/>
      <c r="G23" s="14"/>
      <c r="H23" s="15"/>
      <c r="I23" s="113">
        <f t="shared" si="0"/>
        <v>0</v>
      </c>
    </row>
    <row r="24" spans="1:12" x14ac:dyDescent="0.25">
      <c r="A24" s="16"/>
      <c r="B24" s="17"/>
      <c r="C24" s="17"/>
      <c r="D24" s="13"/>
      <c r="E24" s="17"/>
      <c r="F24" s="17"/>
      <c r="G24" s="18"/>
      <c r="H24" s="19"/>
      <c r="I24" s="114">
        <f t="shared" si="0"/>
        <v>0</v>
      </c>
    </row>
    <row r="25" spans="1:12" x14ac:dyDescent="0.25">
      <c r="A25" s="16"/>
      <c r="B25" s="17"/>
      <c r="C25" s="17"/>
      <c r="D25" s="13"/>
      <c r="E25" s="17"/>
      <c r="F25" s="17"/>
      <c r="G25" s="18"/>
      <c r="H25" s="19"/>
      <c r="I25" s="114">
        <f t="shared" si="0"/>
        <v>0</v>
      </c>
    </row>
    <row r="26" spans="1:12" x14ac:dyDescent="0.25">
      <c r="A26" s="16"/>
      <c r="B26" s="17"/>
      <c r="C26" s="17"/>
      <c r="D26" s="13"/>
      <c r="E26" s="17"/>
      <c r="F26" s="17"/>
      <c r="G26" s="18"/>
      <c r="H26" s="19"/>
      <c r="I26" s="114">
        <f t="shared" si="0"/>
        <v>0</v>
      </c>
    </row>
    <row r="27" spans="1:12" x14ac:dyDescent="0.25">
      <c r="A27" s="16"/>
      <c r="B27" s="17"/>
      <c r="C27" s="17"/>
      <c r="D27" s="13"/>
      <c r="E27" s="17"/>
      <c r="F27" s="17"/>
      <c r="G27" s="18"/>
      <c r="H27" s="19"/>
      <c r="I27" s="114">
        <f t="shared" si="0"/>
        <v>0</v>
      </c>
    </row>
    <row r="28" spans="1:12" x14ac:dyDescent="0.25">
      <c r="A28" s="16"/>
      <c r="B28" s="17"/>
      <c r="C28" s="17"/>
      <c r="D28" s="13"/>
      <c r="E28" s="17"/>
      <c r="F28" s="17"/>
      <c r="G28" s="18"/>
      <c r="H28" s="19"/>
      <c r="I28" s="114">
        <f t="shared" si="0"/>
        <v>0</v>
      </c>
    </row>
    <row r="29" spans="1:12" x14ac:dyDescent="0.25">
      <c r="A29" s="16"/>
      <c r="B29" s="17"/>
      <c r="C29" s="17"/>
      <c r="D29" s="13"/>
      <c r="E29" s="17"/>
      <c r="F29" s="17"/>
      <c r="G29" s="18"/>
      <c r="H29" s="19"/>
      <c r="I29" s="114">
        <f t="shared" si="0"/>
        <v>0</v>
      </c>
    </row>
    <row r="30" spans="1:12" x14ac:dyDescent="0.25">
      <c r="A30" s="16"/>
      <c r="B30" s="17"/>
      <c r="C30" s="17"/>
      <c r="D30" s="13"/>
      <c r="E30" s="17"/>
      <c r="F30" s="17"/>
      <c r="G30" s="18"/>
      <c r="H30" s="19"/>
      <c r="I30" s="114">
        <f t="shared" si="0"/>
        <v>0</v>
      </c>
    </row>
    <row r="31" spans="1:12" x14ac:dyDescent="0.25">
      <c r="A31" s="16"/>
      <c r="B31" s="17"/>
      <c r="C31" s="17"/>
      <c r="D31" s="13"/>
      <c r="E31" s="17"/>
      <c r="F31" s="17"/>
      <c r="G31" s="18"/>
      <c r="H31" s="19"/>
      <c r="I31" s="114">
        <f t="shared" si="0"/>
        <v>0</v>
      </c>
    </row>
    <row r="32" spans="1:12" x14ac:dyDescent="0.25">
      <c r="A32" s="16"/>
      <c r="B32" s="17"/>
      <c r="C32" s="17"/>
      <c r="D32" s="13"/>
      <c r="E32" s="17"/>
      <c r="F32" s="17"/>
      <c r="G32" s="18"/>
      <c r="H32" s="19"/>
      <c r="I32" s="114">
        <f t="shared" si="0"/>
        <v>0</v>
      </c>
    </row>
    <row r="33" spans="1:9" x14ac:dyDescent="0.25">
      <c r="A33" s="16"/>
      <c r="B33" s="17"/>
      <c r="C33" s="17"/>
      <c r="D33" s="13"/>
      <c r="E33" s="17"/>
      <c r="F33" s="17"/>
      <c r="G33" s="18"/>
      <c r="H33" s="19"/>
      <c r="I33" s="114">
        <f t="shared" si="0"/>
        <v>0</v>
      </c>
    </row>
    <row r="34" spans="1:9" x14ac:dyDescent="0.25">
      <c r="A34" s="16"/>
      <c r="B34" s="17"/>
      <c r="C34" s="17"/>
      <c r="D34" s="13"/>
      <c r="E34" s="17"/>
      <c r="F34" s="17"/>
      <c r="G34" s="18"/>
      <c r="H34" s="19"/>
      <c r="I34" s="114">
        <f t="shared" si="0"/>
        <v>0</v>
      </c>
    </row>
    <row r="35" spans="1:9" x14ac:dyDescent="0.25">
      <c r="A35" s="16"/>
      <c r="B35" s="17"/>
      <c r="C35" s="17"/>
      <c r="D35" s="13"/>
      <c r="E35" s="17"/>
      <c r="F35" s="17"/>
      <c r="G35" s="18"/>
      <c r="H35" s="19"/>
      <c r="I35" s="114">
        <f t="shared" si="0"/>
        <v>0</v>
      </c>
    </row>
    <row r="36" spans="1:9" x14ac:dyDescent="0.25">
      <c r="A36" s="16"/>
      <c r="B36" s="17"/>
      <c r="C36" s="17"/>
      <c r="D36" s="13"/>
      <c r="E36" s="17"/>
      <c r="F36" s="17"/>
      <c r="G36" s="18"/>
      <c r="H36" s="19"/>
      <c r="I36" s="114">
        <f t="shared" si="0"/>
        <v>0</v>
      </c>
    </row>
    <row r="37" spans="1:9" ht="15.75" thickBot="1" x14ac:dyDescent="0.3">
      <c r="A37" s="101"/>
      <c r="B37" s="102"/>
      <c r="C37" s="102"/>
      <c r="D37" s="102"/>
      <c r="E37" s="102"/>
      <c r="F37" s="102"/>
      <c r="G37" s="103"/>
      <c r="H37" s="104"/>
      <c r="I37" s="83"/>
    </row>
    <row r="38" spans="1:9" ht="15.75" thickBot="1" x14ac:dyDescent="0.3">
      <c r="A38" s="80"/>
      <c r="B38" s="81"/>
      <c r="C38" s="81"/>
      <c r="D38" s="81"/>
      <c r="E38" s="82"/>
      <c r="F38" s="77" t="s">
        <v>13</v>
      </c>
      <c r="G38" s="85">
        <f>SUM(G21:G37)</f>
        <v>856</v>
      </c>
      <c r="H38" s="76" t="s">
        <v>43</v>
      </c>
      <c r="I38" s="84">
        <f>SUM(I21:I36)</f>
        <v>2345</v>
      </c>
    </row>
    <row r="39" spans="1:9" x14ac:dyDescent="0.25">
      <c r="A39" s="78" t="s">
        <v>14</v>
      </c>
      <c r="B39" s="65">
        <f>'Packing List'!P30</f>
        <v>148.11999999999998</v>
      </c>
      <c r="C39" s="86"/>
      <c r="D39" s="87"/>
      <c r="E39" s="88"/>
      <c r="F39" s="87"/>
      <c r="G39" s="86"/>
      <c r="H39" s="87"/>
      <c r="I39" s="89"/>
    </row>
    <row r="40" spans="1:9" ht="15.75" thickBot="1" x14ac:dyDescent="0.3">
      <c r="A40" s="79" t="s">
        <v>15</v>
      </c>
      <c r="B40" s="66">
        <f>'Packing List'!Q30</f>
        <v>129.44999999999999</v>
      </c>
      <c r="C40" s="90"/>
      <c r="D40" s="55"/>
      <c r="E40" s="91"/>
      <c r="F40" s="81"/>
      <c r="G40" s="92"/>
      <c r="H40" s="81"/>
      <c r="I40" s="93"/>
    </row>
    <row r="41" spans="1:9" x14ac:dyDescent="0.25">
      <c r="A41" s="182"/>
      <c r="B41" s="183"/>
      <c r="C41" s="183"/>
      <c r="D41" s="183"/>
      <c r="E41" s="183"/>
      <c r="F41" s="183"/>
      <c r="G41" s="183"/>
      <c r="H41" s="183"/>
      <c r="I41" s="184"/>
    </row>
    <row r="42" spans="1:9" ht="21" x14ac:dyDescent="0.35">
      <c r="A42" s="196" t="str">
        <f>IF(OR(
   AND(
      F8="KDC20 c/o Bleckmann
Industrieweg 38 C
2280 Grobbendonk
Belgium
Koen Verhoeven
customercare.kith.grobbendonk@bleckmann.com",
      ISNUMBER(MATCH(F21, {"Bangladesh","BD","Cambodia","KH","India","IN","Indonesia","ID","Japan","JP","Mexico","MX","Myanmar","MM","Philippines","PH","United Kingdom","UK","GB"}, 0))
   ),
   AND(
      F8="KDC30 c/o Bleckmann UK Ltd
Plot MPN1 Westland Way
Magna Park, Lutterworth LE17 4UE
United Kingdom
Mark Gamberini
mark.gamberini@bleckmann.com, goodsin.uk4@bleckmann.com",
      ISNUMBER(MATCH(F21, {"Bangladesh","BD","Cambodia","KH","India","IN","Indonesia","ID","Japan","JP","Myanmar","MM","Philippines","PH","Turkey","TR","Austria","AT","Belgium","BE","Bulgaria","BG","Croatia","HR","Cyprus","CY","Czech Republic","CZ","Denmark","DK","Estonia","EE","Finland","FI","France","FR","Germany","DE","Greece","GR","Hungary","HU","Ireland","IE","Italy","IT","Latvia","LV","Lithuania","LT","Luxembourg","LU","Malta","MT","Netherlands","NL","Poland","PL","Portugal","PT","Romania","RO","Slovakia","SK","Slovenia","SI","Spain","ES","Sweden","SE"}, 0))
   ),
   AND(
      F8="KDC70 c/o Bergen Logistics
3925 Steelers Ave E
Brampton, ON L6T 5W5
Canada
Shane Francis
3925canada@bergenlogistics.com",
      ISNUMBER(MATCH(F21, {"United Kingdom","UK","GB","Austria","AT","Belgium","BE","Bulgaria","BG","Croatia","HR","Cyprus","CY","Czech Republic","CZ","Denmark","DK","Estonia","EE","Finland","FI","France","FR","Germany","DE","Greece","GR","Hungary","HU","Ireland","IE","Italy","IT","Latvia","LV","Lithuania","LT","Luxembourg","LU","Malta","MT","Netherlands","NL","Poland","PL","Portugal","PT","Romania","RO","Slovakia","SK","Slovenia","SI","Spain","ES","Sweden","SE"}, 0))
   ),
   AND(
      F8="K71 Toronto
78 Yorkville Ave
Toronto, ON M5R 1B9
Canada
Jon Valdez 
647-761-2859
jon.valdez@kithnyc.com",
      ISNUMBER(MATCH(F21, {"United Kingdom","UK","GB","Austria","AT","Belgium","BE","Bulgaria","BG","Croatia","HR","Cyprus","CY","Czech Republic","CZ","Denmark","DK","Estonia","EE","Finland","FI","France","FR","Germany","DE","Greece","GR","Hungary","HU","Ireland","IE","Italy","IT","Latvia","LV","Lithuania","LT","Luxembourg","LU","Malta","MT","Netherlands","NL","Poland","PL","Portugal","PT","Romania","RO","Slovakia","SK","Slovenia","SI","Spain","ES","Sweden","SE"}, 0))
   )
),
"IF APPLICABLE - ENTER PREFERENTIAL ORIGIN DECLARATION HERE", "")</f>
        <v/>
      </c>
      <c r="B42" s="197"/>
      <c r="C42" s="197"/>
      <c r="D42" s="197"/>
      <c r="E42" s="197"/>
      <c r="F42" s="197"/>
      <c r="G42" s="197"/>
      <c r="H42" s="197"/>
      <c r="I42" s="198"/>
    </row>
    <row r="43" spans="1:9" x14ac:dyDescent="0.25">
      <c r="A43" s="172" t="s">
        <v>16</v>
      </c>
      <c r="B43" s="173"/>
      <c r="C43" s="173"/>
      <c r="D43" s="173"/>
      <c r="E43" s="173"/>
      <c r="F43" s="173"/>
      <c r="G43" s="173"/>
      <c r="H43" s="173"/>
      <c r="I43" s="174"/>
    </row>
    <row r="44" spans="1:9" x14ac:dyDescent="0.25">
      <c r="A44" s="94"/>
      <c r="B44" s="67"/>
      <c r="C44" s="67"/>
      <c r="D44" s="67"/>
      <c r="E44" s="67"/>
      <c r="F44" s="67"/>
      <c r="G44" s="67"/>
      <c r="H44" s="67"/>
      <c r="I44" s="68"/>
    </row>
    <row r="45" spans="1:9" x14ac:dyDescent="0.25">
      <c r="A45" s="94"/>
      <c r="B45" s="67"/>
      <c r="C45" s="67"/>
      <c r="D45" s="67"/>
      <c r="E45" s="67"/>
      <c r="F45" s="67"/>
      <c r="G45" s="67"/>
      <c r="H45" s="67"/>
      <c r="I45" s="68"/>
    </row>
    <row r="46" spans="1:9" x14ac:dyDescent="0.25">
      <c r="A46" s="95"/>
      <c r="B46" s="96" t="s">
        <v>17</v>
      </c>
      <c r="C46" s="96"/>
      <c r="D46" s="81"/>
      <c r="E46" s="81"/>
      <c r="F46" s="81"/>
      <c r="G46" s="81"/>
      <c r="H46" s="81"/>
      <c r="I46" s="97"/>
    </row>
    <row r="47" spans="1:9" x14ac:dyDescent="0.25">
      <c r="A47" s="169" t="s">
        <v>18</v>
      </c>
      <c r="B47" s="170"/>
      <c r="C47" s="170"/>
      <c r="D47" s="170"/>
      <c r="E47" s="170"/>
      <c r="F47" s="170"/>
      <c r="G47" s="170"/>
      <c r="H47" s="170"/>
      <c r="I47" s="171"/>
    </row>
    <row r="48" spans="1:9" ht="15.75" thickBot="1" x14ac:dyDescent="0.3">
      <c r="A48" s="98"/>
      <c r="B48" s="99"/>
      <c r="C48" s="99"/>
      <c r="D48" s="99"/>
      <c r="E48" s="99"/>
      <c r="F48" s="99"/>
      <c r="G48" s="99"/>
      <c r="H48" s="99"/>
      <c r="I48" s="100"/>
    </row>
  </sheetData>
  <sheetProtection algorithmName="SHA-512" hashValue="dDpE1R0Mpxcz2DuqL4SlRCbrxYtc5TL3lEZXC6hgX2rKvWc1ZhpLtoch8zQ6/z1fLRRyiXwmb2HDpsZKL5e4Ew==" saltValue="usF9S7VAxmJLtBPlVpFb+w==" spinCount="100000" sheet="1" formatColumns="0" insertRows="0" insertHyperlinks="0" sort="0" autoFilter="0" pivotTables="0"/>
  <autoFilter ref="A20:I20"/>
  <mergeCells count="30">
    <mergeCell ref="A1:I1"/>
    <mergeCell ref="A47:I47"/>
    <mergeCell ref="A43:I43"/>
    <mergeCell ref="D7:E7"/>
    <mergeCell ref="F7:I7"/>
    <mergeCell ref="A18:B18"/>
    <mergeCell ref="D14:E14"/>
    <mergeCell ref="A41:I41"/>
    <mergeCell ref="F14:I14"/>
    <mergeCell ref="A17:B17"/>
    <mergeCell ref="A19:B19"/>
    <mergeCell ref="A15:B15"/>
    <mergeCell ref="A14:B14"/>
    <mergeCell ref="A7:B7"/>
    <mergeCell ref="A16:B16"/>
    <mergeCell ref="A42:I42"/>
    <mergeCell ref="H5:I5"/>
    <mergeCell ref="H6:I6"/>
    <mergeCell ref="F5:G5"/>
    <mergeCell ref="F6:G6"/>
    <mergeCell ref="A2:I2"/>
    <mergeCell ref="A3:I3"/>
    <mergeCell ref="A4:I4"/>
    <mergeCell ref="A5:B5"/>
    <mergeCell ref="C15:C19"/>
    <mergeCell ref="D15:E19"/>
    <mergeCell ref="F15:I19"/>
    <mergeCell ref="D8:E13"/>
    <mergeCell ref="A6:B6"/>
    <mergeCell ref="F8:I13"/>
  </mergeCells>
  <conditionalFormatting sqref="A6:B6">
    <cfRule type="expression" dxfId="100" priority="51">
      <formula>ISBLANK($A$6)</formula>
    </cfRule>
  </conditionalFormatting>
  <conditionalFormatting sqref="A21:H36">
    <cfRule type="expression" dxfId="99" priority="29">
      <formula>ISBLANK($A$21:$H$21)</formula>
    </cfRule>
  </conditionalFormatting>
  <conditionalFormatting sqref="A42:I42">
    <cfRule type="expression" dxfId="98" priority="52">
      <formula>$A$42&lt;&gt;""</formula>
    </cfRule>
  </conditionalFormatting>
  <conditionalFormatting sqref="B13">
    <cfRule type="expression" dxfId="97" priority="32">
      <formula>ISBLANK($B$13)</formula>
    </cfRule>
  </conditionalFormatting>
  <conditionalFormatting sqref="C6">
    <cfRule type="expression" dxfId="96" priority="50">
      <formula>ISBLANK($C$6)</formula>
    </cfRule>
  </conditionalFormatting>
  <conditionalFormatting sqref="D6">
    <cfRule type="expression" dxfId="95" priority="49">
      <formula>ISBLANK($D$6)</formula>
    </cfRule>
  </conditionalFormatting>
  <conditionalFormatting sqref="E6">
    <cfRule type="expression" dxfId="94" priority="30">
      <formula>ISBLANK($E$6)</formula>
    </cfRule>
  </conditionalFormatting>
  <conditionalFormatting sqref="F6:G6">
    <cfRule type="expression" dxfId="93" priority="47">
      <formula>ISBLANK($F$6)</formula>
    </cfRule>
  </conditionalFormatting>
  <conditionalFormatting sqref="H6:I6">
    <cfRule type="expression" dxfId="92" priority="28">
      <formula>ISBLANK($H$6)</formula>
    </cfRule>
  </conditionalFormatting>
  <conditionalFormatting sqref="B8">
    <cfRule type="expression" dxfId="91" priority="21">
      <formula>ISBLANK($B$8)</formula>
    </cfRule>
  </conditionalFormatting>
  <conditionalFormatting sqref="B9">
    <cfRule type="expression" dxfId="90" priority="20">
      <formula>ISBLANK($B$9)</formula>
    </cfRule>
  </conditionalFormatting>
  <conditionalFormatting sqref="B10">
    <cfRule type="expression" dxfId="89" priority="19">
      <formula>ISBLANK($B$10)</formula>
    </cfRule>
  </conditionalFormatting>
  <conditionalFormatting sqref="B11">
    <cfRule type="expression" dxfId="88" priority="18">
      <formula>ISBLANK($B$11)</formula>
    </cfRule>
  </conditionalFormatting>
  <conditionalFormatting sqref="B12">
    <cfRule type="expression" dxfId="87" priority="17">
      <formula>ISBLANK($B$12)</formula>
    </cfRule>
  </conditionalFormatting>
  <conditionalFormatting sqref="A15:B15">
    <cfRule type="expression" dxfId="86" priority="16">
      <formula>ISBLANK($A$15)</formula>
    </cfRule>
  </conditionalFormatting>
  <conditionalFormatting sqref="C8">
    <cfRule type="expression" dxfId="85" priority="8">
      <formula>ISBLANK($C$8)</formula>
    </cfRule>
  </conditionalFormatting>
  <conditionalFormatting sqref="C9">
    <cfRule type="expression" dxfId="84" priority="7">
      <formula>ISBLANK($C$9)</formula>
    </cfRule>
  </conditionalFormatting>
  <conditionalFormatting sqref="C10">
    <cfRule type="expression" dxfId="83" priority="6">
      <formula>ISBLANK($C$10)</formula>
    </cfRule>
  </conditionalFormatting>
  <conditionalFormatting sqref="C11">
    <cfRule type="expression" dxfId="82" priority="5">
      <formula>ISBLANK($C$11)</formula>
    </cfRule>
  </conditionalFormatting>
  <conditionalFormatting sqref="C12">
    <cfRule type="expression" dxfId="81" priority="4">
      <formula>ISBLANK($C$12)</formula>
    </cfRule>
  </conditionalFormatting>
  <conditionalFormatting sqref="C13">
    <cfRule type="expression" dxfId="80" priority="3">
      <formula>ISBLANK($C$13)</formula>
    </cfRule>
  </conditionalFormatting>
  <conditionalFormatting sqref="F8:I13">
    <cfRule type="expression" dxfId="79" priority="1">
      <formula>ISBLANK($F$8)</formula>
    </cfRule>
  </conditionalFormatting>
  <dataValidations count="1">
    <dataValidation type="list" allowBlank="1" showInputMessage="1" showErrorMessage="1" sqref="F6:G6">
      <formula1>"AIR,OCEAN,SMALL PARCEL"</formula1>
    </dataValidation>
  </dataValidations>
  <printOptions horizontalCentered="1" verticalCentered="1"/>
  <pageMargins left="0.11811023622047245" right="0.11811023622047245" top="0.35433070866141736" bottom="0.35433070866141736" header="0" footer="0"/>
  <pageSetup scale="62"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5" operator="containsText" id="{B33885E0-1AF3-4A32-A53E-5BE3A83E4CDA}">
            <xm:f>NOT(ISERROR(SEARCH("COMPANY NAME",C8)))</xm:f>
            <xm:f>"COMPANY NAME"</xm:f>
            <x14:dxf>
              <fill>
                <patternFill>
                  <bgColor rgb="FFFFFF00"/>
                </patternFill>
              </fill>
            </x14:dxf>
          </x14:cfRule>
          <xm:sqref>C8</xm:sqref>
        </x14:conditionalFormatting>
        <x14:conditionalFormatting xmlns:xm="http://schemas.microsoft.com/office/excel/2006/main">
          <x14:cfRule type="containsText" priority="14" operator="containsText" id="{75B96D17-248D-4591-A893-47B68893D849}">
            <xm:f>NOT(ISERROR(SEARCH("ADDRESS",C9)))</xm:f>
            <xm:f>"ADDRESS"</xm:f>
            <x14:dxf>
              <fill>
                <patternFill>
                  <bgColor rgb="FFFFFF00"/>
                </patternFill>
              </fill>
            </x14:dxf>
          </x14:cfRule>
          <xm:sqref>C9</xm:sqref>
        </x14:conditionalFormatting>
        <x14:conditionalFormatting xmlns:xm="http://schemas.microsoft.com/office/excel/2006/main">
          <x14:cfRule type="containsText" priority="12" operator="containsText" id="{3533A8E3-ED63-4238-9E5A-28CA0F8381CD}">
            <xm:f>NOT(ISERROR(SEARCH("CITY, STATE, ZIP/POSTAL",C10)))</xm:f>
            <xm:f>"CITY, STATE, ZIP/POSTAL"</xm:f>
            <x14:dxf>
              <fill>
                <patternFill>
                  <bgColor rgb="FFFFFF00"/>
                </patternFill>
              </fill>
            </x14:dxf>
          </x14:cfRule>
          <x14:cfRule type="containsText" priority="13" operator="containsText" id="{EF2F04B7-E175-45B9-8C41-CECB6B1B2F85}">
            <xm:f>NOT(ISERROR(SEARCH("CITY, STATE, ZIP/POSTAL",C10)))</xm:f>
            <xm:f>"CITY, STATE, ZIP/POSTAL"</xm:f>
            <x14:dxf/>
          </x14:cfRule>
          <xm:sqref>C10</xm:sqref>
        </x14:conditionalFormatting>
        <x14:conditionalFormatting xmlns:xm="http://schemas.microsoft.com/office/excel/2006/main">
          <x14:cfRule type="containsText" priority="11" operator="containsText" id="{F200FC81-9027-4736-A70A-282A1C8E6200}">
            <xm:f>NOT(ISERROR(SEARCH("COUNTRY",C11)))</xm:f>
            <xm:f>"COUNTRY"</xm:f>
            <x14:dxf>
              <fill>
                <patternFill>
                  <bgColor rgb="FFFFFF00"/>
                </patternFill>
              </fill>
            </x14:dxf>
          </x14:cfRule>
          <xm:sqref>C11</xm:sqref>
        </x14:conditionalFormatting>
        <x14:conditionalFormatting xmlns:xm="http://schemas.microsoft.com/office/excel/2006/main">
          <x14:cfRule type="containsText" priority="10" operator="containsText" id="{900753E1-A78B-45C9-A953-5AC97AA81B9D}">
            <xm:f>NOT(ISERROR(SEARCH("CONTACT PERSON",C12)))</xm:f>
            <xm:f>"CONTACT PERSON"</xm:f>
            <x14:dxf>
              <fill>
                <patternFill>
                  <bgColor rgb="FFFFFF00"/>
                </patternFill>
              </fill>
            </x14:dxf>
          </x14:cfRule>
          <xm:sqref>C12</xm:sqref>
        </x14:conditionalFormatting>
        <x14:conditionalFormatting xmlns:xm="http://schemas.microsoft.com/office/excel/2006/main">
          <x14:cfRule type="containsText" priority="9" operator="containsText" id="{49B1749D-72DF-457D-86D6-B119038CDA7E}">
            <xm:f>NOT(ISERROR(SEARCH("EMAIL/PHONE",C13)))</xm:f>
            <xm:f>"EMAIL/PHONE"</xm:f>
            <x14:dxf>
              <fill>
                <patternFill>
                  <bgColor rgb="FFFFFF00"/>
                </patternFill>
              </fill>
            </x14:dxf>
          </x14:cfRule>
          <xm:sqref>C13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'Data Validation'!$A$8:$A$11</xm:f>
          </x14:formula1>
          <xm:sqref>D6</xm:sqref>
        </x14:dataValidation>
        <x14:dataValidation type="list" allowBlank="1" showInputMessage="1" showErrorMessage="1">
          <x14:formula1>
            <xm:f>'Data Validation'!$C$18:$C$35</xm:f>
          </x14:formula1>
          <xm:sqref>F8:I13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80"/>
  <sheetViews>
    <sheetView topLeftCell="D1" zoomScale="70" zoomScaleNormal="70" workbookViewId="0">
      <selection activeCell="T13" sqref="T13:T28"/>
    </sheetView>
  </sheetViews>
  <sheetFormatPr defaultColWidth="12.625" defaultRowHeight="15" x14ac:dyDescent="0.25"/>
  <cols>
    <col min="1" max="1" width="18.5" style="1" customWidth="1"/>
    <col min="2" max="2" width="18.625" style="1" customWidth="1"/>
    <col min="3" max="3" width="21" style="1" customWidth="1"/>
    <col min="4" max="4" width="16.25" style="1" customWidth="1"/>
    <col min="5" max="5" width="20.125" style="1" customWidth="1"/>
    <col min="6" max="6" width="45.375" style="1" customWidth="1"/>
    <col min="7" max="13" width="6.75" style="1" customWidth="1"/>
    <col min="14" max="14" width="16.5" style="1" customWidth="1"/>
    <col min="15" max="15" width="11.875" style="1" customWidth="1"/>
    <col min="16" max="16" width="19.625" style="1" customWidth="1"/>
    <col min="17" max="17" width="15.125" style="1" customWidth="1"/>
    <col min="18" max="18" width="18.875" style="1" customWidth="1"/>
    <col min="19" max="25" width="8.125" style="1" customWidth="1"/>
    <col min="26" max="16384" width="12.625" style="1"/>
  </cols>
  <sheetData>
    <row r="1" spans="1:26" ht="43.5" x14ac:dyDescent="0.25">
      <c r="A1" s="211" t="str">
        <f>Invoice!A1</f>
        <v>CONTINENT8 PTE LTD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3"/>
      <c r="S1" s="23"/>
      <c r="T1" s="23"/>
      <c r="U1" s="23"/>
      <c r="V1" s="23"/>
      <c r="W1" s="23"/>
      <c r="X1" s="23"/>
      <c r="Y1" s="23"/>
      <c r="Z1" s="23"/>
    </row>
    <row r="2" spans="1:26" ht="17.25" x14ac:dyDescent="0.25">
      <c r="A2" s="214" t="str">
        <f>Invoice!A2</f>
        <v>00 TAMPINES AVENUE# 09-02, INCOME AT TAMPINES JUNCTION, SINGAPORE 529693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10"/>
      <c r="S2" s="23"/>
      <c r="T2" s="23"/>
      <c r="U2" s="23"/>
      <c r="V2" s="23"/>
      <c r="W2" s="23"/>
      <c r="X2" s="23"/>
      <c r="Y2" s="23"/>
      <c r="Z2" s="23"/>
    </row>
    <row r="3" spans="1:26" ht="18" thickBot="1" x14ac:dyDescent="0.3">
      <c r="A3" s="215" t="str">
        <f>Invoice!A3</f>
        <v>PHONE : 6221 30205577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216"/>
      <c r="S3" s="23"/>
      <c r="T3" s="23"/>
      <c r="U3" s="23"/>
      <c r="V3" s="23"/>
      <c r="W3" s="23"/>
      <c r="X3" s="23"/>
      <c r="Y3" s="23"/>
      <c r="Z3" s="23"/>
    </row>
    <row r="4" spans="1:26" ht="15.75" thickBot="1" x14ac:dyDescent="0.3">
      <c r="A4" s="217"/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9"/>
      <c r="S4" s="23"/>
      <c r="T4" s="23"/>
      <c r="U4" s="24"/>
      <c r="V4" s="23"/>
      <c r="W4" s="33"/>
      <c r="X4" s="32"/>
      <c r="Y4" s="32"/>
      <c r="Z4" s="23"/>
    </row>
    <row r="5" spans="1:26" ht="15.75" thickBot="1" x14ac:dyDescent="0.3">
      <c r="A5" s="220" t="s">
        <v>19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2"/>
      <c r="S5" s="23"/>
      <c r="T5" s="23"/>
      <c r="U5" s="24"/>
      <c r="V5" s="23"/>
      <c r="W5" s="32"/>
      <c r="X5" s="32"/>
      <c r="Y5" s="32"/>
      <c r="Z5" s="23"/>
    </row>
    <row r="6" spans="1:26" ht="15.75" thickBot="1" x14ac:dyDescent="0.3">
      <c r="A6" s="208"/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10"/>
      <c r="S6" s="23"/>
      <c r="T6" s="23"/>
      <c r="U6" s="24"/>
      <c r="V6" s="23"/>
      <c r="W6" s="32"/>
      <c r="X6" s="32"/>
      <c r="Y6" s="32"/>
      <c r="Z6" s="23"/>
    </row>
    <row r="7" spans="1:26" ht="15.75" thickBot="1" x14ac:dyDescent="0.3">
      <c r="A7" s="58" t="str">
        <f>Invoice!A7</f>
        <v>MANUFACTURER</v>
      </c>
      <c r="B7" s="59"/>
      <c r="C7" s="59"/>
      <c r="D7" s="59"/>
      <c r="E7" s="60"/>
      <c r="F7" s="61" t="str">
        <f>Invoice!F7</f>
        <v>RECEIVER</v>
      </c>
      <c r="G7" s="62"/>
      <c r="H7" s="63"/>
      <c r="I7" s="63"/>
      <c r="J7" s="63"/>
      <c r="K7" s="63"/>
      <c r="L7" s="63"/>
      <c r="M7" s="63"/>
      <c r="N7" s="63"/>
      <c r="O7" s="64"/>
      <c r="P7" s="52" t="s">
        <v>20</v>
      </c>
      <c r="Q7" s="206" t="str">
        <f>IF(Invoice!A6=0, "", Invoice!A6)</f>
        <v>0417/E/NAG/0726</v>
      </c>
      <c r="R7" s="207"/>
      <c r="S7" s="23"/>
      <c r="T7" s="23"/>
      <c r="U7" s="24"/>
      <c r="V7" s="23"/>
      <c r="W7" s="32"/>
      <c r="X7" s="32"/>
      <c r="Y7" s="32"/>
      <c r="Z7" s="23"/>
    </row>
    <row r="8" spans="1:26" ht="15.75" thickBot="1" x14ac:dyDescent="0.3">
      <c r="A8" s="45" t="str">
        <f>IF(Invoice!B8=0, "", Invoice!B8)</f>
        <v>PT NIRWANA ALABARE GARMENT</v>
      </c>
      <c r="B8" s="46"/>
      <c r="C8" s="47"/>
      <c r="D8" s="47"/>
      <c r="E8" s="47"/>
      <c r="F8" s="199" t="str">
        <f>IF(Invoice!F8=0, "", Invoice!F8)</f>
        <v>KDC4 c/o Omlog USA
1000 Rand Blvd., Building 3
Phillipsburg, NJ, 08865
Carmen Amodio
201-552-7208
Carmen.Amodio@omlog.com</v>
      </c>
      <c r="G8" s="200"/>
      <c r="H8" s="200"/>
      <c r="I8" s="200"/>
      <c r="J8" s="200"/>
      <c r="K8" s="200"/>
      <c r="L8" s="200"/>
      <c r="M8" s="200"/>
      <c r="N8" s="200"/>
      <c r="O8" s="201"/>
      <c r="P8" s="48"/>
      <c r="Q8" s="51"/>
      <c r="R8" s="56"/>
      <c r="S8" s="23"/>
      <c r="T8" s="23"/>
      <c r="U8" s="24"/>
      <c r="V8" s="23"/>
      <c r="W8" s="32"/>
      <c r="X8" s="32"/>
      <c r="Y8" s="32"/>
      <c r="Z8" s="23"/>
    </row>
    <row r="9" spans="1:26" ht="15.75" thickBot="1" x14ac:dyDescent="0.3">
      <c r="A9" s="49" t="str">
        <f>IF(Invoice!B9=0, "", Invoice!B9)</f>
        <v>JL RAYA RANCAEKEK MAJALAYA, 289, SOLOKANJERUK,</v>
      </c>
      <c r="B9" s="50"/>
      <c r="C9" s="51"/>
      <c r="D9" s="51"/>
      <c r="E9" s="51"/>
      <c r="F9" s="202"/>
      <c r="G9" s="134"/>
      <c r="H9" s="134"/>
      <c r="I9" s="134"/>
      <c r="J9" s="134"/>
      <c r="K9" s="134"/>
      <c r="L9" s="134"/>
      <c r="M9" s="134"/>
      <c r="N9" s="134"/>
      <c r="O9" s="134"/>
      <c r="P9" s="52" t="s">
        <v>21</v>
      </c>
      <c r="Q9" s="57">
        <f>IF(Invoice!C6=0, "", Invoice!C6)</f>
        <v>46219</v>
      </c>
      <c r="R9" s="44"/>
      <c r="S9" s="23"/>
      <c r="T9" s="23"/>
      <c r="U9" s="24"/>
      <c r="V9" s="23"/>
      <c r="W9" s="32"/>
      <c r="X9" s="32"/>
      <c r="Y9" s="32"/>
      <c r="Z9" s="23"/>
    </row>
    <row r="10" spans="1:26" ht="15.75" thickBot="1" x14ac:dyDescent="0.3">
      <c r="A10" s="49" t="str">
        <f>IF(Invoice!B10=0, "", Invoice!B10)</f>
        <v>BANDUNG</v>
      </c>
      <c r="B10" s="50"/>
      <c r="C10" s="51"/>
      <c r="D10" s="51"/>
      <c r="E10" s="51"/>
      <c r="F10" s="202"/>
      <c r="G10" s="134"/>
      <c r="H10" s="134"/>
      <c r="I10" s="134"/>
      <c r="J10" s="134"/>
      <c r="K10" s="134"/>
      <c r="L10" s="134"/>
      <c r="M10" s="134"/>
      <c r="N10" s="134"/>
      <c r="O10" s="203"/>
      <c r="P10" s="48"/>
      <c r="Q10" s="51"/>
      <c r="R10" s="56"/>
      <c r="S10" s="20"/>
      <c r="T10" s="23"/>
      <c r="U10" s="24"/>
      <c r="V10" s="23"/>
      <c r="W10" s="32"/>
      <c r="X10" s="32"/>
      <c r="Y10" s="32"/>
      <c r="Z10" s="23"/>
    </row>
    <row r="11" spans="1:26" ht="15.75" thickBot="1" x14ac:dyDescent="0.3">
      <c r="A11" s="49" t="str">
        <f>IF(Invoice!B11=0, "", Invoice!B11)</f>
        <v>INDONESIA</v>
      </c>
      <c r="B11" s="50"/>
      <c r="C11" s="51"/>
      <c r="D11" s="51"/>
      <c r="E11" s="51"/>
      <c r="F11" s="202"/>
      <c r="G11" s="134"/>
      <c r="H11" s="134"/>
      <c r="I11" s="134"/>
      <c r="J11" s="134"/>
      <c r="K11" s="134"/>
      <c r="L11" s="134"/>
      <c r="M11" s="134"/>
      <c r="N11" s="134"/>
      <c r="O11" s="134"/>
      <c r="P11" s="52" t="s">
        <v>22</v>
      </c>
      <c r="Q11" s="109">
        <f>IF(P30=0, "", P30)</f>
        <v>148.11999999999998</v>
      </c>
      <c r="R11" s="44"/>
      <c r="S11" s="23"/>
      <c r="T11" s="23"/>
      <c r="U11" s="24"/>
      <c r="V11" s="23"/>
      <c r="W11" s="32"/>
      <c r="X11" s="32"/>
      <c r="Y11" s="32"/>
      <c r="Z11" s="23"/>
    </row>
    <row r="12" spans="1:26" ht="15.75" thickBot="1" x14ac:dyDescent="0.3">
      <c r="A12" s="49" t="str">
        <f>IF(Invoice!B12=0, "", Invoice!B12)</f>
        <v>NENG KURNIA / YULIA VIRA</v>
      </c>
      <c r="B12" s="50"/>
      <c r="C12" s="51"/>
      <c r="D12" s="51"/>
      <c r="E12" s="51"/>
      <c r="F12" s="202"/>
      <c r="G12" s="134"/>
      <c r="H12" s="134"/>
      <c r="I12" s="134"/>
      <c r="J12" s="134"/>
      <c r="K12" s="134"/>
      <c r="L12" s="134"/>
      <c r="M12" s="134"/>
      <c r="N12" s="134"/>
      <c r="O12" s="203"/>
      <c r="P12" s="53"/>
      <c r="Q12" s="51"/>
      <c r="R12" s="56"/>
      <c r="S12" s="23"/>
      <c r="T12" s="23"/>
      <c r="U12" s="24"/>
      <c r="V12" s="23"/>
      <c r="W12" s="32"/>
      <c r="X12" s="32"/>
      <c r="Y12" s="32"/>
      <c r="Z12" s="23"/>
    </row>
    <row r="13" spans="1:26" ht="15.75" thickBot="1" x14ac:dyDescent="0.3">
      <c r="A13" s="54" t="str">
        <f>IF(Invoice!B13=0, "", Invoice!B13)</f>
        <v>022 8596-2076</v>
      </c>
      <c r="B13" s="50"/>
      <c r="C13" s="55"/>
      <c r="D13" s="55"/>
      <c r="E13" s="55"/>
      <c r="F13" s="204"/>
      <c r="G13" s="205"/>
      <c r="H13" s="205"/>
      <c r="I13" s="205"/>
      <c r="J13" s="205"/>
      <c r="K13" s="205"/>
      <c r="L13" s="205"/>
      <c r="M13" s="205"/>
      <c r="N13" s="205"/>
      <c r="O13" s="205"/>
      <c r="P13" s="52" t="s">
        <v>23</v>
      </c>
      <c r="Q13" s="109">
        <f>IF(Q30=0, "", Q30)</f>
        <v>129.44999999999999</v>
      </c>
      <c r="R13" s="44"/>
      <c r="S13" s="23"/>
      <c r="T13" s="23"/>
      <c r="U13" s="24"/>
      <c r="V13" s="23"/>
      <c r="W13" s="32"/>
      <c r="X13" s="32"/>
      <c r="Y13" s="32"/>
      <c r="Z13" s="23"/>
    </row>
    <row r="14" spans="1:26" ht="26.25" thickBot="1" x14ac:dyDescent="0.3">
      <c r="A14" s="40" t="s">
        <v>24</v>
      </c>
      <c r="B14" s="41" t="s">
        <v>25</v>
      </c>
      <c r="C14" s="41" t="s">
        <v>3</v>
      </c>
      <c r="D14" s="41" t="s">
        <v>4</v>
      </c>
      <c r="E14" s="41" t="s">
        <v>5</v>
      </c>
      <c r="F14" s="41" t="s">
        <v>6</v>
      </c>
      <c r="G14" s="110" t="s">
        <v>26</v>
      </c>
      <c r="H14" s="111" t="s">
        <v>27</v>
      </c>
      <c r="I14" s="111" t="s">
        <v>28</v>
      </c>
      <c r="J14" s="111" t="s">
        <v>29</v>
      </c>
      <c r="K14" s="111" t="s">
        <v>30</v>
      </c>
      <c r="L14" s="111" t="s">
        <v>31</v>
      </c>
      <c r="M14" s="111" t="s">
        <v>32</v>
      </c>
      <c r="N14" s="41" t="s">
        <v>33</v>
      </c>
      <c r="O14" s="41" t="s">
        <v>34</v>
      </c>
      <c r="P14" s="42" t="s">
        <v>35</v>
      </c>
      <c r="Q14" s="41" t="s">
        <v>36</v>
      </c>
      <c r="R14" s="43" t="s">
        <v>37</v>
      </c>
      <c r="S14" s="23"/>
      <c r="T14" s="23"/>
      <c r="U14" s="24"/>
      <c r="V14" s="23"/>
      <c r="W14" s="23"/>
      <c r="X14" s="23"/>
      <c r="Y14" s="23"/>
      <c r="Z14" s="23"/>
    </row>
    <row r="15" spans="1:26" ht="15.75" x14ac:dyDescent="0.25">
      <c r="A15" s="120">
        <v>1</v>
      </c>
      <c r="B15" s="121" t="s">
        <v>138</v>
      </c>
      <c r="C15" s="121">
        <v>115154</v>
      </c>
      <c r="D15" s="121" t="s">
        <v>130</v>
      </c>
      <c r="E15" s="121" t="s">
        <v>131</v>
      </c>
      <c r="F15" s="121" t="s">
        <v>132</v>
      </c>
      <c r="G15" s="34"/>
      <c r="H15" s="34"/>
      <c r="I15" s="34"/>
      <c r="J15" s="34">
        <v>71</v>
      </c>
      <c r="K15" s="34"/>
      <c r="L15" s="34"/>
      <c r="M15" s="34"/>
      <c r="N15" s="34">
        <f t="shared" ref="N15:N24" si="0">SUM(G15:M15)</f>
        <v>71</v>
      </c>
      <c r="O15" s="121">
        <v>1</v>
      </c>
      <c r="P15" s="119">
        <v>10.92</v>
      </c>
      <c r="Q15" s="119">
        <v>9.61</v>
      </c>
      <c r="R15" s="122" t="s">
        <v>133</v>
      </c>
      <c r="S15" s="23"/>
      <c r="T15" s="23"/>
      <c r="U15" s="24"/>
      <c r="V15" s="23"/>
      <c r="W15" s="23"/>
      <c r="X15" s="23"/>
      <c r="Y15" s="23"/>
      <c r="Z15" s="23"/>
    </row>
    <row r="16" spans="1:26" ht="15.75" x14ac:dyDescent="0.25">
      <c r="A16" s="120">
        <v>2</v>
      </c>
      <c r="B16" s="121" t="s">
        <v>138</v>
      </c>
      <c r="C16" s="121">
        <v>115154</v>
      </c>
      <c r="D16" s="121" t="s">
        <v>130</v>
      </c>
      <c r="E16" s="121" t="s">
        <v>131</v>
      </c>
      <c r="F16" s="121" t="s">
        <v>132</v>
      </c>
      <c r="G16" s="34"/>
      <c r="H16" s="34"/>
      <c r="I16" s="34"/>
      <c r="J16" s="34"/>
      <c r="K16" s="34">
        <v>80</v>
      </c>
      <c r="L16" s="34"/>
      <c r="M16" s="34"/>
      <c r="N16" s="34">
        <f t="shared" si="0"/>
        <v>80</v>
      </c>
      <c r="O16" s="123">
        <v>1</v>
      </c>
      <c r="P16" s="119">
        <v>12.46</v>
      </c>
      <c r="Q16" s="119">
        <v>11.15</v>
      </c>
      <c r="R16" s="122" t="s">
        <v>133</v>
      </c>
      <c r="S16" s="23"/>
      <c r="T16" s="23"/>
      <c r="U16" s="23"/>
      <c r="V16" s="23"/>
      <c r="W16" s="23"/>
      <c r="X16" s="23"/>
      <c r="Y16" s="23"/>
      <c r="Z16" s="23"/>
    </row>
    <row r="17" spans="1:26" ht="15.75" x14ac:dyDescent="0.25">
      <c r="A17" s="120">
        <v>3</v>
      </c>
      <c r="B17" s="121" t="s">
        <v>138</v>
      </c>
      <c r="C17" s="121">
        <v>115154</v>
      </c>
      <c r="D17" s="121" t="s">
        <v>130</v>
      </c>
      <c r="E17" s="121" t="s">
        <v>131</v>
      </c>
      <c r="F17" s="121" t="s">
        <v>132</v>
      </c>
      <c r="G17" s="34"/>
      <c r="H17" s="34"/>
      <c r="I17" s="34"/>
      <c r="J17" s="34"/>
      <c r="K17" s="34"/>
      <c r="L17" s="34">
        <v>80</v>
      </c>
      <c r="M17" s="34"/>
      <c r="N17" s="34">
        <f t="shared" si="0"/>
        <v>80</v>
      </c>
      <c r="O17" s="123">
        <v>1</v>
      </c>
      <c r="P17" s="119">
        <v>12.93</v>
      </c>
      <c r="Q17" s="119">
        <v>11.62</v>
      </c>
      <c r="R17" s="122" t="s">
        <v>133</v>
      </c>
      <c r="S17" s="23"/>
      <c r="T17" s="23"/>
      <c r="U17" s="23"/>
      <c r="V17" s="23"/>
      <c r="W17" s="23"/>
      <c r="X17" s="23"/>
      <c r="Y17" s="23"/>
      <c r="Z17" s="23"/>
    </row>
    <row r="18" spans="1:26" ht="15.75" x14ac:dyDescent="0.25">
      <c r="A18" s="120">
        <v>4</v>
      </c>
      <c r="B18" s="121" t="s">
        <v>138</v>
      </c>
      <c r="C18" s="121">
        <v>115154</v>
      </c>
      <c r="D18" s="121" t="s">
        <v>130</v>
      </c>
      <c r="E18" s="121" t="s">
        <v>131</v>
      </c>
      <c r="F18" s="121" t="s">
        <v>132</v>
      </c>
      <c r="G18" s="34"/>
      <c r="H18" s="34">
        <v>23</v>
      </c>
      <c r="I18" s="34">
        <v>48</v>
      </c>
      <c r="J18" s="34">
        <f>34-29</f>
        <v>5</v>
      </c>
      <c r="K18" s="34"/>
      <c r="L18" s="34"/>
      <c r="M18" s="34"/>
      <c r="N18" s="34">
        <f t="shared" si="0"/>
        <v>76</v>
      </c>
      <c r="O18" s="123">
        <v>1</v>
      </c>
      <c r="P18" s="119">
        <v>10.93</v>
      </c>
      <c r="Q18" s="119">
        <v>9.6199999999999992</v>
      </c>
      <c r="R18" s="122" t="s">
        <v>133</v>
      </c>
      <c r="S18" s="23"/>
      <c r="T18" s="23"/>
      <c r="U18" s="23"/>
      <c r="V18" s="23"/>
      <c r="W18" s="23"/>
      <c r="X18" s="23"/>
      <c r="Y18" s="23"/>
      <c r="Z18" s="23"/>
    </row>
    <row r="19" spans="1:26" ht="15.75" x14ac:dyDescent="0.25">
      <c r="A19" s="120">
        <v>5</v>
      </c>
      <c r="B19" s="121" t="s">
        <v>138</v>
      </c>
      <c r="C19" s="121">
        <v>115154</v>
      </c>
      <c r="D19" s="121" t="s">
        <v>130</v>
      </c>
      <c r="E19" s="121" t="s">
        <v>131</v>
      </c>
      <c r="F19" s="121" t="s">
        <v>132</v>
      </c>
      <c r="G19" s="34"/>
      <c r="H19" s="34"/>
      <c r="I19" s="34"/>
      <c r="J19" s="34">
        <f>109-80</f>
        <v>29</v>
      </c>
      <c r="K19" s="34">
        <v>44</v>
      </c>
      <c r="L19" s="34"/>
      <c r="M19" s="34"/>
      <c r="N19" s="34">
        <f t="shared" si="0"/>
        <v>73</v>
      </c>
      <c r="O19" s="123">
        <v>1</v>
      </c>
      <c r="P19" s="119">
        <v>11.43</v>
      </c>
      <c r="Q19" s="119">
        <v>10.119999999999999</v>
      </c>
      <c r="R19" s="122" t="s">
        <v>133</v>
      </c>
      <c r="S19" s="23"/>
      <c r="T19" s="23"/>
      <c r="U19" s="23"/>
      <c r="V19" s="23"/>
      <c r="W19" s="23"/>
      <c r="X19" s="23"/>
      <c r="Y19" s="23"/>
      <c r="Z19" s="23"/>
    </row>
    <row r="20" spans="1:26" ht="15.75" x14ac:dyDescent="0.25">
      <c r="A20" s="120">
        <v>6</v>
      </c>
      <c r="B20" s="121" t="s">
        <v>138</v>
      </c>
      <c r="C20" s="121">
        <v>115154</v>
      </c>
      <c r="D20" s="121" t="s">
        <v>130</v>
      </c>
      <c r="E20" s="121" t="s">
        <v>131</v>
      </c>
      <c r="F20" s="121" t="s">
        <v>132</v>
      </c>
      <c r="G20" s="34"/>
      <c r="H20" s="34"/>
      <c r="I20" s="34"/>
      <c r="J20" s="34"/>
      <c r="K20" s="34">
        <f>97-80</f>
        <v>17</v>
      </c>
      <c r="L20" s="34">
        <v>6</v>
      </c>
      <c r="M20" s="34">
        <v>38</v>
      </c>
      <c r="N20" s="34">
        <f t="shared" si="0"/>
        <v>61</v>
      </c>
      <c r="O20" s="123">
        <v>1</v>
      </c>
      <c r="P20" s="119">
        <v>10.71</v>
      </c>
      <c r="Q20" s="119">
        <v>9.4</v>
      </c>
      <c r="R20" s="122" t="s">
        <v>133</v>
      </c>
      <c r="S20" s="23"/>
      <c r="T20" s="23"/>
      <c r="U20" s="23"/>
      <c r="V20" s="23"/>
      <c r="W20" s="23"/>
      <c r="X20" s="23"/>
      <c r="Y20" s="23"/>
      <c r="Z20" s="23"/>
    </row>
    <row r="21" spans="1:26" ht="15.75" x14ac:dyDescent="0.25">
      <c r="A21" s="120">
        <v>7</v>
      </c>
      <c r="B21" s="121" t="s">
        <v>138</v>
      </c>
      <c r="C21" s="121">
        <v>115154</v>
      </c>
      <c r="D21" s="121" t="s">
        <v>130</v>
      </c>
      <c r="E21" s="121" t="s">
        <v>134</v>
      </c>
      <c r="F21" s="121" t="s">
        <v>132</v>
      </c>
      <c r="G21" s="34"/>
      <c r="H21" s="34"/>
      <c r="I21" s="34"/>
      <c r="J21" s="34"/>
      <c r="K21" s="34">
        <v>51</v>
      </c>
      <c r="L21" s="34"/>
      <c r="M21" s="34"/>
      <c r="N21" s="34">
        <f t="shared" si="0"/>
        <v>51</v>
      </c>
      <c r="O21" s="123">
        <v>1</v>
      </c>
      <c r="P21" s="119">
        <v>8.74</v>
      </c>
      <c r="Q21" s="119">
        <v>7.43</v>
      </c>
      <c r="R21" s="122" t="s">
        <v>133</v>
      </c>
      <c r="S21" s="23"/>
      <c r="T21" s="23"/>
      <c r="U21" s="23"/>
      <c r="V21" s="23"/>
      <c r="W21" s="23"/>
      <c r="X21" s="23"/>
      <c r="Y21" s="23"/>
      <c r="Z21" s="23"/>
    </row>
    <row r="22" spans="1:26" ht="15.75" x14ac:dyDescent="0.25">
      <c r="A22" s="120">
        <v>8</v>
      </c>
      <c r="B22" s="121" t="s">
        <v>138</v>
      </c>
      <c r="C22" s="121">
        <v>115154</v>
      </c>
      <c r="D22" s="121" t="s">
        <v>130</v>
      </c>
      <c r="E22" s="121" t="s">
        <v>134</v>
      </c>
      <c r="F22" s="121" t="s">
        <v>132</v>
      </c>
      <c r="G22" s="34"/>
      <c r="H22" s="34">
        <v>14</v>
      </c>
      <c r="I22" s="34">
        <v>30</v>
      </c>
      <c r="J22" s="34">
        <v>36</v>
      </c>
      <c r="K22" s="34"/>
      <c r="L22" s="34"/>
      <c r="M22" s="34"/>
      <c r="N22" s="34">
        <f t="shared" si="0"/>
        <v>80</v>
      </c>
      <c r="O22" s="123">
        <v>1</v>
      </c>
      <c r="P22" s="119">
        <v>11.74</v>
      </c>
      <c r="Q22" s="119">
        <v>10.43</v>
      </c>
      <c r="R22" s="122" t="s">
        <v>133</v>
      </c>
      <c r="S22" s="23"/>
      <c r="T22" s="23"/>
      <c r="U22" s="23"/>
      <c r="V22" s="23"/>
      <c r="W22" s="23"/>
      <c r="X22" s="23"/>
      <c r="Y22" s="23"/>
      <c r="Z22" s="23"/>
    </row>
    <row r="23" spans="1:26" ht="15.75" x14ac:dyDescent="0.25">
      <c r="A23" s="120">
        <v>9</v>
      </c>
      <c r="B23" s="121" t="s">
        <v>138</v>
      </c>
      <c r="C23" s="121">
        <v>115154</v>
      </c>
      <c r="D23" s="121" t="s">
        <v>130</v>
      </c>
      <c r="E23" s="121" t="s">
        <v>134</v>
      </c>
      <c r="F23" s="121" t="s">
        <v>132</v>
      </c>
      <c r="G23" s="34"/>
      <c r="H23" s="34"/>
      <c r="I23" s="34"/>
      <c r="J23" s="34">
        <v>17</v>
      </c>
      <c r="K23" s="34">
        <v>5</v>
      </c>
      <c r="L23" s="34">
        <v>33</v>
      </c>
      <c r="M23" s="34"/>
      <c r="N23" s="34">
        <f t="shared" si="0"/>
        <v>55</v>
      </c>
      <c r="O23" s="123">
        <v>1</v>
      </c>
      <c r="P23" s="119">
        <v>9.66</v>
      </c>
      <c r="Q23" s="119">
        <v>8.35</v>
      </c>
      <c r="R23" s="122" t="s">
        <v>133</v>
      </c>
      <c r="S23" s="23"/>
      <c r="T23" s="23"/>
      <c r="U23" s="23"/>
      <c r="V23" s="23"/>
      <c r="W23" s="23"/>
      <c r="X23" s="23"/>
      <c r="Y23" s="23"/>
      <c r="Z23" s="23"/>
    </row>
    <row r="24" spans="1:26" ht="15.75" x14ac:dyDescent="0.25">
      <c r="A24" s="120">
        <v>10</v>
      </c>
      <c r="B24" s="121" t="s">
        <v>138</v>
      </c>
      <c r="C24" s="121">
        <v>115154</v>
      </c>
      <c r="D24" s="121" t="s">
        <v>130</v>
      </c>
      <c r="E24" s="121" t="s">
        <v>134</v>
      </c>
      <c r="F24" s="121" t="s">
        <v>132</v>
      </c>
      <c r="G24" s="34"/>
      <c r="H24" s="34"/>
      <c r="I24" s="34"/>
      <c r="J24" s="34"/>
      <c r="K24" s="34"/>
      <c r="L24" s="34">
        <v>8</v>
      </c>
      <c r="M24" s="34">
        <v>16</v>
      </c>
      <c r="N24" s="34">
        <f t="shared" si="0"/>
        <v>24</v>
      </c>
      <c r="O24" s="123">
        <v>1</v>
      </c>
      <c r="P24" s="119">
        <v>5.41</v>
      </c>
      <c r="Q24" s="119">
        <v>3.77</v>
      </c>
      <c r="R24" s="122" t="s">
        <v>133</v>
      </c>
      <c r="S24" s="23"/>
      <c r="T24" s="23"/>
      <c r="U24" s="23"/>
      <c r="V24" s="23"/>
      <c r="W24" s="23"/>
      <c r="X24" s="23"/>
      <c r="Y24" s="23"/>
      <c r="Z24" s="23"/>
    </row>
    <row r="25" spans="1:26" ht="15.75" x14ac:dyDescent="0.25">
      <c r="A25" s="120">
        <v>11</v>
      </c>
      <c r="B25" s="121" t="s">
        <v>138</v>
      </c>
      <c r="C25" s="121">
        <v>115154</v>
      </c>
      <c r="D25" s="121" t="s">
        <v>135</v>
      </c>
      <c r="E25" s="121" t="s">
        <v>131</v>
      </c>
      <c r="F25" s="121" t="s">
        <v>132</v>
      </c>
      <c r="G25" s="34"/>
      <c r="H25" s="34"/>
      <c r="I25" s="34"/>
      <c r="J25" s="34">
        <v>56</v>
      </c>
      <c r="K25" s="34"/>
      <c r="L25" s="34"/>
      <c r="M25" s="34"/>
      <c r="N25" s="34">
        <v>56</v>
      </c>
      <c r="O25" s="34">
        <v>1</v>
      </c>
      <c r="P25" s="119">
        <v>11.19</v>
      </c>
      <c r="Q25" s="119">
        <v>9.8800000000000008</v>
      </c>
      <c r="R25" s="122" t="s">
        <v>133</v>
      </c>
      <c r="S25" s="23"/>
      <c r="T25" s="23"/>
      <c r="U25" s="23"/>
      <c r="V25" s="23"/>
      <c r="W25" s="23"/>
      <c r="X25" s="23"/>
      <c r="Y25" s="23"/>
      <c r="Z25" s="23"/>
    </row>
    <row r="26" spans="1:26" ht="15.75" x14ac:dyDescent="0.25">
      <c r="A26" s="120">
        <v>12</v>
      </c>
      <c r="B26" s="121" t="s">
        <v>138</v>
      </c>
      <c r="C26" s="121">
        <v>115154</v>
      </c>
      <c r="D26" s="121" t="s">
        <v>135</v>
      </c>
      <c r="E26" s="121" t="s">
        <v>131</v>
      </c>
      <c r="F26" s="121" t="s">
        <v>132</v>
      </c>
      <c r="G26" s="34"/>
      <c r="H26" s="34"/>
      <c r="I26" s="34"/>
      <c r="J26" s="34"/>
      <c r="K26" s="34">
        <v>57</v>
      </c>
      <c r="L26" s="34"/>
      <c r="M26" s="34"/>
      <c r="N26" s="34">
        <v>57</v>
      </c>
      <c r="O26" s="34">
        <v>1</v>
      </c>
      <c r="P26" s="119">
        <v>11.94</v>
      </c>
      <c r="Q26" s="119">
        <v>10.63</v>
      </c>
      <c r="R26" s="122" t="s">
        <v>133</v>
      </c>
      <c r="S26" s="23"/>
      <c r="T26" s="23"/>
      <c r="U26" s="23"/>
      <c r="V26" s="23"/>
      <c r="W26" s="23"/>
      <c r="X26" s="23"/>
      <c r="Y26" s="23"/>
      <c r="Z26" s="23"/>
    </row>
    <row r="27" spans="1:26" ht="15.75" x14ac:dyDescent="0.25">
      <c r="A27" s="120">
        <v>13</v>
      </c>
      <c r="B27" s="121" t="s">
        <v>138</v>
      </c>
      <c r="C27" s="121">
        <v>115154</v>
      </c>
      <c r="D27" s="121" t="s">
        <v>135</v>
      </c>
      <c r="E27" s="121" t="s">
        <v>131</v>
      </c>
      <c r="F27" s="121" t="s">
        <v>132</v>
      </c>
      <c r="G27" s="34"/>
      <c r="H27" s="34">
        <v>20</v>
      </c>
      <c r="I27" s="34">
        <v>27</v>
      </c>
      <c r="J27" s="34"/>
      <c r="K27" s="34"/>
      <c r="L27" s="34"/>
      <c r="M27" s="34"/>
      <c r="N27" s="34">
        <v>47</v>
      </c>
      <c r="O27" s="34">
        <v>1</v>
      </c>
      <c r="P27" s="119">
        <v>9.3699999999999992</v>
      </c>
      <c r="Q27" s="119">
        <v>8.06</v>
      </c>
      <c r="R27" s="122" t="s">
        <v>133</v>
      </c>
      <c r="S27" s="23"/>
      <c r="T27" s="23"/>
      <c r="U27" s="23"/>
      <c r="V27" s="23"/>
      <c r="W27" s="23"/>
      <c r="X27" s="23"/>
      <c r="Y27" s="23"/>
      <c r="Z27" s="23"/>
    </row>
    <row r="28" spans="1:26" ht="15.75" x14ac:dyDescent="0.25">
      <c r="A28" s="120">
        <v>14</v>
      </c>
      <c r="B28" s="121" t="s">
        <v>138</v>
      </c>
      <c r="C28" s="121">
        <v>115154</v>
      </c>
      <c r="D28" s="121" t="s">
        <v>135</v>
      </c>
      <c r="E28" s="121" t="s">
        <v>131</v>
      </c>
      <c r="F28" s="121" t="s">
        <v>132</v>
      </c>
      <c r="G28" s="34"/>
      <c r="H28" s="34"/>
      <c r="I28" s="34"/>
      <c r="J28" s="34"/>
      <c r="K28" s="34"/>
      <c r="L28" s="34">
        <v>25</v>
      </c>
      <c r="M28" s="34">
        <v>20</v>
      </c>
      <c r="N28" s="34">
        <v>45</v>
      </c>
      <c r="O28" s="34">
        <v>1</v>
      </c>
      <c r="P28" s="119">
        <v>10.69</v>
      </c>
      <c r="Q28" s="119">
        <v>9.3800000000000008</v>
      </c>
      <c r="R28" s="122" t="s">
        <v>133</v>
      </c>
      <c r="S28" s="23"/>
      <c r="T28" s="23"/>
      <c r="U28" s="23"/>
      <c r="V28" s="23"/>
      <c r="W28" s="23"/>
      <c r="X28" s="23"/>
      <c r="Y28" s="23"/>
      <c r="Z28" s="23"/>
    </row>
    <row r="29" spans="1:26" ht="15.75" thickBot="1" x14ac:dyDescent="0.3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7"/>
      <c r="N29" s="34"/>
      <c r="O29" s="37"/>
      <c r="P29" s="37"/>
      <c r="Q29" s="37"/>
      <c r="R29" s="38"/>
      <c r="S29" s="23"/>
      <c r="T29" s="23"/>
      <c r="U29" s="23"/>
      <c r="V29" s="23"/>
      <c r="W29" s="23"/>
      <c r="X29" s="23"/>
      <c r="Y29" s="23"/>
      <c r="Z29" s="23"/>
    </row>
    <row r="30" spans="1:26" ht="15.75" thickBot="1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7" t="s">
        <v>38</v>
      </c>
      <c r="N30" s="28">
        <f>SUM(N15:N29)</f>
        <v>856</v>
      </c>
      <c r="O30" s="29">
        <f>SUM(O15:O29)</f>
        <v>14</v>
      </c>
      <c r="P30" s="30">
        <f>SUMPRODUCT(O15:O29,P15:P29)</f>
        <v>148.11999999999998</v>
      </c>
      <c r="Q30" s="30">
        <f>SUMPRODUCT(O15:O29,Q15:Q29)</f>
        <v>129.44999999999999</v>
      </c>
      <c r="R30" s="31"/>
      <c r="S30" s="23"/>
      <c r="T30" s="23"/>
      <c r="U30" s="23"/>
      <c r="V30" s="23"/>
      <c r="W30" s="23"/>
      <c r="X30" s="23"/>
      <c r="Y30" s="23"/>
      <c r="Z30" s="23"/>
    </row>
    <row r="31" spans="1:26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x14ac:dyDescent="0.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x14ac:dyDescent="0.2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x14ac:dyDescent="0.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x14ac:dyDescent="0.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x14ac:dyDescent="0.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x14ac:dyDescent="0.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x14ac:dyDescent="0.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x14ac:dyDescent="0.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x14ac:dyDescent="0.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x14ac:dyDescent="0.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x14ac:dyDescent="0.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x14ac:dyDescent="0.2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x14ac:dyDescent="0.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x14ac:dyDescent="0.2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x14ac:dyDescent="0.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x14ac:dyDescent="0.2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x14ac:dyDescent="0.2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x14ac:dyDescent="0.2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x14ac:dyDescent="0.2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x14ac:dyDescent="0.2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x14ac:dyDescent="0.2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x14ac:dyDescent="0.2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x14ac:dyDescent="0.2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x14ac:dyDescent="0.2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x14ac:dyDescent="0.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x14ac:dyDescent="0.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x14ac:dyDescent="0.2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x14ac:dyDescent="0.2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x14ac:dyDescent="0.2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x14ac:dyDescent="0.2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x14ac:dyDescent="0.2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x14ac:dyDescent="0.2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x14ac:dyDescent="0.2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x14ac:dyDescent="0.2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x14ac:dyDescent="0.2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x14ac:dyDescent="0.2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x14ac:dyDescent="0.2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x14ac:dyDescent="0.2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x14ac:dyDescent="0.2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x14ac:dyDescent="0.2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x14ac:dyDescent="0.2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x14ac:dyDescent="0.2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x14ac:dyDescent="0.2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x14ac:dyDescent="0.2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x14ac:dyDescent="0.2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x14ac:dyDescent="0.2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x14ac:dyDescent="0.2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x14ac:dyDescent="0.2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x14ac:dyDescent="0.2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x14ac:dyDescent="0.2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x14ac:dyDescent="0.2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x14ac:dyDescent="0.2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x14ac:dyDescent="0.2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x14ac:dyDescent="0.2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x14ac:dyDescent="0.2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x14ac:dyDescent="0.2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x14ac:dyDescent="0.2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x14ac:dyDescent="0.2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x14ac:dyDescent="0.2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x14ac:dyDescent="0.2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x14ac:dyDescent="0.2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x14ac:dyDescent="0.2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x14ac:dyDescent="0.2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x14ac:dyDescent="0.2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x14ac:dyDescent="0.2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x14ac:dyDescent="0.2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x14ac:dyDescent="0.2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x14ac:dyDescent="0.2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x14ac:dyDescent="0.2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x14ac:dyDescent="0.2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x14ac:dyDescent="0.2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x14ac:dyDescent="0.2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x14ac:dyDescent="0.2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x14ac:dyDescent="0.2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x14ac:dyDescent="0.2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x14ac:dyDescent="0.2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x14ac:dyDescent="0.2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x14ac:dyDescent="0.2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x14ac:dyDescent="0.2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x14ac:dyDescent="0.2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x14ac:dyDescent="0.2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x14ac:dyDescent="0.2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x14ac:dyDescent="0.2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x14ac:dyDescent="0.2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x14ac:dyDescent="0.2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x14ac:dyDescent="0.2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x14ac:dyDescent="0.2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x14ac:dyDescent="0.2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x14ac:dyDescent="0.2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x14ac:dyDescent="0.2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x14ac:dyDescent="0.2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x14ac:dyDescent="0.2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x14ac:dyDescent="0.2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x14ac:dyDescent="0.2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x14ac:dyDescent="0.2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x14ac:dyDescent="0.2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x14ac:dyDescent="0.2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x14ac:dyDescent="0.2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x14ac:dyDescent="0.2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</sheetData>
  <sheetProtection sheet="1" formatColumns="0" insertColumns="0" insertRows="0" insertHyperlinks="0" sort="0" autoFilter="0" pivotTables="0"/>
  <autoFilter ref="A14:R14"/>
  <mergeCells count="8">
    <mergeCell ref="F8:O13"/>
    <mergeCell ref="Q7:R7"/>
    <mergeCell ref="A6:R6"/>
    <mergeCell ref="A1:R1"/>
    <mergeCell ref="A2:R2"/>
    <mergeCell ref="A3:R3"/>
    <mergeCell ref="A4:R4"/>
    <mergeCell ref="A5:R5"/>
  </mergeCells>
  <conditionalFormatting sqref="A29:R29">
    <cfRule type="expression" dxfId="72" priority="231">
      <formula>ISBLANK($A$15:$R$29)</formula>
    </cfRule>
  </conditionalFormatting>
  <conditionalFormatting sqref="B25">
    <cfRule type="expression" dxfId="71" priority="67">
      <formula>ISBLANK($A$15:$R$190)</formula>
    </cfRule>
  </conditionalFormatting>
  <conditionalFormatting sqref="C25">
    <cfRule type="expression" dxfId="70" priority="68">
      <formula>ISBLANK($A$15:$R$190)</formula>
    </cfRule>
  </conditionalFormatting>
  <conditionalFormatting sqref="D25">
    <cfRule type="expression" dxfId="69" priority="63">
      <formula>ISBLANK($A$15:$R$190)</formula>
    </cfRule>
  </conditionalFormatting>
  <conditionalFormatting sqref="E25">
    <cfRule type="expression" dxfId="68" priority="62">
      <formula>ISBLANK($A$15:$R$190)</formula>
    </cfRule>
  </conditionalFormatting>
  <conditionalFormatting sqref="F25">
    <cfRule type="expression" dxfId="67" priority="74">
      <formula>ISBLANK($A$15:$R$190)</formula>
    </cfRule>
  </conditionalFormatting>
  <conditionalFormatting sqref="R25">
    <cfRule type="expression" dxfId="66" priority="75">
      <formula>ISBLANK($A$15:$R$187)</formula>
    </cfRule>
  </conditionalFormatting>
  <conditionalFormatting sqref="B26">
    <cfRule type="expression" dxfId="65" priority="66">
      <formula>ISBLANK($A$15:$R$190)</formula>
    </cfRule>
  </conditionalFormatting>
  <conditionalFormatting sqref="E26">
    <cfRule type="expression" dxfId="64" priority="61">
      <formula>ISBLANK($A$15:$R$190)</formula>
    </cfRule>
  </conditionalFormatting>
  <conditionalFormatting sqref="F26">
    <cfRule type="expression" dxfId="63" priority="73">
      <formula>ISBLANK($A$15:$R$190)</formula>
    </cfRule>
  </conditionalFormatting>
  <conditionalFormatting sqref="B27">
    <cfRule type="expression" dxfId="62" priority="65">
      <formula>ISBLANK($A$15:$R$190)</formula>
    </cfRule>
  </conditionalFormatting>
  <conditionalFormatting sqref="E27">
    <cfRule type="expression" dxfId="61" priority="60">
      <formula>ISBLANK($A$15:$R$190)</formula>
    </cfRule>
  </conditionalFormatting>
  <conditionalFormatting sqref="F27">
    <cfRule type="expression" dxfId="60" priority="72">
      <formula>ISBLANK($A$15:$R$190)</formula>
    </cfRule>
  </conditionalFormatting>
  <conditionalFormatting sqref="B28">
    <cfRule type="expression" dxfId="59" priority="64">
      <formula>ISBLANK($A$15:$R$190)</formula>
    </cfRule>
  </conditionalFormatting>
  <conditionalFormatting sqref="E28">
    <cfRule type="expression" dxfId="58" priority="59">
      <formula>ISBLANK($A$15:$R$190)</formula>
    </cfRule>
  </conditionalFormatting>
  <conditionalFormatting sqref="F28">
    <cfRule type="expression" dxfId="57" priority="71">
      <formula>ISBLANK($A$15:$R$190)</formula>
    </cfRule>
  </conditionalFormatting>
  <conditionalFormatting sqref="C26:C28">
    <cfRule type="expression" dxfId="56" priority="55">
      <formula>ISBLANK($A$15:$R$190)</formula>
    </cfRule>
  </conditionalFormatting>
  <conditionalFormatting sqref="D26:D28">
    <cfRule type="expression" dxfId="55" priority="56">
      <formula>ISBLANK($A$15:$R$190)</formula>
    </cfRule>
  </conditionalFormatting>
  <conditionalFormatting sqref="P25:P28">
    <cfRule type="expression" dxfId="54" priority="69">
      <formula>ISBLANK($A$15:$R$190)</formula>
    </cfRule>
  </conditionalFormatting>
  <conditionalFormatting sqref="Q25:Q28">
    <cfRule type="expression" dxfId="53" priority="70">
      <formula>ISBLANK($A$15:$R$190)</formula>
    </cfRule>
  </conditionalFormatting>
  <conditionalFormatting sqref="R26:R28">
    <cfRule type="expression" dxfId="52" priority="57">
      <formula>ISBLANK($A$15:$R$187)</formula>
    </cfRule>
  </conditionalFormatting>
  <conditionalFormatting sqref="R27:R28">
    <cfRule type="expression" dxfId="51" priority="58">
      <formula>ISBLANK($A$15:$R$187)</formula>
    </cfRule>
  </conditionalFormatting>
  <conditionalFormatting sqref="G25:O28">
    <cfRule type="expression" dxfId="50" priority="54">
      <formula>ISBLANK($A$15:$R$29)</formula>
    </cfRule>
  </conditionalFormatting>
  <conditionalFormatting sqref="B15">
    <cfRule type="expression" dxfId="49" priority="40">
      <formula>ISBLANK($A$15:$R$209)</formula>
    </cfRule>
  </conditionalFormatting>
  <conditionalFormatting sqref="C15">
    <cfRule type="expression" dxfId="48" priority="41">
      <formula>ISBLANK($A$15:$R$209)</formula>
    </cfRule>
  </conditionalFormatting>
  <conditionalFormatting sqref="E15">
    <cfRule type="expression" dxfId="47" priority="39">
      <formula>ISBLANK($A$15:$R$209)</formula>
    </cfRule>
  </conditionalFormatting>
  <conditionalFormatting sqref="F15">
    <cfRule type="expression" dxfId="46" priority="38">
      <formula>ISBLANK($A$15:$R$197)</formula>
    </cfRule>
  </conditionalFormatting>
  <conditionalFormatting sqref="Q15">
    <cfRule type="expression" dxfId="45" priority="50">
      <formula>ISBLANK($A$15:$R$209)</formula>
    </cfRule>
  </conditionalFormatting>
  <conditionalFormatting sqref="R15">
    <cfRule type="expression" dxfId="44" priority="37">
      <formula>ISBLANK($A$15:$R$206)</formula>
    </cfRule>
  </conditionalFormatting>
  <conditionalFormatting sqref="B16">
    <cfRule type="expression" dxfId="43" priority="36">
      <formula>ISBLANK($A$15:$R$209)</formula>
    </cfRule>
  </conditionalFormatting>
  <conditionalFormatting sqref="E16">
    <cfRule type="expression" dxfId="42" priority="31">
      <formula>ISBLANK($A$15:$R$209)</formula>
    </cfRule>
  </conditionalFormatting>
  <conditionalFormatting sqref="F16">
    <cfRule type="expression" dxfId="41" priority="26">
      <formula>ISBLANK($A$15:$R$197)</formula>
    </cfRule>
  </conditionalFormatting>
  <conditionalFormatting sqref="Q16">
    <cfRule type="expression" dxfId="40" priority="12">
      <formula>ISBLANK($A$15:$R$209)</formula>
    </cfRule>
  </conditionalFormatting>
  <conditionalFormatting sqref="B17">
    <cfRule type="expression" dxfId="39" priority="35">
      <formula>ISBLANK($A$15:$R$209)</formula>
    </cfRule>
  </conditionalFormatting>
  <conditionalFormatting sqref="E17">
    <cfRule type="expression" dxfId="38" priority="30">
      <formula>ISBLANK($A$15:$R$209)</formula>
    </cfRule>
  </conditionalFormatting>
  <conditionalFormatting sqref="F17">
    <cfRule type="expression" dxfId="37" priority="25">
      <formula>ISBLANK($A$15:$R$197)</formula>
    </cfRule>
  </conditionalFormatting>
  <conditionalFormatting sqref="Q17">
    <cfRule type="expression" dxfId="36" priority="11">
      <formula>ISBLANK($A$15:$R$209)</formula>
    </cfRule>
  </conditionalFormatting>
  <conditionalFormatting sqref="B18">
    <cfRule type="expression" dxfId="35" priority="34">
      <formula>ISBLANK($A$15:$R$209)</formula>
    </cfRule>
  </conditionalFormatting>
  <conditionalFormatting sqref="E18">
    <cfRule type="expression" dxfId="34" priority="29">
      <formula>ISBLANK($A$15:$R$209)</formula>
    </cfRule>
  </conditionalFormatting>
  <conditionalFormatting sqref="F18">
    <cfRule type="expression" dxfId="33" priority="24">
      <formula>ISBLANK($A$15:$R$197)</formula>
    </cfRule>
  </conditionalFormatting>
  <conditionalFormatting sqref="Q18">
    <cfRule type="expression" dxfId="32" priority="10">
      <formula>ISBLANK($A$15:$R$209)</formula>
    </cfRule>
  </conditionalFormatting>
  <conditionalFormatting sqref="B19">
    <cfRule type="expression" dxfId="31" priority="33">
      <formula>ISBLANK($A$15:$R$209)</formula>
    </cfRule>
  </conditionalFormatting>
  <conditionalFormatting sqref="E19">
    <cfRule type="expression" dxfId="30" priority="28">
      <formula>ISBLANK($A$15:$R$209)</formula>
    </cfRule>
  </conditionalFormatting>
  <conditionalFormatting sqref="F19">
    <cfRule type="expression" dxfId="29" priority="23">
      <formula>ISBLANK($A$15:$R$197)</formula>
    </cfRule>
  </conditionalFormatting>
  <conditionalFormatting sqref="Q19">
    <cfRule type="expression" dxfId="28" priority="9">
      <formula>ISBLANK($A$15:$R$209)</formula>
    </cfRule>
  </conditionalFormatting>
  <conditionalFormatting sqref="R19">
    <cfRule type="expression" dxfId="27" priority="51">
      <formula>ISBLANK($A$15:$R$206)</formula>
    </cfRule>
  </conditionalFormatting>
  <conditionalFormatting sqref="B20">
    <cfRule type="expression" dxfId="26" priority="32">
      <formula>ISBLANK($A$15:$R$209)</formula>
    </cfRule>
  </conditionalFormatting>
  <conditionalFormatting sqref="E20">
    <cfRule type="expression" dxfId="25" priority="27">
      <formula>ISBLANK($A$15:$R$209)</formula>
    </cfRule>
  </conditionalFormatting>
  <conditionalFormatting sqref="F20">
    <cfRule type="expression" dxfId="24" priority="22">
      <formula>ISBLANK($A$15:$R$197)</formula>
    </cfRule>
  </conditionalFormatting>
  <conditionalFormatting sqref="Q20">
    <cfRule type="expression" dxfId="23" priority="8">
      <formula>ISBLANK($A$15:$R$209)</formula>
    </cfRule>
  </conditionalFormatting>
  <conditionalFormatting sqref="B21">
    <cfRule type="expression" dxfId="22" priority="47">
      <formula>ISBLANK($A$15:$R$209)</formula>
    </cfRule>
  </conditionalFormatting>
  <conditionalFormatting sqref="E21">
    <cfRule type="expression" dxfId="21" priority="46">
      <formula>ISBLANK($A$15:$R$209)</formula>
    </cfRule>
  </conditionalFormatting>
  <conditionalFormatting sqref="F21">
    <cfRule type="expression" dxfId="20" priority="42">
      <formula>ISBLANK($A$15:$R$197)</formula>
    </cfRule>
  </conditionalFormatting>
  <conditionalFormatting sqref="Q21">
    <cfRule type="expression" dxfId="19" priority="7">
      <formula>ISBLANK($A$15:$R$209)</formula>
    </cfRule>
  </conditionalFormatting>
  <conditionalFormatting sqref="B22">
    <cfRule type="expression" dxfId="18" priority="21">
      <formula>ISBLANK($A$15:$R$209)</formula>
    </cfRule>
  </conditionalFormatting>
  <conditionalFormatting sqref="E22">
    <cfRule type="expression" dxfId="17" priority="18">
      <formula>ISBLANK($A$15:$R$209)</formula>
    </cfRule>
  </conditionalFormatting>
  <conditionalFormatting sqref="F22">
    <cfRule type="expression" dxfId="16" priority="15">
      <formula>ISBLANK($A$15:$R$197)</formula>
    </cfRule>
  </conditionalFormatting>
  <conditionalFormatting sqref="Q22">
    <cfRule type="expression" dxfId="15" priority="6">
      <formula>ISBLANK($A$15:$R$209)</formula>
    </cfRule>
  </conditionalFormatting>
  <conditionalFormatting sqref="B23">
    <cfRule type="expression" dxfId="14" priority="20">
      <formula>ISBLANK($A$15:$R$209)</formula>
    </cfRule>
  </conditionalFormatting>
  <conditionalFormatting sqref="E23">
    <cfRule type="expression" dxfId="13" priority="17">
      <formula>ISBLANK($A$15:$R$209)</formula>
    </cfRule>
  </conditionalFormatting>
  <conditionalFormatting sqref="F23">
    <cfRule type="expression" dxfId="12" priority="14">
      <formula>ISBLANK($A$15:$R$197)</formula>
    </cfRule>
  </conditionalFormatting>
  <conditionalFormatting sqref="Q23">
    <cfRule type="expression" dxfId="11" priority="5">
      <formula>ISBLANK($A$15:$R$209)</formula>
    </cfRule>
  </conditionalFormatting>
  <conditionalFormatting sqref="B24">
    <cfRule type="expression" dxfId="10" priority="19">
      <formula>ISBLANK($A$15:$R$209)</formula>
    </cfRule>
  </conditionalFormatting>
  <conditionalFormatting sqref="E24">
    <cfRule type="expression" dxfId="9" priority="16">
      <formula>ISBLANK($A$15:$R$209)</formula>
    </cfRule>
  </conditionalFormatting>
  <conditionalFormatting sqref="F24">
    <cfRule type="expression" dxfId="8" priority="13">
      <formula>ISBLANK($A$15:$R$197)</formula>
    </cfRule>
  </conditionalFormatting>
  <conditionalFormatting sqref="O24">
    <cfRule type="expression" dxfId="7" priority="49">
      <formula>ISBLANK($A$15:$R$209)</formula>
    </cfRule>
  </conditionalFormatting>
  <conditionalFormatting sqref="Q24">
    <cfRule type="expression" dxfId="6" priority="4">
      <formula>ISBLANK($A$15:$R$209)</formula>
    </cfRule>
  </conditionalFormatting>
  <conditionalFormatting sqref="C16:C24">
    <cfRule type="expression" dxfId="5" priority="2">
      <formula>ISBLANK($A$15:$R$209)</formula>
    </cfRule>
  </conditionalFormatting>
  <conditionalFormatting sqref="D15:D24">
    <cfRule type="expression" dxfId="4" priority="3">
      <formula>ISBLANK($A$15:$R$201)</formula>
    </cfRule>
  </conditionalFormatting>
  <conditionalFormatting sqref="R16:R18">
    <cfRule type="expression" dxfId="3" priority="45">
      <formula>ISBLANK($A$15:$R$206)</formula>
    </cfRule>
  </conditionalFormatting>
  <conditionalFormatting sqref="R20:R22">
    <cfRule type="expression" dxfId="2" priority="44">
      <formula>ISBLANK($A$15:$R$206)</formula>
    </cfRule>
  </conditionalFormatting>
  <conditionalFormatting sqref="R23:R24">
    <cfRule type="expression" dxfId="1" priority="43">
      <formula>ISBLANK($A$15:$R$206)</formula>
    </cfRule>
  </conditionalFormatting>
  <conditionalFormatting sqref="G15:N24">
    <cfRule type="expression" dxfId="0" priority="1">
      <formula>ISBLANK($A$15:$R$29)</formula>
    </cfRule>
  </conditionalFormatting>
  <printOptions horizontalCentered="1" verticalCentered="1"/>
  <pageMargins left="0.11811023622047245" right="0.11811023622047245" top="0.15748031496062992" bottom="0.55118110236220474" header="0" footer="0"/>
  <pageSetup scale="4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opLeftCell="A7" workbookViewId="0">
      <selection activeCell="F27" sqref="F27"/>
    </sheetView>
  </sheetViews>
  <sheetFormatPr defaultColWidth="10.625" defaultRowHeight="15" x14ac:dyDescent="0.25"/>
  <cols>
    <col min="1" max="2" width="10.625" style="105"/>
    <col min="3" max="16384" width="10.625" style="67"/>
  </cols>
  <sheetData>
    <row r="1" spans="1:1" x14ac:dyDescent="0.25">
      <c r="A1" s="105" t="s">
        <v>82</v>
      </c>
    </row>
    <row r="2" spans="1:1" x14ac:dyDescent="0.25">
      <c r="A2" s="105" t="s">
        <v>45</v>
      </c>
    </row>
    <row r="3" spans="1:1" x14ac:dyDescent="0.25">
      <c r="A3" s="105" t="s">
        <v>48</v>
      </c>
    </row>
    <row r="4" spans="1:1" x14ac:dyDescent="0.25">
      <c r="A4" s="105" t="s">
        <v>50</v>
      </c>
    </row>
    <row r="5" spans="1:1" x14ac:dyDescent="0.25">
      <c r="A5" s="105" t="s">
        <v>44</v>
      </c>
    </row>
    <row r="6" spans="1:1" x14ac:dyDescent="0.25">
      <c r="A6" s="105" t="s">
        <v>51</v>
      </c>
    </row>
    <row r="7" spans="1:1" x14ac:dyDescent="0.25">
      <c r="A7" s="105" t="s">
        <v>83</v>
      </c>
    </row>
    <row r="8" spans="1:1" x14ac:dyDescent="0.25">
      <c r="A8" s="105" t="s">
        <v>54</v>
      </c>
    </row>
    <row r="9" spans="1:1" x14ac:dyDescent="0.25">
      <c r="A9" s="105" t="s">
        <v>53</v>
      </c>
    </row>
    <row r="10" spans="1:1" x14ac:dyDescent="0.25">
      <c r="A10" s="105" t="s">
        <v>55</v>
      </c>
    </row>
    <row r="11" spans="1:1" x14ac:dyDescent="0.25">
      <c r="A11" s="105" t="s">
        <v>56</v>
      </c>
    </row>
    <row r="12" spans="1:1" x14ac:dyDescent="0.25">
      <c r="A12" s="105" t="s">
        <v>88</v>
      </c>
    </row>
    <row r="13" spans="1:1" x14ac:dyDescent="0.25">
      <c r="A13" s="105" t="s">
        <v>89</v>
      </c>
    </row>
    <row r="14" spans="1:1" x14ac:dyDescent="0.25">
      <c r="A14" s="105" t="s">
        <v>90</v>
      </c>
    </row>
    <row r="15" spans="1:1" x14ac:dyDescent="0.25">
      <c r="A15" s="105" t="s">
        <v>91</v>
      </c>
    </row>
    <row r="17" spans="1:7" x14ac:dyDescent="0.25">
      <c r="A17" s="105" t="s">
        <v>75</v>
      </c>
      <c r="B17" s="105" t="s">
        <v>62</v>
      </c>
      <c r="C17" s="67" t="s">
        <v>46</v>
      </c>
      <c r="D17" s="67" t="s">
        <v>61</v>
      </c>
      <c r="E17" s="67" t="s">
        <v>111</v>
      </c>
      <c r="F17" s="67" t="s">
        <v>112</v>
      </c>
      <c r="G17" s="67" t="s">
        <v>74</v>
      </c>
    </row>
    <row r="18" spans="1:7" x14ac:dyDescent="0.25">
      <c r="A18" s="105" t="s">
        <v>78</v>
      </c>
      <c r="B18" s="105" t="s">
        <v>81</v>
      </c>
      <c r="C18" s="67" t="s">
        <v>64</v>
      </c>
      <c r="D18" s="67" t="s">
        <v>69</v>
      </c>
      <c r="E18" s="67" t="s">
        <v>70</v>
      </c>
      <c r="F18" s="67" t="s">
        <v>107</v>
      </c>
      <c r="G18" s="108" t="s">
        <v>43</v>
      </c>
    </row>
    <row r="19" spans="1:7" x14ac:dyDescent="0.25">
      <c r="A19" s="105" t="s">
        <v>79</v>
      </c>
      <c r="B19" s="105" t="s">
        <v>81</v>
      </c>
      <c r="C19" s="67" t="s">
        <v>109</v>
      </c>
      <c r="D19" s="67" t="s">
        <v>84</v>
      </c>
      <c r="E19" s="67" t="s">
        <v>65</v>
      </c>
      <c r="F19" s="67" t="s">
        <v>66</v>
      </c>
      <c r="G19" s="108" t="s">
        <v>43</v>
      </c>
    </row>
    <row r="20" spans="1:7" x14ac:dyDescent="0.25">
      <c r="A20" s="105" t="s">
        <v>76</v>
      </c>
      <c r="B20" s="105" t="s">
        <v>81</v>
      </c>
      <c r="C20" s="67" t="s">
        <v>63</v>
      </c>
      <c r="D20" s="67" t="s">
        <v>71</v>
      </c>
      <c r="E20" s="67" t="s">
        <v>72</v>
      </c>
      <c r="F20" s="67" t="s">
        <v>72</v>
      </c>
      <c r="G20" s="67" t="s">
        <v>73</v>
      </c>
    </row>
    <row r="21" spans="1:7" x14ac:dyDescent="0.25">
      <c r="A21" s="105" t="s">
        <v>80</v>
      </c>
      <c r="B21" s="105" t="s">
        <v>81</v>
      </c>
      <c r="C21" s="67" t="s">
        <v>67</v>
      </c>
      <c r="D21" s="67" t="s">
        <v>85</v>
      </c>
      <c r="E21" s="67" t="s">
        <v>68</v>
      </c>
      <c r="F21" s="67" t="s">
        <v>68</v>
      </c>
      <c r="G21" s="108" t="s">
        <v>43</v>
      </c>
    </row>
    <row r="22" spans="1:7" x14ac:dyDescent="0.25">
      <c r="A22" s="105" t="s">
        <v>77</v>
      </c>
      <c r="B22" s="105" t="s">
        <v>81</v>
      </c>
      <c r="C22" s="67" t="s">
        <v>115</v>
      </c>
      <c r="D22" s="67" t="s">
        <v>86</v>
      </c>
      <c r="E22" s="67" t="s">
        <v>87</v>
      </c>
      <c r="F22" s="67" t="s">
        <v>87</v>
      </c>
      <c r="G22" s="108" t="s">
        <v>43</v>
      </c>
    </row>
    <row r="23" spans="1:7" x14ac:dyDescent="0.25">
      <c r="A23" s="105" t="s">
        <v>78</v>
      </c>
      <c r="B23" s="105" t="s">
        <v>81</v>
      </c>
      <c r="C23" s="67" t="s">
        <v>95</v>
      </c>
      <c r="D23" s="67" t="s">
        <v>69</v>
      </c>
      <c r="E23" s="67" t="s">
        <v>70</v>
      </c>
      <c r="F23" s="67" t="s">
        <v>107</v>
      </c>
      <c r="G23" s="108" t="s">
        <v>43</v>
      </c>
    </row>
    <row r="24" spans="1:7" x14ac:dyDescent="0.25">
      <c r="A24" s="105" t="s">
        <v>78</v>
      </c>
      <c r="B24" s="105" t="s">
        <v>81</v>
      </c>
      <c r="C24" s="67" t="s">
        <v>96</v>
      </c>
      <c r="D24" s="67" t="s">
        <v>69</v>
      </c>
      <c r="E24" s="67" t="s">
        <v>70</v>
      </c>
      <c r="F24" s="67" t="s">
        <v>107</v>
      </c>
      <c r="G24" s="108" t="s">
        <v>43</v>
      </c>
    </row>
    <row r="25" spans="1:7" x14ac:dyDescent="0.25">
      <c r="A25" s="105" t="s">
        <v>78</v>
      </c>
      <c r="B25" s="105" t="s">
        <v>81</v>
      </c>
      <c r="C25" s="67" t="s">
        <v>97</v>
      </c>
      <c r="D25" s="67" t="s">
        <v>69</v>
      </c>
      <c r="E25" s="67" t="s">
        <v>70</v>
      </c>
      <c r="F25" s="67" t="s">
        <v>107</v>
      </c>
      <c r="G25" s="108" t="s">
        <v>43</v>
      </c>
    </row>
    <row r="26" spans="1:7" x14ac:dyDescent="0.25">
      <c r="A26" s="105" t="s">
        <v>78</v>
      </c>
      <c r="B26" s="105" t="s">
        <v>81</v>
      </c>
      <c r="C26" s="67" t="s">
        <v>98</v>
      </c>
      <c r="D26" s="67" t="s">
        <v>69</v>
      </c>
      <c r="E26" s="67" t="s">
        <v>70</v>
      </c>
      <c r="F26" s="67" t="s">
        <v>107</v>
      </c>
      <c r="G26" s="108" t="s">
        <v>43</v>
      </c>
    </row>
    <row r="27" spans="1:7" x14ac:dyDescent="0.25">
      <c r="A27" s="105" t="s">
        <v>78</v>
      </c>
      <c r="B27" s="105" t="s">
        <v>81</v>
      </c>
      <c r="C27" s="67" t="s">
        <v>102</v>
      </c>
      <c r="D27" s="67" t="s">
        <v>69</v>
      </c>
      <c r="E27" s="67" t="s">
        <v>70</v>
      </c>
      <c r="F27" s="67" t="s">
        <v>107</v>
      </c>
      <c r="G27" s="108" t="s">
        <v>43</v>
      </c>
    </row>
    <row r="28" spans="1:7" x14ac:dyDescent="0.25">
      <c r="A28" s="105" t="s">
        <v>78</v>
      </c>
      <c r="B28" s="105" t="s">
        <v>81</v>
      </c>
      <c r="C28" s="67" t="s">
        <v>101</v>
      </c>
      <c r="D28" s="67" t="s">
        <v>69</v>
      </c>
      <c r="E28" s="67" t="s">
        <v>70</v>
      </c>
      <c r="F28" s="67" t="s">
        <v>107</v>
      </c>
      <c r="G28" s="108" t="s">
        <v>43</v>
      </c>
    </row>
    <row r="29" spans="1:7" x14ac:dyDescent="0.25">
      <c r="A29" s="105" t="s">
        <v>78</v>
      </c>
      <c r="B29" s="105" t="s">
        <v>81</v>
      </c>
      <c r="C29" s="67" t="s">
        <v>99</v>
      </c>
      <c r="D29" s="67" t="s">
        <v>69</v>
      </c>
      <c r="E29" s="67" t="s">
        <v>70</v>
      </c>
      <c r="F29" s="67" t="s">
        <v>107</v>
      </c>
      <c r="G29" s="108" t="s">
        <v>43</v>
      </c>
    </row>
    <row r="30" spans="1:7" x14ac:dyDescent="0.25">
      <c r="A30" s="105" t="s">
        <v>78</v>
      </c>
      <c r="B30" s="105" t="s">
        <v>81</v>
      </c>
      <c r="C30" s="67" t="s">
        <v>100</v>
      </c>
      <c r="D30" s="67" t="s">
        <v>69</v>
      </c>
      <c r="E30" s="67" t="s">
        <v>70</v>
      </c>
      <c r="F30" s="67" t="s">
        <v>107</v>
      </c>
      <c r="G30" s="108" t="s">
        <v>43</v>
      </c>
    </row>
    <row r="31" spans="1:7" x14ac:dyDescent="0.25">
      <c r="A31" s="105" t="s">
        <v>78</v>
      </c>
      <c r="B31" s="105" t="s">
        <v>81</v>
      </c>
      <c r="C31" s="67" t="s">
        <v>103</v>
      </c>
      <c r="D31" s="67" t="s">
        <v>69</v>
      </c>
      <c r="E31" s="67" t="s">
        <v>70</v>
      </c>
      <c r="F31" s="67" t="s">
        <v>107</v>
      </c>
      <c r="G31" s="108" t="s">
        <v>43</v>
      </c>
    </row>
    <row r="32" spans="1:7" x14ac:dyDescent="0.25">
      <c r="A32" s="105" t="s">
        <v>78</v>
      </c>
      <c r="B32" s="105" t="s">
        <v>81</v>
      </c>
      <c r="C32" s="67" t="s">
        <v>104</v>
      </c>
      <c r="D32" s="67" t="s">
        <v>69</v>
      </c>
      <c r="E32" s="67" t="s">
        <v>70</v>
      </c>
      <c r="F32" s="67" t="s">
        <v>107</v>
      </c>
      <c r="G32" s="108" t="s">
        <v>43</v>
      </c>
    </row>
    <row r="33" spans="1:7" x14ac:dyDescent="0.25">
      <c r="A33" s="105" t="s">
        <v>78</v>
      </c>
      <c r="B33" s="105" t="s">
        <v>81</v>
      </c>
      <c r="C33" s="67" t="s">
        <v>110</v>
      </c>
      <c r="D33" s="67" t="s">
        <v>69</v>
      </c>
      <c r="E33" s="67" t="s">
        <v>70</v>
      </c>
      <c r="F33" s="67" t="s">
        <v>107</v>
      </c>
      <c r="G33" s="108" t="s">
        <v>43</v>
      </c>
    </row>
    <row r="34" spans="1:7" x14ac:dyDescent="0.25">
      <c r="A34" s="105" t="s">
        <v>78</v>
      </c>
      <c r="B34" s="105" t="s">
        <v>81</v>
      </c>
      <c r="C34" s="67" t="s">
        <v>108</v>
      </c>
      <c r="D34" s="67" t="s">
        <v>69</v>
      </c>
      <c r="E34" s="67" t="s">
        <v>70</v>
      </c>
      <c r="F34" s="67" t="s">
        <v>107</v>
      </c>
      <c r="G34" s="108" t="s">
        <v>43</v>
      </c>
    </row>
    <row r="35" spans="1:7" x14ac:dyDescent="0.25">
      <c r="A35" s="105" t="s">
        <v>79</v>
      </c>
      <c r="B35" s="105" t="s">
        <v>81</v>
      </c>
      <c r="C35" s="67" t="s">
        <v>105</v>
      </c>
      <c r="D35" s="67" t="s">
        <v>84</v>
      </c>
      <c r="E35" s="67" t="s">
        <v>65</v>
      </c>
      <c r="F35" s="67" t="s">
        <v>66</v>
      </c>
      <c r="G35" s="108" t="s">
        <v>43</v>
      </c>
    </row>
  </sheetData>
  <sheetProtection algorithmName="SHA-512" hashValue="YAUeXqlRzxLMwptOMHgu97zjvM5H+KCcPQlwJ6d0cAeDRrP9T1BxUJp0Qx2OT/jUH2KPdt9z9UkrL5sI3Kp1OA==" saltValue="pzo1tk+6E06Csop47ykJoQ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 Guidelines</vt:lpstr>
      <vt:lpstr>Invoice</vt:lpstr>
      <vt:lpstr>Packing List</vt:lpstr>
      <vt:lpstr>Data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Sonya Dhillon</dc:creator>
  <cp:lastModifiedBy>ADMEXIM3</cp:lastModifiedBy>
  <cp:lastPrinted>2026-07-16T06:09:22Z</cp:lastPrinted>
  <dcterms:created xsi:type="dcterms:W3CDTF">2016-06-01T22:33:01Z</dcterms:created>
  <dcterms:modified xsi:type="dcterms:W3CDTF">2026-07-16T06:09:23Z</dcterms:modified>
</cp:coreProperties>
</file>