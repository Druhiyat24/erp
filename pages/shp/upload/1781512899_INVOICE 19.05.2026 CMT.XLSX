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19.05.2026\"/>
    </mc:Choice>
  </mc:AlternateContent>
  <xr:revisionPtr revIDLastSave="0" documentId="13_ncr:1_{49E4C987-B7CF-42EF-A8F8-C4CCBA4CCE8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298" sheetId="129" r:id="rId3"/>
    <sheet name="299" sheetId="133" r:id="rId4"/>
    <sheet name="300" sheetId="134" r:id="rId5"/>
    <sheet name="301" sheetId="135" r:id="rId6"/>
  </sheets>
  <externalReferences>
    <externalReference r:id="rId7"/>
    <externalReference r:id="rId8"/>
    <externalReference r:id="rId9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>[2]xdata!#REF!</definedName>
    <definedName name="INVOICE">[2]xdata!$B$2</definedName>
    <definedName name="_xlnm.Print_Area" localSheetId="2">'298'!$B$1:$I$57</definedName>
    <definedName name="_xlnm.Print_Area" localSheetId="3">'299'!$B$1:$I$57</definedName>
    <definedName name="_xlnm.Print_Area" localSheetId="4">'300'!$B$1:$I$59</definedName>
    <definedName name="_xlnm.Print_Area" localSheetId="5">'301'!$B$1:$I$58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135" l="1"/>
  <c r="I33" i="135"/>
  <c r="I34" i="134"/>
  <c r="F32" i="129"/>
  <c r="I33" i="134"/>
  <c r="F32" i="133" l="1"/>
  <c r="F34" i="133" s="1"/>
  <c r="F34" i="129" l="1"/>
  <c r="I32" i="134"/>
  <c r="C3" i="133"/>
  <c r="H3" i="135"/>
  <c r="H3" i="134"/>
  <c r="H3" i="133"/>
  <c r="I32" i="129" l="1"/>
  <c r="F36" i="134"/>
  <c r="I32" i="133"/>
  <c r="B27" i="135" l="1"/>
  <c r="B27" i="134"/>
  <c r="E21" i="129" l="1"/>
  <c r="E21" i="133" l="1"/>
  <c r="E21" i="135"/>
  <c r="E21" i="134"/>
  <c r="C21" i="129"/>
  <c r="C21" i="134"/>
  <c r="C21" i="135"/>
  <c r="C21" i="133"/>
  <c r="H52" i="129"/>
  <c r="H54" i="134"/>
  <c r="H53" i="135"/>
  <c r="H52" i="133"/>
  <c r="I32" i="135" l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5" i="135" l="1"/>
  <c r="I37" i="135" s="1"/>
  <c r="I39" i="135" s="1"/>
  <c r="I36" i="134"/>
  <c r="I38" i="134" s="1"/>
  <c r="I40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<sst xmlns="http://schemas.openxmlformats.org/spreadsheetml/2006/main" count="485" uniqueCount="198">
  <si>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</si>
  <si>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</si>
  <si>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</si>
  <si>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</si>
  <si>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</si>
  <si>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</si>
  <si>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</si>
  <si>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</si>
  <si>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</si>
  <si>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</si>
  <si>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</si>
  <si>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</si>
  <si>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</si>
  <si>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</si>
  <si>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</si>
  <si>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</si>
  <si>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</si>
  <si>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</si>
  <si>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</si>
  <si>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</si>
  <si>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</si>
  <si>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</si>
  <si>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</si>
  <si>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</si>
  <si>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</si>
  <si>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</si>
  <si>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</si>
  <si>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</si>
  <si>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</si>
  <si>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</si>
  <si>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</si>
  <si>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</si>
  <si>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</si>
  <si>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</si>
  <si>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</si>
  <si>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</si>
  <si>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</si>
  <si>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</si>
  <si>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</si>
  <si>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</si>
  <si>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</si>
  <si>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</si>
  <si>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</si>
  <si>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</si>
  <si>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</si>
  <si>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</si>
  <si>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</si>
  <si>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</si>
  <si>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</si>
  <si>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</si>
  <si>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</si>
  <si>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</si>
  <si>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</si>
  <si>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</si>
  <si>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</si>
  <si>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</si>
  <si>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</si>
  <si>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</si>
  <si>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</si>
  <si>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</si>
  <si>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</si>
  <si>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</si>
  <si>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</si>
  <si>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</si>
  <si>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</si>
  <si>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</si>
  <si>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</si>
  <si>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</si>
  <si>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</si>
  <si>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</si>
  <si>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</si>
  <si>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</si>
  <si>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</si>
  <si>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</si>
  <si>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</si>
  <si>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</si>
  <si>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</si>
  <si>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</si>
  <si>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</si>
  <si>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</si>
  <si>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</si>
  <si>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</si>
  <si>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</si>
  <si>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</si>
  <si>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</si>
  <si>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</si>
  <si>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</si>
  <si>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</si>
  <si>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</si>
  <si>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</si>
  <si>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</si>
  <si>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</si>
  <si>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</si>
  <si>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</si>
  <si>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</si>
  <si>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</si>
  <si>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</si>
  <si>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</si>
  <si>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</si>
  <si>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</si>
  <si>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</si>
  <si>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</si>
  <si>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</si>
  <si>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</si>
  <si>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</si>
  <si>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</si>
  <si>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</si>
  <si>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</si>
  <si>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</si>
  <si>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</si>
  <si>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</si>
  <si>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</si>
  <si>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</si>
  <si>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</si>
  <si>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</si>
  <si>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</si>
  <si>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</si>
  <si>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</si>
  <si>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</si>
  <si>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</si>
  <si>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</si>
  <si>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</si>
  <si>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</si>
  <si>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</si>
  <si>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</si>
  <si>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</si>
  <si>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</si>
  <si>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</si>
  <si>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</si>
  <si>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</si>
  <si>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</si>
  <si>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</si>
  <si>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</si>
  <si>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</si>
  <si>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</si>
  <si>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</si>
  <si>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</si>
  <si>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</si>
  <si>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</si>
  <si>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</si>
  <si>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</si>
  <si>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</si>
  <si>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</si>
  <si>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</si>
  <si>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</si>
  <si>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</si>
  <si>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</si>
  <si>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</si>
  <si>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</si>
  <si>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</si>
  <si>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</si>
  <si>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</si>
  <si>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</si>
  <si>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</si>
  <si>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</si>
  <si>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</si>
  <si>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</si>
  <si>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</si>
  <si>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</si>
  <si>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</si>
  <si>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</si>
  <si>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</si>
  <si>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</si>
  <si>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</si>
  <si>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</si>
  <si>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</si>
  <si>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</si>
  <si>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</si>
  <si>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</si>
  <si>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</si>
  <si>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</si>
  <si>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</si>
  <si>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</si>
  <si>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</si>
  <si>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</si>
  <si>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</si>
  <si>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</si>
  <si>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</t>
  </si>
  <si>
    <t>CALLA LILY 451</t>
  </si>
  <si>
    <t>01</t>
  </si>
  <si>
    <t>265K0051</t>
  </si>
  <si>
    <t>265K0052</t>
  </si>
  <si>
    <t>265K0057</t>
  </si>
  <si>
    <t>BRIGHT WHITE</t>
  </si>
  <si>
    <t>04</t>
  </si>
  <si>
    <t>Boys Cotton Fibers, Knit Shirt, With Neck Closure, Stitch Count Equal Or Is Greater Than 10/1cm, Hem Bottom [60% Cotton 40% Polyester]</t>
  </si>
  <si>
    <t>RED TAPE</t>
  </si>
  <si>
    <t>BLACK JACK, FAUX HEATHER GREY</t>
  </si>
  <si>
    <t>BLACKJACK JAS, BLUSH HUE</t>
  </si>
  <si>
    <t>01, 02</t>
  </si>
  <si>
    <t>FRANCHISE</t>
  </si>
  <si>
    <t>HK</t>
  </si>
  <si>
    <t/>
  </si>
  <si>
    <t>03, 00</t>
  </si>
  <si>
    <t>BLUE TANGO, INK BLUE, MONET BLUE</t>
  </si>
  <si>
    <t>07, 02, 05</t>
  </si>
  <si>
    <t>Girls Cotton Fibers, Knit Pullover, With No Neck Closure, Stitch Count Is Greater Than 9/2cm, Reaches Waist [60% Cotton 40% Recycled Polyester]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</si>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</sst>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49</xdr:row>
      <xdr:rowOff>9525</xdr:rowOff>
    </xdr:from>
    <xdr:to>
      <xdr:col>4</xdr:col>
      <xdr:colOff>322160</xdr:colOff>
      <xdr:row>57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97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138</v>
      </c>
      <c r="D12" s="54" t="s">
        <v>118</v>
      </c>
      <c r="F12" s="54" t="s">
        <v>104</v>
      </c>
      <c r="G12" s="54" t="s">
        <v>106</v>
      </c>
      <c r="H12" s="54" t="s">
        <v>110</v>
      </c>
      <c r="I12" s="54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139</v>
      </c>
      <c r="D13" s="54" t="s">
        <v>119</v>
      </c>
      <c r="F13" s="54" t="s">
        <v>101</v>
      </c>
      <c r="G13" s="54" t="s">
        <v>107</v>
      </c>
      <c r="H13" s="54" t="s">
        <v>111</v>
      </c>
      <c r="I13" s="54" t="s">
        <v>115</v>
      </c>
      <c r="L13" t="str">
        <f>F17</f>
        <v>BDC-0015</v>
      </c>
    </row>
    <row r="14" spans="2:12" x14ac:dyDescent="0.2">
      <c r="B14" s="54" t="s">
        <v>141</v>
      </c>
      <c r="D14" s="55" t="s">
        <v>120</v>
      </c>
      <c r="F14" s="55" t="s">
        <v>102</v>
      </c>
      <c r="G14" s="55" t="s">
        <v>108</v>
      </c>
      <c r="H14" s="55" t="s">
        <v>112</v>
      </c>
      <c r="I14" s="55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91</v>
      </c>
      <c r="I18" s="54" t="s">
        <v>122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92</v>
      </c>
      <c r="I19" s="54" t="s">
        <v>123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93</v>
      </c>
      <c r="I20" s="54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4" t="s">
        <v>128</v>
      </c>
      <c r="F24" s="54" t="s">
        <v>135</v>
      </c>
      <c r="G24" s="54" t="s">
        <v>146</v>
      </c>
      <c r="H24" s="54" t="s">
        <v>151</v>
      </c>
      <c r="I24" s="54" t="s">
        <v>157</v>
      </c>
      <c r="L24" t="str">
        <f>I29</f>
        <v>PDC-0014</v>
      </c>
    </row>
    <row r="25" spans="2:12" x14ac:dyDescent="0.2">
      <c r="D25" s="54" t="s">
        <v>129</v>
      </c>
      <c r="F25" s="54" t="s">
        <v>136</v>
      </c>
      <c r="G25" s="54" t="s">
        <v>147</v>
      </c>
      <c r="H25" s="54" t="s">
        <v>152</v>
      </c>
      <c r="I25" s="54" t="s">
        <v>158</v>
      </c>
      <c r="L25" t="str">
        <f>F35</f>
        <v>JPD-0030</v>
      </c>
    </row>
    <row r="26" spans="2:12" x14ac:dyDescent="0.2">
      <c r="D26" s="54" t="s">
        <v>130</v>
      </c>
      <c r="F26" s="54" t="s">
        <v>133</v>
      </c>
      <c r="G26" s="54" t="s">
        <v>148</v>
      </c>
      <c r="H26" s="54" t="s">
        <v>153</v>
      </c>
      <c r="I26" s="55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4" t="s">
        <v>143</v>
      </c>
      <c r="F30" s="54" t="s">
        <v>161</v>
      </c>
      <c r="G30" s="54" t="s">
        <v>163</v>
      </c>
      <c r="H30" s="54" t="s">
        <v>163</v>
      </c>
      <c r="I30" s="54" t="s">
        <v>166</v>
      </c>
    </row>
    <row r="31" spans="2:12" x14ac:dyDescent="0.2">
      <c r="D31" s="54" t="s">
        <v>144</v>
      </c>
      <c r="F31" s="54" t="s">
        <v>111</v>
      </c>
      <c r="G31" s="54" t="s">
        <v>69</v>
      </c>
      <c r="H31" s="54" t="s">
        <v>69</v>
      </c>
      <c r="I31" s="54" t="s">
        <v>101</v>
      </c>
    </row>
    <row r="32" spans="2:12" x14ac:dyDescent="0.2">
      <c r="D32" s="54" t="s">
        <v>130</v>
      </c>
      <c r="F32" s="55" t="s">
        <v>112</v>
      </c>
      <c r="G32" s="55" t="s">
        <v>76</v>
      </c>
      <c r="H32" s="55" t="s">
        <v>76</v>
      </c>
      <c r="I32" s="55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4" t="s">
        <v>118</v>
      </c>
      <c r="F36" s="54" t="s">
        <v>173</v>
      </c>
    </row>
    <row r="37" spans="4:9" x14ac:dyDescent="0.2">
      <c r="D37" s="54" t="s">
        <v>119</v>
      </c>
      <c r="F37" s="54" t="s">
        <v>174</v>
      </c>
    </row>
    <row r="38" spans="4:9" x14ac:dyDescent="0.2">
      <c r="D38" s="55" t="s">
        <v>120</v>
      </c>
      <c r="F38" s="54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4" t="s">
        <v>168</v>
      </c>
    </row>
    <row r="49" spans="4:4" x14ac:dyDescent="0.2">
      <c r="D49" s="54" t="s">
        <v>169</v>
      </c>
    </row>
    <row r="50" spans="4:4" x14ac:dyDescent="0.2">
      <c r="D50" s="55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J2" sqref="J2"/>
    </sheetView>
  </sheetViews>
  <sheetFormatPr defaultRowHeight="12.75" x14ac:dyDescent="0.2"/>
  <sheetData>
    <row r="2" spans="2:9" ht="15" x14ac:dyDescent="0.25">
      <c r="B2" s="60">
        <v>1</v>
      </c>
      <c r="C2" t="s">
        <v>181</v>
      </c>
      <c r="E2" s="60">
        <v>1</v>
      </c>
      <c r="F2">
        <v>767468</v>
      </c>
      <c r="H2" s="60">
        <v>1</v>
      </c>
      <c r="I2" s="61"/>
    </row>
    <row r="3" spans="2:9" ht="15" x14ac:dyDescent="0.25">
      <c r="B3" s="60">
        <v>2</v>
      </c>
      <c r="C3" t="s">
        <v>180</v>
      </c>
      <c r="E3" s="60">
        <v>2</v>
      </c>
      <c r="F3">
        <v>416363</v>
      </c>
      <c r="H3" s="60">
        <v>2</v>
      </c>
      <c r="I3" s="61" t="s">
        <v>190</v>
      </c>
    </row>
    <row r="4" spans="2:9" ht="15" x14ac:dyDescent="0.25">
      <c r="B4" s="60">
        <v>3</v>
      </c>
      <c r="C4" t="s">
        <v>180</v>
      </c>
      <c r="E4" s="60">
        <v>3</v>
      </c>
      <c r="F4">
        <v>416363</v>
      </c>
      <c r="H4" s="60">
        <v>3</v>
      </c>
      <c r="I4" s="61" t="s">
        <v>190</v>
      </c>
    </row>
    <row r="5" spans="2:9" ht="15" x14ac:dyDescent="0.25">
      <c r="B5" s="60">
        <v>4</v>
      </c>
      <c r="C5" t="s">
        <v>182</v>
      </c>
      <c r="E5" s="60">
        <v>4</v>
      </c>
      <c r="F5">
        <v>867788</v>
      </c>
      <c r="H5" s="60">
        <v>4</v>
      </c>
      <c r="I5" s="61" t="s">
        <v>190</v>
      </c>
    </row>
    <row r="6" spans="2:9" ht="15" x14ac:dyDescent="0.25">
      <c r="B6" s="60">
        <v>5</v>
      </c>
      <c r="E6" s="60">
        <v>5</v>
      </c>
      <c r="H6" s="60">
        <v>5</v>
      </c>
      <c r="I6" s="61"/>
    </row>
    <row r="7" spans="2:9" ht="15" x14ac:dyDescent="0.25">
      <c r="B7" s="60">
        <v>6</v>
      </c>
      <c r="E7" s="60">
        <v>6</v>
      </c>
      <c r="H7" s="60">
        <v>6</v>
      </c>
      <c r="I7" s="61"/>
    </row>
    <row r="8" spans="2:9" ht="15" x14ac:dyDescent="0.25">
      <c r="B8" s="60">
        <v>7</v>
      </c>
      <c r="E8" s="60">
        <v>7</v>
      </c>
      <c r="H8" s="60">
        <v>7</v>
      </c>
      <c r="I8" s="61"/>
    </row>
    <row r="9" spans="2:9" ht="15" x14ac:dyDescent="0.25">
      <c r="B9" s="60">
        <v>8</v>
      </c>
      <c r="E9" s="60">
        <v>8</v>
      </c>
      <c r="H9" s="60">
        <v>8</v>
      </c>
      <c r="I9" s="61"/>
    </row>
    <row r="10" spans="2:9" ht="15" x14ac:dyDescent="0.25">
      <c r="B10" s="60">
        <v>9</v>
      </c>
      <c r="E10" s="60">
        <v>9</v>
      </c>
      <c r="H10" s="60">
        <v>9</v>
      </c>
      <c r="I10" s="61"/>
    </row>
    <row r="11" spans="2:9" ht="15" x14ac:dyDescent="0.25">
      <c r="B11" s="60">
        <v>10</v>
      </c>
      <c r="E11" s="60">
        <v>10</v>
      </c>
      <c r="H11" s="60">
        <v>10</v>
      </c>
      <c r="I11" s="61"/>
    </row>
    <row r="12" spans="2:9" ht="15" x14ac:dyDescent="0.25">
      <c r="B12" s="60">
        <v>11</v>
      </c>
      <c r="E12" s="60">
        <v>11</v>
      </c>
      <c r="H12" s="60">
        <v>11</v>
      </c>
      <c r="I12" s="61"/>
    </row>
    <row r="13" spans="2:9" ht="15" x14ac:dyDescent="0.25">
      <c r="B13" s="60">
        <v>12</v>
      </c>
      <c r="E13" s="60">
        <v>12</v>
      </c>
      <c r="H13" s="60">
        <v>12</v>
      </c>
      <c r="I13" s="61"/>
    </row>
    <row r="14" spans="2:9" ht="15" x14ac:dyDescent="0.25">
      <c r="B14" s="60">
        <v>13</v>
      </c>
      <c r="E14" s="60">
        <v>13</v>
      </c>
      <c r="H14" s="60">
        <v>13</v>
      </c>
      <c r="I14" s="61"/>
    </row>
    <row r="15" spans="2:9" ht="15" x14ac:dyDescent="0.25">
      <c r="B15" s="60">
        <v>14</v>
      </c>
      <c r="E15" s="60">
        <v>14</v>
      </c>
      <c r="H15" s="60">
        <v>14</v>
      </c>
      <c r="I15" s="61"/>
    </row>
    <row r="16" spans="2:9" ht="15" x14ac:dyDescent="0.25">
      <c r="B16" s="60">
        <v>15</v>
      </c>
      <c r="E16" s="60">
        <v>15</v>
      </c>
      <c r="H16" s="60">
        <v>15</v>
      </c>
      <c r="I16" s="61"/>
    </row>
    <row r="17" spans="2:11" ht="15" x14ac:dyDescent="0.25">
      <c r="B17" s="60">
        <v>16</v>
      </c>
      <c r="E17" s="60">
        <v>16</v>
      </c>
      <c r="H17" s="60">
        <v>16</v>
      </c>
      <c r="I17" s="61"/>
    </row>
    <row r="18" spans="2:11" ht="15" x14ac:dyDescent="0.25">
      <c r="B18" s="60">
        <v>17</v>
      </c>
      <c r="E18" s="60">
        <v>17</v>
      </c>
      <c r="H18" s="60">
        <v>17</v>
      </c>
      <c r="I18" s="61"/>
    </row>
    <row r="19" spans="2:11" ht="15" x14ac:dyDescent="0.25">
      <c r="B19" s="60">
        <v>18</v>
      </c>
      <c r="E19" s="60">
        <v>18</v>
      </c>
      <c r="H19" s="60">
        <v>18</v>
      </c>
      <c r="I19" s="61"/>
    </row>
    <row r="20" spans="2:11" ht="15" x14ac:dyDescent="0.25">
      <c r="B20" s="60">
        <v>19</v>
      </c>
      <c r="E20" s="60">
        <v>19</v>
      </c>
      <c r="H20" s="60">
        <v>19</v>
      </c>
      <c r="I20" s="61"/>
    </row>
    <row r="21" spans="2:11" ht="15" x14ac:dyDescent="0.25">
      <c r="B21" s="60">
        <v>20</v>
      </c>
      <c r="E21" s="60">
        <v>20</v>
      </c>
      <c r="H21" s="60">
        <v>20</v>
      </c>
      <c r="I21" s="61"/>
    </row>
    <row r="22" spans="2:11" ht="15" x14ac:dyDescent="0.25">
      <c r="B22" s="60">
        <v>21</v>
      </c>
      <c r="E22" s="60">
        <v>21</v>
      </c>
      <c r="H22" s="60">
        <v>21</v>
      </c>
      <c r="I22" s="61"/>
      <c r="K22" t="s">
        <v>63</v>
      </c>
    </row>
    <row r="23" spans="2:11" ht="15" x14ac:dyDescent="0.25">
      <c r="B23" s="60">
        <v>22</v>
      </c>
      <c r="E23" s="60">
        <v>22</v>
      </c>
      <c r="H23" s="60">
        <v>22</v>
      </c>
      <c r="I23" s="61"/>
    </row>
    <row r="24" spans="2:11" ht="15" x14ac:dyDescent="0.25">
      <c r="B24" s="60">
        <v>23</v>
      </c>
      <c r="E24" s="60">
        <v>23</v>
      </c>
      <c r="H24" s="60">
        <v>23</v>
      </c>
      <c r="I24" s="61"/>
    </row>
    <row r="25" spans="2:11" ht="15" x14ac:dyDescent="0.25">
      <c r="B25" s="60">
        <v>24</v>
      </c>
      <c r="E25" s="60">
        <v>24</v>
      </c>
      <c r="H25" s="60">
        <v>24</v>
      </c>
      <c r="I25" s="61"/>
    </row>
    <row r="26" spans="2:11" ht="15" x14ac:dyDescent="0.25">
      <c r="B26" s="60">
        <v>25</v>
      </c>
      <c r="E26" s="60">
        <v>25</v>
      </c>
      <c r="H26" s="60">
        <v>25</v>
      </c>
      <c r="I26" s="61"/>
    </row>
    <row r="27" spans="2:11" ht="15" x14ac:dyDescent="0.25">
      <c r="B27" s="60">
        <v>26</v>
      </c>
      <c r="E27" s="60">
        <v>26</v>
      </c>
      <c r="H27" s="60">
        <v>26</v>
      </c>
      <c r="I27" s="61"/>
    </row>
    <row r="28" spans="2:11" x14ac:dyDescent="0.2">
      <c r="B28" s="60">
        <v>27</v>
      </c>
      <c r="E28" s="60">
        <v>27</v>
      </c>
      <c r="H28" s="60">
        <v>27</v>
      </c>
    </row>
    <row r="29" spans="2:11" x14ac:dyDescent="0.2">
      <c r="B29" s="60">
        <v>28</v>
      </c>
      <c r="E29" s="60">
        <v>28</v>
      </c>
      <c r="H29" s="60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tabSelected="1" view="pageBreakPreview" topLeftCell="A21" zoomScaleNormal="100" zoomScaleSheetLayoutView="100" workbookViewId="0">
      <selection activeCell="E15" sqref="E15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6" t="s">
        <v>197</v>
      </c>
      <c r="C2" s="67"/>
      <c r="D2" s="67"/>
      <c r="E2" s="67"/>
      <c r="F2" s="67"/>
      <c r="G2" s="67"/>
      <c r="H2" s="67"/>
      <c r="I2" s="68"/>
      <c r="J2" s="43">
        <v>1778054</v>
      </c>
      <c r="K2" s="44">
        <v>30</v>
      </c>
      <c r="L2" s="44">
        <v>5</v>
      </c>
      <c r="M2" s="44">
        <v>3.83</v>
      </c>
      <c r="N2" s="44">
        <v>4.43</v>
      </c>
      <c r="O2" s="44">
        <v>6.68</v>
      </c>
      <c r="P2" s="44" t="s">
        <v>54</v>
      </c>
      <c r="Q2" s="44">
        <v>8.4000000000000005E-2</v>
      </c>
      <c r="R2" s="44" t="s">
        <v>62</v>
      </c>
    </row>
    <row r="3" spans="2:22" x14ac:dyDescent="0.2">
      <c r="B3" s="6" t="s">
        <v>53</v>
      </c>
      <c r="C3" s="63">
        <v>298</v>
      </c>
      <c r="D3" s="5"/>
      <c r="E3" s="5"/>
      <c r="F3" s="5"/>
      <c r="G3" s="5" t="s">
        <v>52</v>
      </c>
      <c r="H3" s="31">
        <v>46161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132</v>
      </c>
      <c r="H13" s="5"/>
      <c r="I13" s="4"/>
    </row>
    <row r="14" spans="2:22" x14ac:dyDescent="0.2">
      <c r="B14" s="6" t="s">
        <v>127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 xml:space="preserve">COMPARTMENT 1503, 15/F, 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13TH FLOOR, ONE ANGEL COURT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KERRY CARGO CENTRE,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LONDON, UNITED KINGDOM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55 WING KEI ROAD, KWAI CHUNG, NT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EC2R 7HJ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HONG KONG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KINGDOM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1778054</v>
      </c>
      <c r="C21" s="52">
        <f>VLOOKUP($K56,reff!E2:F29,2,0)</f>
        <v>767468</v>
      </c>
      <c r="D21" s="19" t="str">
        <f>IF(LEFT(B14,2)="OL","OLD NAVY",IF(LEFT(B14,2)="TH","THE GAP",IF(LEFT(B14,2)="GA","GAP",IF(LEFT(B14,2)="GP","OLD NAVY"))))</f>
        <v>GAP</v>
      </c>
      <c r="E21" s="19">
        <f>VLOOKUP($K21,reff!H2:I29,2,0)</f>
        <v>0</v>
      </c>
      <c r="F21" s="51" t="s">
        <v>35</v>
      </c>
      <c r="G21" s="51"/>
      <c r="H21" s="49" t="s">
        <v>191</v>
      </c>
      <c r="I21" s="51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6.68</v>
      </c>
      <c r="G23" s="23">
        <f>+N2</f>
        <v>4.43</v>
      </c>
      <c r="H23" s="23">
        <f>+M2</f>
        <v>3.83</v>
      </c>
      <c r="I23" s="51">
        <f>+L2</f>
        <v>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0"/>
      <c r="D26" s="70"/>
      <c r="E26" s="70"/>
      <c r="F26" s="70"/>
      <c r="G26" s="70"/>
      <c r="H26" s="70"/>
      <c r="I26" s="71"/>
    </row>
    <row r="27" spans="2:13" ht="24.75" customHeight="1" x14ac:dyDescent="0.2">
      <c r="B27" s="72" t="str">
        <f>+K4</f>
        <v>Boys Cotton Fibers, Knit Shirt, With Neck Closure, Stitch Count Equal Or Is Greater Than 10/1cm, Hem Bottom [60% Cotton 40% Polyester]</v>
      </c>
      <c r="C27" s="73"/>
      <c r="D27" s="73"/>
      <c r="E27" s="73"/>
      <c r="F27" s="73"/>
      <c r="G27" s="73"/>
      <c r="H27" s="73"/>
      <c r="I27" s="7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5" t="s">
        <v>19</v>
      </c>
      <c r="E31" s="75"/>
      <c r="F31" s="75" t="s">
        <v>18</v>
      </c>
      <c r="G31" s="75"/>
      <c r="H31" s="51" t="s">
        <v>17</v>
      </c>
      <c r="I31" s="19" t="s">
        <v>16</v>
      </c>
      <c r="M31"/>
    </row>
    <row r="32" spans="2:13" ht="30.75" customHeight="1" x14ac:dyDescent="0.2">
      <c r="B32" s="41" t="s">
        <v>192</v>
      </c>
      <c r="C32" s="19" t="s">
        <v>178</v>
      </c>
      <c r="D32" s="64"/>
      <c r="E32" s="65"/>
      <c r="F32" s="64">
        <f>+K2</f>
        <v>30</v>
      </c>
      <c r="G32" s="65"/>
      <c r="H32" s="17">
        <v>1.05</v>
      </c>
      <c r="I32" s="18">
        <f>+H32*F32</f>
        <v>31.5</v>
      </c>
      <c r="K32" s="48"/>
      <c r="M32" s="39"/>
    </row>
    <row r="33" spans="2:11" ht="21" customHeight="1" x14ac:dyDescent="0.2">
      <c r="B33" s="15" t="s">
        <v>15</v>
      </c>
      <c r="C33" s="15"/>
      <c r="D33" s="69"/>
      <c r="E33" s="71"/>
      <c r="F33" s="69"/>
      <c r="G33" s="71"/>
      <c r="H33" s="17"/>
      <c r="I33" s="51"/>
    </row>
    <row r="34" spans="2:11" ht="21.75" customHeight="1" x14ac:dyDescent="0.2">
      <c r="B34" s="15" t="s">
        <v>14</v>
      </c>
      <c r="C34" s="15"/>
      <c r="D34" s="80"/>
      <c r="E34" s="81"/>
      <c r="F34" s="64">
        <f>SUM(F31:G33)</f>
        <v>30</v>
      </c>
      <c r="G34" s="65"/>
      <c r="H34" s="15"/>
      <c r="I34" s="14">
        <f>SUM(I32:I33)</f>
        <v>31.5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1"/>
      <c r="F35" s="69"/>
      <c r="G35" s="71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9"/>
      <c r="E36" s="71"/>
      <c r="F36" s="69"/>
      <c r="G36" s="71"/>
      <c r="H36" s="15"/>
      <c r="I36" s="14">
        <f>+I34</f>
        <v>31.5</v>
      </c>
    </row>
    <row r="37" spans="2:11" ht="20.25" customHeight="1" x14ac:dyDescent="0.2">
      <c r="B37" s="15" t="s">
        <v>80</v>
      </c>
      <c r="C37" s="69" t="s">
        <v>11</v>
      </c>
      <c r="D37" s="70"/>
      <c r="E37" s="70"/>
      <c r="F37" s="70"/>
      <c r="G37" s="70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31.5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15" sqref="E15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6" t="s">
        <v>197</v>
      </c>
      <c r="C2" s="67"/>
      <c r="D2" s="67"/>
      <c r="E2" s="67"/>
      <c r="F2" s="67"/>
      <c r="G2" s="67"/>
      <c r="H2" s="67"/>
      <c r="I2" s="68"/>
      <c r="J2" s="43">
        <v>61642759</v>
      </c>
      <c r="K2" s="44">
        <v>252</v>
      </c>
      <c r="L2" s="44">
        <v>4</v>
      </c>
      <c r="M2" s="44">
        <v>28.581</v>
      </c>
      <c r="N2" s="44">
        <v>29.085000000000001</v>
      </c>
      <c r="O2" s="44">
        <v>32.484999999999999</v>
      </c>
      <c r="P2" s="44" t="s">
        <v>54</v>
      </c>
      <c r="Q2" s="44">
        <v>0.16800000000000001</v>
      </c>
      <c r="R2" s="44" t="s">
        <v>62</v>
      </c>
    </row>
    <row r="3" spans="2:22" x14ac:dyDescent="0.2">
      <c r="B3" s="6" t="s">
        <v>53</v>
      </c>
      <c r="C3" s="63">
        <f>+'298'!C3+1</f>
        <v>299</v>
      </c>
      <c r="D3" s="5"/>
      <c r="E3" s="5"/>
      <c r="F3" s="5"/>
      <c r="G3" s="5" t="s">
        <v>52</v>
      </c>
      <c r="H3" s="31">
        <f>+'298'!H3+0</f>
        <v>46161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121</v>
      </c>
      <c r="H13" s="5"/>
      <c r="I13" s="4"/>
    </row>
    <row r="14" spans="2:22" x14ac:dyDescent="0.2">
      <c r="B14" s="6" t="s">
        <v>117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61642759</v>
      </c>
      <c r="C21" s="52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1" t="s">
        <v>35</v>
      </c>
      <c r="G21" s="51"/>
      <c r="H21" s="49" t="str">
        <f>IF(LEFT(G17,2)="CA","CA",IF(LEFT(G17,2)="UN","US",IF(LEFT(G17,2)="PA","PA",IF(LEFT(G17,2)="JA","JP"))))</f>
        <v>PA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32.484999999999999</v>
      </c>
      <c r="G23" s="23">
        <f>+N2</f>
        <v>29.085000000000001</v>
      </c>
      <c r="H23" s="23">
        <f>+M2</f>
        <v>28.581</v>
      </c>
      <c r="I23" s="51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0"/>
      <c r="D26" s="70"/>
      <c r="E26" s="70"/>
      <c r="F26" s="70"/>
      <c r="G26" s="70"/>
      <c r="H26" s="70"/>
      <c r="I26" s="71"/>
    </row>
    <row r="27" spans="2:13" ht="24.75" customHeight="1" x14ac:dyDescent="0.2">
      <c r="B27" s="72" t="str">
        <f>+K4</f>
        <v>Boys Cotton Fibers, Knit Shirt, With Neck Closure, Stitch Count Equal Or Is Greater Than 10/1cm, Hem Bottom [60% Cotton 40% Polyester]</v>
      </c>
      <c r="C27" s="73"/>
      <c r="D27" s="73"/>
      <c r="E27" s="73"/>
      <c r="F27" s="73"/>
      <c r="G27" s="73"/>
      <c r="H27" s="73"/>
      <c r="I27" s="7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5" t="s">
        <v>19</v>
      </c>
      <c r="E31" s="75"/>
      <c r="F31" s="75" t="s">
        <v>18</v>
      </c>
      <c r="G31" s="75"/>
      <c r="H31" s="51" t="s">
        <v>17</v>
      </c>
      <c r="I31" s="19" t="s">
        <v>16</v>
      </c>
      <c r="M31"/>
    </row>
    <row r="32" spans="2:13" ht="27.75" customHeight="1" x14ac:dyDescent="0.2">
      <c r="B32" s="41" t="s">
        <v>179</v>
      </c>
      <c r="C32" s="19" t="s">
        <v>186</v>
      </c>
      <c r="D32" s="64"/>
      <c r="E32" s="65"/>
      <c r="F32" s="64">
        <f>+K2</f>
        <v>252</v>
      </c>
      <c r="G32" s="65"/>
      <c r="H32" s="17">
        <v>0.9</v>
      </c>
      <c r="I32" s="18">
        <f>+H32*F32</f>
        <v>226.8</v>
      </c>
      <c r="K32" s="48"/>
      <c r="M32" s="39"/>
    </row>
    <row r="33" spans="2:11" ht="21" customHeight="1" x14ac:dyDescent="0.2">
      <c r="B33" s="15" t="s">
        <v>15</v>
      </c>
      <c r="C33" s="15"/>
      <c r="D33" s="69"/>
      <c r="E33" s="71"/>
      <c r="F33" s="69"/>
      <c r="G33" s="71"/>
      <c r="H33" s="17"/>
      <c r="I33" s="51"/>
    </row>
    <row r="34" spans="2:11" ht="21.75" customHeight="1" x14ac:dyDescent="0.2">
      <c r="B34" s="15" t="s">
        <v>14</v>
      </c>
      <c r="C34" s="15"/>
      <c r="D34" s="80"/>
      <c r="E34" s="81"/>
      <c r="F34" s="64">
        <f>SUM(F31:G33)</f>
        <v>252</v>
      </c>
      <c r="G34" s="65"/>
      <c r="H34" s="15"/>
      <c r="I34" s="14">
        <f>SUM(I32:I33)</f>
        <v>226.8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1"/>
      <c r="F35" s="69"/>
      <c r="G35" s="71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9"/>
      <c r="E36" s="71"/>
      <c r="F36" s="69"/>
      <c r="G36" s="71"/>
      <c r="H36" s="15"/>
      <c r="I36" s="14">
        <f>+I34</f>
        <v>226.8</v>
      </c>
    </row>
    <row r="37" spans="2:11" ht="20.25" customHeight="1" x14ac:dyDescent="0.2">
      <c r="B37" s="15" t="s">
        <v>80</v>
      </c>
      <c r="C37" s="69" t="s">
        <v>11</v>
      </c>
      <c r="D37" s="70"/>
      <c r="E37" s="70"/>
      <c r="F37" s="70"/>
      <c r="G37" s="70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226.8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60"/>
  <sheetViews>
    <sheetView view="pageBreakPreview" topLeftCell="A27" zoomScaleNormal="100" zoomScaleSheetLayoutView="100" workbookViewId="0">
      <selection activeCell="E15" sqref="E15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6" t="s">
        <v>197</v>
      </c>
      <c r="C2" s="67"/>
      <c r="D2" s="67"/>
      <c r="E2" s="67"/>
      <c r="F2" s="67"/>
      <c r="G2" s="67"/>
      <c r="H2" s="67"/>
      <c r="I2" s="68"/>
      <c r="J2" s="43">
        <v>61643005</v>
      </c>
      <c r="K2" s="50">
        <v>5127</v>
      </c>
      <c r="L2" s="44">
        <v>76</v>
      </c>
      <c r="M2" s="44">
        <v>583.048</v>
      </c>
      <c r="N2" s="44">
        <v>593.24</v>
      </c>
      <c r="O2" s="44">
        <v>651.14</v>
      </c>
      <c r="P2" s="44" t="s">
        <v>54</v>
      </c>
      <c r="Q2" s="44">
        <v>3.1539999999999999</v>
      </c>
      <c r="R2" s="44" t="s">
        <v>62</v>
      </c>
    </row>
    <row r="3" spans="2:22" x14ac:dyDescent="0.2">
      <c r="B3" s="6" t="s">
        <v>53</v>
      </c>
      <c r="C3" s="63">
        <f>+'299'!C3+1</f>
        <v>300</v>
      </c>
      <c r="D3" s="5"/>
      <c r="E3" s="5"/>
      <c r="F3" s="5"/>
      <c r="G3" s="5" t="s">
        <v>52</v>
      </c>
      <c r="H3" s="31">
        <f>+'298'!H3+0</f>
        <v>46161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121</v>
      </c>
      <c r="H13" s="5"/>
      <c r="I13" s="4"/>
    </row>
    <row r="14" spans="2:22" x14ac:dyDescent="0.2">
      <c r="B14" s="6" t="s">
        <v>117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7">
        <f>J2</f>
        <v>61643005</v>
      </c>
      <c r="C21" s="56">
        <f>VLOOKUP($K58,reff!E2:F29,2,0)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7" t="s">
        <v>35</v>
      </c>
      <c r="G21" s="57"/>
      <c r="H21" s="49" t="str">
        <f>IF(LEFT(G17,2)="CA","CA",IF(LEFT(G17,2)="UN","US",IF(LEFT(G17,2)="PA","PA",IF(LEFT(G17,2)="JA","JP"))))</f>
        <v>PA</v>
      </c>
      <c r="I21" s="57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7" t="s">
        <v>25</v>
      </c>
      <c r="C23" s="57"/>
      <c r="D23" s="57" t="s">
        <v>24</v>
      </c>
      <c r="E23" s="57" t="str">
        <f>+D23</f>
        <v>JAKARTA,ID</v>
      </c>
      <c r="F23" s="23">
        <f>+O2</f>
        <v>651.14</v>
      </c>
      <c r="G23" s="23">
        <f>+N2</f>
        <v>593.24</v>
      </c>
      <c r="H23" s="23">
        <f>+M2</f>
        <v>583.048</v>
      </c>
      <c r="I23" s="57">
        <f>+L2</f>
        <v>76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0"/>
      <c r="D26" s="70"/>
      <c r="E26" s="70"/>
      <c r="F26" s="70"/>
      <c r="G26" s="70"/>
      <c r="H26" s="70"/>
      <c r="I26" s="71"/>
    </row>
    <row r="27" spans="2:13" ht="24.75" customHeight="1" x14ac:dyDescent="0.2">
      <c r="B27" s="72" t="str">
        <f>+K4</f>
        <v>Boys Cotton Fibers, Knit Shirt, With Neck Closure, Stitch Count Equal Or Is Greater Than 10/1cm, Hem Bottom [60% Cotton 40% Polyester]</v>
      </c>
      <c r="C27" s="73"/>
      <c r="D27" s="73"/>
      <c r="E27" s="73"/>
      <c r="F27" s="73"/>
      <c r="G27" s="73"/>
      <c r="H27" s="73"/>
      <c r="I27" s="7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7" t="s">
        <v>21</v>
      </c>
      <c r="C31" s="57" t="s">
        <v>20</v>
      </c>
      <c r="D31" s="75" t="s">
        <v>19</v>
      </c>
      <c r="E31" s="75"/>
      <c r="F31" s="75" t="s">
        <v>18</v>
      </c>
      <c r="G31" s="75"/>
      <c r="H31" s="57" t="s">
        <v>17</v>
      </c>
      <c r="I31" s="19" t="s">
        <v>16</v>
      </c>
      <c r="M31"/>
    </row>
    <row r="32" spans="2:13" ht="27.75" customHeight="1" x14ac:dyDescent="0.2">
      <c r="B32" s="41" t="s">
        <v>184</v>
      </c>
      <c r="C32" s="19" t="s">
        <v>183</v>
      </c>
      <c r="D32" s="64"/>
      <c r="E32" s="65"/>
      <c r="F32" s="64">
        <v>1510</v>
      </c>
      <c r="G32" s="65"/>
      <c r="H32" s="17">
        <v>0.9</v>
      </c>
      <c r="I32" s="18">
        <f>+H32*F32</f>
        <v>1359</v>
      </c>
      <c r="K32" s="48"/>
      <c r="M32" s="39"/>
    </row>
    <row r="33" spans="2:13" ht="27.75" customHeight="1" x14ac:dyDescent="0.2">
      <c r="B33" s="41" t="s">
        <v>193</v>
      </c>
      <c r="C33" s="19" t="s">
        <v>187</v>
      </c>
      <c r="D33" s="64"/>
      <c r="E33" s="65"/>
      <c r="F33" s="64">
        <v>749</v>
      </c>
      <c r="G33" s="65"/>
      <c r="H33" s="17">
        <v>0.9</v>
      </c>
      <c r="I33" s="18">
        <f>+H33*F33</f>
        <v>674.1</v>
      </c>
      <c r="K33" s="48"/>
      <c r="M33" s="39"/>
    </row>
    <row r="34" spans="2:13" ht="27.75" customHeight="1" x14ac:dyDescent="0.2">
      <c r="B34" s="41" t="s">
        <v>195</v>
      </c>
      <c r="C34" s="19" t="s">
        <v>194</v>
      </c>
      <c r="D34" s="64"/>
      <c r="E34" s="65"/>
      <c r="F34" s="64">
        <v>2868</v>
      </c>
      <c r="G34" s="65"/>
      <c r="H34" s="17">
        <v>0.9</v>
      </c>
      <c r="I34" s="18">
        <f>+H34*F34</f>
        <v>2581.2000000000003</v>
      </c>
      <c r="K34" s="48"/>
      <c r="M34" s="39"/>
    </row>
    <row r="35" spans="2:13" ht="21" customHeight="1" x14ac:dyDescent="0.2">
      <c r="B35" s="15" t="s">
        <v>15</v>
      </c>
      <c r="C35" s="15"/>
      <c r="D35" s="69"/>
      <c r="E35" s="71"/>
      <c r="F35" s="69"/>
      <c r="G35" s="71"/>
      <c r="H35" s="17"/>
      <c r="I35" s="57"/>
    </row>
    <row r="36" spans="2:13" ht="21.75" customHeight="1" x14ac:dyDescent="0.2">
      <c r="B36" s="15" t="s">
        <v>14</v>
      </c>
      <c r="C36" s="15"/>
      <c r="D36" s="80"/>
      <c r="E36" s="81"/>
      <c r="F36" s="64">
        <f>SUM(F32:G35)</f>
        <v>5127</v>
      </c>
      <c r="G36" s="65"/>
      <c r="H36" s="15"/>
      <c r="I36" s="14">
        <f>SUM(I32:I35)</f>
        <v>4614.3</v>
      </c>
      <c r="J36" s="40"/>
      <c r="K36" s="40"/>
    </row>
    <row r="37" spans="2:13" ht="21.75" customHeight="1" x14ac:dyDescent="0.2">
      <c r="B37" s="16" t="s">
        <v>13</v>
      </c>
      <c r="C37" s="15"/>
      <c r="D37" s="69"/>
      <c r="E37" s="71"/>
      <c r="F37" s="69"/>
      <c r="G37" s="71"/>
      <c r="H37" s="15"/>
      <c r="I37" s="57"/>
      <c r="J37" s="40"/>
    </row>
    <row r="38" spans="2:13" ht="21.75" customHeight="1" x14ac:dyDescent="0.2">
      <c r="B38" s="16" t="s">
        <v>12</v>
      </c>
      <c r="C38" s="15"/>
      <c r="D38" s="69"/>
      <c r="E38" s="71"/>
      <c r="F38" s="69"/>
      <c r="G38" s="71"/>
      <c r="H38" s="15"/>
      <c r="I38" s="14">
        <f>+I36</f>
        <v>4614.3</v>
      </c>
    </row>
    <row r="39" spans="2:13" ht="20.25" customHeight="1" x14ac:dyDescent="0.2">
      <c r="B39" s="15" t="s">
        <v>80</v>
      </c>
      <c r="C39" s="69" t="s">
        <v>11</v>
      </c>
      <c r="D39" s="70"/>
      <c r="E39" s="70"/>
      <c r="F39" s="70"/>
      <c r="G39" s="70"/>
      <c r="H39" s="71"/>
      <c r="I39" s="47"/>
    </row>
    <row r="40" spans="2:13" ht="21" customHeight="1" x14ac:dyDescent="0.2">
      <c r="B40" s="16" t="s">
        <v>10</v>
      </c>
      <c r="C40" s="15"/>
      <c r="D40" s="15"/>
      <c r="E40" s="15"/>
      <c r="F40" s="15"/>
      <c r="G40" s="15"/>
      <c r="H40" s="15"/>
      <c r="I40" s="14">
        <f>+I38+I39</f>
        <v>4614.3</v>
      </c>
    </row>
    <row r="41" spans="2:13" ht="18.75" customHeight="1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6"/>
      <c r="C42" s="5"/>
      <c r="D42" s="5"/>
      <c r="E42" s="5"/>
      <c r="F42" s="5"/>
      <c r="G42" s="5"/>
      <c r="H42" s="5"/>
      <c r="I42" s="4"/>
    </row>
    <row r="43" spans="2:13" x14ac:dyDescent="0.2">
      <c r="B43" s="13" t="s">
        <v>9</v>
      </c>
      <c r="C43" s="12"/>
      <c r="D43" s="12"/>
      <c r="E43" s="12"/>
      <c r="F43" s="12"/>
      <c r="G43" s="12"/>
      <c r="H43" s="12"/>
      <c r="I43" s="11"/>
    </row>
    <row r="44" spans="2:13" x14ac:dyDescent="0.2">
      <c r="B44" s="2" t="s">
        <v>86</v>
      </c>
      <c r="C44" s="1"/>
      <c r="D44" s="1"/>
      <c r="E44" s="1"/>
      <c r="F44" s="1"/>
      <c r="G44" s="1"/>
      <c r="H44" s="1"/>
      <c r="I44" s="3"/>
    </row>
    <row r="45" spans="2:13" x14ac:dyDescent="0.2">
      <c r="B45" s="6"/>
      <c r="C45" s="5"/>
      <c r="D45" s="5"/>
      <c r="E45" s="5"/>
      <c r="F45" s="5"/>
      <c r="G45" s="5"/>
      <c r="H45" s="5"/>
      <c r="I45" s="4"/>
    </row>
    <row r="46" spans="2:13" x14ac:dyDescent="0.2">
      <c r="B46" s="6" t="s">
        <v>8</v>
      </c>
      <c r="C46" s="5"/>
      <c r="D46" s="5"/>
      <c r="E46" s="5"/>
      <c r="F46" s="5"/>
      <c r="G46" s="5"/>
      <c r="H46" s="5"/>
      <c r="I46" s="4"/>
    </row>
    <row r="47" spans="2:13" x14ac:dyDescent="0.2">
      <c r="B47" s="6"/>
      <c r="C47" s="5"/>
      <c r="D47" s="5"/>
      <c r="E47" s="5"/>
      <c r="F47" s="5"/>
      <c r="G47" s="5"/>
      <c r="H47" s="5"/>
      <c r="I47" s="4"/>
    </row>
    <row r="48" spans="2:13" x14ac:dyDescent="0.2">
      <c r="B48" s="77" t="s">
        <v>7</v>
      </c>
      <c r="C48" s="77"/>
      <c r="D48" s="77"/>
      <c r="E48" s="10" t="s">
        <v>6</v>
      </c>
      <c r="F48" s="10"/>
      <c r="G48" s="10"/>
      <c r="H48" s="10"/>
      <c r="I48" s="10"/>
    </row>
    <row r="49" spans="2:11" x14ac:dyDescent="0.2">
      <c r="B49" s="2"/>
      <c r="C49" s="1"/>
      <c r="D49" s="3"/>
      <c r="E49" s="9" t="s">
        <v>5</v>
      </c>
      <c r="F49" s="9"/>
      <c r="G49" s="9"/>
      <c r="H49" s="2"/>
      <c r="I49" s="3"/>
    </row>
    <row r="50" spans="2:11" x14ac:dyDescent="0.2">
      <c r="B50" s="6"/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4</v>
      </c>
      <c r="C51" s="5"/>
      <c r="D51" s="5"/>
      <c r="E51" s="5"/>
      <c r="F51" s="5"/>
      <c r="G51" s="5"/>
      <c r="H51" s="5"/>
      <c r="I51" s="4"/>
    </row>
    <row r="52" spans="2:11" x14ac:dyDescent="0.2">
      <c r="B52" s="6" t="s">
        <v>3</v>
      </c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/>
      <c r="H53" s="5"/>
      <c r="I53" s="4"/>
    </row>
    <row r="54" spans="2:11" x14ac:dyDescent="0.2">
      <c r="B54" s="6"/>
      <c r="C54" s="5"/>
      <c r="D54" s="5"/>
      <c r="E54" s="5"/>
      <c r="F54" s="5"/>
      <c r="G54" s="5" t="s">
        <v>2</v>
      </c>
      <c r="H54" s="5" t="str">
        <f>VLOOKUP($K54,reff!B2:C29,2,0)</f>
        <v>265K0051</v>
      </c>
      <c r="I54" s="8"/>
      <c r="K54">
        <v>3</v>
      </c>
    </row>
    <row r="55" spans="2:11" x14ac:dyDescent="0.2">
      <c r="B55" s="6"/>
      <c r="C55" s="5"/>
      <c r="D55" s="5"/>
      <c r="E55" s="5"/>
      <c r="F55" s="5"/>
      <c r="G55" s="5"/>
      <c r="H55" s="7"/>
      <c r="I55" s="4"/>
    </row>
    <row r="56" spans="2:11" x14ac:dyDescent="0.2">
      <c r="B56" s="6"/>
      <c r="C56" s="5"/>
      <c r="D56" s="5"/>
      <c r="E56" s="5"/>
      <c r="F56" s="5"/>
      <c r="G56" s="5"/>
      <c r="H56" s="5"/>
      <c r="I56" s="4"/>
    </row>
    <row r="57" spans="2:11" x14ac:dyDescent="0.2">
      <c r="B57" s="6"/>
      <c r="C57" s="78" t="s">
        <v>1</v>
      </c>
      <c r="D57" s="78"/>
      <c r="E57" s="5"/>
      <c r="F57" s="5"/>
      <c r="G57" s="5"/>
      <c r="H57" s="5"/>
      <c r="I57" s="4"/>
    </row>
    <row r="58" spans="2:11" x14ac:dyDescent="0.2">
      <c r="B58" s="6"/>
      <c r="C58" s="79" t="s">
        <v>0</v>
      </c>
      <c r="D58" s="79"/>
      <c r="E58" s="5"/>
      <c r="F58" s="5"/>
      <c r="G58" s="5"/>
      <c r="H58" s="5"/>
      <c r="I58" s="4"/>
      <c r="K58">
        <v>3</v>
      </c>
    </row>
    <row r="59" spans="2:11" x14ac:dyDescent="0.2">
      <c r="B59" s="2"/>
      <c r="C59" s="76"/>
      <c r="D59" s="76"/>
      <c r="E59" s="1"/>
      <c r="F59" s="1"/>
      <c r="G59" s="1"/>
      <c r="H59" s="1"/>
      <c r="I59" s="1"/>
    </row>
    <row r="60" spans="2:11" x14ac:dyDescent="0.2">
      <c r="B60" s="5"/>
      <c r="C60" s="5"/>
      <c r="D60" s="5"/>
      <c r="E60" s="5"/>
      <c r="F60" s="5"/>
      <c r="G60" s="5"/>
      <c r="H60" s="5"/>
      <c r="I60" s="5"/>
    </row>
  </sheetData>
  <mergeCells count="24">
    <mergeCell ref="D33:E33"/>
    <mergeCell ref="F33:G33"/>
    <mergeCell ref="D35:E35"/>
    <mergeCell ref="F35:G35"/>
    <mergeCell ref="D36:E36"/>
    <mergeCell ref="F36:G36"/>
    <mergeCell ref="D34:E34"/>
    <mergeCell ref="F34:G34"/>
    <mergeCell ref="D37:E37"/>
    <mergeCell ref="F37:G37"/>
    <mergeCell ref="C59:D59"/>
    <mergeCell ref="D38:E38"/>
    <mergeCell ref="F38:G38"/>
    <mergeCell ref="C39:H39"/>
    <mergeCell ref="B48:D48"/>
    <mergeCell ref="C57:D57"/>
    <mergeCell ref="C58:D58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9"/>
  <sheetViews>
    <sheetView view="pageBreakPreview" zoomScaleNormal="100" zoomScaleSheetLayoutView="100" workbookViewId="0">
      <selection activeCell="E15" sqref="E15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6" t="s">
        <v>197</v>
      </c>
      <c r="C2" s="67"/>
      <c r="D2" s="67"/>
      <c r="E2" s="67"/>
      <c r="F2" s="67"/>
      <c r="G2" s="67"/>
      <c r="H2" s="67"/>
      <c r="I2" s="68"/>
      <c r="J2" s="43">
        <v>61641761</v>
      </c>
      <c r="K2" s="50">
        <v>1600</v>
      </c>
      <c r="L2" s="44">
        <v>19</v>
      </c>
      <c r="M2" s="44">
        <v>110.64</v>
      </c>
      <c r="N2" s="44">
        <v>113.97499999999999</v>
      </c>
      <c r="O2" s="44">
        <v>127.22499999999999</v>
      </c>
      <c r="P2" s="44" t="s">
        <v>54</v>
      </c>
      <c r="Q2" s="44">
        <v>0.68799999999999994</v>
      </c>
      <c r="R2" s="44" t="s">
        <v>62</v>
      </c>
    </row>
    <row r="3" spans="2:22" x14ac:dyDescent="0.2">
      <c r="B3" s="6" t="s">
        <v>53</v>
      </c>
      <c r="C3" s="63">
        <f>+'300'!C3+1</f>
        <v>301</v>
      </c>
      <c r="D3" s="5"/>
      <c r="E3" s="5"/>
      <c r="F3" s="5"/>
      <c r="G3" s="5" t="s">
        <v>52</v>
      </c>
      <c r="H3" s="31">
        <f>+'298'!H3+0</f>
        <v>46161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121</v>
      </c>
      <c r="H13" s="5"/>
      <c r="I13" s="4"/>
    </row>
    <row r="14" spans="2:22" x14ac:dyDescent="0.2">
      <c r="B14" s="6" t="s">
        <v>117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61641761</v>
      </c>
      <c r="C21" s="59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8" t="s">
        <v>35</v>
      </c>
      <c r="G21" s="58"/>
      <c r="H21" s="49" t="str">
        <f>IF(LEFT(G17,2)="CA","CA",IF(LEFT(G17,2)="UN","US",IF(LEFT(G17,2)="PA","PA",IF(LEFT(G17,2)="JA","JP"))))</f>
        <v>PA</v>
      </c>
      <c r="I21" s="58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127.22499999999999</v>
      </c>
      <c r="G23" s="23">
        <f>+N2</f>
        <v>113.97499999999999</v>
      </c>
      <c r="H23" s="23">
        <f>+M2</f>
        <v>110.64</v>
      </c>
      <c r="I23" s="58">
        <f>+L2</f>
        <v>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0"/>
      <c r="D26" s="70"/>
      <c r="E26" s="70"/>
      <c r="F26" s="70"/>
      <c r="G26" s="70"/>
      <c r="H26" s="70"/>
      <c r="I26" s="71"/>
    </row>
    <row r="27" spans="2:13" ht="24.75" customHeight="1" x14ac:dyDescent="0.2">
      <c r="B27" s="72" t="str">
        <f>+K4</f>
        <v>Girls Cotton Fibers, Knit Pullover, With No Neck Closure, Stitch Count Is Greater Than 9/2cm, Reaches Waist [60% Cotton 40% Recycled Polyester]</v>
      </c>
      <c r="C27" s="73"/>
      <c r="D27" s="73"/>
      <c r="E27" s="73"/>
      <c r="F27" s="73"/>
      <c r="G27" s="73"/>
      <c r="H27" s="73"/>
      <c r="I27" s="7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5" t="s">
        <v>19</v>
      </c>
      <c r="E31" s="75"/>
      <c r="F31" s="75" t="s">
        <v>18</v>
      </c>
      <c r="G31" s="75"/>
      <c r="H31" s="58" t="s">
        <v>17</v>
      </c>
      <c r="I31" s="19" t="s">
        <v>16</v>
      </c>
      <c r="M31"/>
    </row>
    <row r="32" spans="2:13" ht="28.5" customHeight="1" x14ac:dyDescent="0.2">
      <c r="B32" s="41" t="s">
        <v>189</v>
      </c>
      <c r="C32" s="19" t="s">
        <v>188</v>
      </c>
      <c r="D32" s="64"/>
      <c r="E32" s="65"/>
      <c r="F32" s="64">
        <v>540</v>
      </c>
      <c r="G32" s="65"/>
      <c r="H32" s="17">
        <v>0.71</v>
      </c>
      <c r="I32" s="18">
        <f>+H32*F32</f>
        <v>383.4</v>
      </c>
      <c r="K32" s="48"/>
      <c r="M32" s="39"/>
    </row>
    <row r="33" spans="2:13" ht="29.25" customHeight="1" x14ac:dyDescent="0.2">
      <c r="B33" s="41" t="s">
        <v>177</v>
      </c>
      <c r="C33" s="19" t="s">
        <v>178</v>
      </c>
      <c r="D33" s="64"/>
      <c r="E33" s="65"/>
      <c r="F33" s="64">
        <v>1060</v>
      </c>
      <c r="G33" s="65"/>
      <c r="H33" s="17">
        <v>0.71</v>
      </c>
      <c r="I33" s="18">
        <f>+H33*F33</f>
        <v>752.59999999999991</v>
      </c>
      <c r="K33" s="48"/>
      <c r="M33" s="39"/>
    </row>
    <row r="34" spans="2:13" ht="21" customHeight="1" x14ac:dyDescent="0.2">
      <c r="B34" s="15" t="s">
        <v>15</v>
      </c>
      <c r="C34" s="15"/>
      <c r="D34" s="69"/>
      <c r="E34" s="71"/>
      <c r="F34" s="69"/>
      <c r="G34" s="71"/>
      <c r="H34" s="17"/>
      <c r="I34" s="62"/>
    </row>
    <row r="35" spans="2:13" ht="21.75" customHeight="1" x14ac:dyDescent="0.2">
      <c r="B35" s="15" t="s">
        <v>14</v>
      </c>
      <c r="C35" s="15"/>
      <c r="D35" s="80"/>
      <c r="E35" s="81"/>
      <c r="F35" s="64">
        <f>SUM(F32:G34)</f>
        <v>1600</v>
      </c>
      <c r="G35" s="65"/>
      <c r="H35" s="15"/>
      <c r="I35" s="14">
        <f>SUM(I32:I33)</f>
        <v>1136</v>
      </c>
      <c r="J35" s="40"/>
      <c r="K35" s="40"/>
    </row>
    <row r="36" spans="2:13" ht="21.75" customHeight="1" x14ac:dyDescent="0.2">
      <c r="B36" s="16" t="s">
        <v>13</v>
      </c>
      <c r="C36" s="15"/>
      <c r="D36" s="69"/>
      <c r="E36" s="71"/>
      <c r="F36" s="69"/>
      <c r="G36" s="71"/>
      <c r="H36" s="15"/>
      <c r="I36" s="58"/>
      <c r="J36" s="40"/>
    </row>
    <row r="37" spans="2:13" ht="21.75" customHeight="1" x14ac:dyDescent="0.2">
      <c r="B37" s="16" t="s">
        <v>12</v>
      </c>
      <c r="C37" s="15"/>
      <c r="D37" s="69"/>
      <c r="E37" s="71"/>
      <c r="F37" s="69"/>
      <c r="G37" s="71"/>
      <c r="H37" s="15"/>
      <c r="I37" s="14">
        <f>+I35</f>
        <v>1136</v>
      </c>
    </row>
    <row r="38" spans="2:13" ht="20.25" customHeight="1" x14ac:dyDescent="0.2">
      <c r="B38" s="15" t="s">
        <v>80</v>
      </c>
      <c r="C38" s="69" t="s">
        <v>11</v>
      </c>
      <c r="D38" s="70"/>
      <c r="E38" s="70"/>
      <c r="F38" s="70"/>
      <c r="G38" s="70"/>
      <c r="H38" s="71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1136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7" t="s">
        <v>7</v>
      </c>
      <c r="C47" s="77"/>
      <c r="D47" s="77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8" t="s">
        <v>1</v>
      </c>
      <c r="D56" s="78"/>
      <c r="E56" s="5"/>
      <c r="F56" s="5"/>
      <c r="G56" s="5"/>
      <c r="H56" s="5"/>
      <c r="I56" s="4"/>
    </row>
    <row r="57" spans="2:11" x14ac:dyDescent="0.2">
      <c r="B57" s="6"/>
      <c r="C57" s="79" t="s">
        <v>0</v>
      </c>
      <c r="D57" s="79"/>
      <c r="E57" s="5"/>
      <c r="F57" s="5"/>
      <c r="G57" s="5"/>
      <c r="H57" s="5"/>
      <c r="I57" s="4"/>
      <c r="K57">
        <v>4</v>
      </c>
    </row>
    <row r="58" spans="2:11" x14ac:dyDescent="0.2">
      <c r="B58" s="2"/>
      <c r="C58" s="76"/>
      <c r="D58" s="7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F36:G36"/>
    <mergeCell ref="D32:E32"/>
    <mergeCell ref="F32:G32"/>
    <mergeCell ref="B2:I2"/>
    <mergeCell ref="B26:I26"/>
    <mergeCell ref="B27:I27"/>
    <mergeCell ref="D31:E31"/>
    <mergeCell ref="F31:G31"/>
    <mergeCell ref="D35:E35"/>
    <mergeCell ref="F35:G35"/>
    <mergeCell ref="D36:E36"/>
    <mergeCell ref="D34:E34"/>
    <mergeCell ref="F34:G34"/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Sheet1</vt:lpstr>
      <vt:lpstr>reff</vt:lpstr>
      <vt:lpstr>298</vt:lpstr>
      <vt:lpstr>299</vt:lpstr>
      <vt:lpstr>300</vt:lpstr>
      <vt:lpstr>301</vt:lpstr>
      <vt:lpstr>'298'!Print_Area</vt:lpstr>
      <vt:lpstr>'299'!Print_Area</vt:lpstr>
      <vt:lpstr>'300'!Print_Area</vt:lpstr>
      <vt:lpstr>'301'!Print_Area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2026-05-19T02:14:38Z</cp:lastPrinted>
  <dcterms:created xsi:type="dcterms:W3CDTF">2024-04-17T09:56:05Z</dcterms:created>
  <dcterms:modified xsi:type="dcterms:W3CDTF">2026-05-19T02:14:42Z</dcterms:modified>
</cp:coreProperties>
</file>