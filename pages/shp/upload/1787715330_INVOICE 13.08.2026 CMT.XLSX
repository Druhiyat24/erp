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1. GAP\Shipment GAP\2026\8. AGUSTUS\13.08.2026\"/>
    </mc:Choice>
  </mc:AlternateContent>
  <bookViews>
    <workbookView xWindow="-120" yWindow="-120" windowWidth="20730" windowHeight="11160" tabRatio="804" firstSheet="1" activeTab="21"/>
  </bookViews>
  <sheets>
    <sheet name="Sheet1" sheetId="128" r:id="rId1"/>
    <sheet name="reff" sheetId="162" r:id="rId2"/>
    <sheet name="1" sheetId="138" r:id="rId3"/>
    <sheet name="2" sheetId="129" r:id="rId4"/>
    <sheet name="3" sheetId="133" r:id="rId5"/>
    <sheet name="4" sheetId="134" r:id="rId6"/>
    <sheet name="5" sheetId="135" r:id="rId7"/>
    <sheet name="6" sheetId="137" r:id="rId8"/>
    <sheet name="7" sheetId="172" r:id="rId9"/>
    <sheet name="8" sheetId="173" r:id="rId10"/>
    <sheet name="9" sheetId="174" r:id="rId11"/>
    <sheet name="10" sheetId="175" r:id="rId12"/>
    <sheet name="11" sheetId="176" r:id="rId13"/>
    <sheet name="12" sheetId="177" r:id="rId14"/>
    <sheet name="13" sheetId="178" r:id="rId15"/>
    <sheet name="14" sheetId="179" r:id="rId16"/>
    <sheet name="15" sheetId="180" r:id="rId17"/>
    <sheet name="16" sheetId="181" r:id="rId18"/>
    <sheet name="17" sheetId="182" r:id="rId19"/>
    <sheet name="18" sheetId="183" r:id="rId20"/>
    <sheet name="19" sheetId="184" r:id="rId21"/>
    <sheet name="20" sheetId="185" r:id="rId22"/>
    <sheet name="21" sheetId="186" r:id="rId23"/>
  </sheets>
  <externalReferences>
    <externalReference r:id="rId24"/>
    <externalReference r:id="rId25"/>
    <externalReference r:id="rId26"/>
  </externalReferences>
  <definedNames>
    <definedName name="_box2">[1]参数!$B$3</definedName>
    <definedName name="a" localSheetId="2">[2]xdata!#REF!</definedName>
    <definedName name="a" localSheetId="11">[2]xdata!#REF!</definedName>
    <definedName name="a" localSheetId="12">[2]xdata!#REF!</definedName>
    <definedName name="a" localSheetId="13">[2]xdata!#REF!</definedName>
    <definedName name="a" localSheetId="14">[2]xdata!#REF!</definedName>
    <definedName name="a" localSheetId="15">[2]xdata!#REF!</definedName>
    <definedName name="a" localSheetId="16">[2]xdata!#REF!</definedName>
    <definedName name="a" localSheetId="17">[2]xdata!#REF!</definedName>
    <definedName name="a" localSheetId="18">[2]xdata!#REF!</definedName>
    <definedName name="a" localSheetId="19">[2]xdata!#REF!</definedName>
    <definedName name="a" localSheetId="20">[2]xdata!#REF!</definedName>
    <definedName name="a" localSheetId="3">[2]xdata!#REF!</definedName>
    <definedName name="a" localSheetId="21">[2]xdata!#REF!</definedName>
    <definedName name="a" localSheetId="22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>[2]xdata!#REF!</definedName>
    <definedName name="b" localSheetId="2">[2]xdata!#REF!</definedName>
    <definedName name="b" localSheetId="11">[2]xdata!#REF!</definedName>
    <definedName name="b" localSheetId="12">[2]xdata!#REF!</definedName>
    <definedName name="b" localSheetId="13">[2]xdata!#REF!</definedName>
    <definedName name="b" localSheetId="14">[2]xdata!#REF!</definedName>
    <definedName name="b" localSheetId="15">[2]xdata!#REF!</definedName>
    <definedName name="b" localSheetId="16">[2]xdata!#REF!</definedName>
    <definedName name="b" localSheetId="17">[2]xdata!#REF!</definedName>
    <definedName name="b" localSheetId="18">[2]xdata!#REF!</definedName>
    <definedName name="b" localSheetId="19">[2]xdata!#REF!</definedName>
    <definedName name="b" localSheetId="20">[2]xdata!#REF!</definedName>
    <definedName name="b" localSheetId="3">[2]xdata!#REF!</definedName>
    <definedName name="b" localSheetId="21">[2]xdata!#REF!</definedName>
    <definedName name="b" localSheetId="22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>[2]xdata!#REF!</definedName>
    <definedName name="C_O" localSheetId="2">[2]xdata!#REF!</definedName>
    <definedName name="C_O" localSheetId="11">[2]xdata!#REF!</definedName>
    <definedName name="C_O" localSheetId="12">[2]xdata!#REF!</definedName>
    <definedName name="C_O" localSheetId="13">[2]xdata!#REF!</definedName>
    <definedName name="C_O" localSheetId="14">[2]xdata!#REF!</definedName>
    <definedName name="C_O" localSheetId="15">[2]xdata!#REF!</definedName>
    <definedName name="C_O" localSheetId="16">[2]xdata!#REF!</definedName>
    <definedName name="C_O" localSheetId="17">[2]xdata!#REF!</definedName>
    <definedName name="C_O" localSheetId="18">[2]xdata!#REF!</definedName>
    <definedName name="C_O" localSheetId="19">[2]xdata!#REF!</definedName>
    <definedName name="C_O" localSheetId="20">[2]xdata!#REF!</definedName>
    <definedName name="C_O" localSheetId="3">[2]xdata!#REF!</definedName>
    <definedName name="C_O" localSheetId="21">[2]xdata!#REF!</definedName>
    <definedName name="C_O" localSheetId="22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>[2]xdata!#REF!</definedName>
    <definedName name="CBM">[3]参数!$E$3</definedName>
    <definedName name="Dept_no" localSheetId="2">[2]xdata!#REF!</definedName>
    <definedName name="Dept_no" localSheetId="11">[2]xdata!#REF!</definedName>
    <definedName name="Dept_no" localSheetId="12">[2]xdata!#REF!</definedName>
    <definedName name="Dept_no" localSheetId="13">[2]xdata!#REF!</definedName>
    <definedName name="Dept_no" localSheetId="14">[2]xdata!#REF!</definedName>
    <definedName name="Dept_no" localSheetId="15">[2]xdata!#REF!</definedName>
    <definedName name="Dept_no" localSheetId="16">[2]xdata!#REF!</definedName>
    <definedName name="Dept_no" localSheetId="17">[2]xdata!#REF!</definedName>
    <definedName name="Dept_no" localSheetId="18">[2]xdata!#REF!</definedName>
    <definedName name="Dept_no" localSheetId="19">[2]xdata!#REF!</definedName>
    <definedName name="Dept_no" localSheetId="20">[2]xdata!#REF!</definedName>
    <definedName name="Dept_no" localSheetId="3">[2]xdata!#REF!</definedName>
    <definedName name="Dept_no" localSheetId="21">[2]xdata!#REF!</definedName>
    <definedName name="Dept_no" localSheetId="22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>[2]xdata!#REF!</definedName>
    <definedName name="Description">[3]参数!$E$1</definedName>
    <definedName name="E_L" localSheetId="2">[2]xdata!#REF!</definedName>
    <definedName name="E_L" localSheetId="11">[2]xdata!#REF!</definedName>
    <definedName name="E_L" localSheetId="12">[2]xdata!#REF!</definedName>
    <definedName name="E_L" localSheetId="13">[2]xdata!#REF!</definedName>
    <definedName name="E_L" localSheetId="14">[2]xdata!#REF!</definedName>
    <definedName name="E_L" localSheetId="15">[2]xdata!#REF!</definedName>
    <definedName name="E_L" localSheetId="16">[2]xdata!#REF!</definedName>
    <definedName name="E_L" localSheetId="17">[2]xdata!#REF!</definedName>
    <definedName name="E_L" localSheetId="18">[2]xdata!#REF!</definedName>
    <definedName name="E_L" localSheetId="19">[2]xdata!#REF!</definedName>
    <definedName name="E_L" localSheetId="20">[2]xdata!#REF!</definedName>
    <definedName name="E_L" localSheetId="3">[2]xdata!#REF!</definedName>
    <definedName name="E_L" localSheetId="21">[2]xdata!#REF!</definedName>
    <definedName name="E_L" localSheetId="22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>[2]xdata!#REF!</definedName>
    <definedName name="INVOICE">[2]xdata!$B$2</definedName>
    <definedName name="_xlnm.Print_Area" localSheetId="2">'1'!$B$1:$I$57</definedName>
    <definedName name="_xlnm.Print_Area" localSheetId="11">'10'!$B$1:$I$57</definedName>
    <definedName name="_xlnm.Print_Area" localSheetId="12">'11'!$B$1:$I$58</definedName>
    <definedName name="_xlnm.Print_Area" localSheetId="13">'12'!$B$1:$I$57</definedName>
    <definedName name="_xlnm.Print_Area" localSheetId="14">'13'!$B$1:$I$57</definedName>
    <definedName name="_xlnm.Print_Area" localSheetId="15">'14'!$B$1:$I$57</definedName>
    <definedName name="_xlnm.Print_Area" localSheetId="16">'15'!$B$1:$I$57</definedName>
    <definedName name="_xlnm.Print_Area" localSheetId="17">'16'!$B$1:$I$57</definedName>
    <definedName name="_xlnm.Print_Area" localSheetId="18">'17'!$B$1:$I$57</definedName>
    <definedName name="_xlnm.Print_Area" localSheetId="19">'18'!$B$1:$I$57</definedName>
    <definedName name="_xlnm.Print_Area" localSheetId="20">'19'!$B$1:$I$57</definedName>
    <definedName name="_xlnm.Print_Area" localSheetId="3">'2'!$B$1:$I$58</definedName>
    <definedName name="_xlnm.Print_Area" localSheetId="21">'20'!$B$1:$I$57</definedName>
    <definedName name="_xlnm.Print_Area" localSheetId="22">'21'!$B$1:$I$57</definedName>
    <definedName name="_xlnm.Print_Area" localSheetId="4">'3'!$B$1:$I$58</definedName>
    <definedName name="_xlnm.Print_Area" localSheetId="5">'4'!$B$1:$I$58</definedName>
    <definedName name="_xlnm.Print_Area" localSheetId="6">'5'!$B$1:$I$57</definedName>
    <definedName name="_xlnm.Print_Area" localSheetId="7">'6'!$B$1:$I$58</definedName>
    <definedName name="_xlnm.Print_Area" localSheetId="8">'7'!$B$1:$I$57</definedName>
    <definedName name="_xlnm.Print_Area" localSheetId="9">'8'!$B$1:$I$57</definedName>
    <definedName name="_xlnm.Print_Area" localSheetId="10">'9'!$B$1:$I$58</definedName>
    <definedName name="v" localSheetId="2">[2]xdata!#REF!</definedName>
    <definedName name="v" localSheetId="11">[2]xdata!#REF!</definedName>
    <definedName name="v" localSheetId="12">[2]xdata!#REF!</definedName>
    <definedName name="v" localSheetId="13">[2]xdata!#REF!</definedName>
    <definedName name="v" localSheetId="14">[2]xdata!#REF!</definedName>
    <definedName name="v" localSheetId="15">[2]xdata!#REF!</definedName>
    <definedName name="v" localSheetId="16">[2]xdata!#REF!</definedName>
    <definedName name="v" localSheetId="17">[2]xdata!#REF!</definedName>
    <definedName name="v" localSheetId="18">[2]xdata!#REF!</definedName>
    <definedName name="v" localSheetId="19">[2]xdata!#REF!</definedName>
    <definedName name="v" localSheetId="20">[2]xdata!#REF!</definedName>
    <definedName name="v" localSheetId="3">[2]xdata!#REF!</definedName>
    <definedName name="v" localSheetId="21">[2]xdata!#REF!</definedName>
    <definedName name="v" localSheetId="22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5" i="133" l="1"/>
  <c r="F33" i="133"/>
  <c r="F33" i="129"/>
  <c r="F32" i="186" l="1"/>
  <c r="I32" i="186"/>
  <c r="F32" i="185"/>
  <c r="F32" i="182"/>
  <c r="F32" i="179"/>
  <c r="F32" i="178"/>
  <c r="F35" i="176"/>
  <c r="I33" i="176"/>
  <c r="F32" i="177" l="1"/>
  <c r="F32" i="175"/>
  <c r="I33" i="174"/>
  <c r="F32" i="172"/>
  <c r="F33" i="137"/>
  <c r="I33" i="137"/>
  <c r="I33" i="134"/>
  <c r="I33" i="133"/>
  <c r="I32" i="133"/>
  <c r="F32" i="138"/>
  <c r="H52" i="186"/>
  <c r="F34" i="186"/>
  <c r="B27" i="186"/>
  <c r="I23" i="186"/>
  <c r="H23" i="186"/>
  <c r="G23" i="186"/>
  <c r="F23" i="186"/>
  <c r="E23" i="186"/>
  <c r="E21" i="186"/>
  <c r="D21" i="186"/>
  <c r="C21" i="186"/>
  <c r="B21" i="186"/>
  <c r="B15" i="186"/>
  <c r="B16" i="186" s="1"/>
  <c r="B17" i="186" s="1"/>
  <c r="B18" i="186" s="1"/>
  <c r="G14" i="186"/>
  <c r="G15" i="186" s="1"/>
  <c r="G16" i="186" s="1"/>
  <c r="G17" i="186" s="1"/>
  <c r="H21" i="186" s="1"/>
  <c r="H52" i="185"/>
  <c r="F34" i="185"/>
  <c r="I32" i="185"/>
  <c r="I34" i="185" s="1"/>
  <c r="I36" i="185" s="1"/>
  <c r="I38" i="185" s="1"/>
  <c r="B27" i="185"/>
  <c r="I23" i="185"/>
  <c r="H23" i="185"/>
  <c r="G23" i="185"/>
  <c r="F23" i="185"/>
  <c r="E23" i="185"/>
  <c r="E21" i="185"/>
  <c r="D21" i="185"/>
  <c r="C21" i="185"/>
  <c r="B21" i="185"/>
  <c r="B17" i="185"/>
  <c r="B18" i="185" s="1"/>
  <c r="B16" i="185"/>
  <c r="B15" i="185"/>
  <c r="G14" i="185"/>
  <c r="G15" i="185" s="1"/>
  <c r="G16" i="185" s="1"/>
  <c r="G17" i="185" s="1"/>
  <c r="H21" i="185" s="1"/>
  <c r="H52" i="184"/>
  <c r="F34" i="184"/>
  <c r="I32" i="184"/>
  <c r="I34" i="184" s="1"/>
  <c r="I36" i="184" s="1"/>
  <c r="I38" i="184" s="1"/>
  <c r="F32" i="184"/>
  <c r="B27" i="184"/>
  <c r="I23" i="184"/>
  <c r="H23" i="184"/>
  <c r="G23" i="184"/>
  <c r="F23" i="184"/>
  <c r="E23" i="184"/>
  <c r="E21" i="184"/>
  <c r="D21" i="184"/>
  <c r="C21" i="184"/>
  <c r="B21" i="184"/>
  <c r="B18" i="184"/>
  <c r="B17" i="184"/>
  <c r="B16" i="184"/>
  <c r="B15" i="184"/>
  <c r="G14" i="184"/>
  <c r="G15" i="184" s="1"/>
  <c r="G16" i="184" s="1"/>
  <c r="G17" i="184" s="1"/>
  <c r="H21" i="184" s="1"/>
  <c r="H52" i="183"/>
  <c r="F32" i="183"/>
  <c r="F34" i="183" s="1"/>
  <c r="B27" i="183"/>
  <c r="I23" i="183"/>
  <c r="H23" i="183"/>
  <c r="G23" i="183"/>
  <c r="F23" i="183"/>
  <c r="E23" i="183"/>
  <c r="E21" i="183"/>
  <c r="D21" i="183"/>
  <c r="C21" i="183"/>
  <c r="B21" i="183"/>
  <c r="B16" i="183"/>
  <c r="B17" i="183" s="1"/>
  <c r="B18" i="183" s="1"/>
  <c r="B15" i="183"/>
  <c r="G14" i="183"/>
  <c r="G15" i="183" s="1"/>
  <c r="G16" i="183" s="1"/>
  <c r="G17" i="183" s="1"/>
  <c r="H21" i="183" s="1"/>
  <c r="H52" i="182"/>
  <c r="F34" i="182"/>
  <c r="B27" i="182"/>
  <c r="I23" i="182"/>
  <c r="H23" i="182"/>
  <c r="G23" i="182"/>
  <c r="F23" i="182"/>
  <c r="E23" i="182"/>
  <c r="E21" i="182"/>
  <c r="D21" i="182"/>
  <c r="C21" i="182"/>
  <c r="B21" i="182"/>
  <c r="B15" i="182"/>
  <c r="B16" i="182" s="1"/>
  <c r="B17" i="182" s="1"/>
  <c r="B18" i="182" s="1"/>
  <c r="G14" i="182"/>
  <c r="G15" i="182" s="1"/>
  <c r="G16" i="182" s="1"/>
  <c r="G17" i="182" s="1"/>
  <c r="H21" i="182" s="1"/>
  <c r="H52" i="181"/>
  <c r="F34" i="181"/>
  <c r="F32" i="181"/>
  <c r="I32" i="181" s="1"/>
  <c r="I34" i="181" s="1"/>
  <c r="I36" i="181" s="1"/>
  <c r="I38" i="181" s="1"/>
  <c r="B27" i="181"/>
  <c r="I23" i="181"/>
  <c r="H23" i="181"/>
  <c r="G23" i="181"/>
  <c r="F23" i="181"/>
  <c r="E23" i="181"/>
  <c r="E21" i="181"/>
  <c r="D21" i="181"/>
  <c r="C21" i="181"/>
  <c r="B21" i="181"/>
  <c r="B17" i="181"/>
  <c r="B18" i="181" s="1"/>
  <c r="B16" i="181"/>
  <c r="B15" i="181"/>
  <c r="G14" i="181"/>
  <c r="G15" i="181" s="1"/>
  <c r="G16" i="181" s="1"/>
  <c r="G17" i="181" s="1"/>
  <c r="H21" i="181" s="1"/>
  <c r="H52" i="180"/>
  <c r="I34" i="180"/>
  <c r="I36" i="180" s="1"/>
  <c r="I38" i="180" s="1"/>
  <c r="F34" i="180"/>
  <c r="I32" i="180"/>
  <c r="F32" i="180"/>
  <c r="B27" i="180"/>
  <c r="I23" i="180"/>
  <c r="H23" i="180"/>
  <c r="G23" i="180"/>
  <c r="F23" i="180"/>
  <c r="E23" i="180"/>
  <c r="E21" i="180"/>
  <c r="D21" i="180"/>
  <c r="C21" i="180"/>
  <c r="B21" i="180"/>
  <c r="B17" i="180"/>
  <c r="B18" i="180" s="1"/>
  <c r="B16" i="180"/>
  <c r="B15" i="180"/>
  <c r="G14" i="180"/>
  <c r="G15" i="180" s="1"/>
  <c r="G16" i="180" s="1"/>
  <c r="G17" i="180" s="1"/>
  <c r="H21" i="180" s="1"/>
  <c r="I35" i="133" l="1"/>
  <c r="I32" i="182"/>
  <c r="I34" i="182" s="1"/>
  <c r="I36" i="182" s="1"/>
  <c r="I38" i="182" s="1"/>
  <c r="I32" i="183"/>
  <c r="I34" i="183" s="1"/>
  <c r="I36" i="183" s="1"/>
  <c r="I38" i="183" s="1"/>
  <c r="I34" i="186"/>
  <c r="I36" i="186" s="1"/>
  <c r="I38" i="186" s="1"/>
  <c r="F34" i="179"/>
  <c r="I32" i="178"/>
  <c r="I32" i="176"/>
  <c r="F32" i="135"/>
  <c r="F35" i="129"/>
  <c r="I33" i="129"/>
  <c r="I32" i="129"/>
  <c r="F34" i="138"/>
  <c r="I32" i="138"/>
  <c r="I34" i="138" s="1"/>
  <c r="H52" i="179"/>
  <c r="B27" i="179"/>
  <c r="I23" i="179"/>
  <c r="H23" i="179"/>
  <c r="G23" i="179"/>
  <c r="F23" i="179"/>
  <c r="E23" i="179"/>
  <c r="E21" i="179"/>
  <c r="D21" i="179"/>
  <c r="C21" i="179"/>
  <c r="B21" i="179"/>
  <c r="B16" i="179"/>
  <c r="B17" i="179" s="1"/>
  <c r="B18" i="179" s="1"/>
  <c r="B15" i="179"/>
  <c r="G14" i="179"/>
  <c r="G15" i="179" s="1"/>
  <c r="G16" i="179" s="1"/>
  <c r="G17" i="179" s="1"/>
  <c r="H21" i="179" s="1"/>
  <c r="H52" i="178"/>
  <c r="F34" i="178"/>
  <c r="B27" i="178"/>
  <c r="I23" i="178"/>
  <c r="H23" i="178"/>
  <c r="G23" i="178"/>
  <c r="F23" i="178"/>
  <c r="E23" i="178"/>
  <c r="E21" i="178"/>
  <c r="D21" i="178"/>
  <c r="C21" i="178"/>
  <c r="B21" i="178"/>
  <c r="B15" i="178"/>
  <c r="B16" i="178" s="1"/>
  <c r="B17" i="178" s="1"/>
  <c r="B18" i="178" s="1"/>
  <c r="G14" i="178"/>
  <c r="G15" i="178" s="1"/>
  <c r="G16" i="178" s="1"/>
  <c r="G17" i="178" s="1"/>
  <c r="H21" i="178" s="1"/>
  <c r="H52" i="177"/>
  <c r="F34" i="177"/>
  <c r="I32" i="177"/>
  <c r="I34" i="177" s="1"/>
  <c r="I36" i="177" s="1"/>
  <c r="I38" i="177" s="1"/>
  <c r="B27" i="177"/>
  <c r="I23" i="177"/>
  <c r="H23" i="177"/>
  <c r="G23" i="177"/>
  <c r="F23" i="177"/>
  <c r="E23" i="177"/>
  <c r="E21" i="177"/>
  <c r="D21" i="177"/>
  <c r="C21" i="177"/>
  <c r="B21" i="177"/>
  <c r="B15" i="177"/>
  <c r="B16" i="177" s="1"/>
  <c r="B17" i="177" s="1"/>
  <c r="B18" i="177" s="1"/>
  <c r="G14" i="177"/>
  <c r="G15" i="177" s="1"/>
  <c r="G16" i="177" s="1"/>
  <c r="G17" i="177" s="1"/>
  <c r="H21" i="177" s="1"/>
  <c r="H53" i="176"/>
  <c r="B27" i="176"/>
  <c r="I23" i="176"/>
  <c r="H23" i="176"/>
  <c r="G23" i="176"/>
  <c r="F23" i="176"/>
  <c r="E23" i="176"/>
  <c r="E21" i="176"/>
  <c r="D21" i="176"/>
  <c r="C21" i="176"/>
  <c r="B21" i="176"/>
  <c r="B15" i="176"/>
  <c r="B16" i="176" s="1"/>
  <c r="B17" i="176" s="1"/>
  <c r="B18" i="176" s="1"/>
  <c r="G14" i="176"/>
  <c r="G15" i="176" s="1"/>
  <c r="G16" i="176" s="1"/>
  <c r="G17" i="176" s="1"/>
  <c r="H21" i="176" s="1"/>
  <c r="H52" i="175"/>
  <c r="F34" i="175"/>
  <c r="I32" i="175"/>
  <c r="B27" i="175"/>
  <c r="I23" i="175"/>
  <c r="H23" i="175"/>
  <c r="G23" i="175"/>
  <c r="F23" i="175"/>
  <c r="E23" i="175"/>
  <c r="E21" i="175"/>
  <c r="D21" i="175"/>
  <c r="C21" i="175"/>
  <c r="B21" i="175"/>
  <c r="B15" i="175"/>
  <c r="B16" i="175" s="1"/>
  <c r="B17" i="175" s="1"/>
  <c r="B18" i="175" s="1"/>
  <c r="G14" i="175"/>
  <c r="G15" i="175" s="1"/>
  <c r="G16" i="175" s="1"/>
  <c r="G17" i="175" s="1"/>
  <c r="H21" i="175" s="1"/>
  <c r="H53" i="174"/>
  <c r="F35" i="174"/>
  <c r="I32" i="174"/>
  <c r="I35" i="174" s="1"/>
  <c r="I37" i="174" s="1"/>
  <c r="I39" i="174" s="1"/>
  <c r="B27" i="174"/>
  <c r="I23" i="174"/>
  <c r="H23" i="174"/>
  <c r="G23" i="174"/>
  <c r="F23" i="174"/>
  <c r="E23" i="174"/>
  <c r="E21" i="174"/>
  <c r="D21" i="174"/>
  <c r="C21" i="174"/>
  <c r="B21" i="174"/>
  <c r="B15" i="174"/>
  <c r="B16" i="174" s="1"/>
  <c r="B17" i="174" s="1"/>
  <c r="B18" i="174" s="1"/>
  <c r="G14" i="174"/>
  <c r="G15" i="174" s="1"/>
  <c r="G16" i="174" s="1"/>
  <c r="G17" i="174" s="1"/>
  <c r="H21" i="174" s="1"/>
  <c r="H52" i="173"/>
  <c r="F32" i="173"/>
  <c r="F34" i="173" s="1"/>
  <c r="B27" i="173"/>
  <c r="I23" i="173"/>
  <c r="H23" i="173"/>
  <c r="G23" i="173"/>
  <c r="F23" i="173"/>
  <c r="E23" i="173"/>
  <c r="E21" i="173"/>
  <c r="D21" i="173"/>
  <c r="C21" i="173"/>
  <c r="B21" i="173"/>
  <c r="B16" i="173"/>
  <c r="B17" i="173" s="1"/>
  <c r="B18" i="173" s="1"/>
  <c r="B15" i="173"/>
  <c r="G14" i="173"/>
  <c r="G15" i="173" s="1"/>
  <c r="G16" i="173" s="1"/>
  <c r="G17" i="173" s="1"/>
  <c r="H21" i="173" s="1"/>
  <c r="H52" i="172"/>
  <c r="F34" i="172"/>
  <c r="B27" i="172"/>
  <c r="I23" i="172"/>
  <c r="H23" i="172"/>
  <c r="G23" i="172"/>
  <c r="F23" i="172"/>
  <c r="E23" i="172"/>
  <c r="E21" i="172"/>
  <c r="D21" i="172"/>
  <c r="C21" i="172"/>
  <c r="B21" i="172"/>
  <c r="B15" i="172"/>
  <c r="B16" i="172" s="1"/>
  <c r="B17" i="172" s="1"/>
  <c r="B18" i="172" s="1"/>
  <c r="G14" i="172"/>
  <c r="G15" i="172" s="1"/>
  <c r="G16" i="172" s="1"/>
  <c r="G17" i="172" s="1"/>
  <c r="H21" i="172" s="1"/>
  <c r="I35" i="176" l="1"/>
  <c r="I37" i="176" s="1"/>
  <c r="I39" i="176" s="1"/>
  <c r="I34" i="178"/>
  <c r="I36" i="178" s="1"/>
  <c r="I38" i="178" s="1"/>
  <c r="I34" i="175"/>
  <c r="I36" i="175" s="1"/>
  <c r="I38" i="175" s="1"/>
  <c r="I35" i="129"/>
  <c r="I32" i="173"/>
  <c r="I34" i="173" s="1"/>
  <c r="I36" i="173" s="1"/>
  <c r="I38" i="173" s="1"/>
  <c r="I32" i="172"/>
  <c r="I34" i="172" s="1"/>
  <c r="I36" i="172" s="1"/>
  <c r="I38" i="172" s="1"/>
  <c r="I32" i="179"/>
  <c r="I34" i="179" s="1"/>
  <c r="I36" i="179" s="1"/>
  <c r="I38" i="179" s="1"/>
  <c r="I32" i="135" l="1"/>
  <c r="F34" i="135"/>
  <c r="B27" i="135"/>
  <c r="C3" i="129" l="1"/>
  <c r="I32" i="134" l="1"/>
  <c r="C3" i="133"/>
  <c r="F35" i="137" l="1"/>
  <c r="I32" i="137" l="1"/>
  <c r="F35" i="134"/>
  <c r="B27" i="134" l="1"/>
  <c r="E21" i="129" l="1"/>
  <c r="E21" i="133" l="1"/>
  <c r="E21" i="135"/>
  <c r="E21" i="137"/>
  <c r="E21" i="138"/>
  <c r="E21" i="134"/>
  <c r="C21" i="129"/>
  <c r="C21" i="134"/>
  <c r="C21" i="135"/>
  <c r="C21" i="137"/>
  <c r="C21" i="138"/>
  <c r="C21" i="133"/>
  <c r="H53" i="129"/>
  <c r="H53" i="134"/>
  <c r="H52" i="135"/>
  <c r="H53" i="137"/>
  <c r="H52" i="138"/>
  <c r="H53" i="133"/>
  <c r="B27" i="138" l="1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5" i="137"/>
  <c r="I37" i="137" s="1"/>
  <c r="I39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4" i="135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6" i="135" l="1"/>
  <c r="I38" i="135" s="1"/>
  <c r="I36" i="138"/>
  <c r="I38" i="138" s="1"/>
  <c r="I35" i="134"/>
  <c r="I37" i="134" s="1"/>
  <c r="I39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72" s="1"/>
  <c r="C3" i="173" s="1"/>
  <c r="C3" i="174" s="1"/>
  <c r="C3" i="175" s="1"/>
  <c r="C3" i="176" s="1"/>
  <c r="C3" i="177" s="1"/>
  <c r="C3" i="178" s="1"/>
  <c r="C3" i="179" s="1"/>
  <c r="C3" i="180" s="1"/>
  <c r="C3" i="181" s="1"/>
  <c r="C3" i="182" s="1"/>
  <c r="C3" i="183" s="1"/>
  <c r="C3" i="184" s="1"/>
  <c r="C3" i="185" s="1"/>
  <c r="C3" i="186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7" i="129"/>
  <c r="I39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7" i="133" l="1"/>
  <c r="I39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<sst xmlns="http://schemas.openxmlformats.org/spreadsheetml/2006/main" count="1851" uniqueCount="216">
  <si>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</si>
  <si>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</si>
  <si>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</si>
  <si>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</si>
  <si>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</si>
  <si>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</si>
  <si>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</si>
  <si>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</si>
  <si>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</si>
  <si>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</si>
  <si>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</si>
  <si>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</si>
  <si>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</si>
  <si>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</si>
  <si>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</si>
  <si>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</si>
  <si>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</si>
  <si>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</si>
  <si>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</si>
  <si>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</si>
  <si>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</si>
  <si>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</si>
  <si>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</si>
  <si>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</si>
  <si>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</si>
  <si>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</si>
  <si>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</si>
  <si>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</si>
  <si>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</si>
  <si>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</si>
  <si>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</si>
  <si>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</si>
  <si>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</si>
  <si>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</si>
  <si>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</si>
  <si>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</si>
  <si>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</si>
  <si>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</si>
  <si>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</si>
  <si>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</si>
  <si>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</si>
  <si>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</si>
  <si>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</si>
  <si>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</si>
  <si>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</si>
  <si>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</si>
  <si>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</si>
  <si>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</si>
  <si>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</si>
  <si>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</si>
  <si>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</si>
  <si>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</si>
  <si>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</si>
  <si>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</si>
  <si>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</si>
  <si>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</si>
  <si>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</si>
  <si>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</si>
  <si>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</si>
  <si>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</si>
  <si>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</si>
  <si>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</si>
  <si>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</si>
  <si>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</si>
  <si>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</si>
  <si>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</si>
  <si>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</si>
  <si>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</si>
  <si>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</si>
  <si>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</si>
  <si>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</si>
  <si>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</si>
  <si>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</si>
  <si>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</si>
  <si>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</si>
  <si>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</si>
  <si>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</si>
  <si>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</si>
  <si>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</si>
  <si>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</si>
  <si>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</si>
  <si>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</si>
  <si>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</si>
  <si>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</si>
  <si>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</si>
  <si>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</si>
  <si>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</si>
  <si>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</si>
  <si>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</si>
  <si>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</si>
  <si>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</si>
  <si>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</si>
  <si>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</si>
  <si>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</si>
  <si>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</si>
  <si>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</si>
  <si>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</si>
  <si>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</si>
  <si>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</si>
  <si>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</si>
  <si>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</si>
  <si>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</si>
  <si>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</si>
  <si>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</si>
  <si>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</si>
  <si>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</si>
  <si>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</si>
  <si>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</si>
  <si>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</si>
  <si>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</si>
  <si>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</si>
  <si>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</si>
  <si>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</si>
  <si>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</si>
  <si>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</si>
  <si>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</si>
  <si>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</si>
  <si>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</si>
  <si>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</si>
  <si>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</si>
  <si>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</si>
  <si>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</si>
  <si>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</si>
  <si>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</si>
  <si>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</si>
  <si>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</si>
  <si>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</si>
  <si>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</si>
  <si>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</si>
  <si>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</si>
  <si>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</si>
  <si>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</si>
  <si>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</si>
  <si>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</si>
  <si>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</si>
  <si>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</si>
  <si>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</si>
  <si>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</si>
  <si>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</si>
  <si>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</si>
  <si>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</si>
  <si>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</si>
  <si>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</si>
  <si>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</si>
  <si>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</si>
  <si>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</si>
  <si>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</si>
  <si>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</si>
  <si>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</si>
  <si>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</si>
  <si>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</si>
  <si>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</si>
  <si>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</si>
  <si>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</si>
  <si>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</si>
  <si>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</si>
  <si>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</si>
  <si>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</si>
  <si>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</si>
  <si>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</si>
  <si>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</si>
  <si>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</si>
  <si>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</si>
  <si>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</si>
  <si>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</si>
  <si>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</si>
  <si>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</si>
  <si>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</si>
  <si>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</si>
  <si>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</si>
  <si>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</si>
  <si>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</si>
  <si>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</si>
  <si>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</si>
  <si>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</si>
  <si>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</si>
  <si>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</si>
  <si>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02</t>
  </si>
  <si>
    <t>CALLA LILY 451</t>
  </si>
  <si>
    <t>265K0089</t>
  </si>
  <si>
    <t>01</t>
  </si>
  <si>
    <t>GIRLS COTTON FIBERS, KNIT PULLOVER, WITH NO NECK CLOSURE, STITCH COUNT IS GREATER THAN 9/2CM, REACHES WAIST [100% COTTON]</t>
  </si>
  <si>
    <t>Online</t>
  </si>
  <si>
    <t>Retail</t>
  </si>
  <si>
    <t>Franchise</t>
  </si>
  <si>
    <t>265K0006</t>
  </si>
  <si>
    <t>265K0005</t>
  </si>
  <si>
    <t>265K0088</t>
  </si>
  <si>
    <t>265K0104</t>
  </si>
  <si>
    <t>265K0103</t>
  </si>
  <si>
    <t>255K0079</t>
  </si>
  <si>
    <t>265K0077</t>
  </si>
  <si>
    <t>BLACKJACK JAS</t>
  </si>
  <si>
    <t>GIRLS COTTON FIBERS, KNIT PULLOVER, WITH NO NECK CLOSURE, STITCH COUNT IS GREATER THAN 9/2CM, REACHES WAIST [60% COTTON 40% POLYESTER]</t>
  </si>
  <si>
    <t>00</t>
  </si>
  <si>
    <t>BLACKJACK JAS
BLUSH HUE</t>
  </si>
  <si>
    <t>01, 02</t>
  </si>
  <si>
    <t>GIRLS COTTON FIBERS, KNIT PULLOVER, WITH NO NECK CLOSURE, STITCH COUNT IS GREATER THAN 9/2CM, REACHES WAIST [60% COTTON 40% RECYCLED POLYESTER]</t>
  </si>
  <si>
    <t>BLUSH HUE</t>
  </si>
  <si>
    <t>BLACK LEOPARD</t>
  </si>
  <si>
    <t>BLACKJACK JAS, BLUSH HUE</t>
  </si>
  <si>
    <t>GIRLS COTTON FIBERS, KNIT T-SHIRT, WITH NO NECK CLOSURE, STITCH COUNT IS GREATER THAN 9/2CM, REACHES WAIST [60% COTTON 40% RECYCLED POLYESTER]</t>
  </si>
  <si>
    <t>BLACK JACK 3, CALLA LILY 2</t>
  </si>
  <si>
    <t>15, 19, 20, 21</t>
  </si>
  <si>
    <t>BLACK JACK 3, MOCHA TAFFY, CALLA LILY 2, SHOOTING STAR</t>
  </si>
  <si>
    <t>WOMENS COTTON FIBERS, KNIT PULLOVER, WITH NO NECK CLOSURE, STITCH COUNT IS GREATER THAN 9/2CM, REACHES WAIST, SLEEVELESS [96% COTTON 4% SPANDEX]</t>
  </si>
  <si>
    <t>13, 15, 16, 20</t>
  </si>
  <si>
    <t>BLACK COFFEE, BLACK JACK 3, IN THE NAVY, CALLA LILY 2</t>
  </si>
  <si>
    <t>15, 20</t>
  </si>
  <si>
    <t>RED TAPE</t>
  </si>
  <si>
    <t>Boys Cotton Fibers, Knit Shirt, With Neck Closure, Stitch Count Equal Or Is Greater Than 10/1cm, Hem Bottom [60% Cotton 40% Polyester]</t>
  </si>
  <si>
    <t>BLACK COFFEE, BLACK JACK 3, MOCHA TAFF, CALLA LILY 2</t>
  </si>
  <si>
    <t>13, 15, 19, 20</t>
  </si>
  <si>
    <t>13, 15, 19, 20, 21</t>
  </si>
  <si>
    <t>BLACK COFFEE, BLACK JACK 3, MOCHA TAFF, CALLA LILY 2, SHOOTING STAR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</si>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</sst>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8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Arial"/>
      <family val="2"/>
    </font>
    <font>
      <b/>
      <sz val="11"/>
      <color rgb="FF1616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0" fontId="15" fillId="0" borderId="0" xfId="0" applyFont="1"/>
    <xf numFmtId="4" fontId="14" fillId="3" borderId="0" xfId="0" applyNumberFormat="1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284060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115675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918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63250"/>
          <a:ext cx="2846285" cy="13906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284060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25175"/>
          <a:ext cx="2846285" cy="13906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245960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029950"/>
          <a:ext cx="2846285" cy="13906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77550"/>
          <a:ext cx="2846285" cy="139065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34700"/>
          <a:ext cx="2846285" cy="139065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34700"/>
          <a:ext cx="2846285" cy="139065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91825"/>
          <a:ext cx="2846285" cy="139065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63250"/>
          <a:ext cx="2846285" cy="139065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284060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249025"/>
          <a:ext cx="2846285" cy="139065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15625"/>
          <a:ext cx="2846285" cy="139065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34675"/>
          <a:ext cx="2846285" cy="139065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258550"/>
          <a:ext cx="2846285" cy="139065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25855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51"/>
  <sheetViews>
    <sheetView workbookViewId="0">
      <selection activeCell="F34" sqref="F34:G3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topLeftCell="A4" workbookViewId="0">
      <selection activeCell="I18" sqref="I18"/>
    </sheetView>
  </sheetViews>
  <sheetFormatPr defaultRowHeight="12.75" x14ac:dyDescent="0.2"/>
  <sheetData>
    <row r="2" spans="2:9" ht="15" x14ac:dyDescent="0.25">
      <c r="B2" s="57">
        <v>1</v>
      </c>
      <c r="C2" t="s">
        <v>185</v>
      </c>
      <c r="E2" s="57">
        <v>1</v>
      </c>
      <c r="F2">
        <v>878746</v>
      </c>
      <c r="H2" s="57">
        <v>1</v>
      </c>
      <c r="I2" s="65" t="s">
        <v>183</v>
      </c>
    </row>
    <row r="3" spans="2:9" ht="15" x14ac:dyDescent="0.25">
      <c r="B3" s="57">
        <v>2</v>
      </c>
      <c r="C3" t="s">
        <v>186</v>
      </c>
      <c r="E3" s="57">
        <v>2</v>
      </c>
      <c r="F3">
        <v>867788</v>
      </c>
      <c r="H3" s="57">
        <v>2</v>
      </c>
      <c r="I3" s="65" t="s">
        <v>183</v>
      </c>
    </row>
    <row r="4" spans="2:9" ht="15" x14ac:dyDescent="0.25">
      <c r="B4" s="57">
        <v>3</v>
      </c>
      <c r="C4" t="s">
        <v>186</v>
      </c>
      <c r="E4" s="57">
        <v>3</v>
      </c>
      <c r="F4">
        <v>867788</v>
      </c>
      <c r="H4" s="57">
        <v>3</v>
      </c>
      <c r="I4" s="65" t="s">
        <v>183</v>
      </c>
    </row>
    <row r="5" spans="2:9" ht="15" x14ac:dyDescent="0.25">
      <c r="B5" s="57">
        <v>4</v>
      </c>
      <c r="C5" t="s">
        <v>187</v>
      </c>
      <c r="E5" s="57">
        <v>4</v>
      </c>
      <c r="F5">
        <v>867788</v>
      </c>
      <c r="H5" s="57">
        <v>4</v>
      </c>
      <c r="I5" s="65" t="s">
        <v>182</v>
      </c>
    </row>
    <row r="6" spans="2:9" ht="15" x14ac:dyDescent="0.25">
      <c r="B6" s="57">
        <v>5</v>
      </c>
      <c r="C6" t="s">
        <v>179</v>
      </c>
      <c r="E6" s="57">
        <v>5</v>
      </c>
      <c r="F6">
        <v>905994</v>
      </c>
      <c r="H6" s="57">
        <v>5</v>
      </c>
      <c r="I6" s="65" t="s">
        <v>182</v>
      </c>
    </row>
    <row r="7" spans="2:9" ht="15" x14ac:dyDescent="0.25">
      <c r="B7" s="57">
        <v>6</v>
      </c>
      <c r="C7" t="s">
        <v>187</v>
      </c>
      <c r="E7" s="57">
        <v>6</v>
      </c>
      <c r="F7">
        <v>867788</v>
      </c>
      <c r="H7" s="57">
        <v>6</v>
      </c>
      <c r="I7" s="65" t="s">
        <v>184</v>
      </c>
    </row>
    <row r="8" spans="2:9" ht="15" x14ac:dyDescent="0.25">
      <c r="B8" s="57">
        <v>7</v>
      </c>
      <c r="C8" t="s">
        <v>179</v>
      </c>
      <c r="E8" s="57">
        <v>7</v>
      </c>
      <c r="F8">
        <v>905994</v>
      </c>
      <c r="H8" s="57">
        <v>7</v>
      </c>
      <c r="I8" s="65" t="s">
        <v>183</v>
      </c>
    </row>
    <row r="9" spans="2:9" ht="15" x14ac:dyDescent="0.25">
      <c r="B9" s="57">
        <v>8</v>
      </c>
      <c r="C9" t="s">
        <v>187</v>
      </c>
      <c r="E9" s="57">
        <v>8</v>
      </c>
      <c r="F9">
        <v>867788</v>
      </c>
      <c r="H9" s="57">
        <v>8</v>
      </c>
      <c r="I9" s="65" t="s">
        <v>182</v>
      </c>
    </row>
    <row r="10" spans="2:9" ht="15" x14ac:dyDescent="0.25">
      <c r="B10" s="57">
        <v>9</v>
      </c>
      <c r="C10" t="s">
        <v>187</v>
      </c>
      <c r="E10" s="57">
        <v>9</v>
      </c>
      <c r="F10">
        <v>867788</v>
      </c>
      <c r="H10" s="57">
        <v>9</v>
      </c>
      <c r="I10" s="65" t="s">
        <v>182</v>
      </c>
    </row>
    <row r="11" spans="2:9" ht="15" x14ac:dyDescent="0.25">
      <c r="B11" s="57">
        <v>10</v>
      </c>
      <c r="C11" t="s">
        <v>179</v>
      </c>
      <c r="E11" s="57">
        <v>10</v>
      </c>
      <c r="F11">
        <v>905994</v>
      </c>
      <c r="H11" s="57">
        <v>10</v>
      </c>
      <c r="I11" s="65" t="s">
        <v>182</v>
      </c>
    </row>
    <row r="12" spans="2:9" ht="15" x14ac:dyDescent="0.25">
      <c r="B12" s="57">
        <v>11</v>
      </c>
      <c r="C12" t="s">
        <v>187</v>
      </c>
      <c r="E12" s="57">
        <v>11</v>
      </c>
      <c r="F12">
        <v>867788</v>
      </c>
      <c r="H12" s="57">
        <v>11</v>
      </c>
      <c r="I12" s="65" t="s">
        <v>182</v>
      </c>
    </row>
    <row r="13" spans="2:9" ht="15" x14ac:dyDescent="0.25">
      <c r="B13" s="57">
        <v>12</v>
      </c>
      <c r="C13" t="s">
        <v>179</v>
      </c>
      <c r="E13" s="57">
        <v>12</v>
      </c>
      <c r="F13">
        <v>905994</v>
      </c>
      <c r="H13" s="57">
        <v>12</v>
      </c>
      <c r="I13" s="65" t="s">
        <v>182</v>
      </c>
    </row>
    <row r="14" spans="2:9" ht="15" x14ac:dyDescent="0.25">
      <c r="B14" s="57">
        <v>13</v>
      </c>
      <c r="C14" t="s">
        <v>188</v>
      </c>
      <c r="E14" s="57">
        <v>13</v>
      </c>
      <c r="F14">
        <v>692926</v>
      </c>
      <c r="H14" s="57">
        <v>13</v>
      </c>
      <c r="I14" s="65" t="s">
        <v>182</v>
      </c>
    </row>
    <row r="15" spans="2:9" ht="15" x14ac:dyDescent="0.25">
      <c r="B15" s="57">
        <v>14</v>
      </c>
      <c r="C15" t="s">
        <v>188</v>
      </c>
      <c r="E15" s="57">
        <v>14</v>
      </c>
      <c r="F15">
        <v>692926</v>
      </c>
      <c r="H15" s="57">
        <v>14</v>
      </c>
      <c r="I15" s="65" t="s">
        <v>182</v>
      </c>
    </row>
    <row r="16" spans="2:9" ht="15" x14ac:dyDescent="0.25">
      <c r="B16" s="57">
        <v>15</v>
      </c>
      <c r="C16" t="s">
        <v>188</v>
      </c>
      <c r="E16" s="57">
        <v>15</v>
      </c>
      <c r="F16">
        <v>692926</v>
      </c>
      <c r="H16" s="57">
        <v>15</v>
      </c>
      <c r="I16" s="65" t="s">
        <v>182</v>
      </c>
    </row>
    <row r="17" spans="2:11" ht="15" x14ac:dyDescent="0.25">
      <c r="B17" s="57">
        <v>16</v>
      </c>
      <c r="C17" t="s">
        <v>189</v>
      </c>
      <c r="E17" s="57">
        <v>16</v>
      </c>
      <c r="F17">
        <v>692926</v>
      </c>
      <c r="H17" s="57">
        <v>16</v>
      </c>
      <c r="I17" s="65" t="s">
        <v>183</v>
      </c>
    </row>
    <row r="18" spans="2:11" ht="15" x14ac:dyDescent="0.25">
      <c r="B18" s="57">
        <v>17</v>
      </c>
      <c r="C18" t="s">
        <v>189</v>
      </c>
      <c r="E18" s="57">
        <v>17</v>
      </c>
      <c r="F18">
        <v>692926</v>
      </c>
      <c r="H18" s="57">
        <v>17</v>
      </c>
      <c r="I18" s="65" t="s">
        <v>182</v>
      </c>
    </row>
    <row r="19" spans="2:11" ht="15" x14ac:dyDescent="0.25">
      <c r="B19" s="57">
        <v>18</v>
      </c>
      <c r="C19" t="s">
        <v>190</v>
      </c>
      <c r="E19" s="57">
        <v>18</v>
      </c>
      <c r="F19">
        <v>881293</v>
      </c>
      <c r="H19" s="57">
        <v>18</v>
      </c>
      <c r="I19" s="65" t="s">
        <v>183</v>
      </c>
    </row>
    <row r="20" spans="2:11" ht="15" x14ac:dyDescent="0.25">
      <c r="B20" s="57">
        <v>19</v>
      </c>
      <c r="C20" t="s">
        <v>191</v>
      </c>
      <c r="E20" s="57">
        <v>19</v>
      </c>
      <c r="F20">
        <v>767468</v>
      </c>
      <c r="H20" s="57">
        <v>19</v>
      </c>
      <c r="I20" s="65" t="s">
        <v>183</v>
      </c>
    </row>
    <row r="21" spans="2:11" ht="15" x14ac:dyDescent="0.25">
      <c r="B21" s="57">
        <v>20</v>
      </c>
      <c r="C21" t="s">
        <v>188</v>
      </c>
      <c r="E21" s="57">
        <v>20</v>
      </c>
      <c r="F21">
        <v>692926</v>
      </c>
      <c r="H21" s="57">
        <v>20</v>
      </c>
      <c r="I21" s="65" t="s">
        <v>183</v>
      </c>
    </row>
    <row r="22" spans="2:11" ht="15" x14ac:dyDescent="0.25">
      <c r="B22" s="57">
        <v>21</v>
      </c>
      <c r="C22" t="s">
        <v>188</v>
      </c>
      <c r="E22" s="57">
        <v>21</v>
      </c>
      <c r="F22">
        <v>692926</v>
      </c>
      <c r="H22" s="57">
        <v>21</v>
      </c>
      <c r="I22" s="65" t="s">
        <v>183</v>
      </c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215</v>
      </c>
      <c r="C2" s="84"/>
      <c r="D2" s="84"/>
      <c r="E2" s="84"/>
      <c r="F2" s="84"/>
      <c r="G2" s="84"/>
      <c r="H2" s="84"/>
      <c r="I2" s="85"/>
      <c r="J2" s="62">
        <v>62283681</v>
      </c>
      <c r="K2" s="63">
        <v>2130</v>
      </c>
      <c r="L2" s="64">
        <v>13</v>
      </c>
      <c r="M2" s="64">
        <v>165.45</v>
      </c>
      <c r="N2" s="64">
        <v>169.71</v>
      </c>
      <c r="O2" s="64">
        <v>182.71</v>
      </c>
      <c r="P2" s="64" t="s">
        <v>54</v>
      </c>
      <c r="Q2" s="64">
        <v>0.872</v>
      </c>
      <c r="R2" s="64" t="s">
        <v>62</v>
      </c>
    </row>
    <row r="3" spans="2:22" x14ac:dyDescent="0.2">
      <c r="B3" s="6" t="s">
        <v>53</v>
      </c>
      <c r="C3" s="69">
        <v>173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62283681</v>
      </c>
      <c r="C21" s="56">
        <f>VLOOKUP($K56,reff!E2:F29,2,0)</f>
        <v>878746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182.71</v>
      </c>
      <c r="G23" s="23">
        <f>+N2</f>
        <v>169.71</v>
      </c>
      <c r="H23" s="23">
        <f>+M2</f>
        <v>165.45</v>
      </c>
      <c r="I23" s="55">
        <f>+L2</f>
        <v>13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[60% COTTON 40% POLYESTER]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9" t="s">
        <v>19</v>
      </c>
      <c r="E31" s="89"/>
      <c r="F31" s="89" t="s">
        <v>18</v>
      </c>
      <c r="G31" s="89"/>
      <c r="H31" s="55" t="s">
        <v>17</v>
      </c>
      <c r="I31" s="19" t="s">
        <v>16</v>
      </c>
      <c r="M31"/>
    </row>
    <row r="32" spans="2:13" ht="24.95" customHeight="1" x14ac:dyDescent="0.2">
      <c r="B32" s="41" t="s">
        <v>177</v>
      </c>
      <c r="C32" s="19" t="s">
        <v>192</v>
      </c>
      <c r="D32" s="76"/>
      <c r="E32" s="77"/>
      <c r="F32" s="76">
        <f>+K2</f>
        <v>2130</v>
      </c>
      <c r="G32" s="77"/>
      <c r="H32" s="17">
        <v>0.57999999999999996</v>
      </c>
      <c r="I32" s="18">
        <f>+H32*F32</f>
        <v>1235.3999999999999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0"/>
    </row>
    <row r="34" spans="2:11" ht="21.75" customHeight="1" x14ac:dyDescent="0.2">
      <c r="B34" s="15" t="s">
        <v>14</v>
      </c>
      <c r="C34" s="15"/>
      <c r="D34" s="74"/>
      <c r="E34" s="75"/>
      <c r="F34" s="76">
        <f>SUM(F32:G33)</f>
        <v>2130</v>
      </c>
      <c r="G34" s="77"/>
      <c r="H34" s="15"/>
      <c r="I34" s="14">
        <f>SUM(I32:I33)</f>
        <v>1235.3999999999999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1235.3999999999999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1235.3999999999999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265K0006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B2:I2"/>
    <mergeCell ref="B26:I26"/>
    <mergeCell ref="B27:I27"/>
    <mergeCell ref="D31:E31"/>
    <mergeCell ref="F31:G31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2:E32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8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215</v>
      </c>
      <c r="C2" s="84"/>
      <c r="D2" s="84"/>
      <c r="E2" s="84"/>
      <c r="F2" s="84"/>
      <c r="G2" s="84"/>
      <c r="H2" s="84"/>
      <c r="I2" s="85"/>
      <c r="J2" s="62">
        <v>62259509</v>
      </c>
      <c r="K2" s="63">
        <v>4800</v>
      </c>
      <c r="L2" s="64">
        <v>29</v>
      </c>
      <c r="M2" s="64">
        <v>362.01</v>
      </c>
      <c r="N2" s="64">
        <v>371.61</v>
      </c>
      <c r="O2" s="64">
        <v>400.61</v>
      </c>
      <c r="P2" s="64" t="s">
        <v>54</v>
      </c>
      <c r="Q2" s="64">
        <v>1.946</v>
      </c>
      <c r="R2" s="64" t="s">
        <v>62</v>
      </c>
    </row>
    <row r="3" spans="2:22" x14ac:dyDescent="0.2">
      <c r="B3" s="6" t="s">
        <v>53</v>
      </c>
      <c r="C3" s="69">
        <f>+'1'!C3+1</f>
        <v>174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62259509</v>
      </c>
      <c r="C21" s="49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400.61</v>
      </c>
      <c r="G23" s="23">
        <f>+N2</f>
        <v>371.61</v>
      </c>
      <c r="H23" s="23">
        <f>+M2</f>
        <v>362.01</v>
      </c>
      <c r="I23" s="48">
        <f>+L2</f>
        <v>29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[60% COTTON 40% RECYCLED POLYESTER]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9" t="s">
        <v>19</v>
      </c>
      <c r="E31" s="89"/>
      <c r="F31" s="89" t="s">
        <v>18</v>
      </c>
      <c r="G31" s="89"/>
      <c r="H31" s="48" t="s">
        <v>17</v>
      </c>
      <c r="I31" s="19" t="s">
        <v>16</v>
      </c>
      <c r="M31"/>
    </row>
    <row r="32" spans="2:13" ht="24.95" customHeight="1" x14ac:dyDescent="0.2">
      <c r="B32" s="41" t="s">
        <v>194</v>
      </c>
      <c r="C32" s="19" t="s">
        <v>178</v>
      </c>
      <c r="D32" s="76"/>
      <c r="E32" s="77"/>
      <c r="F32" s="76">
        <v>650</v>
      </c>
      <c r="G32" s="77"/>
      <c r="H32" s="17">
        <v>0.71</v>
      </c>
      <c r="I32" s="18">
        <f>+H32*F32</f>
        <v>461.5</v>
      </c>
      <c r="K32" s="46"/>
      <c r="M32" s="39"/>
    </row>
    <row r="33" spans="2:13" ht="45.75" customHeight="1" x14ac:dyDescent="0.2">
      <c r="B33" s="41" t="s">
        <v>196</v>
      </c>
      <c r="C33" s="19" t="s">
        <v>195</v>
      </c>
      <c r="D33" s="76"/>
      <c r="E33" s="77"/>
      <c r="F33" s="76">
        <f>+K2-F32</f>
        <v>4150</v>
      </c>
      <c r="G33" s="77"/>
      <c r="H33" s="17">
        <v>0.71</v>
      </c>
      <c r="I33" s="18">
        <f>+H33*F33</f>
        <v>2946.5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48"/>
    </row>
    <row r="35" spans="2:13" ht="21.75" customHeight="1" x14ac:dyDescent="0.2">
      <c r="B35" s="15" t="s">
        <v>14</v>
      </c>
      <c r="C35" s="15"/>
      <c r="D35" s="74"/>
      <c r="E35" s="75"/>
      <c r="F35" s="76">
        <f>SUM(F32:G34)</f>
        <v>4800</v>
      </c>
      <c r="G35" s="77"/>
      <c r="H35" s="15"/>
      <c r="I35" s="14">
        <f>SUM(I32:I34)</f>
        <v>3408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48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3408</v>
      </c>
    </row>
    <row r="38" spans="2:13" ht="20.25" customHeight="1" x14ac:dyDescent="0.2">
      <c r="B38" s="15" t="s">
        <v>80</v>
      </c>
      <c r="C38" s="72" t="s">
        <v>11</v>
      </c>
      <c r="D38" s="79"/>
      <c r="E38" s="79"/>
      <c r="F38" s="79"/>
      <c r="G38" s="79"/>
      <c r="H38" s="73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3408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265K0005</v>
      </c>
      <c r="I53" s="8"/>
      <c r="K53">
        <v>2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>
        <v>2</v>
      </c>
    </row>
    <row r="58" spans="2:11" x14ac:dyDescent="0.2">
      <c r="B58" s="2"/>
      <c r="C58" s="78"/>
      <c r="D58" s="78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2:E32"/>
    <mergeCell ref="F32:G32"/>
    <mergeCell ref="D33:E33"/>
    <mergeCell ref="F33:G33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4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215</v>
      </c>
      <c r="C2" s="84"/>
      <c r="D2" s="84"/>
      <c r="E2" s="84"/>
      <c r="F2" s="84"/>
      <c r="G2" s="84"/>
      <c r="H2" s="84"/>
      <c r="I2" s="85"/>
      <c r="J2" s="62">
        <v>62259500</v>
      </c>
      <c r="K2" s="63">
        <v>2680</v>
      </c>
      <c r="L2" s="64">
        <v>16</v>
      </c>
      <c r="M2" s="64">
        <v>196.07</v>
      </c>
      <c r="N2" s="64">
        <v>201.43</v>
      </c>
      <c r="O2" s="64">
        <v>217.43</v>
      </c>
      <c r="P2" s="64" t="s">
        <v>54</v>
      </c>
      <c r="Q2" s="64">
        <v>1.0740000000000001</v>
      </c>
      <c r="R2" s="64" t="s">
        <v>62</v>
      </c>
    </row>
    <row r="3" spans="2:22" x14ac:dyDescent="0.2">
      <c r="B3" s="6" t="s">
        <v>53</v>
      </c>
      <c r="C3" s="69">
        <f>+'2'!C3+1</f>
        <v>175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62259500</v>
      </c>
      <c r="C21" s="49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217.43</v>
      </c>
      <c r="G23" s="23">
        <f>+N2</f>
        <v>201.43</v>
      </c>
      <c r="H23" s="23">
        <f>+M2</f>
        <v>196.07</v>
      </c>
      <c r="I23" s="48">
        <f>+L2</f>
        <v>16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[60% COTTON 40% RECYCLED POLYESTER]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9" t="s">
        <v>19</v>
      </c>
      <c r="E31" s="89"/>
      <c r="F31" s="89" t="s">
        <v>18</v>
      </c>
      <c r="G31" s="89"/>
      <c r="H31" s="48" t="s">
        <v>17</v>
      </c>
      <c r="I31" s="19" t="s">
        <v>16</v>
      </c>
      <c r="M31"/>
    </row>
    <row r="32" spans="2:13" ht="28.5" customHeight="1" x14ac:dyDescent="0.2">
      <c r="B32" s="41" t="s">
        <v>194</v>
      </c>
      <c r="C32" s="19" t="s">
        <v>178</v>
      </c>
      <c r="D32" s="76"/>
      <c r="E32" s="77"/>
      <c r="F32" s="76">
        <v>1000</v>
      </c>
      <c r="G32" s="77"/>
      <c r="H32" s="17">
        <v>0.71</v>
      </c>
      <c r="I32" s="18">
        <f>+H32*F32</f>
        <v>710</v>
      </c>
      <c r="K32" s="46"/>
      <c r="M32" s="39"/>
    </row>
    <row r="33" spans="2:13" ht="41.25" customHeight="1" x14ac:dyDescent="0.2">
      <c r="B33" s="41" t="s">
        <v>196</v>
      </c>
      <c r="C33" s="19" t="s">
        <v>195</v>
      </c>
      <c r="D33" s="76"/>
      <c r="E33" s="77"/>
      <c r="F33" s="76">
        <f>+K2-'3'!F32:G32</f>
        <v>1680</v>
      </c>
      <c r="G33" s="77"/>
      <c r="H33" s="17">
        <v>0.71</v>
      </c>
      <c r="I33" s="18">
        <f>+H33*F33</f>
        <v>1192.8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48"/>
    </row>
    <row r="35" spans="2:13" ht="21.75" customHeight="1" x14ac:dyDescent="0.2">
      <c r="B35" s="15" t="s">
        <v>14</v>
      </c>
      <c r="C35" s="15"/>
      <c r="D35" s="74"/>
      <c r="E35" s="75"/>
      <c r="F35" s="76">
        <f>SUM(F31:G34)</f>
        <v>2680</v>
      </c>
      <c r="G35" s="77"/>
      <c r="H35" s="15"/>
      <c r="I35" s="14">
        <f>SUM(I32:I34)</f>
        <v>1902.8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48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1902.8</v>
      </c>
    </row>
    <row r="38" spans="2:13" ht="20.25" customHeight="1" x14ac:dyDescent="0.2">
      <c r="B38" s="15" t="s">
        <v>80</v>
      </c>
      <c r="C38" s="72" t="s">
        <v>11</v>
      </c>
      <c r="D38" s="79"/>
      <c r="E38" s="79"/>
      <c r="F38" s="79"/>
      <c r="G38" s="79"/>
      <c r="H38" s="73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1902.8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265K0005</v>
      </c>
      <c r="I53" s="8"/>
      <c r="K53">
        <v>3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>
        <v>3</v>
      </c>
    </row>
    <row r="58" spans="2:11" x14ac:dyDescent="0.2">
      <c r="B58" s="2"/>
      <c r="C58" s="78"/>
      <c r="D58" s="78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  <mergeCell ref="D33:E33"/>
    <mergeCell ref="F33:G33"/>
    <mergeCell ref="B2:I2"/>
    <mergeCell ref="B26:I26"/>
    <mergeCell ref="B27:I27"/>
    <mergeCell ref="D31:E31"/>
    <mergeCell ref="F31:G31"/>
    <mergeCell ref="D32:E32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5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215</v>
      </c>
      <c r="C2" s="84"/>
      <c r="D2" s="84"/>
      <c r="E2" s="84"/>
      <c r="F2" s="84"/>
      <c r="G2" s="84"/>
      <c r="H2" s="84"/>
      <c r="I2" s="85"/>
      <c r="J2" s="62">
        <v>61997025</v>
      </c>
      <c r="K2" s="63">
        <v>1894</v>
      </c>
      <c r="L2" s="64">
        <v>17</v>
      </c>
      <c r="M2" s="64">
        <v>131.70699999999999</v>
      </c>
      <c r="N2" s="64">
        <v>135.495</v>
      </c>
      <c r="O2" s="64">
        <v>150.095</v>
      </c>
      <c r="P2" s="64" t="s">
        <v>54</v>
      </c>
      <c r="Q2" s="64">
        <v>0.76</v>
      </c>
      <c r="R2" s="64" t="s">
        <v>62</v>
      </c>
    </row>
    <row r="3" spans="2:22" x14ac:dyDescent="0.2">
      <c r="B3" s="6" t="s">
        <v>53</v>
      </c>
      <c r="C3" s="69">
        <f>+'3'!C3+1</f>
        <v>176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61997025</v>
      </c>
      <c r="C21" s="53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150.095</v>
      </c>
      <c r="G23" s="23">
        <f>+N2</f>
        <v>135.495</v>
      </c>
      <c r="H23" s="23">
        <f>+M2</f>
        <v>131.70699999999999</v>
      </c>
      <c r="I23" s="54">
        <f>+L2</f>
        <v>17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[60% COTTON 40% RECYCLED POLYESTER]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9" t="s">
        <v>19</v>
      </c>
      <c r="E31" s="89"/>
      <c r="F31" s="89" t="s">
        <v>18</v>
      </c>
      <c r="G31" s="89"/>
      <c r="H31" s="54" t="s">
        <v>17</v>
      </c>
      <c r="I31" s="19" t="s">
        <v>16</v>
      </c>
      <c r="M31"/>
    </row>
    <row r="32" spans="2:13" ht="26.25" customHeight="1" x14ac:dyDescent="0.2">
      <c r="B32" s="41" t="s">
        <v>194</v>
      </c>
      <c r="C32" s="19" t="s">
        <v>178</v>
      </c>
      <c r="D32" s="76"/>
      <c r="E32" s="77"/>
      <c r="F32" s="76">
        <v>545</v>
      </c>
      <c r="G32" s="77"/>
      <c r="H32" s="17">
        <v>0.71</v>
      </c>
      <c r="I32" s="18">
        <f>+H32*F32</f>
        <v>386.95</v>
      </c>
      <c r="K32" s="46"/>
      <c r="M32" s="39"/>
    </row>
    <row r="33" spans="2:13" ht="26.25" customHeight="1" x14ac:dyDescent="0.2">
      <c r="B33" s="41" t="s">
        <v>177</v>
      </c>
      <c r="C33" s="19" t="s">
        <v>198</v>
      </c>
      <c r="D33" s="76"/>
      <c r="E33" s="77"/>
      <c r="F33" s="76">
        <v>1349</v>
      </c>
      <c r="G33" s="77"/>
      <c r="H33" s="17">
        <v>0.71</v>
      </c>
      <c r="I33" s="18">
        <f>+H33*F33</f>
        <v>957.79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54"/>
    </row>
    <row r="35" spans="2:13" ht="21.75" customHeight="1" x14ac:dyDescent="0.2">
      <c r="B35" s="15" t="s">
        <v>14</v>
      </c>
      <c r="C35" s="15"/>
      <c r="D35" s="74"/>
      <c r="E35" s="75"/>
      <c r="F35" s="76">
        <f>SUM(F32:G34)</f>
        <v>1894</v>
      </c>
      <c r="G35" s="77"/>
      <c r="H35" s="15"/>
      <c r="I35" s="14">
        <f>SUM(I32:I34)</f>
        <v>1344.74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54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1344.74</v>
      </c>
    </row>
    <row r="38" spans="2:13" ht="20.25" customHeight="1" x14ac:dyDescent="0.2">
      <c r="B38" s="15" t="s">
        <v>80</v>
      </c>
      <c r="C38" s="72" t="s">
        <v>11</v>
      </c>
      <c r="D38" s="79"/>
      <c r="E38" s="79"/>
      <c r="F38" s="79"/>
      <c r="G38" s="79"/>
      <c r="H38" s="73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1344.74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265K0088</v>
      </c>
      <c r="I53" s="8"/>
      <c r="K53">
        <v>4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>
        <v>4</v>
      </c>
    </row>
    <row r="58" spans="2:11" x14ac:dyDescent="0.2">
      <c r="B58" s="2"/>
      <c r="C58" s="78"/>
      <c r="D58" s="78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215</v>
      </c>
      <c r="C2" s="84"/>
      <c r="D2" s="84"/>
      <c r="E2" s="84"/>
      <c r="F2" s="84"/>
      <c r="G2" s="84"/>
      <c r="H2" s="84"/>
      <c r="I2" s="85"/>
      <c r="J2" s="62">
        <v>61996972</v>
      </c>
      <c r="K2" s="64">
        <v>308</v>
      </c>
      <c r="L2" s="64">
        <v>4</v>
      </c>
      <c r="M2" s="64">
        <v>22.814</v>
      </c>
      <c r="N2" s="64">
        <v>23.43</v>
      </c>
      <c r="O2" s="64">
        <v>26.53</v>
      </c>
      <c r="P2" s="64" t="s">
        <v>54</v>
      </c>
      <c r="Q2" s="64">
        <v>0.13400000000000001</v>
      </c>
      <c r="R2" s="64" t="s">
        <v>62</v>
      </c>
    </row>
    <row r="3" spans="2:22" x14ac:dyDescent="0.2">
      <c r="B3" s="6" t="s">
        <v>53</v>
      </c>
      <c r="C3" s="69">
        <f>+'4'!C3+1</f>
        <v>177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61996972</v>
      </c>
      <c r="C21" s="56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26.53</v>
      </c>
      <c r="G23" s="23">
        <f>+N2</f>
        <v>23.43</v>
      </c>
      <c r="H23" s="23">
        <f>+M2</f>
        <v>22.814</v>
      </c>
      <c r="I23" s="55">
        <f>+L2</f>
        <v>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[100% COTTON]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9" t="s">
        <v>19</v>
      </c>
      <c r="E31" s="89"/>
      <c r="F31" s="89" t="s">
        <v>18</v>
      </c>
      <c r="G31" s="89"/>
      <c r="H31" s="55" t="s">
        <v>17</v>
      </c>
      <c r="I31" s="19" t="s">
        <v>16</v>
      </c>
      <c r="M31"/>
    </row>
    <row r="32" spans="2:13" ht="28.5" customHeight="1" x14ac:dyDescent="0.2">
      <c r="B32" s="41" t="s">
        <v>180</v>
      </c>
      <c r="C32" s="19" t="s">
        <v>199</v>
      </c>
      <c r="D32" s="76"/>
      <c r="E32" s="77"/>
      <c r="F32" s="76">
        <f>+K2</f>
        <v>308</v>
      </c>
      <c r="G32" s="77"/>
      <c r="H32" s="17">
        <v>0.81</v>
      </c>
      <c r="I32" s="18">
        <f>+H32*F32</f>
        <v>249.48000000000002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59"/>
    </row>
    <row r="34" spans="2:11" ht="21.75" customHeight="1" x14ac:dyDescent="0.2">
      <c r="B34" s="15" t="s">
        <v>14</v>
      </c>
      <c r="C34" s="15"/>
      <c r="D34" s="74"/>
      <c r="E34" s="75"/>
      <c r="F34" s="76">
        <f>SUM(F32:G33)</f>
        <v>308</v>
      </c>
      <c r="G34" s="77"/>
      <c r="H34" s="15"/>
      <c r="I34" s="14">
        <f>SUM(I32:I32)</f>
        <v>249.48000000000002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249.48000000000002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249.48000000000002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2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215</v>
      </c>
      <c r="C2" s="84"/>
      <c r="D2" s="84"/>
      <c r="E2" s="84"/>
      <c r="F2" s="84"/>
      <c r="G2" s="84"/>
      <c r="H2" s="84"/>
      <c r="I2" s="85"/>
      <c r="J2" s="62">
        <v>62006789</v>
      </c>
      <c r="K2" s="63">
        <v>3412</v>
      </c>
      <c r="L2" s="64">
        <v>46</v>
      </c>
      <c r="M2" s="64">
        <v>235.161</v>
      </c>
      <c r="N2" s="64">
        <v>241.98500000000001</v>
      </c>
      <c r="O2" s="64">
        <v>273.08499999999998</v>
      </c>
      <c r="P2" s="64" t="s">
        <v>54</v>
      </c>
      <c r="Q2" s="64">
        <v>1.51</v>
      </c>
      <c r="R2" s="64" t="s">
        <v>62</v>
      </c>
    </row>
    <row r="3" spans="2:22" x14ac:dyDescent="0.2">
      <c r="B3" s="6" t="s">
        <v>53</v>
      </c>
      <c r="C3" s="69">
        <f>+'5'!C3+1</f>
        <v>178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113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8510 BOB BULLOCK LOOP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LAREDO,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78045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62006789</v>
      </c>
      <c r="C21" s="56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273.08499999999998</v>
      </c>
      <c r="G23" s="23">
        <f>+N2</f>
        <v>241.98500000000001</v>
      </c>
      <c r="H23" s="23">
        <f>+M2</f>
        <v>235.161</v>
      </c>
      <c r="I23" s="55">
        <f>+L2</f>
        <v>46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T-SHIRT, WITH NO NECK CLOSURE, STITCH COUNT IS GREATER THAN 9/2CM, REACHES WAIST [60% COTTON 40% RECYCLED POLYESTER]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9" t="s">
        <v>19</v>
      </c>
      <c r="E31" s="89"/>
      <c r="F31" s="89" t="s">
        <v>18</v>
      </c>
      <c r="G31" s="89"/>
      <c r="H31" s="55" t="s">
        <v>17</v>
      </c>
      <c r="I31" s="19" t="s">
        <v>16</v>
      </c>
      <c r="M31"/>
    </row>
    <row r="32" spans="2:13" ht="28.5" customHeight="1" x14ac:dyDescent="0.2">
      <c r="B32" s="61" t="s">
        <v>194</v>
      </c>
      <c r="C32" s="19" t="s">
        <v>178</v>
      </c>
      <c r="D32" s="76"/>
      <c r="E32" s="77"/>
      <c r="F32" s="76">
        <v>1088</v>
      </c>
      <c r="G32" s="77"/>
      <c r="H32" s="17">
        <v>0.71</v>
      </c>
      <c r="I32" s="18">
        <f>+H32*F32</f>
        <v>772.48</v>
      </c>
      <c r="K32" s="46"/>
      <c r="M32" s="39"/>
    </row>
    <row r="33" spans="2:13" ht="37.5" customHeight="1" x14ac:dyDescent="0.2">
      <c r="B33" s="61" t="s">
        <v>196</v>
      </c>
      <c r="C33" s="19" t="s">
        <v>200</v>
      </c>
      <c r="D33" s="76"/>
      <c r="E33" s="77"/>
      <c r="F33" s="76">
        <f>+K2-F32</f>
        <v>2324</v>
      </c>
      <c r="G33" s="77"/>
      <c r="H33" s="17">
        <v>0.71</v>
      </c>
      <c r="I33" s="18">
        <f>+H33*F33</f>
        <v>1650.04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55"/>
    </row>
    <row r="35" spans="2:13" ht="21.75" customHeight="1" x14ac:dyDescent="0.2">
      <c r="B35" s="15" t="s">
        <v>14</v>
      </c>
      <c r="C35" s="15"/>
      <c r="D35" s="74"/>
      <c r="E35" s="75"/>
      <c r="F35" s="76">
        <f>SUM(F32:G34)</f>
        <v>3412</v>
      </c>
      <c r="G35" s="77"/>
      <c r="H35" s="15"/>
      <c r="I35" s="14">
        <f>SUM(I32:I34)</f>
        <v>2422.52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55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2422.52</v>
      </c>
    </row>
    <row r="38" spans="2:13" ht="20.25" customHeight="1" x14ac:dyDescent="0.2">
      <c r="B38" s="15" t="s">
        <v>80</v>
      </c>
      <c r="C38" s="72" t="s">
        <v>11</v>
      </c>
      <c r="D38" s="79"/>
      <c r="E38" s="79"/>
      <c r="F38" s="79"/>
      <c r="G38" s="79"/>
      <c r="H38" s="73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2422.52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265K0088</v>
      </c>
      <c r="I53" s="8"/>
      <c r="K53">
        <v>6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>
        <v>6</v>
      </c>
    </row>
    <row r="58" spans="2:11" x14ac:dyDescent="0.2">
      <c r="B58" s="2"/>
      <c r="C58" s="78"/>
      <c r="D58" s="78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B2:I2"/>
    <mergeCell ref="B26:I26"/>
    <mergeCell ref="B27:I27"/>
    <mergeCell ref="D31:E31"/>
    <mergeCell ref="F31:G31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8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215</v>
      </c>
      <c r="C2" s="84"/>
      <c r="D2" s="84"/>
      <c r="E2" s="84"/>
      <c r="F2" s="84"/>
      <c r="G2" s="84"/>
      <c r="H2" s="84"/>
      <c r="I2" s="85"/>
      <c r="J2" s="62">
        <v>61996886</v>
      </c>
      <c r="K2" s="64">
        <v>638</v>
      </c>
      <c r="L2" s="64">
        <v>8</v>
      </c>
      <c r="M2" s="64">
        <v>44.054000000000002</v>
      </c>
      <c r="N2" s="64">
        <v>45.33</v>
      </c>
      <c r="O2" s="64">
        <v>51.08</v>
      </c>
      <c r="P2" s="64" t="s">
        <v>54</v>
      </c>
      <c r="Q2" s="64">
        <v>0.28499999999999998</v>
      </c>
      <c r="R2" s="64" t="s">
        <v>62</v>
      </c>
    </row>
    <row r="3" spans="2:22" x14ac:dyDescent="0.2">
      <c r="B3" s="6" t="s">
        <v>53</v>
      </c>
      <c r="C3" s="69">
        <f>+'6'!C3+1</f>
        <v>179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61996886</v>
      </c>
      <c r="C21" s="68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51.08</v>
      </c>
      <c r="G23" s="23">
        <f>+N2</f>
        <v>45.33</v>
      </c>
      <c r="H23" s="23">
        <f>+M2</f>
        <v>44.054000000000002</v>
      </c>
      <c r="I23" s="67">
        <f>+L2</f>
        <v>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[100% COTTON]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9" t="s">
        <v>19</v>
      </c>
      <c r="E31" s="89"/>
      <c r="F31" s="89" t="s">
        <v>18</v>
      </c>
      <c r="G31" s="89"/>
      <c r="H31" s="67" t="s">
        <v>17</v>
      </c>
      <c r="I31" s="19" t="s">
        <v>16</v>
      </c>
      <c r="M31"/>
    </row>
    <row r="32" spans="2:13" ht="24.95" customHeight="1" x14ac:dyDescent="0.2">
      <c r="B32" s="41" t="s">
        <v>180</v>
      </c>
      <c r="C32" s="19" t="s">
        <v>199</v>
      </c>
      <c r="D32" s="76"/>
      <c r="E32" s="77"/>
      <c r="F32" s="76">
        <f>+K2</f>
        <v>638</v>
      </c>
      <c r="G32" s="77"/>
      <c r="H32" s="17">
        <v>0.81</v>
      </c>
      <c r="I32" s="18">
        <f>+H32*F32</f>
        <v>516.78000000000009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7"/>
    </row>
    <row r="34" spans="2:11" ht="21.75" customHeight="1" x14ac:dyDescent="0.2">
      <c r="B34" s="15" t="s">
        <v>14</v>
      </c>
      <c r="C34" s="15"/>
      <c r="D34" s="74"/>
      <c r="E34" s="75"/>
      <c r="F34" s="76">
        <f>SUM(F32:G33)</f>
        <v>638</v>
      </c>
      <c r="G34" s="77"/>
      <c r="H34" s="15"/>
      <c r="I34" s="14">
        <f>SUM(I32:I33)</f>
        <v>516.78000000000009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516.78000000000009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516.78000000000009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7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215</v>
      </c>
      <c r="C2" s="84"/>
      <c r="D2" s="84"/>
      <c r="E2" s="84"/>
      <c r="F2" s="84"/>
      <c r="G2" s="84"/>
      <c r="H2" s="84"/>
      <c r="I2" s="85"/>
      <c r="J2" s="62">
        <v>62029852</v>
      </c>
      <c r="K2" s="63">
        <v>1000</v>
      </c>
      <c r="L2" s="64">
        <v>9</v>
      </c>
      <c r="M2" s="64">
        <v>69.564999999999998</v>
      </c>
      <c r="N2" s="64">
        <v>71.564999999999998</v>
      </c>
      <c r="O2" s="64">
        <v>79.165000000000006</v>
      </c>
      <c r="P2" s="64" t="s">
        <v>54</v>
      </c>
      <c r="Q2" s="64">
        <v>0.39100000000000001</v>
      </c>
      <c r="R2" s="64" t="s">
        <v>62</v>
      </c>
    </row>
    <row r="3" spans="2:22" x14ac:dyDescent="0.2">
      <c r="B3" s="6" t="s">
        <v>53</v>
      </c>
      <c r="C3" s="69">
        <f>+'7'!C3+1</f>
        <v>180</v>
      </c>
      <c r="D3" s="5"/>
      <c r="E3" s="5"/>
      <c r="F3" s="5"/>
      <c r="G3" s="5" t="s">
        <v>52</v>
      </c>
      <c r="H3" s="31">
        <v>46259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62029852</v>
      </c>
      <c r="C21" s="68">
        <f>VLOOKUP($K56,reff!E2:F29,2,0)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CA</v>
      </c>
      <c r="I21" s="67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79.165000000000006</v>
      </c>
      <c r="G23" s="23">
        <f>+N2</f>
        <v>71.564999999999998</v>
      </c>
      <c r="H23" s="23">
        <f>+M2</f>
        <v>69.564999999999998</v>
      </c>
      <c r="I23" s="67">
        <f>+L2</f>
        <v>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T-SHIRT, WITH NO NECK CLOSURE, STITCH COUNT IS GREATER THAN 9/2CM, REACHES WAIST [60% COTTON 40% RECYCLED POLYESTER]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9" t="s">
        <v>19</v>
      </c>
      <c r="E31" s="89"/>
      <c r="F31" s="89" t="s">
        <v>18</v>
      </c>
      <c r="G31" s="89"/>
      <c r="H31" s="67" t="s">
        <v>17</v>
      </c>
      <c r="I31" s="19" t="s">
        <v>16</v>
      </c>
      <c r="M31"/>
    </row>
    <row r="32" spans="2:13" ht="30.75" customHeight="1" x14ac:dyDescent="0.2">
      <c r="B32" s="41" t="s">
        <v>180</v>
      </c>
      <c r="C32" s="19" t="s">
        <v>192</v>
      </c>
      <c r="D32" s="76"/>
      <c r="E32" s="77"/>
      <c r="F32" s="76">
        <f>+K2</f>
        <v>1000</v>
      </c>
      <c r="G32" s="77"/>
      <c r="H32" s="17">
        <v>0.71</v>
      </c>
      <c r="I32" s="18">
        <f>+H32*F32</f>
        <v>710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7"/>
    </row>
    <row r="34" spans="2:11" ht="21.75" customHeight="1" x14ac:dyDescent="0.2">
      <c r="B34" s="15" t="s">
        <v>14</v>
      </c>
      <c r="C34" s="15"/>
      <c r="D34" s="74"/>
      <c r="E34" s="75"/>
      <c r="F34" s="76">
        <f>SUM(F31:G33)</f>
        <v>1000</v>
      </c>
      <c r="G34" s="77"/>
      <c r="H34" s="15"/>
      <c r="I34" s="14">
        <f>SUM(I32:I33)</f>
        <v>710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710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710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265K0088</v>
      </c>
      <c r="I52" s="8"/>
      <c r="K52" s="20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8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5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215</v>
      </c>
      <c r="C2" s="84"/>
      <c r="D2" s="84"/>
      <c r="E2" s="84"/>
      <c r="F2" s="84"/>
      <c r="G2" s="84"/>
      <c r="H2" s="84"/>
      <c r="I2" s="85"/>
      <c r="J2" s="62">
        <v>61997023</v>
      </c>
      <c r="K2" s="64">
        <v>909</v>
      </c>
      <c r="L2" s="64">
        <v>11</v>
      </c>
      <c r="M2" s="64">
        <v>63.207000000000001</v>
      </c>
      <c r="N2" s="64">
        <v>65.025000000000006</v>
      </c>
      <c r="O2" s="64">
        <v>73.924999999999997</v>
      </c>
      <c r="P2" s="64" t="s">
        <v>54</v>
      </c>
      <c r="Q2" s="64">
        <v>0.40300000000000002</v>
      </c>
      <c r="R2" s="64" t="s">
        <v>62</v>
      </c>
    </row>
    <row r="3" spans="2:22" x14ac:dyDescent="0.2">
      <c r="B3" s="6" t="s">
        <v>53</v>
      </c>
      <c r="C3" s="69">
        <f>+'8'!C3+1</f>
        <v>181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61997023</v>
      </c>
      <c r="C21" s="68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73.924999999999997</v>
      </c>
      <c r="G23" s="23">
        <f>+N2</f>
        <v>65.025000000000006</v>
      </c>
      <c r="H23" s="23">
        <f>+M2</f>
        <v>63.207000000000001</v>
      </c>
      <c r="I23" s="67">
        <f>+L2</f>
        <v>11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[60% COTTON 40% RECYCLED POLYESTER]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9" t="s">
        <v>19</v>
      </c>
      <c r="E31" s="89"/>
      <c r="F31" s="89" t="s">
        <v>18</v>
      </c>
      <c r="G31" s="89"/>
      <c r="H31" s="67" t="s">
        <v>17</v>
      </c>
      <c r="I31" s="19" t="s">
        <v>16</v>
      </c>
      <c r="M31"/>
    </row>
    <row r="32" spans="2:13" ht="28.5" customHeight="1" x14ac:dyDescent="0.2">
      <c r="B32" s="41" t="s">
        <v>194</v>
      </c>
      <c r="C32" s="19" t="s">
        <v>178</v>
      </c>
      <c r="D32" s="76"/>
      <c r="E32" s="77"/>
      <c r="F32" s="76">
        <v>262</v>
      </c>
      <c r="G32" s="77"/>
      <c r="H32" s="17">
        <v>0.71</v>
      </c>
      <c r="I32" s="18">
        <f>+H32*F32</f>
        <v>186.01999999999998</v>
      </c>
      <c r="K32" s="46"/>
      <c r="M32" s="39"/>
    </row>
    <row r="33" spans="2:13" ht="28.5" customHeight="1" x14ac:dyDescent="0.2">
      <c r="B33" s="41" t="s">
        <v>177</v>
      </c>
      <c r="C33" s="19" t="s">
        <v>198</v>
      </c>
      <c r="D33" s="76"/>
      <c r="E33" s="77"/>
      <c r="F33" s="76">
        <v>647</v>
      </c>
      <c r="G33" s="77"/>
      <c r="H33" s="17">
        <v>0.71</v>
      </c>
      <c r="I33" s="18">
        <f>+H33*F33</f>
        <v>459.37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67"/>
    </row>
    <row r="35" spans="2:13" ht="21.75" customHeight="1" x14ac:dyDescent="0.2">
      <c r="B35" s="15" t="s">
        <v>14</v>
      </c>
      <c r="C35" s="15"/>
      <c r="D35" s="74"/>
      <c r="E35" s="75"/>
      <c r="F35" s="76">
        <f>SUM(F31:G34)</f>
        <v>909</v>
      </c>
      <c r="G35" s="77"/>
      <c r="H35" s="15"/>
      <c r="I35" s="14">
        <f>SUM(I32:I34)</f>
        <v>645.39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67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645.39</v>
      </c>
    </row>
    <row r="38" spans="2:13" ht="20.25" customHeight="1" x14ac:dyDescent="0.2">
      <c r="B38" s="15" t="s">
        <v>80</v>
      </c>
      <c r="C38" s="72" t="s">
        <v>11</v>
      </c>
      <c r="D38" s="79"/>
      <c r="E38" s="79"/>
      <c r="F38" s="79"/>
      <c r="G38" s="79"/>
      <c r="H38" s="73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645.39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265K0088</v>
      </c>
      <c r="I53" s="8"/>
      <c r="K53" s="20">
        <v>9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 s="20">
        <v>9</v>
      </c>
    </row>
    <row r="58" spans="2:11" x14ac:dyDescent="0.2">
      <c r="B58" s="2"/>
      <c r="C58" s="78"/>
      <c r="D58" s="78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  <mergeCell ref="D32:E32"/>
    <mergeCell ref="F32:G32"/>
    <mergeCell ref="D33:E33"/>
    <mergeCell ref="F33:G33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215</v>
      </c>
      <c r="C2" s="84"/>
      <c r="D2" s="84"/>
      <c r="E2" s="84"/>
      <c r="F2" s="84"/>
      <c r="G2" s="84"/>
      <c r="H2" s="84"/>
      <c r="I2" s="85"/>
      <c r="J2" s="62">
        <v>61996971</v>
      </c>
      <c r="K2" s="64">
        <v>147</v>
      </c>
      <c r="L2" s="64">
        <v>2</v>
      </c>
      <c r="M2" s="64">
        <v>10.901</v>
      </c>
      <c r="N2" s="64">
        <v>11.195</v>
      </c>
      <c r="O2" s="64">
        <v>12.795</v>
      </c>
      <c r="P2" s="64" t="s">
        <v>54</v>
      </c>
      <c r="Q2" s="64">
        <v>6.7000000000000004E-2</v>
      </c>
      <c r="R2" s="64" t="s">
        <v>62</v>
      </c>
    </row>
    <row r="3" spans="2:22" x14ac:dyDescent="0.2">
      <c r="B3" s="6" t="s">
        <v>53</v>
      </c>
      <c r="C3" s="69">
        <f>+'9'!C3+1</f>
        <v>182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61996971</v>
      </c>
      <c r="C21" s="68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10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12.795</v>
      </c>
      <c r="G23" s="23">
        <f>+N2</f>
        <v>11.195</v>
      </c>
      <c r="H23" s="23">
        <f>+M2</f>
        <v>10.901</v>
      </c>
      <c r="I23" s="67">
        <f>+L2</f>
        <v>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[100% COTTON]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9" t="s">
        <v>19</v>
      </c>
      <c r="E31" s="89"/>
      <c r="F31" s="89" t="s">
        <v>18</v>
      </c>
      <c r="G31" s="89"/>
      <c r="H31" s="67" t="s">
        <v>17</v>
      </c>
      <c r="I31" s="19" t="s">
        <v>16</v>
      </c>
      <c r="M31"/>
    </row>
    <row r="32" spans="2:13" ht="26.1" customHeight="1" x14ac:dyDescent="0.2">
      <c r="B32" s="41" t="s">
        <v>180</v>
      </c>
      <c r="C32" s="19" t="s">
        <v>199</v>
      </c>
      <c r="D32" s="76"/>
      <c r="E32" s="77"/>
      <c r="F32" s="76">
        <f>+K2</f>
        <v>147</v>
      </c>
      <c r="G32" s="77"/>
      <c r="H32" s="17">
        <v>0.81</v>
      </c>
      <c r="I32" s="18">
        <f>+H32*F32</f>
        <v>119.07000000000001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7"/>
    </row>
    <row r="34" spans="2:11" ht="21.75" customHeight="1" x14ac:dyDescent="0.2">
      <c r="B34" s="15" t="s">
        <v>14</v>
      </c>
      <c r="C34" s="15"/>
      <c r="D34" s="74"/>
      <c r="E34" s="75"/>
      <c r="F34" s="76">
        <f>SUM(F32:G33)</f>
        <v>147</v>
      </c>
      <c r="G34" s="77"/>
      <c r="H34" s="15"/>
      <c r="I34" s="14">
        <f>SUM(I32:I33)</f>
        <v>119.07000000000001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119.07000000000001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119.07000000000001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 s="20">
        <v>10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10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5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215</v>
      </c>
      <c r="C2" s="84"/>
      <c r="D2" s="84"/>
      <c r="E2" s="84"/>
      <c r="F2" s="84"/>
      <c r="G2" s="84"/>
      <c r="H2" s="84"/>
      <c r="I2" s="85"/>
      <c r="J2" s="62">
        <v>61997019</v>
      </c>
      <c r="K2" s="63">
        <v>1827</v>
      </c>
      <c r="L2" s="64">
        <v>17</v>
      </c>
      <c r="M2" s="64">
        <v>127.071</v>
      </c>
      <c r="N2" s="64">
        <v>130.72499999999999</v>
      </c>
      <c r="O2" s="64">
        <v>145.32499999999999</v>
      </c>
      <c r="P2" s="64" t="s">
        <v>54</v>
      </c>
      <c r="Q2" s="64">
        <v>0.76</v>
      </c>
      <c r="R2" s="64" t="s">
        <v>62</v>
      </c>
    </row>
    <row r="3" spans="2:22" x14ac:dyDescent="0.2">
      <c r="B3" s="6" t="s">
        <v>53</v>
      </c>
      <c r="C3" s="69">
        <f>+'10'!C3+1</f>
        <v>183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61997019</v>
      </c>
      <c r="C21" s="68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11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145.32499999999999</v>
      </c>
      <c r="G23" s="23">
        <f>+N2</f>
        <v>130.72499999999999</v>
      </c>
      <c r="H23" s="23">
        <f>+M2</f>
        <v>127.071</v>
      </c>
      <c r="I23" s="67">
        <f>+L2</f>
        <v>17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[60% COTTON 40% RECYCLED POLYESTER]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9" t="s">
        <v>19</v>
      </c>
      <c r="E31" s="89"/>
      <c r="F31" s="89" t="s">
        <v>18</v>
      </c>
      <c r="G31" s="89"/>
      <c r="H31" s="67" t="s">
        <v>17</v>
      </c>
      <c r="I31" s="19" t="s">
        <v>16</v>
      </c>
      <c r="M31"/>
    </row>
    <row r="32" spans="2:13" ht="24.95" customHeight="1" x14ac:dyDescent="0.2">
      <c r="B32" s="41" t="s">
        <v>194</v>
      </c>
      <c r="C32" s="19" t="s">
        <v>178</v>
      </c>
      <c r="D32" s="76"/>
      <c r="E32" s="77"/>
      <c r="F32" s="76">
        <v>525</v>
      </c>
      <c r="G32" s="77"/>
      <c r="H32" s="17">
        <v>0.71</v>
      </c>
      <c r="I32" s="18">
        <f>+H32*F32</f>
        <v>372.75</v>
      </c>
      <c r="K32" s="46"/>
      <c r="M32" s="39"/>
    </row>
    <row r="33" spans="2:13" ht="24.95" customHeight="1" x14ac:dyDescent="0.2">
      <c r="B33" s="41" t="s">
        <v>177</v>
      </c>
      <c r="C33" s="19" t="s">
        <v>198</v>
      </c>
      <c r="D33" s="76"/>
      <c r="E33" s="77"/>
      <c r="F33" s="76">
        <v>1302</v>
      </c>
      <c r="G33" s="77"/>
      <c r="H33" s="17">
        <v>0.71</v>
      </c>
      <c r="I33" s="18">
        <f>+H33*F33</f>
        <v>924.42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67"/>
    </row>
    <row r="35" spans="2:13" ht="21.75" customHeight="1" x14ac:dyDescent="0.2">
      <c r="B35" s="15" t="s">
        <v>14</v>
      </c>
      <c r="C35" s="15"/>
      <c r="D35" s="74"/>
      <c r="E35" s="75"/>
      <c r="F35" s="76">
        <f>SUM(F32:G34)</f>
        <v>1827</v>
      </c>
      <c r="G35" s="77"/>
      <c r="H35" s="15"/>
      <c r="I35" s="14">
        <f>SUM(I32:I34)</f>
        <v>1297.17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67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1297.17</v>
      </c>
    </row>
    <row r="38" spans="2:13" ht="20.25" customHeight="1" x14ac:dyDescent="0.2">
      <c r="B38" s="15" t="s">
        <v>80</v>
      </c>
      <c r="C38" s="72" t="s">
        <v>11</v>
      </c>
      <c r="D38" s="79"/>
      <c r="E38" s="79"/>
      <c r="F38" s="79"/>
      <c r="G38" s="79"/>
      <c r="H38" s="73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1297.17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265K0088</v>
      </c>
      <c r="I53" s="8"/>
      <c r="K53" s="20">
        <v>11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 s="20">
        <v>11</v>
      </c>
    </row>
    <row r="58" spans="2:11" x14ac:dyDescent="0.2">
      <c r="B58" s="2"/>
      <c r="C58" s="78"/>
      <c r="D58" s="78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C56:D56"/>
    <mergeCell ref="C57:D57"/>
    <mergeCell ref="C58:D58"/>
    <mergeCell ref="D36:E36"/>
    <mergeCell ref="F36:G36"/>
    <mergeCell ref="D37:E37"/>
    <mergeCell ref="F37:G37"/>
    <mergeCell ref="C38:H38"/>
    <mergeCell ref="B47:D47"/>
    <mergeCell ref="D34:E34"/>
    <mergeCell ref="F34:G34"/>
    <mergeCell ref="D35:E35"/>
    <mergeCell ref="F35:G35"/>
    <mergeCell ref="B2:I2"/>
    <mergeCell ref="B26:I26"/>
    <mergeCell ref="B27:I27"/>
    <mergeCell ref="D31:E31"/>
    <mergeCell ref="F31:G31"/>
    <mergeCell ref="D32:E32"/>
    <mergeCell ref="F32:G32"/>
    <mergeCell ref="D33:E33"/>
    <mergeCell ref="F33:G33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215</v>
      </c>
      <c r="C2" s="84"/>
      <c r="D2" s="84"/>
      <c r="E2" s="84"/>
      <c r="F2" s="84"/>
      <c r="G2" s="84"/>
      <c r="H2" s="84"/>
      <c r="I2" s="85"/>
      <c r="J2" s="62">
        <v>61996965</v>
      </c>
      <c r="K2" s="64">
        <v>298</v>
      </c>
      <c r="L2" s="64">
        <v>3</v>
      </c>
      <c r="M2" s="64">
        <v>22.138999999999999</v>
      </c>
      <c r="N2" s="64">
        <v>22.734999999999999</v>
      </c>
      <c r="O2" s="64">
        <v>25.234999999999999</v>
      </c>
      <c r="P2" s="64" t="s">
        <v>54</v>
      </c>
      <c r="Q2" s="64">
        <v>0.123</v>
      </c>
      <c r="R2" s="64" t="s">
        <v>62</v>
      </c>
    </row>
    <row r="3" spans="2:22" x14ac:dyDescent="0.2">
      <c r="B3" s="6" t="s">
        <v>53</v>
      </c>
      <c r="C3" s="69">
        <f>+'11'!C3+1</f>
        <v>184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61996965</v>
      </c>
      <c r="C21" s="68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12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25.234999999999999</v>
      </c>
      <c r="G23" s="23">
        <f>+N2</f>
        <v>22.734999999999999</v>
      </c>
      <c r="H23" s="23">
        <f>+M2</f>
        <v>22.138999999999999</v>
      </c>
      <c r="I23" s="67">
        <f>+L2</f>
        <v>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[100% COTTON]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9" t="s">
        <v>19</v>
      </c>
      <c r="E31" s="89"/>
      <c r="F31" s="89" t="s">
        <v>18</v>
      </c>
      <c r="G31" s="89"/>
      <c r="H31" s="67" t="s">
        <v>17</v>
      </c>
      <c r="I31" s="19" t="s">
        <v>16</v>
      </c>
      <c r="M31"/>
    </row>
    <row r="32" spans="2:13" ht="26.25" customHeight="1" x14ac:dyDescent="0.2">
      <c r="B32" s="61" t="s">
        <v>180</v>
      </c>
      <c r="C32" s="19" t="s">
        <v>199</v>
      </c>
      <c r="D32" s="76"/>
      <c r="E32" s="77"/>
      <c r="F32" s="76">
        <f>+K2</f>
        <v>298</v>
      </c>
      <c r="G32" s="77"/>
      <c r="H32" s="17">
        <v>0.81</v>
      </c>
      <c r="I32" s="18">
        <f>+H32*F32</f>
        <v>241.38000000000002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7"/>
    </row>
    <row r="34" spans="2:11" ht="21.75" customHeight="1" x14ac:dyDescent="0.2">
      <c r="B34" s="15" t="s">
        <v>14</v>
      </c>
      <c r="C34" s="15"/>
      <c r="D34" s="74"/>
      <c r="E34" s="75"/>
      <c r="F34" s="76">
        <f>SUM(F32:G33)</f>
        <v>298</v>
      </c>
      <c r="G34" s="77"/>
      <c r="H34" s="15"/>
      <c r="I34" s="14">
        <f>SUM(I32:I33)</f>
        <v>241.38000000000002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241.38000000000002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241.38000000000002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 s="20">
        <v>12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12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215</v>
      </c>
      <c r="C2" s="84"/>
      <c r="D2" s="84"/>
      <c r="E2" s="84"/>
      <c r="F2" s="84"/>
      <c r="G2" s="84"/>
      <c r="H2" s="84"/>
      <c r="I2" s="85"/>
      <c r="J2" s="62">
        <v>62031020</v>
      </c>
      <c r="K2" s="63">
        <v>8784</v>
      </c>
      <c r="L2" s="64">
        <v>135</v>
      </c>
      <c r="M2" s="64">
        <v>929.66</v>
      </c>
      <c r="N2" s="66">
        <v>1017.5</v>
      </c>
      <c r="O2" s="66">
        <v>1130.4000000000001</v>
      </c>
      <c r="P2" s="64" t="s">
        <v>54</v>
      </c>
      <c r="Q2" s="64">
        <v>5.6360000000000001</v>
      </c>
      <c r="R2" s="64" t="s">
        <v>62</v>
      </c>
    </row>
    <row r="3" spans="2:22" x14ac:dyDescent="0.2">
      <c r="B3" s="6" t="s">
        <v>53</v>
      </c>
      <c r="C3" s="69">
        <f>+'12'!C3+1</f>
        <v>185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62031020</v>
      </c>
      <c r="C21" s="68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13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1130.4000000000001</v>
      </c>
      <c r="G23" s="23">
        <f>+N2</f>
        <v>1017.5</v>
      </c>
      <c r="H23" s="23">
        <f>+M2</f>
        <v>929.66</v>
      </c>
      <c r="I23" s="67">
        <f>+L2</f>
        <v>135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WOMENS COTTON FIBERS, KNIT PULLOVER, WITH NO NECK CLOSURE, STITCH COUNT IS GREATER THAN 9/2CM, REACHES WAIST, SLEEVELESS [96% COTTON 4% SPANDEX]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9" t="s">
        <v>19</v>
      </c>
      <c r="E31" s="89"/>
      <c r="F31" s="89" t="s">
        <v>18</v>
      </c>
      <c r="G31" s="89"/>
      <c r="H31" s="67" t="s">
        <v>17</v>
      </c>
      <c r="I31" s="19" t="s">
        <v>16</v>
      </c>
      <c r="M31"/>
    </row>
    <row r="32" spans="2:13" ht="55.5" customHeight="1" x14ac:dyDescent="0.2">
      <c r="B32" s="41" t="s">
        <v>203</v>
      </c>
      <c r="C32" s="19" t="s">
        <v>204</v>
      </c>
      <c r="D32" s="76"/>
      <c r="E32" s="77"/>
      <c r="F32" s="76">
        <f>+K2</f>
        <v>8784</v>
      </c>
      <c r="G32" s="77"/>
      <c r="H32" s="17">
        <v>0.76</v>
      </c>
      <c r="I32" s="18">
        <f>+H32*F32</f>
        <v>6675.84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7"/>
    </row>
    <row r="34" spans="2:11" ht="21.75" customHeight="1" x14ac:dyDescent="0.2">
      <c r="B34" s="15" t="s">
        <v>14</v>
      </c>
      <c r="C34" s="15"/>
      <c r="D34" s="74"/>
      <c r="E34" s="75"/>
      <c r="F34" s="76">
        <f>SUM(F32:G33)</f>
        <v>8784</v>
      </c>
      <c r="G34" s="77"/>
      <c r="H34" s="15"/>
      <c r="I34" s="14">
        <f>SUM(I32:I33)</f>
        <v>6675.84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6675.84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6675.84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265K0104</v>
      </c>
      <c r="I52" s="8"/>
      <c r="K52" s="20">
        <v>13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  <c r="K55" s="20">
        <v>13</v>
      </c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215</v>
      </c>
      <c r="C2" s="84"/>
      <c r="D2" s="84"/>
      <c r="E2" s="84"/>
      <c r="F2" s="84"/>
      <c r="G2" s="84"/>
      <c r="H2" s="84"/>
      <c r="I2" s="85"/>
      <c r="J2" s="62">
        <v>62031017</v>
      </c>
      <c r="K2" s="63">
        <v>16518</v>
      </c>
      <c r="L2" s="64">
        <v>219</v>
      </c>
      <c r="M2" s="66">
        <v>1748.56</v>
      </c>
      <c r="N2" s="66">
        <v>1913.74</v>
      </c>
      <c r="O2" s="66">
        <v>2104.94</v>
      </c>
      <c r="P2" s="64" t="s">
        <v>54</v>
      </c>
      <c r="Q2" s="64">
        <v>10.343999999999999</v>
      </c>
      <c r="R2" s="64" t="s">
        <v>62</v>
      </c>
    </row>
    <row r="3" spans="2:22" x14ac:dyDescent="0.2">
      <c r="B3" s="6" t="s">
        <v>53</v>
      </c>
      <c r="C3" s="69">
        <f>+'13'!C3+1</f>
        <v>186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62031017</v>
      </c>
      <c r="C21" s="68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14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2104.94</v>
      </c>
      <c r="G23" s="23">
        <f>+N2</f>
        <v>1913.74</v>
      </c>
      <c r="H23" s="23">
        <f>+M2</f>
        <v>1748.56</v>
      </c>
      <c r="I23" s="67">
        <f>+L2</f>
        <v>219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WOMENS COTTON FIBERS, KNIT PULLOVER, WITH NO NECK CLOSURE, STITCH COUNT IS GREATER THAN 9/2CM, REACHES WAIST, SLEEVELESS [96% COTTON 4% SPANDEX]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9" t="s">
        <v>19</v>
      </c>
      <c r="E31" s="89"/>
      <c r="F31" s="89" t="s">
        <v>18</v>
      </c>
      <c r="G31" s="89"/>
      <c r="H31" s="67" t="s">
        <v>17</v>
      </c>
      <c r="I31" s="19" t="s">
        <v>16</v>
      </c>
      <c r="M31"/>
    </row>
    <row r="32" spans="2:13" ht="51.75" customHeight="1" x14ac:dyDescent="0.2">
      <c r="B32" s="41" t="s">
        <v>203</v>
      </c>
      <c r="C32" s="19" t="s">
        <v>204</v>
      </c>
      <c r="D32" s="76"/>
      <c r="E32" s="77"/>
      <c r="F32" s="76">
        <f>+K2</f>
        <v>16518</v>
      </c>
      <c r="G32" s="77"/>
      <c r="H32" s="17">
        <v>0.76</v>
      </c>
      <c r="I32" s="18">
        <f>+H32*F32</f>
        <v>12553.68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7"/>
    </row>
    <row r="34" spans="2:11" ht="21.75" customHeight="1" x14ac:dyDescent="0.2">
      <c r="B34" s="15" t="s">
        <v>14</v>
      </c>
      <c r="C34" s="15"/>
      <c r="D34" s="74"/>
      <c r="E34" s="75"/>
      <c r="F34" s="76">
        <f>SUM(F32:G33)</f>
        <v>16518</v>
      </c>
      <c r="G34" s="77"/>
      <c r="H34" s="15"/>
      <c r="I34" s="14">
        <f>SUM(I32:I33)</f>
        <v>12553.68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12553.68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12553.68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265K0104</v>
      </c>
      <c r="I52" s="8"/>
      <c r="K52" s="20">
        <v>14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  <c r="K55" s="20">
        <v>14</v>
      </c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215</v>
      </c>
      <c r="C2" s="84"/>
      <c r="D2" s="84"/>
      <c r="E2" s="84"/>
      <c r="F2" s="84"/>
      <c r="G2" s="84"/>
      <c r="H2" s="84"/>
      <c r="I2" s="85"/>
      <c r="J2" s="62">
        <v>62031021</v>
      </c>
      <c r="K2" s="63">
        <v>13203</v>
      </c>
      <c r="L2" s="64">
        <v>178</v>
      </c>
      <c r="M2" s="66">
        <v>1397.27</v>
      </c>
      <c r="N2" s="66">
        <v>1529.3</v>
      </c>
      <c r="O2" s="66">
        <v>1683.2</v>
      </c>
      <c r="P2" s="64" t="s">
        <v>54</v>
      </c>
      <c r="Q2" s="64">
        <v>8.2530000000000001</v>
      </c>
      <c r="R2" s="64" t="s">
        <v>62</v>
      </c>
    </row>
    <row r="3" spans="2:22" x14ac:dyDescent="0.2">
      <c r="B3" s="6" t="s">
        <v>53</v>
      </c>
      <c r="C3" s="69">
        <f>+'14'!C3+1</f>
        <v>187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71">
        <f>J2</f>
        <v>62031021</v>
      </c>
      <c r="C21" s="70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71" t="s">
        <v>35</v>
      </c>
      <c r="G21" s="71"/>
      <c r="H21" s="47" t="str">
        <f>IF(LEFT(G17,2)="CA","CA",IF(LEFT(G17,2)="UN","US",IF(LEFT(G17,2)="PA","PA",IF(LEFT(G17,2)="JA","JP"))))</f>
        <v>US</v>
      </c>
      <c r="I21" s="71" t="s">
        <v>34</v>
      </c>
      <c r="K21" s="20">
        <v>15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71" t="s">
        <v>25</v>
      </c>
      <c r="C23" s="71"/>
      <c r="D23" s="71" t="s">
        <v>24</v>
      </c>
      <c r="E23" s="71" t="str">
        <f>+D23</f>
        <v>JAKARTA,ID</v>
      </c>
      <c r="F23" s="23">
        <f>+O2</f>
        <v>1683.2</v>
      </c>
      <c r="G23" s="23">
        <f>+N2</f>
        <v>1529.3</v>
      </c>
      <c r="H23" s="23">
        <f>+M2</f>
        <v>1397.27</v>
      </c>
      <c r="I23" s="71">
        <f>+L2</f>
        <v>178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WOMENS COTTON FIBERS, KNIT PULLOVER, WITH NO NECK CLOSURE, STITCH COUNT IS GREATER THAN 9/2CM, REACHES WAIST, SLEEVELESS [96% COTTON 4% SPANDEX]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71" t="s">
        <v>21</v>
      </c>
      <c r="C31" s="71" t="s">
        <v>20</v>
      </c>
      <c r="D31" s="89" t="s">
        <v>19</v>
      </c>
      <c r="E31" s="89"/>
      <c r="F31" s="89" t="s">
        <v>18</v>
      </c>
      <c r="G31" s="89"/>
      <c r="H31" s="71" t="s">
        <v>17</v>
      </c>
      <c r="I31" s="19" t="s">
        <v>16</v>
      </c>
      <c r="M31"/>
    </row>
    <row r="32" spans="2:13" ht="56.25" customHeight="1" x14ac:dyDescent="0.2">
      <c r="B32" s="41" t="s">
        <v>203</v>
      </c>
      <c r="C32" s="19" t="s">
        <v>204</v>
      </c>
      <c r="D32" s="76"/>
      <c r="E32" s="77"/>
      <c r="F32" s="76">
        <f>+K2</f>
        <v>13203</v>
      </c>
      <c r="G32" s="77"/>
      <c r="H32" s="17">
        <v>0.76</v>
      </c>
      <c r="I32" s="18">
        <f>+H32*F32</f>
        <v>10034.280000000001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71"/>
    </row>
    <row r="34" spans="2:11" ht="21.75" customHeight="1" x14ac:dyDescent="0.2">
      <c r="B34" s="15" t="s">
        <v>14</v>
      </c>
      <c r="C34" s="15"/>
      <c r="D34" s="74"/>
      <c r="E34" s="75"/>
      <c r="F34" s="76">
        <f>SUM(F31:G33)</f>
        <v>13203</v>
      </c>
      <c r="G34" s="77"/>
      <c r="H34" s="15"/>
      <c r="I34" s="14">
        <f>SUM(I32:I33)</f>
        <v>10034.280000000001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71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10034.280000000001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10034.280000000001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265K0104</v>
      </c>
      <c r="I52" s="8"/>
      <c r="K52" s="20">
        <v>15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15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215</v>
      </c>
      <c r="C2" s="84"/>
      <c r="D2" s="84"/>
      <c r="E2" s="84"/>
      <c r="F2" s="84"/>
      <c r="G2" s="84"/>
      <c r="H2" s="84"/>
      <c r="I2" s="85"/>
      <c r="J2" s="62">
        <v>62047232</v>
      </c>
      <c r="K2" s="63">
        <v>6300</v>
      </c>
      <c r="L2" s="64">
        <v>146</v>
      </c>
      <c r="M2" s="64">
        <v>648.40499999999997</v>
      </c>
      <c r="N2" s="64">
        <v>868.90499999999997</v>
      </c>
      <c r="O2" s="66">
        <v>1004.505</v>
      </c>
      <c r="P2" s="64" t="s">
        <v>54</v>
      </c>
      <c r="Q2" s="64">
        <v>8.0519999999999996</v>
      </c>
      <c r="R2" s="64" t="s">
        <v>62</v>
      </c>
    </row>
    <row r="3" spans="2:22" x14ac:dyDescent="0.2">
      <c r="B3" s="6" t="s">
        <v>53</v>
      </c>
      <c r="C3" s="69">
        <f>+'15'!C3+1</f>
        <v>188</v>
      </c>
      <c r="D3" s="5"/>
      <c r="E3" s="5"/>
      <c r="F3" s="5"/>
      <c r="G3" s="5" t="s">
        <v>52</v>
      </c>
      <c r="H3" s="31">
        <v>46259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71">
        <f>J2</f>
        <v>62047232</v>
      </c>
      <c r="C21" s="70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71" t="s">
        <v>35</v>
      </c>
      <c r="G21" s="71"/>
      <c r="H21" s="47" t="str">
        <f>IF(LEFT(G17,2)="CA","CA",IF(LEFT(G17,2)="UN","US",IF(LEFT(G17,2)="PA","PA",IF(LEFT(G17,2)="JA","JP"))))</f>
        <v>CA</v>
      </c>
      <c r="I21" s="71" t="s">
        <v>34</v>
      </c>
      <c r="K21" s="20">
        <v>16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71" t="s">
        <v>25</v>
      </c>
      <c r="C23" s="71"/>
      <c r="D23" s="71" t="s">
        <v>24</v>
      </c>
      <c r="E23" s="71" t="str">
        <f>+D23</f>
        <v>JAKARTA,ID</v>
      </c>
      <c r="F23" s="23">
        <f>+O2</f>
        <v>1004.505</v>
      </c>
      <c r="G23" s="23">
        <f>+N2</f>
        <v>868.90499999999997</v>
      </c>
      <c r="H23" s="23">
        <f>+M2</f>
        <v>648.40499999999997</v>
      </c>
      <c r="I23" s="71">
        <f>+L2</f>
        <v>146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WOMENS COTTON FIBERS, KNIT PULLOVER, WITH NO NECK CLOSURE, STITCH COUNT IS GREATER THAN 9/2CM, REACHES WAIST, SLEEVELESS [96% COTTON 4% SPANDEX]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71" t="s">
        <v>21</v>
      </c>
      <c r="C31" s="71" t="s">
        <v>20</v>
      </c>
      <c r="D31" s="89" t="s">
        <v>19</v>
      </c>
      <c r="E31" s="89"/>
      <c r="F31" s="89" t="s">
        <v>18</v>
      </c>
      <c r="G31" s="89"/>
      <c r="H31" s="71" t="s">
        <v>17</v>
      </c>
      <c r="I31" s="19" t="s">
        <v>16</v>
      </c>
      <c r="M31"/>
    </row>
    <row r="32" spans="2:13" ht="48" customHeight="1" x14ac:dyDescent="0.2">
      <c r="B32" s="41" t="s">
        <v>206</v>
      </c>
      <c r="C32" s="19" t="s">
        <v>207</v>
      </c>
      <c r="D32" s="76"/>
      <c r="E32" s="77"/>
      <c r="F32" s="76">
        <f>+K2</f>
        <v>6300</v>
      </c>
      <c r="G32" s="77"/>
      <c r="H32" s="17">
        <v>0.76</v>
      </c>
      <c r="I32" s="18">
        <f>+H32*F32</f>
        <v>4788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71"/>
    </row>
    <row r="34" spans="2:11" ht="21.75" customHeight="1" x14ac:dyDescent="0.2">
      <c r="B34" s="15" t="s">
        <v>14</v>
      </c>
      <c r="C34" s="15"/>
      <c r="D34" s="74"/>
      <c r="E34" s="75"/>
      <c r="F34" s="76">
        <f>SUM(F31:G33)</f>
        <v>6300</v>
      </c>
      <c r="G34" s="77"/>
      <c r="H34" s="15"/>
      <c r="I34" s="14">
        <f>SUM(I32:I33)</f>
        <v>4788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71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4788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4788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265K0103</v>
      </c>
      <c r="I52" s="8"/>
      <c r="K52" s="20">
        <v>16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16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215</v>
      </c>
      <c r="C2" s="84"/>
      <c r="D2" s="84"/>
      <c r="E2" s="84"/>
      <c r="F2" s="84"/>
      <c r="G2" s="84"/>
      <c r="H2" s="84"/>
      <c r="I2" s="85"/>
      <c r="J2" s="62">
        <v>62047158</v>
      </c>
      <c r="K2" s="63">
        <v>1840</v>
      </c>
      <c r="L2" s="64">
        <v>31</v>
      </c>
      <c r="M2" s="64">
        <v>198.285</v>
      </c>
      <c r="N2" s="64">
        <v>216.685</v>
      </c>
      <c r="O2" s="64">
        <v>242.08500000000001</v>
      </c>
      <c r="P2" s="64" t="s">
        <v>54</v>
      </c>
      <c r="Q2" s="64">
        <v>1.208</v>
      </c>
      <c r="R2" s="64" t="s">
        <v>62</v>
      </c>
    </row>
    <row r="3" spans="2:22" x14ac:dyDescent="0.2">
      <c r="B3" s="6" t="s">
        <v>53</v>
      </c>
      <c r="C3" s="69">
        <f>+'16'!C3+1</f>
        <v>189</v>
      </c>
      <c r="D3" s="5"/>
      <c r="E3" s="5"/>
      <c r="F3" s="5"/>
      <c r="G3" s="5" t="s">
        <v>52</v>
      </c>
      <c r="H3" s="31">
        <v>46259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71">
        <f>J2</f>
        <v>62047158</v>
      </c>
      <c r="C21" s="70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71" t="s">
        <v>35</v>
      </c>
      <c r="G21" s="71"/>
      <c r="H21" s="47" t="str">
        <f>IF(LEFT(G17,2)="CA","CA",IF(LEFT(G17,2)="UN","US",IF(LEFT(G17,2)="PA","PA",IF(LEFT(G17,2)="JA","JP"))))</f>
        <v>CA</v>
      </c>
      <c r="I21" s="71" t="s">
        <v>34</v>
      </c>
      <c r="K21" s="20">
        <v>17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71" t="s">
        <v>25</v>
      </c>
      <c r="C23" s="71"/>
      <c r="D23" s="71" t="s">
        <v>24</v>
      </c>
      <c r="E23" s="71" t="str">
        <f>+D23</f>
        <v>JAKARTA,ID</v>
      </c>
      <c r="F23" s="23">
        <f>+O2</f>
        <v>242.08500000000001</v>
      </c>
      <c r="G23" s="23">
        <f>+N2</f>
        <v>216.685</v>
      </c>
      <c r="H23" s="23">
        <f>+M2</f>
        <v>198.285</v>
      </c>
      <c r="I23" s="71">
        <f>+L2</f>
        <v>31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WOMENS COTTON FIBERS, KNIT PULLOVER, WITH NO NECK CLOSURE, STITCH COUNT IS GREATER THAN 9/2CM, REACHES WAIST, SLEEVELESS [96% COTTON 4% SPANDEX]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71" t="s">
        <v>21</v>
      </c>
      <c r="C31" s="71" t="s">
        <v>20</v>
      </c>
      <c r="D31" s="89" t="s">
        <v>19</v>
      </c>
      <c r="E31" s="89"/>
      <c r="F31" s="89" t="s">
        <v>18</v>
      </c>
      <c r="G31" s="89"/>
      <c r="H31" s="71" t="s">
        <v>17</v>
      </c>
      <c r="I31" s="19" t="s">
        <v>16</v>
      </c>
      <c r="M31"/>
    </row>
    <row r="32" spans="2:13" ht="39" customHeight="1" x14ac:dyDescent="0.2">
      <c r="B32" s="41" t="s">
        <v>208</v>
      </c>
      <c r="C32" s="19" t="s">
        <v>202</v>
      </c>
      <c r="D32" s="76"/>
      <c r="E32" s="77"/>
      <c r="F32" s="76">
        <f>+K2</f>
        <v>1840</v>
      </c>
      <c r="G32" s="77"/>
      <c r="H32" s="17">
        <v>0.76</v>
      </c>
      <c r="I32" s="18">
        <f>+H32*F32</f>
        <v>1398.4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71"/>
    </row>
    <row r="34" spans="2:11" ht="21.75" customHeight="1" x14ac:dyDescent="0.2">
      <c r="B34" s="15" t="s">
        <v>14</v>
      </c>
      <c r="C34" s="15"/>
      <c r="D34" s="74"/>
      <c r="E34" s="75"/>
      <c r="F34" s="76">
        <f>SUM(F32:G33)</f>
        <v>1840</v>
      </c>
      <c r="G34" s="77"/>
      <c r="H34" s="15"/>
      <c r="I34" s="14">
        <f>SUM(I32:I33)</f>
        <v>1398.4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71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1398.4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1398.4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265K0103</v>
      </c>
      <c r="I52" s="8"/>
      <c r="K52" s="20">
        <v>17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17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B2:I2"/>
    <mergeCell ref="B26:I26"/>
    <mergeCell ref="B27:I27"/>
    <mergeCell ref="D31:E31"/>
    <mergeCell ref="F31:G31"/>
    <mergeCell ref="D32:E32"/>
    <mergeCell ref="F32:G32"/>
    <mergeCell ref="D33:E33"/>
    <mergeCell ref="F33:G33"/>
    <mergeCell ref="D34:E34"/>
    <mergeCell ref="F34:G34"/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215</v>
      </c>
      <c r="C2" s="84"/>
      <c r="D2" s="84"/>
      <c r="E2" s="84"/>
      <c r="F2" s="84"/>
      <c r="G2" s="84"/>
      <c r="H2" s="84"/>
      <c r="I2" s="85"/>
      <c r="J2" s="62">
        <v>62283768</v>
      </c>
      <c r="K2" s="63">
        <v>2140</v>
      </c>
      <c r="L2" s="64">
        <v>13</v>
      </c>
      <c r="M2" s="64">
        <v>164.75</v>
      </c>
      <c r="N2" s="64">
        <v>169.03</v>
      </c>
      <c r="O2" s="64">
        <v>182.03</v>
      </c>
      <c r="P2" s="64" t="s">
        <v>54</v>
      </c>
      <c r="Q2" s="64">
        <v>0.872</v>
      </c>
      <c r="R2" s="64" t="s">
        <v>62</v>
      </c>
    </row>
    <row r="3" spans="2:22" x14ac:dyDescent="0.2">
      <c r="B3" s="6" t="s">
        <v>53</v>
      </c>
      <c r="C3" s="69">
        <f>+'17'!C3+1</f>
        <v>190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71">
        <f>J2</f>
        <v>62283768</v>
      </c>
      <c r="C21" s="70">
        <f>VLOOKUP($K56,reff!E2:F29,2,0)</f>
        <v>881293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71" t="s">
        <v>35</v>
      </c>
      <c r="G21" s="71"/>
      <c r="H21" s="47" t="str">
        <f>IF(LEFT(G17,2)="CA","CA",IF(LEFT(G17,2)="UN","US",IF(LEFT(G17,2)="PA","PA",IF(LEFT(G17,2)="JA","JP"))))</f>
        <v>US</v>
      </c>
      <c r="I21" s="71" t="s">
        <v>34</v>
      </c>
      <c r="K21" s="20">
        <v>18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71" t="s">
        <v>25</v>
      </c>
      <c r="C23" s="71"/>
      <c r="D23" s="71" t="s">
        <v>24</v>
      </c>
      <c r="E23" s="71" t="str">
        <f>+D23</f>
        <v>JAKARTA,ID</v>
      </c>
      <c r="F23" s="23">
        <f>+O2</f>
        <v>182.03</v>
      </c>
      <c r="G23" s="23">
        <f>+N2</f>
        <v>169.03</v>
      </c>
      <c r="H23" s="23">
        <f>+M2</f>
        <v>164.75</v>
      </c>
      <c r="I23" s="71">
        <f>+L2</f>
        <v>13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GIRLS COTTON FIBERS, KNIT PULLOVER, WITH NO NECK CLOSURE, STITCH COUNT IS GREATER THAN 9/2CM, REACHES WAIST [60% COTTON 40% POLYESTER]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71" t="s">
        <v>21</v>
      </c>
      <c r="C31" s="71" t="s">
        <v>20</v>
      </c>
      <c r="D31" s="89" t="s">
        <v>19</v>
      </c>
      <c r="E31" s="89"/>
      <c r="F31" s="89" t="s">
        <v>18</v>
      </c>
      <c r="G31" s="89"/>
      <c r="H31" s="71" t="s">
        <v>17</v>
      </c>
      <c r="I31" s="19" t="s">
        <v>16</v>
      </c>
      <c r="M31"/>
    </row>
    <row r="32" spans="2:13" ht="24.95" customHeight="1" x14ac:dyDescent="0.2">
      <c r="B32" s="41" t="s">
        <v>194</v>
      </c>
      <c r="C32" s="19" t="s">
        <v>178</v>
      </c>
      <c r="D32" s="76"/>
      <c r="E32" s="77"/>
      <c r="F32" s="76">
        <f>+K2</f>
        <v>2140</v>
      </c>
      <c r="G32" s="77"/>
      <c r="H32" s="17">
        <v>0.57999999999999996</v>
      </c>
      <c r="I32" s="18">
        <f>+H32*F32</f>
        <v>1241.1999999999998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71"/>
    </row>
    <row r="34" spans="2:11" ht="21.75" customHeight="1" x14ac:dyDescent="0.2">
      <c r="B34" s="15" t="s">
        <v>14</v>
      </c>
      <c r="C34" s="15"/>
      <c r="D34" s="74"/>
      <c r="E34" s="75"/>
      <c r="F34" s="76">
        <f>SUM(F32:G33)</f>
        <v>2140</v>
      </c>
      <c r="G34" s="77"/>
      <c r="H34" s="15"/>
      <c r="I34" s="14">
        <f>SUM(I32:I32)</f>
        <v>1241.1999999999998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71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1241.1999999999998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1241.1999999999998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255K0079</v>
      </c>
      <c r="I52" s="8"/>
      <c r="K52" s="20">
        <v>18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18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215</v>
      </c>
      <c r="C2" s="84"/>
      <c r="D2" s="84"/>
      <c r="E2" s="84"/>
      <c r="F2" s="84"/>
      <c r="G2" s="84"/>
      <c r="H2" s="84"/>
      <c r="I2" s="85"/>
      <c r="J2" s="62">
        <v>61986802</v>
      </c>
      <c r="K2" s="64">
        <v>100</v>
      </c>
      <c r="L2" s="64">
        <v>2</v>
      </c>
      <c r="M2" s="64">
        <v>11.88</v>
      </c>
      <c r="N2" s="64">
        <v>13.88</v>
      </c>
      <c r="O2" s="64">
        <v>15.33</v>
      </c>
      <c r="P2" s="64" t="s">
        <v>54</v>
      </c>
      <c r="Q2" s="64">
        <v>8.4000000000000005E-2</v>
      </c>
      <c r="R2" s="64" t="s">
        <v>62</v>
      </c>
    </row>
    <row r="3" spans="2:22" x14ac:dyDescent="0.2">
      <c r="B3" s="6" t="s">
        <v>53</v>
      </c>
      <c r="C3" s="69">
        <f>+'18'!C3+1</f>
        <v>191</v>
      </c>
      <c r="D3" s="5"/>
      <c r="E3" s="5"/>
      <c r="F3" s="5"/>
      <c r="G3" s="5" t="s">
        <v>52</v>
      </c>
      <c r="H3" s="31">
        <v>46259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210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71">
        <f>J2</f>
        <v>61986802</v>
      </c>
      <c r="C21" s="70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71" t="s">
        <v>35</v>
      </c>
      <c r="G21" s="71"/>
      <c r="H21" s="47" t="str">
        <f>IF(LEFT(G17,2)="CA","CA",IF(LEFT(G17,2)="UN","US",IF(LEFT(G17,2)="PA","PA",IF(LEFT(G17,2)="JA","JP"))))</f>
        <v>CA</v>
      </c>
      <c r="I21" s="71" t="s">
        <v>34</v>
      </c>
      <c r="K21" s="20">
        <v>19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71" t="s">
        <v>25</v>
      </c>
      <c r="C23" s="71"/>
      <c r="D23" s="71" t="s">
        <v>24</v>
      </c>
      <c r="E23" s="71" t="str">
        <f>+D23</f>
        <v>JAKARTA,ID</v>
      </c>
      <c r="F23" s="23">
        <f>+O2</f>
        <v>15.33</v>
      </c>
      <c r="G23" s="23">
        <f>+N2</f>
        <v>13.88</v>
      </c>
      <c r="H23" s="23">
        <f>+M2</f>
        <v>11.88</v>
      </c>
      <c r="I23" s="71">
        <f>+L2</f>
        <v>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Boys Cotton Fibers, Knit Shirt, With Neck Closure, Stitch Count Equal Or Is Greater Than 10/1cm, Hem Bottom [60% Cotton 40% Polyester]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71" t="s">
        <v>21</v>
      </c>
      <c r="C31" s="71" t="s">
        <v>20</v>
      </c>
      <c r="D31" s="89" t="s">
        <v>19</v>
      </c>
      <c r="E31" s="89"/>
      <c r="F31" s="89" t="s">
        <v>18</v>
      </c>
      <c r="G31" s="89"/>
      <c r="H31" s="71" t="s">
        <v>17</v>
      </c>
      <c r="I31" s="19" t="s">
        <v>16</v>
      </c>
      <c r="M31"/>
    </row>
    <row r="32" spans="2:13" ht="26.25" customHeight="1" x14ac:dyDescent="0.2">
      <c r="B32" s="61" t="s">
        <v>180</v>
      </c>
      <c r="C32" s="19" t="s">
        <v>209</v>
      </c>
      <c r="D32" s="76"/>
      <c r="E32" s="77"/>
      <c r="F32" s="76">
        <f>+K2</f>
        <v>100</v>
      </c>
      <c r="G32" s="77"/>
      <c r="H32" s="17">
        <v>1.05</v>
      </c>
      <c r="I32" s="18">
        <f>+H32*F32</f>
        <v>105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71"/>
    </row>
    <row r="34" spans="2:11" ht="21.75" customHeight="1" x14ac:dyDescent="0.2">
      <c r="B34" s="15" t="s">
        <v>14</v>
      </c>
      <c r="C34" s="15"/>
      <c r="D34" s="74"/>
      <c r="E34" s="75"/>
      <c r="F34" s="76">
        <f>SUM(F32:G33)</f>
        <v>100</v>
      </c>
      <c r="G34" s="77"/>
      <c r="H34" s="15"/>
      <c r="I34" s="14">
        <f>SUM(I32:I33)</f>
        <v>105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71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105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265K0077</v>
      </c>
      <c r="I52" s="8"/>
      <c r="K52" s="20">
        <v>19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 s="20">
        <v>19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tabSelected="1"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215</v>
      </c>
      <c r="C2" s="84"/>
      <c r="D2" s="84"/>
      <c r="E2" s="84"/>
      <c r="F2" s="84"/>
      <c r="G2" s="84"/>
      <c r="H2" s="84"/>
      <c r="I2" s="85"/>
      <c r="J2" s="62">
        <v>62046884</v>
      </c>
      <c r="K2" s="63">
        <v>32383</v>
      </c>
      <c r="L2" s="64">
        <v>654</v>
      </c>
      <c r="M2" s="66">
        <v>3257.61</v>
      </c>
      <c r="N2" s="66">
        <v>4389.4049999999997</v>
      </c>
      <c r="O2" s="66">
        <v>5021.2049999999999</v>
      </c>
      <c r="P2" s="64" t="s">
        <v>54</v>
      </c>
      <c r="Q2" s="64">
        <v>40.158000000000001</v>
      </c>
      <c r="R2" s="64" t="s">
        <v>62</v>
      </c>
    </row>
    <row r="3" spans="2:22" x14ac:dyDescent="0.2">
      <c r="B3" s="6" t="s">
        <v>53</v>
      </c>
      <c r="C3" s="69">
        <f>+'19'!C3+1</f>
        <v>192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71">
        <f>J2</f>
        <v>62046884</v>
      </c>
      <c r="C21" s="70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71" t="s">
        <v>35</v>
      </c>
      <c r="G21" s="71"/>
      <c r="H21" s="47" t="str">
        <f>IF(LEFT(G17,2)="CA","CA",IF(LEFT(G17,2)="UN","US",IF(LEFT(G17,2)="PA","PA",IF(LEFT(G17,2)="JA","JP"))))</f>
        <v>US</v>
      </c>
      <c r="I21" s="71" t="s">
        <v>34</v>
      </c>
      <c r="K21" s="20">
        <v>20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71" t="s">
        <v>25</v>
      </c>
      <c r="C23" s="71"/>
      <c r="D23" s="71" t="s">
        <v>24</v>
      </c>
      <c r="E23" s="71" t="str">
        <f>+D23</f>
        <v>JAKARTA,ID</v>
      </c>
      <c r="F23" s="23">
        <f>+O2</f>
        <v>5021.2049999999999</v>
      </c>
      <c r="G23" s="23">
        <f>+N2</f>
        <v>4389.4049999999997</v>
      </c>
      <c r="H23" s="23">
        <f>+M2</f>
        <v>3257.61</v>
      </c>
      <c r="I23" s="71">
        <f>+L2</f>
        <v>654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WOMENS COTTON FIBERS, KNIT PULLOVER, WITH NO NECK CLOSURE, STITCH COUNT IS GREATER THAN 9/2CM, REACHES WAIST, SLEEVELESS [96% COTTON 4% SPANDEX]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71" t="s">
        <v>21</v>
      </c>
      <c r="C31" s="71" t="s">
        <v>20</v>
      </c>
      <c r="D31" s="89" t="s">
        <v>19</v>
      </c>
      <c r="E31" s="89"/>
      <c r="F31" s="89" t="s">
        <v>18</v>
      </c>
      <c r="G31" s="89"/>
      <c r="H31" s="71" t="s">
        <v>17</v>
      </c>
      <c r="I31" s="19" t="s">
        <v>16</v>
      </c>
      <c r="M31"/>
    </row>
    <row r="32" spans="2:13" ht="51" customHeight="1" x14ac:dyDescent="0.2">
      <c r="B32" s="41" t="s">
        <v>212</v>
      </c>
      <c r="C32" s="19" t="s">
        <v>211</v>
      </c>
      <c r="D32" s="76"/>
      <c r="E32" s="77"/>
      <c r="F32" s="76">
        <f>+K2</f>
        <v>32383</v>
      </c>
      <c r="G32" s="77"/>
      <c r="H32" s="17">
        <v>0.76</v>
      </c>
      <c r="I32" s="18">
        <f>+H32*F32</f>
        <v>24611.08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71"/>
    </row>
    <row r="34" spans="2:11" ht="21.75" customHeight="1" x14ac:dyDescent="0.2">
      <c r="B34" s="15" t="s">
        <v>14</v>
      </c>
      <c r="C34" s="15"/>
      <c r="D34" s="74"/>
      <c r="E34" s="75"/>
      <c r="F34" s="76">
        <f>SUM(F32:G33)</f>
        <v>32383</v>
      </c>
      <c r="G34" s="77"/>
      <c r="H34" s="15"/>
      <c r="I34" s="14">
        <f>SUM(I32:I33)</f>
        <v>24611.08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71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24611.08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24611.08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265K0104</v>
      </c>
      <c r="I52" s="8"/>
      <c r="K52" s="20">
        <v>20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  <c r="K55" s="20">
        <v>20</v>
      </c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B2:I2"/>
    <mergeCell ref="B26:I26"/>
    <mergeCell ref="B27:I27"/>
    <mergeCell ref="D31:E31"/>
    <mergeCell ref="F31:G31"/>
    <mergeCell ref="D32:E32"/>
    <mergeCell ref="F32:G32"/>
    <mergeCell ref="D33:E33"/>
    <mergeCell ref="F33:G33"/>
    <mergeCell ref="D34:E34"/>
    <mergeCell ref="F34:G34"/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3" t="s">
        <v>215</v>
      </c>
      <c r="C2" s="84"/>
      <c r="D2" s="84"/>
      <c r="E2" s="84"/>
      <c r="F2" s="84"/>
      <c r="G2" s="84"/>
      <c r="H2" s="84"/>
      <c r="I2" s="85"/>
      <c r="J2" s="62">
        <v>62046883</v>
      </c>
      <c r="K2" s="63">
        <v>42840</v>
      </c>
      <c r="L2" s="64">
        <v>844</v>
      </c>
      <c r="M2" s="66">
        <v>4331.5749999999998</v>
      </c>
      <c r="N2" s="66">
        <v>5829.47</v>
      </c>
      <c r="O2" s="66">
        <v>6673.47</v>
      </c>
      <c r="P2" s="64" t="s">
        <v>54</v>
      </c>
      <c r="Q2" s="64">
        <v>56.631</v>
      </c>
      <c r="R2" s="64" t="s">
        <v>62</v>
      </c>
    </row>
    <row r="3" spans="2:22" x14ac:dyDescent="0.2">
      <c r="B3" s="6" t="s">
        <v>53</v>
      </c>
      <c r="C3" s="69">
        <f>+'20'!C3+1</f>
        <v>193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71">
        <f>J2</f>
        <v>62046883</v>
      </c>
      <c r="C21" s="70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71" t="s">
        <v>35</v>
      </c>
      <c r="G21" s="71"/>
      <c r="H21" s="47" t="str">
        <f>IF(LEFT(G17,2)="CA","CA",IF(LEFT(G17,2)="UN","US",IF(LEFT(G17,2)="PA","PA",IF(LEFT(G17,2)="JA","JP"))))</f>
        <v>US</v>
      </c>
      <c r="I21" s="71" t="s">
        <v>34</v>
      </c>
      <c r="K21" s="20">
        <v>21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71" t="s">
        <v>25</v>
      </c>
      <c r="C23" s="71"/>
      <c r="D23" s="71" t="s">
        <v>24</v>
      </c>
      <c r="E23" s="71" t="str">
        <f>+D23</f>
        <v>JAKARTA,ID</v>
      </c>
      <c r="F23" s="23">
        <f>+O2</f>
        <v>6673.47</v>
      </c>
      <c r="G23" s="23">
        <f>+N2</f>
        <v>5829.47</v>
      </c>
      <c r="H23" s="23">
        <f>+M2</f>
        <v>4331.5749999999998</v>
      </c>
      <c r="I23" s="71">
        <f>+L2</f>
        <v>844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9"/>
      <c r="D26" s="79"/>
      <c r="E26" s="79"/>
      <c r="F26" s="79"/>
      <c r="G26" s="79"/>
      <c r="H26" s="79"/>
      <c r="I26" s="73"/>
    </row>
    <row r="27" spans="2:13" ht="24.75" customHeight="1" x14ac:dyDescent="0.2">
      <c r="B27" s="86" t="str">
        <f>+K4</f>
        <v>WOMENS COTTON FIBERS, KNIT PULLOVER, WITH NO NECK CLOSURE, STITCH COUNT IS GREATER THAN 9/2CM, REACHES WAIST, SLEEVELESS [96% COTTON 4% SPANDEX]</v>
      </c>
      <c r="C27" s="87"/>
      <c r="D27" s="87"/>
      <c r="E27" s="87"/>
      <c r="F27" s="87"/>
      <c r="G27" s="87"/>
      <c r="H27" s="87"/>
      <c r="I27" s="8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71" t="s">
        <v>21</v>
      </c>
      <c r="C31" s="71" t="s">
        <v>20</v>
      </c>
      <c r="D31" s="89" t="s">
        <v>19</v>
      </c>
      <c r="E31" s="89"/>
      <c r="F31" s="89" t="s">
        <v>18</v>
      </c>
      <c r="G31" s="89"/>
      <c r="H31" s="71" t="s">
        <v>17</v>
      </c>
      <c r="I31" s="19" t="s">
        <v>16</v>
      </c>
      <c r="M31"/>
    </row>
    <row r="32" spans="2:13" ht="63" customHeight="1" x14ac:dyDescent="0.2">
      <c r="B32" s="41" t="s">
        <v>213</v>
      </c>
      <c r="C32" s="19" t="s">
        <v>214</v>
      </c>
      <c r="D32" s="76"/>
      <c r="E32" s="77"/>
      <c r="F32" s="76">
        <f>+K2</f>
        <v>42840</v>
      </c>
      <c r="G32" s="77"/>
      <c r="H32" s="17">
        <v>0.76</v>
      </c>
      <c r="I32" s="18">
        <f>+H32*F32</f>
        <v>32558.400000000001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71"/>
    </row>
    <row r="34" spans="2:11" ht="21.75" customHeight="1" x14ac:dyDescent="0.2">
      <c r="B34" s="15" t="s">
        <v>14</v>
      </c>
      <c r="C34" s="15"/>
      <c r="D34" s="74"/>
      <c r="E34" s="75"/>
      <c r="F34" s="76">
        <f>SUM(F32:G33)</f>
        <v>42840</v>
      </c>
      <c r="G34" s="77"/>
      <c r="H34" s="15"/>
      <c r="I34" s="14">
        <f>SUM(I32:I33)</f>
        <v>32558.400000000001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71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32558.400000000001</v>
      </c>
    </row>
    <row r="37" spans="2:11" ht="20.25" customHeight="1" x14ac:dyDescent="0.2">
      <c r="B37" s="15" t="s">
        <v>80</v>
      </c>
      <c r="C37" s="72" t="s">
        <v>11</v>
      </c>
      <c r="D37" s="79"/>
      <c r="E37" s="79"/>
      <c r="F37" s="79"/>
      <c r="G37" s="79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32558.400000000001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265K0104</v>
      </c>
      <c r="I52" s="8"/>
      <c r="K52" s="20">
        <v>21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  <c r="K55" s="20">
        <v>21</v>
      </c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B2:I2"/>
    <mergeCell ref="B26:I26"/>
    <mergeCell ref="B27:I27"/>
    <mergeCell ref="D31:E31"/>
    <mergeCell ref="F31:G31"/>
    <mergeCell ref="D32:E32"/>
    <mergeCell ref="F32:G32"/>
    <mergeCell ref="D33:E33"/>
    <mergeCell ref="F33:G33"/>
    <mergeCell ref="D34:E34"/>
    <mergeCell ref="F34:G34"/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21</vt:i4>
      </vt:variant>
    </vt:vector>
  </HeadingPairs>
  <TitlesOfParts>
    <vt:vector size="44" baseType="lpstr">
      <vt:lpstr>Sheet1</vt:lpstr>
      <vt:lpstr>reff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ADMEXIM3</cp:lastModifiedBy>
  <cp:lastPrinted>2026-08-13T01:27:30Z</cp:lastPrinted>
  <dcterms:created xsi:type="dcterms:W3CDTF">2024-04-17T09:56:05Z</dcterms:created>
  <dcterms:modified xsi:type="dcterms:W3CDTF">2026-08-18T02:10:41Z</dcterms:modified>
</cp:coreProperties>
</file>