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7. JULI\27.07.2026\"/>
    </mc:Choice>
  </mc:AlternateContent>
  <bookViews>
    <workbookView xWindow="-120" yWindow="-120" windowWidth="20730" windowHeight="11160" tabRatio="751" activeTab="2"/>
  </bookViews>
  <sheets>
    <sheet name="Sheet1" sheetId="128" r:id="rId1"/>
    <sheet name="reff" sheetId="162" r:id="rId2"/>
    <sheet name="622" sheetId="138" r:id="rId3"/>
    <sheet name="623" sheetId="129" r:id="rId4"/>
    <sheet name="624" sheetId="133" r:id="rId5"/>
    <sheet name="625" sheetId="134" r:id="rId6"/>
    <sheet name="626" sheetId="135" r:id="rId7"/>
    <sheet name="627" sheetId="137" r:id="rId8"/>
    <sheet name="628" sheetId="141" r:id="rId9"/>
    <sheet name="629" sheetId="142" r:id="rId10"/>
    <sheet name="630" sheetId="143" r:id="rId11"/>
    <sheet name="631" sheetId="163" r:id="rId12"/>
    <sheet name="632" sheetId="164" r:id="rId13"/>
    <sheet name="633" sheetId="165" r:id="rId14"/>
    <sheet name="634" sheetId="166" r:id="rId15"/>
  </sheets>
  <externalReferences>
    <externalReference r:id="rId16"/>
    <externalReference r:id="rId17"/>
    <externalReference r:id="rId1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>[2]xdata!#REF!</definedName>
    <definedName name="INVOICE">[2]xdata!$B$2</definedName>
    <definedName name="_xlnm.Print_Area" localSheetId="2">'622'!$B$1:$I$57</definedName>
    <definedName name="_xlnm.Print_Area" localSheetId="3">'623'!$B$1:$I$57</definedName>
    <definedName name="_xlnm.Print_Area" localSheetId="4">'624'!$B$1:$I$57</definedName>
    <definedName name="_xlnm.Print_Area" localSheetId="5">'625'!$B$1:$I$57</definedName>
    <definedName name="_xlnm.Print_Area" localSheetId="6">'626'!$B$1:$I$57</definedName>
    <definedName name="_xlnm.Print_Area" localSheetId="7">'627'!$B$1:$I$57</definedName>
    <definedName name="_xlnm.Print_Area" localSheetId="8">'628'!$B$1:$I$57</definedName>
    <definedName name="_xlnm.Print_Area" localSheetId="9">'629'!$B$1:$I$57</definedName>
    <definedName name="_xlnm.Print_Area" localSheetId="10">'630'!$B$1:$I$57</definedName>
    <definedName name="_xlnm.Print_Area" localSheetId="11">'631'!$B$1:$I$57</definedName>
    <definedName name="_xlnm.Print_Area" localSheetId="12">'632'!$B$1:$I$58</definedName>
    <definedName name="_xlnm.Print_Area" localSheetId="13">'633'!$B$1:$I$58</definedName>
    <definedName name="_xlnm.Print_Area" localSheetId="14">'634'!$B$1:$I$58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3" i="166" l="1"/>
  <c r="I33" i="166"/>
  <c r="I32" i="166"/>
  <c r="F33" i="165"/>
  <c r="F32" i="165"/>
  <c r="I33" i="165"/>
  <c r="I33" i="164"/>
  <c r="F32" i="163"/>
  <c r="F32" i="138" l="1"/>
  <c r="G14" i="138"/>
  <c r="G15" i="138" s="1"/>
  <c r="G16" i="138" s="1"/>
  <c r="G17" i="138" s="1"/>
  <c r="F35" i="164" l="1"/>
  <c r="F32" i="143"/>
  <c r="I32" i="143" s="1"/>
  <c r="H53" i="166" l="1"/>
  <c r="F35" i="166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53" i="165"/>
  <c r="F35" i="165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H53" i="164"/>
  <c r="I32" i="164"/>
  <c r="I35" i="164" s="1"/>
  <c r="I37" i="164" s="1"/>
  <c r="I39" i="164" s="1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2" i="163"/>
  <c r="F34" i="163"/>
  <c r="I32" i="163"/>
  <c r="I34" i="163" s="1"/>
  <c r="I36" i="163" s="1"/>
  <c r="I38" i="163" s="1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I35" i="166" l="1"/>
  <c r="I37" i="166" s="1"/>
  <c r="I39" i="166" s="1"/>
  <c r="I32" i="165"/>
  <c r="I35" i="165" s="1"/>
  <c r="I37" i="165" s="1"/>
  <c r="I39" i="165" s="1"/>
  <c r="F34" i="138"/>
  <c r="C3" i="129" l="1"/>
  <c r="F32" i="135" l="1"/>
  <c r="F34" i="135" s="1"/>
  <c r="F32" i="133"/>
  <c r="F32" i="129"/>
  <c r="I32" i="129" s="1"/>
  <c r="F32" i="141"/>
  <c r="F32" i="134" l="1"/>
  <c r="I32" i="138" l="1"/>
  <c r="I34" i="138" s="1"/>
  <c r="F34" i="133" l="1"/>
  <c r="F34" i="129" l="1"/>
  <c r="F32" i="142"/>
  <c r="F34" i="142" s="1"/>
  <c r="I32" i="134"/>
  <c r="C3" i="133"/>
  <c r="F34" i="141"/>
  <c r="F32" i="137"/>
  <c r="I32" i="141" l="1"/>
  <c r="I34" i="141" s="1"/>
  <c r="F34" i="137"/>
  <c r="I34" i="129" l="1"/>
  <c r="I32" i="137"/>
  <c r="F34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2" i="129"/>
  <c r="H52" i="134"/>
  <c r="H52" i="135"/>
  <c r="H52" i="137"/>
  <c r="H52" i="138"/>
  <c r="H52" i="143"/>
  <c r="H52" i="133"/>
  <c r="F34" i="143" l="1"/>
  <c r="I34" i="143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H21" i="138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4" i="135" l="1"/>
  <c r="I36" i="135" s="1"/>
  <c r="I38" i="135" s="1"/>
  <c r="I36" i="138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l="1"/>
  <c r="C3" i="163" s="1"/>
  <c r="C3" i="164" s="1"/>
  <c r="C3" i="165" s="1"/>
  <c r="C3" i="166" s="1"/>
</calcChain>
</file>

<file path=xl/sharedStrings.xml><?xml version="1.0" encoding="utf-8"?>
<sst xmlns="http://schemas.openxmlformats.org/spreadsheetml/2006/main" count="1205" uniqueCount="207">
  <si>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</si>
  <si>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</si>
  <si>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</si>
  <si>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</si>
  <si>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</si>
  <si>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</si>
  <si>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</si>
  <si>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</si>
  <si>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</si>
  <si>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</si>
  <si>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</si>
  <si>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</si>
  <si>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</si>
  <si>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</si>
  <si>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</si>
  <si>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</si>
  <si>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</si>
  <si>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</si>
  <si>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</si>
  <si>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</si>
  <si>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</si>
  <si>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</si>
  <si>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</si>
  <si>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</si>
  <si>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</si>
  <si>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</si>
  <si>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</si>
  <si>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</si>
  <si>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</si>
  <si>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</si>
  <si>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</si>
  <si>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</si>
  <si>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</si>
  <si>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</si>
  <si>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</si>
  <si>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</si>
  <si>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</si>
  <si>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</si>
  <si>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</si>
  <si>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</si>
  <si>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</si>
  <si>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</si>
  <si>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</si>
  <si>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</si>
  <si>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</si>
  <si>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</si>
  <si>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</si>
  <si>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</si>
  <si>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</si>
  <si>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</si>
  <si>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</si>
  <si>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</si>
  <si>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</si>
  <si>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</si>
  <si>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</si>
  <si>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</si>
  <si>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</si>
  <si>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</si>
  <si>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</si>
  <si>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</si>
  <si>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</si>
  <si>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</si>
  <si>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</si>
  <si>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</si>
  <si>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</si>
  <si>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</si>
  <si>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</si>
  <si>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</si>
  <si>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</si>
  <si>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</si>
  <si>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</si>
  <si>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</si>
  <si>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</si>
  <si>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</si>
  <si>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</si>
  <si>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</si>
  <si>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</si>
  <si>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</si>
  <si>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</si>
  <si>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</si>
  <si>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</si>
  <si>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</si>
  <si>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</si>
  <si>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</si>
  <si>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</si>
  <si>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</si>
  <si>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</si>
  <si>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</si>
  <si>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</si>
  <si>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</si>
  <si>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</si>
  <si>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</si>
  <si>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</si>
  <si>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</si>
  <si>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</si>
  <si>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</si>
  <si>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</si>
  <si>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</si>
  <si>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</si>
  <si>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</si>
  <si>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</si>
  <si>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</si>
  <si>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</si>
  <si>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</si>
  <si>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</si>
  <si>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</si>
  <si>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</si>
  <si>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</si>
  <si>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</si>
  <si>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</si>
  <si>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</si>
  <si>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</si>
  <si>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</si>
  <si>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</si>
  <si>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</si>
  <si>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</si>
  <si>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</si>
  <si>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</si>
  <si>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</si>
  <si>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</si>
  <si>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</si>
  <si>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</si>
  <si>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</si>
  <si>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</si>
  <si>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</si>
  <si>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</si>
  <si>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</si>
  <si>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</si>
  <si>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</si>
  <si>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</si>
  <si>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</si>
  <si>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</si>
  <si>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</si>
  <si>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</si>
  <si>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</si>
  <si>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</si>
  <si>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</si>
  <si>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</si>
  <si>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</si>
  <si>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</si>
  <si>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</si>
  <si>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</si>
  <si>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</si>
  <si>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</si>
  <si>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</si>
  <si>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</si>
  <si>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</si>
  <si>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</si>
  <si>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</si>
  <si>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</si>
  <si>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</si>
  <si>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</si>
  <si>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</si>
  <si>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</si>
  <si>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</si>
  <si>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</si>
  <si>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</si>
  <si>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</si>
  <si>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</si>
  <si>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</si>
  <si>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</si>
  <si>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</si>
  <si>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</si>
  <si>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</si>
  <si>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</si>
  <si>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</si>
  <si>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</si>
  <si>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</si>
  <si>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</si>
  <si>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</si>
  <si>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</si>
  <si>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</si>
  <si>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</si>
  <si>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</si>
  <si>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</si>
  <si>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</si>
  <si>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</si>
  <si>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BOYS COTTON FIBERS, KNIT SHIRT, WITH NECK CLOSURE, STITCH COUNT EQUAL OR IS GREATER THAN 10/1CM, HEM BOTTOM [60% COTTON 40% POLYESTER]</t>
  </si>
  <si>
    <t>Retail</t>
  </si>
  <si>
    <t>Online</t>
  </si>
  <si>
    <t>04</t>
  </si>
  <si>
    <t>MONET BLUE</t>
  </si>
  <si>
    <t>265K0052</t>
  </si>
  <si>
    <t>00</t>
  </si>
  <si>
    <t>03</t>
  </si>
  <si>
    <t>CALLA LILY 451, INK BLUE</t>
  </si>
  <si>
    <t>00, 02</t>
  </si>
  <si>
    <t>265K0057</t>
  </si>
  <si>
    <t>01, 04, 05, 07</t>
  </si>
  <si>
    <t>DARK GREEN</t>
  </si>
  <si>
    <t>06</t>
  </si>
  <si>
    <t>265K0059</t>
  </si>
  <si>
    <t>265K0090</t>
  </si>
  <si>
    <t>RED TAPE, BLACK JACK, RON BURGUNDY, BLUE TANGO</t>
  </si>
  <si>
    <t>RED TAPE, BLACK JACK, RON BURGUNDY</t>
  </si>
  <si>
    <t>01, 04, 05</t>
  </si>
  <si>
    <t>BLACK LEOPARD, PINK LEOPARD HEART</t>
  </si>
  <si>
    <t>00, 01</t>
  </si>
  <si>
    <t>Girls Cotton Fibers, Knit T-Shirt, With No Neck Closure, Stitch Count Is Greater Than 9/2cm, Reaches Waist [100% Cotton]</t>
  </si>
  <si>
    <t>CALLA LILY 45</t>
  </si>
  <si>
    <t>BLACKJACK JAS, BLUSH HUE</t>
  </si>
  <si>
    <t>01, 02</t>
  </si>
  <si>
    <t>Girls Cotton Fibers, Knit T-Shirt, With No Neck Closure, Stitch Count Is Greater Than 9/2cm, Reaches Waist [60% Cotton 40% Recycled Polyester]</t>
  </si>
  <si>
    <t>PINK FLORAL</t>
  </si>
  <si>
    <t>RED HEART, PURPLE CHECK</t>
  </si>
  <si>
    <t>03, 05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</si>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</sst>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7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0615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06125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14" sqref="I14"/>
    </sheetView>
  </sheetViews>
  <sheetFormatPr defaultRowHeight="12.75" x14ac:dyDescent="0.2"/>
  <sheetData>
    <row r="2" spans="2:9" ht="15" x14ac:dyDescent="0.25">
      <c r="B2" s="57">
        <v>1</v>
      </c>
      <c r="C2" t="s">
        <v>182</v>
      </c>
      <c r="E2" s="57">
        <v>1</v>
      </c>
      <c r="F2">
        <v>767468</v>
      </c>
      <c r="H2" s="57">
        <v>1</v>
      </c>
      <c r="I2" s="67" t="s">
        <v>179</v>
      </c>
    </row>
    <row r="3" spans="2:9" ht="15" x14ac:dyDescent="0.25">
      <c r="B3" s="57">
        <v>2</v>
      </c>
      <c r="C3" t="s">
        <v>182</v>
      </c>
      <c r="E3" s="57">
        <v>2</v>
      </c>
      <c r="F3">
        <v>767468</v>
      </c>
      <c r="H3" s="57">
        <v>2</v>
      </c>
      <c r="I3" s="67" t="s">
        <v>179</v>
      </c>
    </row>
    <row r="4" spans="2:9" ht="15" x14ac:dyDescent="0.25">
      <c r="B4" s="57">
        <v>3</v>
      </c>
      <c r="C4" t="s">
        <v>182</v>
      </c>
      <c r="E4" s="57">
        <v>3</v>
      </c>
      <c r="F4">
        <v>767468</v>
      </c>
      <c r="H4" s="57">
        <v>3</v>
      </c>
      <c r="I4" s="67" t="s">
        <v>179</v>
      </c>
    </row>
    <row r="5" spans="2:9" ht="15" x14ac:dyDescent="0.25">
      <c r="B5" s="57">
        <v>4</v>
      </c>
      <c r="C5" t="s">
        <v>182</v>
      </c>
      <c r="E5" s="57">
        <v>4</v>
      </c>
      <c r="F5">
        <v>767468</v>
      </c>
      <c r="H5" s="57">
        <v>4</v>
      </c>
      <c r="I5" s="67" t="s">
        <v>179</v>
      </c>
    </row>
    <row r="6" spans="2:9" ht="15" x14ac:dyDescent="0.25">
      <c r="B6" s="57">
        <v>5</v>
      </c>
      <c r="C6" t="s">
        <v>182</v>
      </c>
      <c r="E6" s="57">
        <v>5</v>
      </c>
      <c r="F6">
        <v>767468</v>
      </c>
      <c r="H6" s="57">
        <v>5</v>
      </c>
      <c r="I6" s="67" t="s">
        <v>179</v>
      </c>
    </row>
    <row r="7" spans="2:9" ht="15" x14ac:dyDescent="0.25">
      <c r="B7" s="57">
        <v>6</v>
      </c>
      <c r="C7" t="s">
        <v>182</v>
      </c>
      <c r="E7" s="57">
        <v>6</v>
      </c>
      <c r="F7">
        <v>767468</v>
      </c>
      <c r="H7" s="57">
        <v>6</v>
      </c>
      <c r="I7" s="67" t="s">
        <v>179</v>
      </c>
    </row>
    <row r="8" spans="2:9" ht="15" x14ac:dyDescent="0.25">
      <c r="B8" s="57">
        <v>7</v>
      </c>
      <c r="C8" t="s">
        <v>182</v>
      </c>
      <c r="E8" s="57">
        <v>7</v>
      </c>
      <c r="F8">
        <v>767468</v>
      </c>
      <c r="H8" s="57">
        <v>7</v>
      </c>
      <c r="I8" s="67" t="s">
        <v>179</v>
      </c>
    </row>
    <row r="9" spans="2:9" ht="15" x14ac:dyDescent="0.25">
      <c r="B9" s="57">
        <v>8</v>
      </c>
      <c r="C9" t="s">
        <v>182</v>
      </c>
      <c r="E9" s="57">
        <v>8</v>
      </c>
      <c r="F9">
        <v>767468</v>
      </c>
      <c r="H9" s="57">
        <v>8</v>
      </c>
      <c r="I9" s="67" t="s">
        <v>179</v>
      </c>
    </row>
    <row r="10" spans="2:9" ht="15" x14ac:dyDescent="0.25">
      <c r="B10" s="57">
        <v>9</v>
      </c>
      <c r="C10" t="s">
        <v>191</v>
      </c>
      <c r="E10" s="57">
        <v>9</v>
      </c>
      <c r="F10">
        <v>906033</v>
      </c>
      <c r="H10" s="57">
        <v>9</v>
      </c>
      <c r="I10" s="67" t="s">
        <v>178</v>
      </c>
    </row>
    <row r="11" spans="2:9" ht="15" x14ac:dyDescent="0.25">
      <c r="B11" s="57">
        <v>10</v>
      </c>
      <c r="C11" t="s">
        <v>191</v>
      </c>
      <c r="E11" s="57">
        <v>10</v>
      </c>
      <c r="F11">
        <v>906033</v>
      </c>
      <c r="H11" s="57">
        <v>10</v>
      </c>
      <c r="I11" s="67" t="s">
        <v>179</v>
      </c>
    </row>
    <row r="12" spans="2:9" ht="15" x14ac:dyDescent="0.25">
      <c r="B12" s="57">
        <v>11</v>
      </c>
      <c r="C12" t="s">
        <v>187</v>
      </c>
      <c r="E12" s="57">
        <v>11</v>
      </c>
      <c r="F12">
        <v>867788</v>
      </c>
      <c r="H12" s="57">
        <v>11</v>
      </c>
      <c r="I12" s="67" t="s">
        <v>179</v>
      </c>
    </row>
    <row r="13" spans="2:9" ht="15" x14ac:dyDescent="0.25">
      <c r="B13" s="57">
        <v>12</v>
      </c>
      <c r="C13" t="s">
        <v>192</v>
      </c>
      <c r="E13" s="57">
        <v>12</v>
      </c>
      <c r="F13">
        <v>906033</v>
      </c>
      <c r="H13" s="57">
        <v>12</v>
      </c>
      <c r="I13" s="67" t="s">
        <v>178</v>
      </c>
    </row>
    <row r="14" spans="2:9" ht="15" x14ac:dyDescent="0.25">
      <c r="B14" s="57">
        <v>13</v>
      </c>
      <c r="C14" t="s">
        <v>192</v>
      </c>
      <c r="E14" s="57">
        <v>13</v>
      </c>
      <c r="F14">
        <v>906033</v>
      </c>
      <c r="H14" s="57">
        <v>13</v>
      </c>
      <c r="I14" s="67" t="s">
        <v>179</v>
      </c>
    </row>
    <row r="15" spans="2:9" ht="15" x14ac:dyDescent="0.25">
      <c r="B15" s="57">
        <v>14</v>
      </c>
      <c r="E15" s="57">
        <v>14</v>
      </c>
      <c r="H15" s="57">
        <v>14</v>
      </c>
      <c r="I15" s="67"/>
    </row>
    <row r="16" spans="2:9" ht="15" x14ac:dyDescent="0.25">
      <c r="B16" s="57">
        <v>15</v>
      </c>
      <c r="E16" s="57">
        <v>15</v>
      </c>
      <c r="H16" s="57">
        <v>15</v>
      </c>
      <c r="I16" s="67"/>
    </row>
    <row r="17" spans="2:11" ht="15" x14ac:dyDescent="0.25">
      <c r="B17" s="57">
        <v>16</v>
      </c>
      <c r="E17" s="57">
        <v>16</v>
      </c>
      <c r="H17" s="57">
        <v>16</v>
      </c>
      <c r="I17" s="67"/>
    </row>
    <row r="18" spans="2:11" ht="15" x14ac:dyDescent="0.25">
      <c r="B18" s="57">
        <v>17</v>
      </c>
      <c r="E18" s="57">
        <v>17</v>
      </c>
      <c r="H18" s="57">
        <v>17</v>
      </c>
      <c r="I18" s="67"/>
    </row>
    <row r="19" spans="2:11" ht="15" x14ac:dyDescent="0.25">
      <c r="B19" s="57">
        <v>18</v>
      </c>
      <c r="E19" s="57">
        <v>18</v>
      </c>
      <c r="H19" s="57">
        <v>18</v>
      </c>
      <c r="I19" s="67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206</v>
      </c>
      <c r="C2" s="73"/>
      <c r="D2" s="73"/>
      <c r="E2" s="73"/>
      <c r="F2" s="73"/>
      <c r="G2" s="73"/>
      <c r="H2" s="73"/>
      <c r="I2" s="74"/>
      <c r="J2" s="64">
        <v>61475302</v>
      </c>
      <c r="K2" s="65">
        <v>1500</v>
      </c>
      <c r="L2" s="66">
        <v>37</v>
      </c>
      <c r="M2" s="66">
        <v>210.96899999999999</v>
      </c>
      <c r="N2" s="66">
        <v>231.82499999999999</v>
      </c>
      <c r="O2" s="66">
        <v>261.125</v>
      </c>
      <c r="P2" s="66" t="s">
        <v>54</v>
      </c>
      <c r="Q2" s="66">
        <v>1.2749999999999999</v>
      </c>
      <c r="R2" s="66" t="s">
        <v>62</v>
      </c>
    </row>
    <row r="3" spans="2:22" x14ac:dyDescent="0.2">
      <c r="B3" s="6" t="s">
        <v>53</v>
      </c>
      <c r="C3" s="63">
        <v>622</v>
      </c>
      <c r="D3" s="5"/>
      <c r="E3" s="5"/>
      <c r="F3" s="5"/>
      <c r="G3" s="5" t="s">
        <v>52</v>
      </c>
      <c r="H3" s="31">
        <v>46238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61475302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261.125</v>
      </c>
      <c r="G23" s="23">
        <f>+N2</f>
        <v>231.82499999999999</v>
      </c>
      <c r="H23" s="23">
        <f>+M2</f>
        <v>210.96899999999999</v>
      </c>
      <c r="I23" s="55">
        <f>+L2</f>
        <v>37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64.5" customHeight="1" x14ac:dyDescent="0.2">
      <c r="B32" s="41" t="s">
        <v>188</v>
      </c>
      <c r="C32" s="19" t="s">
        <v>193</v>
      </c>
      <c r="D32" s="70"/>
      <c r="E32" s="71"/>
      <c r="F32" s="70">
        <f>+K2</f>
        <v>1500</v>
      </c>
      <c r="G32" s="71"/>
      <c r="H32" s="17">
        <v>1.05</v>
      </c>
      <c r="I32" s="18">
        <f>+H32*F32</f>
        <v>1575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1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1500</v>
      </c>
      <c r="G34" s="71"/>
      <c r="H34" s="15"/>
      <c r="I34" s="14">
        <f>SUM(I32:I33)</f>
        <v>1575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1575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1575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206</v>
      </c>
      <c r="C2" s="73"/>
      <c r="D2" s="73"/>
      <c r="E2" s="73"/>
      <c r="F2" s="73"/>
      <c r="G2" s="73"/>
      <c r="H2" s="73"/>
      <c r="I2" s="74"/>
      <c r="J2" s="64">
        <v>61558648</v>
      </c>
      <c r="K2" s="66">
        <v>586</v>
      </c>
      <c r="L2" s="66">
        <v>11</v>
      </c>
      <c r="M2" s="66">
        <v>78.73</v>
      </c>
      <c r="N2" s="66">
        <v>90.45</v>
      </c>
      <c r="O2" s="66">
        <v>99.85</v>
      </c>
      <c r="P2" s="66" t="s">
        <v>54</v>
      </c>
      <c r="Q2" s="66">
        <v>0.49199999999999999</v>
      </c>
      <c r="R2" s="66" t="s">
        <v>62</v>
      </c>
    </row>
    <row r="3" spans="2:22" x14ac:dyDescent="0.2">
      <c r="B3" s="6" t="s">
        <v>53</v>
      </c>
      <c r="C3" s="63">
        <f>+'622'!C3+1</f>
        <v>623</v>
      </c>
      <c r="D3" s="5"/>
      <c r="E3" s="5"/>
      <c r="F3" s="5"/>
      <c r="G3" s="5" t="s">
        <v>52</v>
      </c>
      <c r="H3" s="31">
        <v>46238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61558648</v>
      </c>
      <c r="C21" s="4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99.85</v>
      </c>
      <c r="G23" s="23">
        <f>+N2</f>
        <v>90.45</v>
      </c>
      <c r="H23" s="23">
        <f>+M2</f>
        <v>78.73</v>
      </c>
      <c r="I23" s="48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1" t="s">
        <v>19</v>
      </c>
      <c r="E31" s="81"/>
      <c r="F31" s="81" t="s">
        <v>18</v>
      </c>
      <c r="G31" s="81"/>
      <c r="H31" s="48" t="s">
        <v>17</v>
      </c>
      <c r="I31" s="19" t="s">
        <v>16</v>
      </c>
      <c r="M31"/>
    </row>
    <row r="32" spans="2:13" ht="30.75" customHeight="1" x14ac:dyDescent="0.2">
      <c r="B32" s="41" t="s">
        <v>190</v>
      </c>
      <c r="C32" s="19" t="s">
        <v>189</v>
      </c>
      <c r="D32" s="70"/>
      <c r="E32" s="71"/>
      <c r="F32" s="70">
        <f>+K2</f>
        <v>586</v>
      </c>
      <c r="G32" s="71"/>
      <c r="H32" s="17">
        <v>1.05</v>
      </c>
      <c r="I32" s="18">
        <f>+H32*F32</f>
        <v>615.30000000000007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48"/>
    </row>
    <row r="34" spans="2:11" ht="21.75" customHeight="1" x14ac:dyDescent="0.2">
      <c r="B34" s="15" t="s">
        <v>14</v>
      </c>
      <c r="C34" s="15"/>
      <c r="D34" s="86"/>
      <c r="E34" s="87"/>
      <c r="F34" s="70">
        <f>SUM(F31:G33)</f>
        <v>586</v>
      </c>
      <c r="G34" s="71"/>
      <c r="H34" s="15"/>
      <c r="I34" s="14">
        <f>SUM(I32:I33)</f>
        <v>615.30000000000007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615.30000000000007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615.30000000000007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206</v>
      </c>
      <c r="C2" s="73"/>
      <c r="D2" s="73"/>
      <c r="E2" s="73"/>
      <c r="F2" s="73"/>
      <c r="G2" s="73"/>
      <c r="H2" s="73"/>
      <c r="I2" s="74"/>
      <c r="J2" s="64">
        <v>61717409</v>
      </c>
      <c r="K2" s="66">
        <v>525</v>
      </c>
      <c r="L2" s="66">
        <v>11</v>
      </c>
      <c r="M2" s="66">
        <v>77.069999999999993</v>
      </c>
      <c r="N2" s="66">
        <v>81.27</v>
      </c>
      <c r="O2" s="66">
        <v>90.37</v>
      </c>
      <c r="P2" s="66" t="s">
        <v>54</v>
      </c>
      <c r="Q2" s="66">
        <v>0.436</v>
      </c>
      <c r="R2" s="66" t="s">
        <v>62</v>
      </c>
    </row>
    <row r="3" spans="2:22" x14ac:dyDescent="0.2">
      <c r="B3" s="6" t="s">
        <v>53</v>
      </c>
      <c r="C3" s="63">
        <f>+'623'!C3+1</f>
        <v>624</v>
      </c>
      <c r="D3" s="5"/>
      <c r="E3" s="5"/>
      <c r="F3" s="5"/>
      <c r="G3" s="5" t="s">
        <v>52</v>
      </c>
      <c r="H3" s="31">
        <v>46238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61717409</v>
      </c>
      <c r="C21" s="4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90.37</v>
      </c>
      <c r="G23" s="23">
        <f>+N2</f>
        <v>81.27</v>
      </c>
      <c r="H23" s="23">
        <f>+M2</f>
        <v>77.069999999999993</v>
      </c>
      <c r="I23" s="48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1" t="s">
        <v>19</v>
      </c>
      <c r="E31" s="81"/>
      <c r="F31" s="81" t="s">
        <v>18</v>
      </c>
      <c r="G31" s="81"/>
      <c r="H31" s="48" t="s">
        <v>17</v>
      </c>
      <c r="I31" s="19" t="s">
        <v>16</v>
      </c>
      <c r="M31"/>
    </row>
    <row r="32" spans="2:13" ht="30.75" customHeight="1" x14ac:dyDescent="0.2">
      <c r="B32" s="41" t="s">
        <v>184</v>
      </c>
      <c r="C32" s="19" t="s">
        <v>181</v>
      </c>
      <c r="D32" s="70"/>
      <c r="E32" s="71"/>
      <c r="F32" s="70">
        <f>+K2</f>
        <v>525</v>
      </c>
      <c r="G32" s="71"/>
      <c r="H32" s="17">
        <v>1.05</v>
      </c>
      <c r="I32" s="18">
        <f>+H32*F32</f>
        <v>551.25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48"/>
    </row>
    <row r="34" spans="2:11" ht="21.75" customHeight="1" x14ac:dyDescent="0.2">
      <c r="B34" s="15" t="s">
        <v>14</v>
      </c>
      <c r="C34" s="15"/>
      <c r="D34" s="86"/>
      <c r="E34" s="87"/>
      <c r="F34" s="70">
        <f>SUM(F31:G33)</f>
        <v>525</v>
      </c>
      <c r="G34" s="71"/>
      <c r="H34" s="15"/>
      <c r="I34" s="14">
        <f>SUM(I32:I33)</f>
        <v>551.25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551.25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551.25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206</v>
      </c>
      <c r="C2" s="73"/>
      <c r="D2" s="73"/>
      <c r="E2" s="73"/>
      <c r="F2" s="73"/>
      <c r="G2" s="73"/>
      <c r="H2" s="73"/>
      <c r="I2" s="74"/>
      <c r="J2" s="64">
        <v>61751300</v>
      </c>
      <c r="K2" s="65">
        <v>1710</v>
      </c>
      <c r="L2" s="66">
        <v>30</v>
      </c>
      <c r="M2" s="66">
        <v>229.97</v>
      </c>
      <c r="N2" s="66">
        <v>264.17</v>
      </c>
      <c r="O2" s="66">
        <v>290.77</v>
      </c>
      <c r="P2" s="66" t="s">
        <v>54</v>
      </c>
      <c r="Q2" s="66">
        <v>1.476</v>
      </c>
      <c r="R2" s="66" t="s">
        <v>62</v>
      </c>
    </row>
    <row r="3" spans="2:22" x14ac:dyDescent="0.2">
      <c r="B3" s="6" t="s">
        <v>53</v>
      </c>
      <c r="C3" s="63">
        <f>+'624'!C3+1</f>
        <v>625</v>
      </c>
      <c r="D3" s="5"/>
      <c r="E3" s="5"/>
      <c r="F3" s="5"/>
      <c r="G3" s="5" t="s">
        <v>52</v>
      </c>
      <c r="H3" s="31">
        <v>46238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61751300</v>
      </c>
      <c r="C21" s="53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290.77</v>
      </c>
      <c r="G23" s="23">
        <f>+N2</f>
        <v>264.17</v>
      </c>
      <c r="H23" s="23">
        <f>+M2</f>
        <v>229.97</v>
      </c>
      <c r="I23" s="54">
        <f>+L2</f>
        <v>30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1" t="s">
        <v>19</v>
      </c>
      <c r="E31" s="81"/>
      <c r="F31" s="81" t="s">
        <v>18</v>
      </c>
      <c r="G31" s="81"/>
      <c r="H31" s="54" t="s">
        <v>17</v>
      </c>
      <c r="I31" s="19" t="s">
        <v>16</v>
      </c>
      <c r="M31"/>
    </row>
    <row r="32" spans="2:13" ht="36" customHeight="1" x14ac:dyDescent="0.2">
      <c r="B32" s="41" t="s">
        <v>186</v>
      </c>
      <c r="C32" s="19" t="s">
        <v>185</v>
      </c>
      <c r="D32" s="70"/>
      <c r="E32" s="71"/>
      <c r="F32" s="70">
        <f>+K2</f>
        <v>1710</v>
      </c>
      <c r="G32" s="71"/>
      <c r="H32" s="17">
        <v>1.05</v>
      </c>
      <c r="I32" s="18">
        <f>+H32*F32</f>
        <v>1795.5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4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1710</v>
      </c>
      <c r="G34" s="71"/>
      <c r="H34" s="15"/>
      <c r="I34" s="14">
        <f>SUM(I32:I33)</f>
        <v>1795.5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1795.5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1795.5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206</v>
      </c>
      <c r="C2" s="73"/>
      <c r="D2" s="73"/>
      <c r="E2" s="73"/>
      <c r="F2" s="73"/>
      <c r="G2" s="73"/>
      <c r="H2" s="73"/>
      <c r="I2" s="74"/>
      <c r="J2" s="64">
        <v>61475304</v>
      </c>
      <c r="K2" s="66">
        <v>687</v>
      </c>
      <c r="L2" s="66">
        <v>21</v>
      </c>
      <c r="M2" s="66">
        <v>97.24</v>
      </c>
      <c r="N2" s="66">
        <v>106.024</v>
      </c>
      <c r="O2" s="66">
        <v>121.724</v>
      </c>
      <c r="P2" s="66" t="s">
        <v>54</v>
      </c>
      <c r="Q2" s="66">
        <v>0.60399999999999998</v>
      </c>
      <c r="R2" s="66" t="s">
        <v>62</v>
      </c>
    </row>
    <row r="3" spans="2:22" x14ac:dyDescent="0.2">
      <c r="B3" s="6" t="s">
        <v>53</v>
      </c>
      <c r="C3" s="63">
        <f>+'625'!C3+1</f>
        <v>626</v>
      </c>
      <c r="D3" s="5"/>
      <c r="E3" s="5"/>
      <c r="F3" s="5"/>
      <c r="G3" s="5" t="s">
        <v>52</v>
      </c>
      <c r="H3" s="31">
        <v>46238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61475304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121.724</v>
      </c>
      <c r="G23" s="23">
        <f>+N2</f>
        <v>106.024</v>
      </c>
      <c r="H23" s="23">
        <f>+M2</f>
        <v>97.24</v>
      </c>
      <c r="I23" s="55">
        <f>+L2</f>
        <v>21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39.75" customHeight="1" x14ac:dyDescent="0.2">
      <c r="B32" s="41" t="s">
        <v>195</v>
      </c>
      <c r="C32" s="19" t="s">
        <v>194</v>
      </c>
      <c r="D32" s="70"/>
      <c r="E32" s="71"/>
      <c r="F32" s="70">
        <f>+K2</f>
        <v>687</v>
      </c>
      <c r="G32" s="71"/>
      <c r="H32" s="17">
        <v>1.05</v>
      </c>
      <c r="I32" s="18">
        <f>+H32*F32</f>
        <v>721.35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9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687</v>
      </c>
      <c r="G34" s="71"/>
      <c r="H34" s="15"/>
      <c r="I34" s="14">
        <f>SUM(I32:I32)</f>
        <v>721.35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721.35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721.35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206</v>
      </c>
      <c r="C2" s="73"/>
      <c r="D2" s="73"/>
      <c r="E2" s="73"/>
      <c r="F2" s="73"/>
      <c r="G2" s="73"/>
      <c r="H2" s="73"/>
      <c r="I2" s="74"/>
      <c r="J2" s="64">
        <v>61558650</v>
      </c>
      <c r="K2" s="66">
        <v>321</v>
      </c>
      <c r="L2" s="66">
        <v>9</v>
      </c>
      <c r="M2" s="66">
        <v>43.09</v>
      </c>
      <c r="N2" s="66">
        <v>49.51</v>
      </c>
      <c r="O2" s="66">
        <v>56.41</v>
      </c>
      <c r="P2" s="66" t="s">
        <v>54</v>
      </c>
      <c r="Q2" s="66">
        <v>0.28000000000000003</v>
      </c>
      <c r="R2" s="66" t="s">
        <v>62</v>
      </c>
    </row>
    <row r="3" spans="2:22" x14ac:dyDescent="0.2">
      <c r="B3" s="6" t="s">
        <v>53</v>
      </c>
      <c r="C3" s="63">
        <f>+'626'!C3+1</f>
        <v>627</v>
      </c>
      <c r="D3" s="5"/>
      <c r="E3" s="5"/>
      <c r="F3" s="5"/>
      <c r="G3" s="5" t="s">
        <v>52</v>
      </c>
      <c r="H3" s="31">
        <v>46238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61558650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56.41</v>
      </c>
      <c r="G23" s="23">
        <f>+N2</f>
        <v>49.51</v>
      </c>
      <c r="H23" s="23">
        <f>+M2</f>
        <v>43.09</v>
      </c>
      <c r="I23" s="55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28.5" customHeight="1" x14ac:dyDescent="0.2">
      <c r="B32" s="62" t="s">
        <v>190</v>
      </c>
      <c r="C32" s="19" t="s">
        <v>189</v>
      </c>
      <c r="D32" s="70"/>
      <c r="E32" s="71"/>
      <c r="F32" s="70">
        <f>+K2</f>
        <v>321</v>
      </c>
      <c r="G32" s="71"/>
      <c r="H32" s="17">
        <v>1.05</v>
      </c>
      <c r="I32" s="18">
        <f>+H32*F32</f>
        <v>337.05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5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321</v>
      </c>
      <c r="G34" s="71"/>
      <c r="H34" s="15"/>
      <c r="I34" s="14">
        <f>SUM(I32:I33)</f>
        <v>337.05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337.05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337.05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206</v>
      </c>
      <c r="C2" s="73"/>
      <c r="D2" s="73"/>
      <c r="E2" s="73"/>
      <c r="F2" s="73"/>
      <c r="G2" s="73"/>
      <c r="H2" s="73"/>
      <c r="I2" s="74"/>
      <c r="J2" s="64">
        <v>61717413</v>
      </c>
      <c r="K2" s="66">
        <v>284</v>
      </c>
      <c r="L2" s="66">
        <v>8</v>
      </c>
      <c r="M2" s="66">
        <v>41.548000000000002</v>
      </c>
      <c r="N2" s="66">
        <v>43.82</v>
      </c>
      <c r="O2" s="66">
        <v>49.92</v>
      </c>
      <c r="P2" s="66" t="s">
        <v>54</v>
      </c>
      <c r="Q2" s="66">
        <v>0.246</v>
      </c>
      <c r="R2" s="66" t="s">
        <v>62</v>
      </c>
    </row>
    <row r="3" spans="2:22" x14ac:dyDescent="0.2">
      <c r="B3" s="6" t="s">
        <v>53</v>
      </c>
      <c r="C3" s="63">
        <f>+'627'!C3+1</f>
        <v>628</v>
      </c>
      <c r="D3" s="5"/>
      <c r="E3" s="5"/>
      <c r="F3" s="5"/>
      <c r="G3" s="5" t="s">
        <v>52</v>
      </c>
      <c r="H3" s="31">
        <v>46238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61717413</v>
      </c>
      <c r="C21" s="56">
        <f>VLOOKUP($K55,reff!E2:F29,2,0)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49.92</v>
      </c>
      <c r="G23" s="23">
        <f>+N2</f>
        <v>43.82</v>
      </c>
      <c r="H23" s="23">
        <f>+M2</f>
        <v>41.548000000000002</v>
      </c>
      <c r="I23" s="55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27.75" customHeight="1" x14ac:dyDescent="0.2">
      <c r="B32" s="41" t="s">
        <v>184</v>
      </c>
      <c r="C32" s="19" t="s">
        <v>181</v>
      </c>
      <c r="D32" s="70"/>
      <c r="E32" s="71"/>
      <c r="F32" s="70">
        <f>+K2</f>
        <v>284</v>
      </c>
      <c r="G32" s="71"/>
      <c r="H32" s="17">
        <v>1.05</v>
      </c>
      <c r="I32" s="18">
        <f>+H32*F32</f>
        <v>298.2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0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284</v>
      </c>
      <c r="G34" s="71"/>
      <c r="H34" s="15"/>
      <c r="I34" s="14">
        <f>SUM(I32:I33)</f>
        <v>298.2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298.2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298.2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206</v>
      </c>
      <c r="C2" s="73"/>
      <c r="D2" s="73"/>
      <c r="E2" s="73"/>
      <c r="F2" s="73"/>
      <c r="G2" s="73"/>
      <c r="H2" s="73"/>
      <c r="I2" s="74"/>
      <c r="J2" s="64">
        <v>61751304</v>
      </c>
      <c r="K2" s="66">
        <v>936</v>
      </c>
      <c r="L2" s="66">
        <v>17</v>
      </c>
      <c r="M2" s="66">
        <v>125.91</v>
      </c>
      <c r="N2" s="66">
        <v>144.63</v>
      </c>
      <c r="O2" s="66">
        <v>159.43</v>
      </c>
      <c r="P2" s="66" t="s">
        <v>54</v>
      </c>
      <c r="Q2" s="66">
        <v>0.79400000000000004</v>
      </c>
      <c r="R2" s="66" t="s">
        <v>62</v>
      </c>
    </row>
    <row r="3" spans="2:22" x14ac:dyDescent="0.2">
      <c r="B3" s="6" t="s">
        <v>53</v>
      </c>
      <c r="C3" s="63">
        <f>+'628'!C3+1</f>
        <v>629</v>
      </c>
      <c r="D3" s="5"/>
      <c r="E3" s="5"/>
      <c r="F3" s="5"/>
      <c r="G3" s="5" t="s">
        <v>52</v>
      </c>
      <c r="H3" s="31">
        <v>46238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61751304</v>
      </c>
      <c r="C21" s="56">
        <f>VLOOKUP($K55,reff!E2:F29,2,0)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159.43</v>
      </c>
      <c r="G23" s="23">
        <f>+N2</f>
        <v>144.63</v>
      </c>
      <c r="H23" s="23">
        <f>+M2</f>
        <v>125.91</v>
      </c>
      <c r="I23" s="55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35.25" customHeight="1" x14ac:dyDescent="0.2">
      <c r="B32" s="41" t="s">
        <v>186</v>
      </c>
      <c r="C32" s="19" t="s">
        <v>185</v>
      </c>
      <c r="D32" s="70"/>
      <c r="E32" s="71"/>
      <c r="F32" s="70">
        <f>+K2</f>
        <v>936</v>
      </c>
      <c r="G32" s="71"/>
      <c r="H32" s="17">
        <v>1.05</v>
      </c>
      <c r="I32" s="18">
        <f>+H32*F32</f>
        <v>982.80000000000007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5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936</v>
      </c>
      <c r="G34" s="71"/>
      <c r="H34" s="15"/>
      <c r="I34" s="14">
        <f>SUM(I32:I33)</f>
        <v>982.80000000000007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982.80000000000007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982.80000000000007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206</v>
      </c>
      <c r="C2" s="73"/>
      <c r="D2" s="73"/>
      <c r="E2" s="73"/>
      <c r="F2" s="73"/>
      <c r="G2" s="73"/>
      <c r="H2" s="73"/>
      <c r="I2" s="74"/>
      <c r="J2" s="64">
        <v>61634890</v>
      </c>
      <c r="K2" s="66">
        <v>658</v>
      </c>
      <c r="L2" s="66">
        <v>15</v>
      </c>
      <c r="M2" s="66">
        <v>52.918999999999997</v>
      </c>
      <c r="N2" s="66">
        <v>54.234999999999999</v>
      </c>
      <c r="O2" s="66">
        <v>63.634999999999998</v>
      </c>
      <c r="P2" s="66" t="s">
        <v>54</v>
      </c>
      <c r="Q2" s="66">
        <v>0.40300000000000002</v>
      </c>
      <c r="R2" s="66" t="s">
        <v>62</v>
      </c>
    </row>
    <row r="3" spans="2:22" x14ac:dyDescent="0.2">
      <c r="B3" s="6" t="s">
        <v>53</v>
      </c>
      <c r="C3" s="63">
        <f>+'629'!C3+1</f>
        <v>630</v>
      </c>
      <c r="D3" s="5"/>
      <c r="E3" s="5"/>
      <c r="F3" s="5"/>
      <c r="G3" s="5" t="s">
        <v>52</v>
      </c>
      <c r="H3" s="31">
        <v>46238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61634890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63.634999999999998</v>
      </c>
      <c r="G23" s="23">
        <f>+N2</f>
        <v>54.234999999999999</v>
      </c>
      <c r="H23" s="23">
        <f>+M2</f>
        <v>52.918999999999997</v>
      </c>
      <c r="I23" s="55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T-Shirt,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40.5" customHeight="1" x14ac:dyDescent="0.2">
      <c r="B32" s="41" t="s">
        <v>197</v>
      </c>
      <c r="C32" s="19" t="s">
        <v>196</v>
      </c>
      <c r="D32" s="70"/>
      <c r="E32" s="71"/>
      <c r="F32" s="70">
        <f>+K2</f>
        <v>658</v>
      </c>
      <c r="G32" s="71"/>
      <c r="H32" s="17">
        <v>0.84</v>
      </c>
      <c r="I32" s="18">
        <f>+H32*F32</f>
        <v>552.72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5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658</v>
      </c>
      <c r="G34" s="71"/>
      <c r="H34" s="15"/>
      <c r="I34" s="14">
        <f>SUM(I32:I33)</f>
        <v>552.72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552.72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552.72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206</v>
      </c>
      <c r="C2" s="73"/>
      <c r="D2" s="73"/>
      <c r="E2" s="73"/>
      <c r="F2" s="73"/>
      <c r="G2" s="73"/>
      <c r="H2" s="73"/>
      <c r="I2" s="74"/>
      <c r="J2" s="64">
        <v>61608931</v>
      </c>
      <c r="K2" s="66">
        <v>866</v>
      </c>
      <c r="L2" s="66">
        <v>13</v>
      </c>
      <c r="M2" s="66">
        <v>70.272999999999996</v>
      </c>
      <c r="N2" s="66">
        <v>72.004999999999995</v>
      </c>
      <c r="O2" s="66">
        <v>82.504999999999995</v>
      </c>
      <c r="P2" s="66" t="s">
        <v>54</v>
      </c>
      <c r="Q2" s="66">
        <v>0.48099999999999998</v>
      </c>
      <c r="R2" s="66" t="s">
        <v>62</v>
      </c>
    </row>
    <row r="3" spans="2:22" x14ac:dyDescent="0.2">
      <c r="B3" s="6" t="s">
        <v>53</v>
      </c>
      <c r="C3" s="63">
        <f>+'630'!C3+1</f>
        <v>631</v>
      </c>
      <c r="D3" s="5"/>
      <c r="E3" s="5"/>
      <c r="F3" s="5"/>
      <c r="G3" s="5" t="s">
        <v>52</v>
      </c>
      <c r="H3" s="31">
        <v>46238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61608931</v>
      </c>
      <c r="C21" s="68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CA</v>
      </c>
      <c r="I21" s="69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82.504999999999995</v>
      </c>
      <c r="G23" s="23">
        <f>+N2</f>
        <v>72.004999999999995</v>
      </c>
      <c r="H23" s="23">
        <f>+M2</f>
        <v>70.272999999999996</v>
      </c>
      <c r="I23" s="69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T-Shirt,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1" t="s">
        <v>19</v>
      </c>
      <c r="E31" s="81"/>
      <c r="F31" s="81" t="s">
        <v>18</v>
      </c>
      <c r="G31" s="81"/>
      <c r="H31" s="69" t="s">
        <v>17</v>
      </c>
      <c r="I31" s="19" t="s">
        <v>16</v>
      </c>
      <c r="M31"/>
    </row>
    <row r="32" spans="2:13" ht="41.25" customHeight="1" x14ac:dyDescent="0.2">
      <c r="B32" s="41" t="s">
        <v>197</v>
      </c>
      <c r="C32" s="19" t="s">
        <v>196</v>
      </c>
      <c r="D32" s="70"/>
      <c r="E32" s="71"/>
      <c r="F32" s="70">
        <f>+K2</f>
        <v>866</v>
      </c>
      <c r="G32" s="71"/>
      <c r="H32" s="17">
        <v>0.84</v>
      </c>
      <c r="I32" s="18">
        <f>+H32*F32</f>
        <v>727.43999999999994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9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866</v>
      </c>
      <c r="G34" s="71"/>
      <c r="H34" s="15"/>
      <c r="I34" s="14">
        <f>SUM(I32:I33)</f>
        <v>727.43999999999994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727.43999999999994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727.43999999999994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6:D56"/>
    <mergeCell ref="C57:D57"/>
    <mergeCell ref="D35:E35"/>
    <mergeCell ref="F35:G35"/>
    <mergeCell ref="D36:E36"/>
    <mergeCell ref="F36:G36"/>
    <mergeCell ref="C37:H37"/>
    <mergeCell ref="B46:D46"/>
    <mergeCell ref="D33:E33"/>
    <mergeCell ref="F33:G33"/>
    <mergeCell ref="D34:E34"/>
    <mergeCell ref="F34:G34"/>
    <mergeCell ref="C55:D5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206</v>
      </c>
      <c r="C2" s="73"/>
      <c r="D2" s="73"/>
      <c r="E2" s="73"/>
      <c r="F2" s="73"/>
      <c r="G2" s="73"/>
      <c r="H2" s="73"/>
      <c r="I2" s="74"/>
      <c r="J2" s="64">
        <v>61998556</v>
      </c>
      <c r="K2" s="65">
        <v>3000</v>
      </c>
      <c r="L2" s="66">
        <v>31</v>
      </c>
      <c r="M2" s="66">
        <v>207.465</v>
      </c>
      <c r="N2" s="66">
        <v>213.465</v>
      </c>
      <c r="O2" s="66">
        <v>238.965</v>
      </c>
      <c r="P2" s="66" t="s">
        <v>54</v>
      </c>
      <c r="Q2" s="66">
        <v>1.23</v>
      </c>
      <c r="R2" s="66" t="s">
        <v>62</v>
      </c>
    </row>
    <row r="3" spans="2:22" x14ac:dyDescent="0.2">
      <c r="B3" s="6" t="s">
        <v>53</v>
      </c>
      <c r="C3" s="63">
        <f>+'631'!C3+1</f>
        <v>632</v>
      </c>
      <c r="D3" s="5"/>
      <c r="E3" s="5"/>
      <c r="F3" s="5"/>
      <c r="G3" s="5" t="s">
        <v>52</v>
      </c>
      <c r="H3" s="31">
        <v>46238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61998556</v>
      </c>
      <c r="C21" s="68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CA</v>
      </c>
      <c r="I21" s="69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238.965</v>
      </c>
      <c r="G23" s="23">
        <f>+N2</f>
        <v>213.465</v>
      </c>
      <c r="H23" s="23">
        <f>+M2</f>
        <v>207.465</v>
      </c>
      <c r="I23" s="69">
        <f>+L2</f>
        <v>31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T-Shirt,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1" t="s">
        <v>19</v>
      </c>
      <c r="E31" s="81"/>
      <c r="F31" s="81" t="s">
        <v>18</v>
      </c>
      <c r="G31" s="81"/>
      <c r="H31" s="69" t="s">
        <v>17</v>
      </c>
      <c r="I31" s="19" t="s">
        <v>16</v>
      </c>
      <c r="M31"/>
    </row>
    <row r="32" spans="2:13" ht="30.75" customHeight="1" x14ac:dyDescent="0.2">
      <c r="B32" s="41" t="s">
        <v>183</v>
      </c>
      <c r="C32" s="19" t="s">
        <v>199</v>
      </c>
      <c r="D32" s="70"/>
      <c r="E32" s="71"/>
      <c r="F32" s="70">
        <v>1000</v>
      </c>
      <c r="G32" s="71"/>
      <c r="H32" s="17">
        <v>0.71</v>
      </c>
      <c r="I32" s="18">
        <f>+H32*F32</f>
        <v>710</v>
      </c>
      <c r="K32" s="46"/>
      <c r="M32" s="39"/>
    </row>
    <row r="33" spans="2:13" ht="30.75" customHeight="1" x14ac:dyDescent="0.2">
      <c r="B33" s="41" t="s">
        <v>201</v>
      </c>
      <c r="C33" s="19" t="s">
        <v>200</v>
      </c>
      <c r="D33" s="70"/>
      <c r="E33" s="71"/>
      <c r="F33" s="70">
        <v>2000</v>
      </c>
      <c r="G33" s="71"/>
      <c r="H33" s="17">
        <v>0.71</v>
      </c>
      <c r="I33" s="18">
        <f>+H33*F33</f>
        <v>1420</v>
      </c>
      <c r="K33" s="46"/>
      <c r="M33" s="39"/>
    </row>
    <row r="34" spans="2:13" ht="21" customHeight="1" x14ac:dyDescent="0.2">
      <c r="B34" s="15" t="s">
        <v>15</v>
      </c>
      <c r="C34" s="15"/>
      <c r="D34" s="75"/>
      <c r="E34" s="77"/>
      <c r="F34" s="75"/>
      <c r="G34" s="77"/>
      <c r="H34" s="17"/>
      <c r="I34" s="69"/>
    </row>
    <row r="35" spans="2:13" ht="21.75" customHeight="1" x14ac:dyDescent="0.2">
      <c r="B35" s="15" t="s">
        <v>14</v>
      </c>
      <c r="C35" s="15"/>
      <c r="D35" s="86"/>
      <c r="E35" s="87"/>
      <c r="F35" s="70">
        <f>SUM(F31:G34)</f>
        <v>3000</v>
      </c>
      <c r="G35" s="71"/>
      <c r="H35" s="15"/>
      <c r="I35" s="14">
        <f>SUM(I32:I34)</f>
        <v>2130</v>
      </c>
      <c r="J35" s="40"/>
      <c r="K35" s="40"/>
    </row>
    <row r="36" spans="2:13" ht="21.75" customHeight="1" x14ac:dyDescent="0.2">
      <c r="B36" s="16" t="s">
        <v>13</v>
      </c>
      <c r="C36" s="15"/>
      <c r="D36" s="75"/>
      <c r="E36" s="77"/>
      <c r="F36" s="75"/>
      <c r="G36" s="77"/>
      <c r="H36" s="15"/>
      <c r="I36" s="69"/>
      <c r="J36" s="40"/>
    </row>
    <row r="37" spans="2:13" ht="21.75" customHeight="1" x14ac:dyDescent="0.2">
      <c r="B37" s="16" t="s">
        <v>12</v>
      </c>
      <c r="C37" s="15"/>
      <c r="D37" s="75"/>
      <c r="E37" s="77"/>
      <c r="F37" s="75"/>
      <c r="G37" s="77"/>
      <c r="H37" s="15"/>
      <c r="I37" s="14">
        <f>+I35</f>
        <v>2130</v>
      </c>
    </row>
    <row r="38" spans="2:13" ht="20.25" customHeight="1" x14ac:dyDescent="0.2">
      <c r="B38" s="15" t="s">
        <v>80</v>
      </c>
      <c r="C38" s="75" t="s">
        <v>11</v>
      </c>
      <c r="D38" s="76"/>
      <c r="E38" s="76"/>
      <c r="F38" s="76"/>
      <c r="G38" s="76"/>
      <c r="H38" s="77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2130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3" t="s">
        <v>7</v>
      </c>
      <c r="C47" s="83"/>
      <c r="D47" s="8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 s="20">
        <v>11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4" t="s">
        <v>1</v>
      </c>
      <c r="D56" s="84"/>
      <c r="E56" s="5"/>
      <c r="F56" s="5"/>
      <c r="G56" s="5"/>
      <c r="H56" s="5"/>
      <c r="I56" s="4"/>
    </row>
    <row r="57" spans="2:11" x14ac:dyDescent="0.2">
      <c r="B57" s="6"/>
      <c r="C57" s="85" t="s">
        <v>0</v>
      </c>
      <c r="D57" s="85"/>
      <c r="E57" s="5"/>
      <c r="F57" s="5"/>
      <c r="G57" s="5"/>
      <c r="H57" s="5"/>
      <c r="I57" s="4"/>
      <c r="K57" s="20">
        <v>11</v>
      </c>
    </row>
    <row r="58" spans="2:11" x14ac:dyDescent="0.2">
      <c r="B58" s="2"/>
      <c r="C58" s="82"/>
      <c r="D58" s="8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206</v>
      </c>
      <c r="C2" s="73"/>
      <c r="D2" s="73"/>
      <c r="E2" s="73"/>
      <c r="F2" s="73"/>
      <c r="G2" s="73"/>
      <c r="H2" s="73"/>
      <c r="I2" s="74"/>
      <c r="J2" s="64">
        <v>61995959</v>
      </c>
      <c r="K2" s="65">
        <v>2072</v>
      </c>
      <c r="L2" s="66">
        <v>29</v>
      </c>
      <c r="M2" s="66">
        <v>168.066</v>
      </c>
      <c r="N2" s="66">
        <v>172.21</v>
      </c>
      <c r="O2" s="66">
        <v>194.61</v>
      </c>
      <c r="P2" s="66" t="s">
        <v>54</v>
      </c>
      <c r="Q2" s="66">
        <v>1.1739999999999999</v>
      </c>
      <c r="R2" s="66" t="s">
        <v>62</v>
      </c>
    </row>
    <row r="3" spans="2:22" x14ac:dyDescent="0.2">
      <c r="B3" s="6" t="s">
        <v>53</v>
      </c>
      <c r="C3" s="63">
        <f>+'632'!C3+1</f>
        <v>633</v>
      </c>
      <c r="D3" s="5"/>
      <c r="E3" s="5"/>
      <c r="F3" s="5"/>
      <c r="G3" s="5" t="s">
        <v>52</v>
      </c>
      <c r="H3" s="31">
        <v>46238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61995959</v>
      </c>
      <c r="C21" s="68">
        <f>VLOOKUP($K57,reff!E2:F29,2,0)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9" t="s">
        <v>35</v>
      </c>
      <c r="G21" s="69"/>
      <c r="H21" s="47" t="str">
        <f>IF(LEFT(G17,2)="CA","CA",IF(LEFT(G17,2)="UN","US",IF(LEFT(G17,2)="PA","PA",IF(LEFT(G17,2)="JA","JP"))))</f>
        <v>CA</v>
      </c>
      <c r="I21" s="69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194.61</v>
      </c>
      <c r="G23" s="23">
        <f>+N2</f>
        <v>172.21</v>
      </c>
      <c r="H23" s="23">
        <f>+M2</f>
        <v>168.066</v>
      </c>
      <c r="I23" s="69">
        <f>+L2</f>
        <v>29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T-Shirt,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1" t="s">
        <v>19</v>
      </c>
      <c r="E31" s="81"/>
      <c r="F31" s="81" t="s">
        <v>18</v>
      </c>
      <c r="G31" s="81"/>
      <c r="H31" s="69" t="s">
        <v>17</v>
      </c>
      <c r="I31" s="19" t="s">
        <v>16</v>
      </c>
      <c r="M31"/>
    </row>
    <row r="32" spans="2:13" ht="24.75" customHeight="1" x14ac:dyDescent="0.2">
      <c r="B32" s="41" t="s">
        <v>180</v>
      </c>
      <c r="C32" s="19" t="s">
        <v>203</v>
      </c>
      <c r="D32" s="70"/>
      <c r="E32" s="71"/>
      <c r="F32" s="70">
        <f>86+193+191+135+106</f>
        <v>711</v>
      </c>
      <c r="G32" s="71"/>
      <c r="H32" s="17">
        <v>0.84</v>
      </c>
      <c r="I32" s="18">
        <f>+H32*F32</f>
        <v>597.24</v>
      </c>
      <c r="K32" s="46"/>
      <c r="M32" s="39"/>
    </row>
    <row r="33" spans="2:13" ht="33" customHeight="1" x14ac:dyDescent="0.2">
      <c r="B33" s="41" t="s">
        <v>205</v>
      </c>
      <c r="C33" s="19" t="s">
        <v>204</v>
      </c>
      <c r="D33" s="70"/>
      <c r="E33" s="71"/>
      <c r="F33" s="70">
        <f>2072-711</f>
        <v>1361</v>
      </c>
      <c r="G33" s="71"/>
      <c r="H33" s="17">
        <v>0.84</v>
      </c>
      <c r="I33" s="18">
        <f>+H33*F33</f>
        <v>1143.24</v>
      </c>
      <c r="K33" s="46"/>
      <c r="M33" s="39"/>
    </row>
    <row r="34" spans="2:13" ht="21" customHeight="1" x14ac:dyDescent="0.2">
      <c r="B34" s="15" t="s">
        <v>15</v>
      </c>
      <c r="C34" s="15"/>
      <c r="D34" s="75"/>
      <c r="E34" s="77"/>
      <c r="F34" s="75"/>
      <c r="G34" s="77"/>
      <c r="H34" s="17"/>
      <c r="I34" s="69"/>
    </row>
    <row r="35" spans="2:13" ht="21.75" customHeight="1" x14ac:dyDescent="0.2">
      <c r="B35" s="15" t="s">
        <v>14</v>
      </c>
      <c r="C35" s="15"/>
      <c r="D35" s="86"/>
      <c r="E35" s="87"/>
      <c r="F35" s="70">
        <f>SUM(F31:G34)</f>
        <v>2072</v>
      </c>
      <c r="G35" s="71"/>
      <c r="H35" s="15"/>
      <c r="I35" s="14">
        <f>SUM(I32:I34)</f>
        <v>1740.48</v>
      </c>
      <c r="J35" s="40"/>
      <c r="K35" s="40"/>
    </row>
    <row r="36" spans="2:13" ht="21.75" customHeight="1" x14ac:dyDescent="0.2">
      <c r="B36" s="16" t="s">
        <v>13</v>
      </c>
      <c r="C36" s="15"/>
      <c r="D36" s="75"/>
      <c r="E36" s="77"/>
      <c r="F36" s="75"/>
      <c r="G36" s="77"/>
      <c r="H36" s="15"/>
      <c r="I36" s="69"/>
      <c r="J36" s="40"/>
    </row>
    <row r="37" spans="2:13" ht="21.75" customHeight="1" x14ac:dyDescent="0.2">
      <c r="B37" s="16" t="s">
        <v>12</v>
      </c>
      <c r="C37" s="15"/>
      <c r="D37" s="75"/>
      <c r="E37" s="77"/>
      <c r="F37" s="75"/>
      <c r="G37" s="77"/>
      <c r="H37" s="15"/>
      <c r="I37" s="14">
        <f>+I35</f>
        <v>1740.48</v>
      </c>
    </row>
    <row r="38" spans="2:13" ht="20.25" customHeight="1" x14ac:dyDescent="0.2">
      <c r="B38" s="15" t="s">
        <v>80</v>
      </c>
      <c r="C38" s="75" t="s">
        <v>11</v>
      </c>
      <c r="D38" s="76"/>
      <c r="E38" s="76"/>
      <c r="F38" s="76"/>
      <c r="G38" s="76"/>
      <c r="H38" s="77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1740.48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3" t="s">
        <v>7</v>
      </c>
      <c r="C47" s="83"/>
      <c r="D47" s="8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 s="20">
        <v>12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4" t="s">
        <v>1</v>
      </c>
      <c r="D56" s="84"/>
      <c r="E56" s="5"/>
      <c r="F56" s="5"/>
      <c r="G56" s="5"/>
      <c r="H56" s="5"/>
      <c r="I56" s="4"/>
    </row>
    <row r="57" spans="2:11" x14ac:dyDescent="0.2">
      <c r="B57" s="6"/>
      <c r="C57" s="85" t="s">
        <v>0</v>
      </c>
      <c r="D57" s="85"/>
      <c r="E57" s="5"/>
      <c r="F57" s="5"/>
      <c r="G57" s="5"/>
      <c r="H57" s="5"/>
      <c r="I57" s="4"/>
      <c r="K57" s="20">
        <v>12</v>
      </c>
    </row>
    <row r="58" spans="2:11" x14ac:dyDescent="0.2">
      <c r="B58" s="2"/>
      <c r="C58" s="82"/>
      <c r="D58" s="8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206</v>
      </c>
      <c r="C2" s="73"/>
      <c r="D2" s="73"/>
      <c r="E2" s="73"/>
      <c r="F2" s="73"/>
      <c r="G2" s="73"/>
      <c r="H2" s="73"/>
      <c r="I2" s="74"/>
      <c r="J2" s="64">
        <v>61997333</v>
      </c>
      <c r="K2" s="65">
        <v>1810</v>
      </c>
      <c r="L2" s="66">
        <v>23</v>
      </c>
      <c r="M2" s="66">
        <v>146.62</v>
      </c>
      <c r="N2" s="66">
        <v>150.24</v>
      </c>
      <c r="O2" s="66">
        <v>169.64</v>
      </c>
      <c r="P2" s="66" t="s">
        <v>54</v>
      </c>
      <c r="Q2" s="66">
        <v>0.98399999999999999</v>
      </c>
      <c r="R2" s="66" t="s">
        <v>62</v>
      </c>
    </row>
    <row r="3" spans="2:22" x14ac:dyDescent="0.2">
      <c r="B3" s="6" t="s">
        <v>53</v>
      </c>
      <c r="C3" s="63">
        <f>+'633'!C3+1</f>
        <v>634</v>
      </c>
      <c r="D3" s="5"/>
      <c r="E3" s="5"/>
      <c r="F3" s="5"/>
      <c r="G3" s="5" t="s">
        <v>52</v>
      </c>
      <c r="H3" s="31">
        <v>46238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61997333</v>
      </c>
      <c r="C21" s="68">
        <f>VLOOKUP($K57,reff!E2:F29,2,0)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CA</v>
      </c>
      <c r="I21" s="69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169.64</v>
      </c>
      <c r="G23" s="23">
        <f>+N2</f>
        <v>150.24</v>
      </c>
      <c r="H23" s="23">
        <f>+M2</f>
        <v>146.62</v>
      </c>
      <c r="I23" s="69">
        <f>+L2</f>
        <v>23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T-Shirt,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1" t="s">
        <v>19</v>
      </c>
      <c r="E31" s="81"/>
      <c r="F31" s="81" t="s">
        <v>18</v>
      </c>
      <c r="G31" s="81"/>
      <c r="H31" s="69" t="s">
        <v>17</v>
      </c>
      <c r="I31" s="19" t="s">
        <v>16</v>
      </c>
      <c r="M31"/>
    </row>
    <row r="32" spans="2:13" ht="24.75" customHeight="1" x14ac:dyDescent="0.2">
      <c r="B32" s="41" t="s">
        <v>180</v>
      </c>
      <c r="C32" s="19" t="s">
        <v>203</v>
      </c>
      <c r="D32" s="70"/>
      <c r="E32" s="71"/>
      <c r="F32" s="70">
        <v>600</v>
      </c>
      <c r="G32" s="71"/>
      <c r="H32" s="17">
        <v>0.84</v>
      </c>
      <c r="I32" s="18">
        <f>+H32*F32</f>
        <v>504</v>
      </c>
      <c r="K32" s="46"/>
      <c r="M32" s="39"/>
    </row>
    <row r="33" spans="2:13" ht="33" customHeight="1" x14ac:dyDescent="0.2">
      <c r="B33" s="41" t="s">
        <v>205</v>
      </c>
      <c r="C33" s="19" t="s">
        <v>204</v>
      </c>
      <c r="D33" s="70"/>
      <c r="E33" s="71"/>
      <c r="F33" s="70">
        <f>1810-600</f>
        <v>1210</v>
      </c>
      <c r="G33" s="71"/>
      <c r="H33" s="17">
        <v>0.84</v>
      </c>
      <c r="I33" s="18">
        <f>+H33*F33</f>
        <v>1016.4</v>
      </c>
      <c r="K33" s="46"/>
      <c r="M33" s="39"/>
    </row>
    <row r="34" spans="2:13" ht="21" customHeight="1" x14ac:dyDescent="0.2">
      <c r="B34" s="15" t="s">
        <v>15</v>
      </c>
      <c r="C34" s="15"/>
      <c r="D34" s="75"/>
      <c r="E34" s="77"/>
      <c r="F34" s="75"/>
      <c r="G34" s="77"/>
      <c r="H34" s="17"/>
      <c r="I34" s="69"/>
    </row>
    <row r="35" spans="2:13" ht="21.75" customHeight="1" x14ac:dyDescent="0.2">
      <c r="B35" s="15" t="s">
        <v>14</v>
      </c>
      <c r="C35" s="15"/>
      <c r="D35" s="86"/>
      <c r="E35" s="87"/>
      <c r="F35" s="70">
        <f>SUM(F32:G34)</f>
        <v>1810</v>
      </c>
      <c r="G35" s="71"/>
      <c r="H35" s="15"/>
      <c r="I35" s="14">
        <f>SUM(I32:I34)</f>
        <v>1520.4</v>
      </c>
      <c r="J35" s="40"/>
      <c r="K35" s="40"/>
    </row>
    <row r="36" spans="2:13" ht="21.75" customHeight="1" x14ac:dyDescent="0.2">
      <c r="B36" s="16" t="s">
        <v>13</v>
      </c>
      <c r="C36" s="15"/>
      <c r="D36" s="75"/>
      <c r="E36" s="77"/>
      <c r="F36" s="75"/>
      <c r="G36" s="77"/>
      <c r="H36" s="15"/>
      <c r="I36" s="69"/>
      <c r="J36" s="40"/>
    </row>
    <row r="37" spans="2:13" ht="21.75" customHeight="1" x14ac:dyDescent="0.2">
      <c r="B37" s="16" t="s">
        <v>12</v>
      </c>
      <c r="C37" s="15"/>
      <c r="D37" s="75"/>
      <c r="E37" s="77"/>
      <c r="F37" s="75"/>
      <c r="G37" s="77"/>
      <c r="H37" s="15"/>
      <c r="I37" s="14">
        <f>+I35</f>
        <v>1520.4</v>
      </c>
    </row>
    <row r="38" spans="2:13" ht="20.25" customHeight="1" x14ac:dyDescent="0.2">
      <c r="B38" s="15" t="s">
        <v>80</v>
      </c>
      <c r="C38" s="75" t="s">
        <v>11</v>
      </c>
      <c r="D38" s="76"/>
      <c r="E38" s="76"/>
      <c r="F38" s="76"/>
      <c r="G38" s="76"/>
      <c r="H38" s="77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1520.4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3" t="s">
        <v>7</v>
      </c>
      <c r="C47" s="83"/>
      <c r="D47" s="8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 s="20">
        <v>13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4" t="s">
        <v>1</v>
      </c>
      <c r="D56" s="84"/>
      <c r="E56" s="5"/>
      <c r="F56" s="5"/>
      <c r="G56" s="5"/>
      <c r="H56" s="5"/>
      <c r="I56" s="4"/>
    </row>
    <row r="57" spans="2:11" x14ac:dyDescent="0.2">
      <c r="B57" s="6"/>
      <c r="C57" s="85" t="s">
        <v>0</v>
      </c>
      <c r="D57" s="85"/>
      <c r="E57" s="5"/>
      <c r="F57" s="5"/>
      <c r="G57" s="5"/>
      <c r="H57" s="5"/>
      <c r="I57" s="4"/>
      <c r="K57" s="20">
        <v>13</v>
      </c>
    </row>
    <row r="58" spans="2:11" x14ac:dyDescent="0.2">
      <c r="B58" s="2"/>
      <c r="C58" s="82"/>
      <c r="D58" s="8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Sheet1</vt:lpstr>
      <vt:lpstr>reff</vt:lpstr>
      <vt:lpstr>622</vt:lpstr>
      <vt:lpstr>623</vt:lpstr>
      <vt:lpstr>624</vt:lpstr>
      <vt:lpstr>625</vt:lpstr>
      <vt:lpstr>626</vt:lpstr>
      <vt:lpstr>627</vt:lpstr>
      <vt:lpstr>628</vt:lpstr>
      <vt:lpstr>629</vt:lpstr>
      <vt:lpstr>630</vt:lpstr>
      <vt:lpstr>631</vt:lpstr>
      <vt:lpstr>632</vt:lpstr>
      <vt:lpstr>633</vt:lpstr>
      <vt:lpstr>634</vt:lpstr>
      <vt:lpstr>'622'!Print_Area</vt:lpstr>
      <vt:lpstr>'623'!Print_Area</vt:lpstr>
      <vt:lpstr>'624'!Print_Area</vt:lpstr>
      <vt:lpstr>'625'!Print_Area</vt:lpstr>
      <vt:lpstr>'626'!Print_Area</vt:lpstr>
      <vt:lpstr>'627'!Print_Area</vt:lpstr>
      <vt:lpstr>'628'!Print_Area</vt:lpstr>
      <vt:lpstr>'629'!Print_Area</vt:lpstr>
      <vt:lpstr>'630'!Print_Area</vt:lpstr>
      <vt:lpstr>'631'!Print_Area</vt:lpstr>
      <vt:lpstr>'632'!Print_Area</vt:lpstr>
      <vt:lpstr>'633'!Print_Area</vt:lpstr>
      <vt:lpstr>'634'!Print_Area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2026-07-22T08:53:46Z</cp:lastPrinted>
  <dcterms:created xsi:type="dcterms:W3CDTF">2024-04-17T09:56:05Z</dcterms:created>
  <dcterms:modified xsi:type="dcterms:W3CDTF">2026-07-29T01:45:35Z</dcterms:modified>
</cp:coreProperties>
</file>