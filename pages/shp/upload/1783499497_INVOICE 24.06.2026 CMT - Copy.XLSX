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admexim3-pc\0 DATA SRI\EKSPORT\1. GAP\Shipment GAP\2026\06. JUNI\24.06.2026\"/>
    </mc:Choice>
  </mc:AlternateContent>
  <xr:revisionPtr revIDLastSave="0" documentId="13_ncr:1_{3E10634E-3701-4F6F-80D1-9C07AD3AAAA7}" xr6:coauthVersionLast="47" xr6:coauthVersionMax="47" xr10:uidLastSave="{00000000-0000-0000-0000-000000000000}"/>
  <bookViews>
    <workbookView xWindow="-120" yWindow="-120" windowWidth="20730" windowHeight="11160" activeTab="2" xr2:uid="{00000000-000D-0000-FFFF-FFFF00000000}"/>
  </bookViews>
  <sheets>
    <sheet name="Sheet1" sheetId="128" r:id="rId1"/>
    <sheet name="reff" sheetId="162" r:id="rId2"/>
    <sheet name="347" sheetId="129" r:id="rId3"/>
    <sheet name="348" sheetId="133" r:id="rId4"/>
    <sheet name="349" sheetId="134" r:id="rId5"/>
  </sheets>
  <externalReferences>
    <externalReference r:id="rId6"/>
    <externalReference r:id="rId7"/>
    <externalReference r:id="rId8"/>
  </externalReferences>
  <definedNames>
    <definedName name="_box2">[1]参数!$B$3</definedName>
    <definedName name="a" localSheetId="2">[2]xdata!#REF!</definedName>
    <definedName name="a" localSheetId="3">[2]xdata!#REF!</definedName>
    <definedName name="a" localSheetId="4">[2]xdata!#REF!</definedName>
    <definedName name="a">[2]xdata!#REF!</definedName>
    <definedName name="b" localSheetId="2">[2]xdata!#REF!</definedName>
    <definedName name="b" localSheetId="3">[2]xdata!#REF!</definedName>
    <definedName name="b" localSheetId="4">[2]xdata!#REF!</definedName>
    <definedName name="b">[2]xdata!#REF!</definedName>
    <definedName name="C_O" localSheetId="2">[2]xdata!#REF!</definedName>
    <definedName name="C_O" localSheetId="3">[2]xdata!#REF!</definedName>
    <definedName name="C_O" localSheetId="4">[2]xdata!#REF!</definedName>
    <definedName name="C_O">[2]xdata!#REF!</definedName>
    <definedName name="CBM">[3]参数!$E$3</definedName>
    <definedName name="Dept_no" localSheetId="2">[2]xdata!#REF!</definedName>
    <definedName name="Dept_no" localSheetId="3">[2]xdata!#REF!</definedName>
    <definedName name="Dept_no" localSheetId="4">[2]xdata!#REF!</definedName>
    <definedName name="Dept_no">[2]xdata!#REF!</definedName>
    <definedName name="Description">[3]参数!$E$1</definedName>
    <definedName name="E_L" localSheetId="2">[2]xdata!#REF!</definedName>
    <definedName name="E_L" localSheetId="3">[2]xdata!#REF!</definedName>
    <definedName name="E_L" localSheetId="4">[2]xdata!#REF!</definedName>
    <definedName name="E_L">[2]xdata!#REF!</definedName>
    <definedName name="INVOICE">[2]xdata!$B$2</definedName>
    <definedName name="_xlnm.Print_Area" localSheetId="2">'347'!$B$1:$I$57</definedName>
    <definedName name="_xlnm.Print_Area" localSheetId="3">'348'!$B$1:$I$57</definedName>
    <definedName name="_xlnm.Print_Area" localSheetId="4">'349'!$B$1:$I$57</definedName>
    <definedName name="v" localSheetId="2">[2]xdata!#REF!</definedName>
    <definedName name="v" localSheetId="3">[2]xdata!#REF!</definedName>
    <definedName name="v" localSheetId="4">[2]xdata!#REF!</definedName>
    <definedName name="v">[2]xdata!#REF!</definedName>
    <definedName name="出货日期">[2]xdata!$B$1</definedName>
    <definedName name="单件重">[1]参数!$B$6</definedName>
    <definedName name="单净重">[3]参数!$E$5</definedName>
    <definedName name="箱尺寸">[3]参数!$E$7</definedName>
    <definedName name="箱重">[3]参数!$E$4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2" i="134" l="1"/>
  <c r="F32" i="133"/>
  <c r="I32" i="133" s="1"/>
  <c r="F32" i="129"/>
  <c r="F34" i="134" l="1"/>
  <c r="I32" i="134"/>
  <c r="I34" i="134" s="1"/>
  <c r="F34" i="133" l="1"/>
  <c r="F34" i="129" l="1"/>
  <c r="C3" i="133"/>
  <c r="H3" i="134"/>
  <c r="H3" i="133"/>
  <c r="I32" i="129" l="1"/>
  <c r="I34" i="129" s="1"/>
  <c r="B27" i="134" l="1"/>
  <c r="E21" i="129" l="1"/>
  <c r="E21" i="133" l="1"/>
  <c r="E21" i="134"/>
  <c r="C21" i="129"/>
  <c r="C21" i="134"/>
  <c r="C21" i="133"/>
  <c r="H52" i="129"/>
  <c r="H52" i="134"/>
  <c r="H52" i="133"/>
  <c r="I36" i="134" l="1"/>
  <c r="I38" i="134" s="1"/>
  <c r="I23" i="134"/>
  <c r="H23" i="134"/>
  <c r="G23" i="134"/>
  <c r="F23" i="134"/>
  <c r="E23" i="134"/>
  <c r="D21" i="134"/>
  <c r="B21" i="134"/>
  <c r="B15" i="134"/>
  <c r="G14" i="134"/>
  <c r="G15" i="134" s="1"/>
  <c r="G16" i="134" s="1"/>
  <c r="G17" i="134" s="1"/>
  <c r="H21" i="134" s="1"/>
  <c r="B16" i="134" l="1"/>
  <c r="B17" i="134" s="1"/>
  <c r="B18" i="134" s="1"/>
  <c r="C3" i="134" l="1"/>
  <c r="B27" i="133" l="1"/>
  <c r="I23" i="133"/>
  <c r="H23" i="133"/>
  <c r="G23" i="133"/>
  <c r="F23" i="133"/>
  <c r="E23" i="133"/>
  <c r="D21" i="133"/>
  <c r="B21" i="133"/>
  <c r="B15" i="133"/>
  <c r="B16" i="133" s="1"/>
  <c r="B17" i="133" s="1"/>
  <c r="B18" i="133" s="1"/>
  <c r="G14" i="133"/>
  <c r="G15" i="133" s="1"/>
  <c r="G16" i="133" s="1"/>
  <c r="G17" i="133" s="1"/>
  <c r="H21" i="133" s="1"/>
  <c r="I36" i="129"/>
  <c r="I38" i="129" s="1"/>
  <c r="B27" i="129"/>
  <c r="I23" i="129"/>
  <c r="H23" i="129"/>
  <c r="G23" i="129"/>
  <c r="F23" i="129"/>
  <c r="E23" i="129"/>
  <c r="D21" i="129"/>
  <c r="B21" i="129"/>
  <c r="B15" i="129"/>
  <c r="B16" i="129" s="1"/>
  <c r="B17" i="129" s="1"/>
  <c r="B18" i="129" s="1"/>
  <c r="G14" i="129"/>
  <c r="G15" i="129" s="1"/>
  <c r="G16" i="129" s="1"/>
  <c r="G17" i="129" s="1"/>
  <c r="H21" i="129" s="1"/>
  <c r="I34" i="133" l="1"/>
  <c r="I36" i="133" s="1"/>
  <c r="I38" i="133" s="1"/>
  <c r="L25" i="128"/>
  <c r="K12" i="128"/>
  <c r="L24" i="128" l="1"/>
  <c r="L23" i="128"/>
  <c r="L22" i="128"/>
  <c r="L21" i="128"/>
  <c r="L20" i="128"/>
  <c r="L19" i="128"/>
  <c r="L18" i="128"/>
  <c r="L17" i="128"/>
  <c r="L16" i="128"/>
  <c r="L15" i="128"/>
  <c r="L14" i="128"/>
  <c r="L13" i="128"/>
  <c r="L12" i="128"/>
  <c r="L11" i="128"/>
  <c r="L10" i="128"/>
  <c r="L9" i="128"/>
  <c r="L8" i="128"/>
  <c r="L7" i="128"/>
  <c r="L6" i="128"/>
  <c r="L5" i="128"/>
  <c r="K11" i="128"/>
  <c r="K10" i="128"/>
  <c r="K9" i="128"/>
  <c r="K8" i="128"/>
  <c r="K7" i="128"/>
  <c r="K6" i="128"/>
  <c r="K5" i="128"/>
  <c r="B18" i="128"/>
  <c r="B17" i="128"/>
</calcChain>
</file>

<file path=xl/sharedStrings.xml><?xml version="1.0" encoding="utf-8"?>
<sst xmlns="http://schemas.openxmlformats.org/spreadsheetml/2006/main" count="398" uniqueCount="186">
  <si>
    <t>Exim Manager</t>
  </si>
  <si>
    <t>Yus Yulius</t>
  </si>
  <si>
    <t xml:space="preserve">REFF </t>
  </si>
  <si>
    <t>Prepare's Name</t>
  </si>
  <si>
    <t>I hereby certify that all information provided is true and correct</t>
  </si>
  <si>
    <t>KABUPATEN BANDUNG 40382 JABAR , INDONESIA</t>
  </si>
  <si>
    <t>JL RAYA RANCAEKEK-MAJALAYA NO 289 , SOLOKAN JERUK- MAJALAYA</t>
  </si>
  <si>
    <t>PT NIRWANA ALABARE GARMENT</t>
  </si>
  <si>
    <t>Manufacturer Information</t>
  </si>
  <si>
    <t>Invoice Notes :</t>
  </si>
  <si>
    <t>Net Invoice Total</t>
  </si>
  <si>
    <t>Less early Payment discount of 5% per term and conditions of the purchase order(s)</t>
  </si>
  <si>
    <t>Gross Invoice Sub total</t>
  </si>
  <si>
    <t>Hard Tag Cost</t>
  </si>
  <si>
    <t>Sub Total</t>
  </si>
  <si>
    <t>Total Dozens</t>
  </si>
  <si>
    <t>Extended Line Total</t>
  </si>
  <si>
    <t>Unit Cost</t>
  </si>
  <si>
    <t>Quantity Invoiced (Each)</t>
  </si>
  <si>
    <t>Total Pieces (Custom Units)</t>
  </si>
  <si>
    <t>Color Name</t>
  </si>
  <si>
    <t>Color Code</t>
  </si>
  <si>
    <t>Invoice Summary</t>
  </si>
  <si>
    <t>Product Description</t>
  </si>
  <si>
    <t>JAKARTA,ID</t>
  </si>
  <si>
    <t>OCEAN</t>
  </si>
  <si>
    <t>Total Carton</t>
  </si>
  <si>
    <t>Total Net Net Weight(KGS)</t>
  </si>
  <si>
    <t>Total Net Weight(KGS)</t>
  </si>
  <si>
    <t>Total Gross Weight(KGS)</t>
  </si>
  <si>
    <t>Port Of Loading</t>
  </si>
  <si>
    <t>Transfer Point</t>
  </si>
  <si>
    <t>Term of Sale</t>
  </si>
  <si>
    <t>Ship Mode</t>
  </si>
  <si>
    <t>ID</t>
  </si>
  <si>
    <t>USD</t>
  </si>
  <si>
    <t xml:space="preserve">Country of origin </t>
  </si>
  <si>
    <t>Final Destination</t>
  </si>
  <si>
    <t>Payment Term</t>
  </si>
  <si>
    <t>Currency</t>
  </si>
  <si>
    <t>Chanel Description</t>
  </si>
  <si>
    <t>Brand</t>
  </si>
  <si>
    <t>Style NO</t>
  </si>
  <si>
    <t>Dest Purchase</t>
  </si>
  <si>
    <t>SHIP TO :</t>
  </si>
  <si>
    <t>PURCHASER</t>
  </si>
  <si>
    <t>JAWABARAT 40382 INDONESIA</t>
  </si>
  <si>
    <t>KABUPATEN BANDUNG</t>
  </si>
  <si>
    <t xml:space="preserve">SOLOKAN JERUK - MAJALAYA </t>
  </si>
  <si>
    <t>JL RAYA RAANCAEKEK - MAJALAYA NO 289</t>
  </si>
  <si>
    <t xml:space="preserve">PT NIRWANA ALABARE GARMENT </t>
  </si>
  <si>
    <t xml:space="preserve">SELLER </t>
  </si>
  <si>
    <t>DATE</t>
  </si>
  <si>
    <t>INVOICE NO :</t>
  </si>
  <si>
    <t>KG</t>
  </si>
  <si>
    <t>Vol</t>
  </si>
  <si>
    <t>Unit</t>
  </si>
  <si>
    <t>Gross</t>
  </si>
  <si>
    <t>Net</t>
  </si>
  <si>
    <t>Net Net</t>
  </si>
  <si>
    <t>Pkg Count</t>
  </si>
  <si>
    <t>Item Qty</t>
  </si>
  <si>
    <t>CBM</t>
  </si>
  <si>
    <t xml:space="preserve"> </t>
  </si>
  <si>
    <t>OLD NAVY, LLC</t>
  </si>
  <si>
    <t>2 FOLSOM STREET</t>
  </si>
  <si>
    <t>SAN FRANCISCO, CALIFORNIA</t>
  </si>
  <si>
    <t>UNITED STATES</t>
  </si>
  <si>
    <t>110 MERRITT BLVD</t>
  </si>
  <si>
    <t>FISHKILL, NY</t>
  </si>
  <si>
    <t>OLD NAVY (CANADA) INC.</t>
  </si>
  <si>
    <t>9500 MCLAUGHLIN ROAD N</t>
  </si>
  <si>
    <t>BRAMPTON, ONTARIO</t>
  </si>
  <si>
    <t>L6X 0B8</t>
  </si>
  <si>
    <t>CANADA</t>
  </si>
  <si>
    <t>94105</t>
  </si>
  <si>
    <t>12524</t>
  </si>
  <si>
    <t>6001 GREEN POINTE DR S</t>
  </si>
  <si>
    <t>GROVEPORT, OH</t>
  </si>
  <si>
    <t>43125</t>
  </si>
  <si>
    <t>Discount</t>
  </si>
  <si>
    <t>SHIP FROM</t>
  </si>
  <si>
    <t>KANMAX ENTERPRISES LTD</t>
  </si>
  <si>
    <t>60 PAYA LEBAR ROAD</t>
  </si>
  <si>
    <t>#04-21 PAYA LEBAR SQUARE</t>
  </si>
  <si>
    <t>409051 SINGAPORE</t>
  </si>
  <si>
    <t>(NO FS)</t>
  </si>
  <si>
    <t>FISHKILL NY ONLINE-0007</t>
  </si>
  <si>
    <t>OHO OHIO OMNI-0016</t>
  </si>
  <si>
    <t>CANADA OMNI CAO-0040</t>
  </si>
  <si>
    <t>MDC OLD NAVY, LLC</t>
  </si>
  <si>
    <t>9271 MERIDIAN WAY</t>
  </si>
  <si>
    <t>WEST CHESTER, OH</t>
  </si>
  <si>
    <t>45069</t>
  </si>
  <si>
    <t>Buyer</t>
  </si>
  <si>
    <t>Seller</t>
  </si>
  <si>
    <t>SINGAPORE</t>
  </si>
  <si>
    <t>409051</t>
  </si>
  <si>
    <t>ODC-0018</t>
  </si>
  <si>
    <t>WESTERN OMNI WEO-0008</t>
  </si>
  <si>
    <t>3400 NORTH GAP DR</t>
  </si>
  <si>
    <t>FRESNO, CA</t>
  </si>
  <si>
    <t>93727</t>
  </si>
  <si>
    <t>FDC-0026</t>
  </si>
  <si>
    <t>3685 NORTH GAP DRIVE</t>
  </si>
  <si>
    <t>LVO LONGVIEW OMNI-0047</t>
  </si>
  <si>
    <t>5401 MICKEY MELTON BLD</t>
  </si>
  <si>
    <t>LONGVIEW, TX</t>
  </si>
  <si>
    <t>75605</t>
  </si>
  <si>
    <t>SDC-0017</t>
  </si>
  <si>
    <t>100 GAP BOULEVARD</t>
  </si>
  <si>
    <t>GALLATIN, TN</t>
  </si>
  <si>
    <t>37066</t>
  </si>
  <si>
    <t>EXPEDITORS INTL LRD OLD NAVY, LLC</t>
  </si>
  <si>
    <t>8510 BOB BULLOCK LOOP</t>
  </si>
  <si>
    <t>LAREDO, TX</t>
  </si>
  <si>
    <t>78045</t>
  </si>
  <si>
    <t>GPS STRATEGIC ALLIANCES, LLC</t>
  </si>
  <si>
    <t>55 THOMAS ST</t>
  </si>
  <si>
    <t>NEW YORK, NY</t>
  </si>
  <si>
    <t>10013</t>
  </si>
  <si>
    <t>MULTIBRAND WHLSL GPS STRATEGIC ALLIANCES, LLC</t>
  </si>
  <si>
    <t>AVENIDA RANDOLPH</t>
  </si>
  <si>
    <t>MANZANA 10</t>
  </si>
  <si>
    <t>COLON FREE ZONE</t>
  </si>
  <si>
    <t>PANAMA</t>
  </si>
  <si>
    <t>BDC-0015</t>
  </si>
  <si>
    <t>GAP (UK HOLDINGS) LIMITED</t>
  </si>
  <si>
    <t>13TH FLOOR, ONE ANGEL COURT</t>
  </si>
  <si>
    <t>LONDON, UNITED KINGDOM</t>
  </si>
  <si>
    <t>EC2R 7HJ</t>
  </si>
  <si>
    <t>UNITED KINGDOM</t>
  </si>
  <si>
    <t>HKG DC</t>
  </si>
  <si>
    <t>55 WING KEI ROAD, KWAI CHUNG, NT</t>
  </si>
  <si>
    <t>HONG KONG</t>
  </si>
  <si>
    <t xml:space="preserve">COMPARTMENT 1503, 15/F, </t>
  </si>
  <si>
    <t>KERRY CARGO CENTRE,</t>
  </si>
  <si>
    <t>CHARLES'S WAIN WORLDWIDE CORP</t>
  </si>
  <si>
    <t>8A JALAN HARMONIUM 35/2</t>
  </si>
  <si>
    <t>TAMAN DESA TERBAU, JOHOR BAHRU</t>
  </si>
  <si>
    <t>MALAYSIA</t>
  </si>
  <si>
    <t>JOHOR 81100</t>
  </si>
  <si>
    <t>GAP EUROPE LIMITED</t>
  </si>
  <si>
    <t>13TH FLOOR,ONE ANGEL COURT</t>
  </si>
  <si>
    <t>LONDON</t>
  </si>
  <si>
    <t>EDC(EU FRANCHISE HUB)</t>
  </si>
  <si>
    <t>SESE NETHERLANDS B.V</t>
  </si>
  <si>
    <t>KAAPSTADWEG 38A</t>
  </si>
  <si>
    <t>THE NETHERLANDS</t>
  </si>
  <si>
    <t>NETHERLANDS</t>
  </si>
  <si>
    <t>EXPEDITORS INT'L GPS STRATEGIC ALLIANCES, LLC</t>
  </si>
  <si>
    <t>AL TAYER HC-3 &amp; H4</t>
  </si>
  <si>
    <t>JEBEL ALI FZE</t>
  </si>
  <si>
    <t>DUBAI</t>
  </si>
  <si>
    <t>UNITED ARAB EMIRATES</t>
  </si>
  <si>
    <t>THE GAP, INC.</t>
  </si>
  <si>
    <t>PFC -0024</t>
  </si>
  <si>
    <t>2225 S 75TH AVE</t>
  </si>
  <si>
    <t>PHOENIX, AZ</t>
  </si>
  <si>
    <t>85043</t>
  </si>
  <si>
    <t>TDC - 0020</t>
  </si>
  <si>
    <t>200 GAP BLVD.</t>
  </si>
  <si>
    <t>US EASTERN EAO-0004</t>
  </si>
  <si>
    <t>100 MERRITT BOULEVARD</t>
  </si>
  <si>
    <t>NDC-0028</t>
  </si>
  <si>
    <t>PDC-0014</t>
  </si>
  <si>
    <t>3400 NORTH GAP DR.</t>
  </si>
  <si>
    <t>GAP JAPAN K.K.</t>
  </si>
  <si>
    <t>32-10 SENDAGAYA, 5-CHOME</t>
  </si>
  <si>
    <t>SHIBUYA-KU</t>
  </si>
  <si>
    <t>TOKYO, TOKYO [TOKYO]</t>
  </si>
  <si>
    <t>151-0051 JAPAN</t>
  </si>
  <si>
    <t>JPD-0030</t>
  </si>
  <si>
    <t>15-27 CHIDORI</t>
  </si>
  <si>
    <t>URAYASU, TIBA [CHIBA]</t>
  </si>
  <si>
    <t>279-0032</t>
  </si>
  <si>
    <t>JAPAN</t>
  </si>
  <si>
    <t>Online</t>
  </si>
  <si>
    <t>265K0075</t>
  </si>
  <si>
    <t>13, 15</t>
  </si>
  <si>
    <t>BLACK COFFEE, BLACK JACK 3</t>
  </si>
  <si>
    <t>WOMENS COTTON FIBERS, KNIT PULLOVER, WITH NO NECK CLOSURE, STITCH COUNT IS GREATER THAN 9/2CM, REACHES WAIST, SLEEVELESS [96% COTTON 4% SPANDEX]</t>
  </si>
  <si>
    <t>BLUSH ON YOU</t>
  </si>
  <si>
    <t>SHOOTING STAR</t>
  </si>
  <si>
    <t>22</t>
  </si>
  <si>
    <t>COMERCIAL INVOICE CMT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</si>
</sst>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&quot;$&quot;* #,##0.00_);_(&quot;$&quot;* \(#,##0.00\);_(&quot;$&quot;* &quot;-&quot;??_);_(@_)"/>
    <numFmt numFmtId="165" formatCode="#,###\ &quot;PCS&quot;"/>
    <numFmt numFmtId="166" formatCode="#,##0.000"/>
    <numFmt numFmtId="167" formatCode="[$-409]d\-mmm\-yy;@"/>
    <numFmt numFmtId="168" formatCode="000#&quot;ENAG0625&quot;"/>
    <numFmt numFmtId="169" formatCode="000#&quot;ENAG0626&quot;"/>
  </numFmts>
  <fonts count="16" x14ac:knownFonts="1"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color rgb="FF1A1A1A"/>
      <name val="Arial"/>
      <family val="2"/>
    </font>
    <font>
      <b/>
      <sz val="12"/>
      <name val="Arial"/>
      <family val="2"/>
    </font>
    <font>
      <sz val="12"/>
      <name val="Calibri"/>
      <family val="2"/>
    </font>
    <font>
      <sz val="20"/>
      <name val="Calibri"/>
      <family val="2"/>
    </font>
    <font>
      <b/>
      <sz val="11"/>
      <color rgb="FF1A1A1A"/>
      <name val="Arial"/>
      <family val="2"/>
    </font>
    <font>
      <sz val="14"/>
      <name val="Calibri"/>
      <family val="2"/>
    </font>
    <font>
      <sz val="18"/>
      <name val="Calibri"/>
      <family val="2"/>
    </font>
    <font>
      <sz val="12"/>
      <name val="Arial"/>
      <family val="2"/>
    </font>
    <font>
      <sz val="12"/>
      <color theme="1"/>
      <name val="Cambria"/>
      <family val="1"/>
    </font>
    <font>
      <b/>
      <sz val="11"/>
      <color rgb="FF292929"/>
      <name val="Arial"/>
      <family val="2"/>
    </font>
    <font>
      <b/>
      <sz val="11"/>
      <color rgb="FF161618"/>
      <name val="Arial"/>
      <family val="2"/>
    </font>
    <font>
      <sz val="11"/>
      <color rgb="FF1A1A1A"/>
      <name val="Source Sans Pro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-0.249977111117893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2" fillId="2" borderId="0" xfId="0" quotePrefix="1" applyFont="1" applyFill="1" applyBorder="1" applyAlignment="1">
      <alignment horizontal="center" vertical="center"/>
    </xf>
    <xf numFmtId="0" fontId="2" fillId="2" borderId="4" xfId="0" applyFont="1" applyFill="1" applyBorder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164" fontId="3" fillId="0" borderId="11" xfId="0" applyNumberFormat="1" applyFont="1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wrapText="1"/>
    </xf>
    <xf numFmtId="2" fontId="0" fillId="0" borderId="11" xfId="0" applyNumberFormat="1" applyBorder="1" applyAlignment="1">
      <alignment horizontal="center" vertical="center"/>
    </xf>
    <xf numFmtId="164" fontId="0" fillId="0" borderId="11" xfId="1" applyFont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quotePrefix="1" applyBorder="1"/>
    <xf numFmtId="0" fontId="0" fillId="0" borderId="0" xfId="0" applyNumberFormat="1" applyBorder="1"/>
    <xf numFmtId="166" fontId="0" fillId="0" borderId="11" xfId="0" applyNumberFormat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0" fillId="0" borderId="5" xfId="0" applyBorder="1" applyAlignment="1">
      <alignment horizontal="left"/>
    </xf>
    <xf numFmtId="0" fontId="3" fillId="0" borderId="0" xfId="0" applyFont="1" applyBorder="1"/>
    <xf numFmtId="0" fontId="3" fillId="0" borderId="5" xfId="0" applyFont="1" applyBorder="1"/>
    <xf numFmtId="167" fontId="0" fillId="0" borderId="0" xfId="0" applyNumberFormat="1" applyBorder="1"/>
    <xf numFmtId="0" fontId="6" fillId="0" borderId="0" xfId="0" applyFont="1" applyBorder="1"/>
    <xf numFmtId="0" fontId="7" fillId="0" borderId="0" xfId="0" applyFont="1" applyBorder="1" applyAlignment="1">
      <alignment horizontal="center" wrapText="1"/>
    </xf>
    <xf numFmtId="0" fontId="8" fillId="3" borderId="0" xfId="0" applyFont="1" applyFill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0" fontId="10" fillId="0" borderId="15" xfId="0" applyFont="1" applyBorder="1" applyAlignment="1">
      <alignment vertical="center" wrapText="1"/>
    </xf>
    <xf numFmtId="0" fontId="10" fillId="0" borderId="16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164" fontId="0" fillId="0" borderId="0" xfId="0" applyNumberFormat="1"/>
    <xf numFmtId="4" fontId="0" fillId="0" borderId="0" xfId="0" applyNumberFormat="1"/>
    <xf numFmtId="0" fontId="0" fillId="0" borderId="11" xfId="0" quotePrefix="1" applyBorder="1" applyAlignment="1">
      <alignment horizontal="center" vertical="center" wrapText="1"/>
    </xf>
    <xf numFmtId="0" fontId="11" fillId="2" borderId="0" xfId="0" applyFont="1" applyFill="1" applyBorder="1" applyAlignment="1">
      <alignment horizontal="center" vertical="center"/>
    </xf>
    <xf numFmtId="168" fontId="0" fillId="0" borderId="4" xfId="0" applyNumberFormat="1" applyBorder="1"/>
    <xf numFmtId="0" fontId="3" fillId="0" borderId="0" xfId="0" applyFont="1"/>
    <xf numFmtId="0" fontId="0" fillId="0" borderId="11" xfId="0" applyBorder="1" applyAlignment="1">
      <alignment horizontal="right" vertical="center"/>
    </xf>
    <xf numFmtId="166" fontId="0" fillId="0" borderId="0" xfId="0" applyNumberFormat="1"/>
    <xf numFmtId="0" fontId="12" fillId="0" borderId="1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4" borderId="0" xfId="0" applyFill="1"/>
    <xf numFmtId="0" fontId="0" fillId="0" borderId="21" xfId="0" applyBorder="1"/>
    <xf numFmtId="0" fontId="0" fillId="0" borderId="21" xfId="0" quotePrefix="1" applyBorder="1"/>
    <xf numFmtId="0" fontId="0" fillId="0" borderId="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0" xfId="0" quotePrefix="1" applyNumberFormat="1"/>
    <xf numFmtId="0" fontId="13" fillId="0" borderId="0" xfId="0" applyFont="1"/>
    <xf numFmtId="169" fontId="0" fillId="0" borderId="0" xfId="0" quotePrefix="1" applyNumberFormat="1" applyBorder="1" applyAlignment="1">
      <alignment horizontal="left"/>
    </xf>
    <xf numFmtId="0" fontId="14" fillId="0" borderId="0" xfId="0" applyFont="1"/>
    <xf numFmtId="0" fontId="15" fillId="3" borderId="0" xfId="0" applyFont="1" applyFill="1" applyAlignment="1">
      <alignment horizontal="left" vertical="center" wrapText="1"/>
    </xf>
    <xf numFmtId="3" fontId="15" fillId="3" borderId="0" xfId="0" applyNumberFormat="1" applyFont="1" applyFill="1" applyAlignment="1">
      <alignment horizontal="right" vertical="center" wrapText="1"/>
    </xf>
    <xf numFmtId="0" fontId="15" fillId="3" borderId="0" xfId="0" applyFont="1" applyFill="1" applyAlignment="1">
      <alignment horizontal="right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quotePrefix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/>
    </xf>
    <xf numFmtId="165" fontId="0" fillId="0" borderId="14" xfId="0" applyNumberFormat="1" applyBorder="1" applyAlignment="1">
      <alignment horizontal="center" vertical="center"/>
    </xf>
    <xf numFmtId="165" fontId="0" fillId="0" borderId="12" xfId="0" applyNumberFormat="1" applyBorder="1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75511</xdr:rowOff>
    </xdr:from>
    <xdr:ext cx="7027051" cy="1007943"/>
    <xdr:pic>
      <xdr:nvPicPr>
        <xdr:cNvPr id="2" name="Picture 5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7700" y="75511"/>
          <a:ext cx="7027051" cy="10079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 editAs="oneCell">
    <xdr:from>
      <xdr:col>1</xdr:col>
      <xdr:colOff>752475</xdr:colOff>
      <xdr:row>47</xdr:row>
      <xdr:rowOff>9525</xdr:rowOff>
    </xdr:from>
    <xdr:to>
      <xdr:col>4</xdr:col>
      <xdr:colOff>322160</xdr:colOff>
      <xdr:row>55</xdr:row>
      <xdr:rowOff>104776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2075" y="10753725"/>
          <a:ext cx="2846285" cy="139065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Users\JessicaTan\AppData\Local\Temp\wz4df8\1.22%20AM42,AM45B\&#32479;&#35745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dmexim3-pc\SCAN\DATA%20EXPORT%20UPDATE\2021\Export%20November%202021\Walmart%20Jegging%202021\Walmart%20Jegging%20shipment%203\Final%20Document\DRAFT%20SHIP%20DOC%20INITIAL%20GINGHAM%208%20NOV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arper\Sharper\Sharper\&#33337;&#21153;&#25991;&#20214;\4.&#21033;&#20016;\1.1%20QUELLE%20Germany\1.1%20Shipping%20docs(&#26631;&#20934;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报关"/>
      <sheetName val="码数统计 (2)"/>
      <sheetName val="CLP"/>
      <sheetName val="Invoice"/>
      <sheetName val="码数统计"/>
      <sheetName val="参数"/>
      <sheetName val="批次"/>
      <sheetName val="Booking1"/>
      <sheetName val="登记表"/>
    </sheetNames>
    <sheetDataSet>
      <sheetData sheetId="0"/>
      <sheetData sheetId="1"/>
      <sheetData sheetId="2"/>
      <sheetData sheetId="3"/>
      <sheetData sheetId="4"/>
      <sheetData sheetId="5">
        <row r="3">
          <cell r="B3" t="str">
            <v>53X48X9 CM</v>
          </cell>
        </row>
        <row r="6">
          <cell r="B6">
            <v>0.17</v>
          </cell>
        </row>
      </sheetData>
      <sheetData sheetId="6"/>
      <sheetData sheetId="7"/>
      <sheetData sheetId="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xdata"/>
      <sheetName val="1.INVOICE"/>
      <sheetName val="2.HANGER INVOICE"/>
      <sheetName val="3.PL CONTAINER 1 INI"/>
      <sheetName val="4.FS COVER"/>
      <sheetName val="PLIST CONT 2 INI"/>
      <sheetName val="7.FACTORY CO"/>
      <sheetName val="Container Load Plan"/>
      <sheetName val="Sheet1"/>
      <sheetName val="CONTAINER DETAIL"/>
    </sheetNames>
    <sheetDataSet>
      <sheetData sheetId="0">
        <row r="1">
          <cell r="B1">
            <v>44511</v>
          </cell>
        </row>
        <row r="2">
          <cell r="B2" t="str">
            <v>YTK2110003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参数"/>
      <sheetName val="invoice"/>
      <sheetName val="packing"/>
      <sheetName val="Schedule 2"/>
      <sheetName val="DN打印"/>
    </sheetNames>
    <sheetDataSet>
      <sheetData sheetId="0" refreshError="1">
        <row r="1">
          <cell r="E1" t="str">
            <v>LADIES' 100% COTTON WOVEN BLOUSE</v>
          </cell>
        </row>
        <row r="3">
          <cell r="E3">
            <v>7.1999999999999995E-2</v>
          </cell>
        </row>
        <row r="4">
          <cell r="E4">
            <v>1</v>
          </cell>
        </row>
        <row r="5">
          <cell r="E5">
            <v>0.25</v>
          </cell>
        </row>
        <row r="7">
          <cell r="E7" t="str">
            <v>60X40X30 CM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51"/>
  <sheetViews>
    <sheetView workbookViewId="0">
      <selection activeCell="K4" sqref="K4"/>
    </sheetView>
  </sheetViews>
  <sheetFormatPr defaultRowHeight="12.75" x14ac:dyDescent="0.2"/>
  <cols>
    <col min="1" max="1" width="3.5703125" customWidth="1"/>
    <col min="2" max="2" width="36.42578125" bestFit="1" customWidth="1"/>
    <col min="3" max="3" width="2.140625" style="50" customWidth="1"/>
    <col min="4" max="4" width="31.5703125" customWidth="1"/>
    <col min="5" max="5" width="2.140625" style="50" customWidth="1"/>
    <col min="6" max="8" width="26.7109375" customWidth="1"/>
    <col min="9" max="9" width="51.7109375" bestFit="1" customWidth="1"/>
    <col min="10" max="10" width="4.28515625" customWidth="1"/>
    <col min="11" max="11" width="31.7109375" bestFit="1" customWidth="1"/>
  </cols>
  <sheetData>
    <row r="3" spans="2:12" x14ac:dyDescent="0.2">
      <c r="B3" t="s">
        <v>95</v>
      </c>
      <c r="D3" t="s">
        <v>94</v>
      </c>
      <c r="F3" t="s">
        <v>37</v>
      </c>
    </row>
    <row r="5" spans="2:12" x14ac:dyDescent="0.2">
      <c r="B5" s="10" t="s">
        <v>82</v>
      </c>
      <c r="D5" s="10" t="s">
        <v>64</v>
      </c>
      <c r="F5" s="10" t="s">
        <v>87</v>
      </c>
      <c r="G5" s="10" t="s">
        <v>98</v>
      </c>
      <c r="H5" s="10" t="s">
        <v>88</v>
      </c>
      <c r="I5" s="10" t="s">
        <v>99</v>
      </c>
      <c r="K5" t="str">
        <f>D5</f>
        <v>OLD NAVY, LLC</v>
      </c>
      <c r="L5" t="str">
        <f>F5</f>
        <v>FISHKILL NY ONLINE-0007</v>
      </c>
    </row>
    <row r="6" spans="2:12" x14ac:dyDescent="0.2">
      <c r="B6" s="51" t="s">
        <v>83</v>
      </c>
      <c r="D6" s="51" t="s">
        <v>65</v>
      </c>
      <c r="F6" s="51" t="s">
        <v>68</v>
      </c>
      <c r="G6" s="51" t="s">
        <v>68</v>
      </c>
      <c r="H6" s="51" t="s">
        <v>77</v>
      </c>
      <c r="I6" s="51" t="s">
        <v>100</v>
      </c>
      <c r="K6" t="str">
        <f>D11</f>
        <v>GPS STRATEGIC ALLIANCES, LLC</v>
      </c>
      <c r="L6" t="str">
        <f>G5</f>
        <v>ODC-0018</v>
      </c>
    </row>
    <row r="7" spans="2:12" x14ac:dyDescent="0.2">
      <c r="B7" s="51" t="s">
        <v>84</v>
      </c>
      <c r="D7" s="51" t="s">
        <v>66</v>
      </c>
      <c r="F7" s="51" t="s">
        <v>69</v>
      </c>
      <c r="G7" s="51" t="s">
        <v>69</v>
      </c>
      <c r="H7" s="51" t="s">
        <v>78</v>
      </c>
      <c r="I7" s="51" t="s">
        <v>101</v>
      </c>
      <c r="K7" t="str">
        <f>D17</f>
        <v>OLD NAVY (CANADA) INC.</v>
      </c>
      <c r="L7" t="str">
        <f>H5</f>
        <v>OHO OHIO OMNI-0016</v>
      </c>
    </row>
    <row r="8" spans="2:12" x14ac:dyDescent="0.2">
      <c r="B8" s="52" t="s">
        <v>97</v>
      </c>
      <c r="D8" s="52" t="s">
        <v>75</v>
      </c>
      <c r="F8" s="52" t="s">
        <v>76</v>
      </c>
      <c r="G8" s="52" t="s">
        <v>76</v>
      </c>
      <c r="H8" s="52" t="s">
        <v>79</v>
      </c>
      <c r="I8" s="52" t="s">
        <v>102</v>
      </c>
      <c r="K8" t="str">
        <f>D23</f>
        <v>GAP (UK HOLDINGS) LIMITED</v>
      </c>
      <c r="L8" t="str">
        <f>I5</f>
        <v>WESTERN OMNI WEO-0008</v>
      </c>
    </row>
    <row r="9" spans="2:12" x14ac:dyDescent="0.2">
      <c r="B9" s="9" t="s">
        <v>96</v>
      </c>
      <c r="D9" s="9" t="s">
        <v>67</v>
      </c>
      <c r="F9" s="9" t="s">
        <v>67</v>
      </c>
      <c r="G9" s="9" t="s">
        <v>67</v>
      </c>
      <c r="H9" s="9" t="s">
        <v>67</v>
      </c>
      <c r="I9" s="9" t="s">
        <v>67</v>
      </c>
      <c r="K9" t="str">
        <f>D29</f>
        <v>GAP EUROPE LIMITED</v>
      </c>
      <c r="L9" t="str">
        <f>F11</f>
        <v>FDC-0026</v>
      </c>
    </row>
    <row r="10" spans="2:12" x14ac:dyDescent="0.2">
      <c r="K10" t="str">
        <f>D35</f>
        <v>GPS STRATEGIC ALLIANCES, LLC</v>
      </c>
      <c r="L10" t="str">
        <f>G11</f>
        <v>LVO LONGVIEW OMNI-0047</v>
      </c>
    </row>
    <row r="11" spans="2:12" x14ac:dyDescent="0.2">
      <c r="B11" s="10" t="s">
        <v>137</v>
      </c>
      <c r="D11" s="10" t="s">
        <v>117</v>
      </c>
      <c r="F11" s="10" t="s">
        <v>103</v>
      </c>
      <c r="G11" s="10" t="s">
        <v>105</v>
      </c>
      <c r="H11" s="10" t="s">
        <v>109</v>
      </c>
      <c r="I11" s="10" t="s">
        <v>113</v>
      </c>
      <c r="K11" t="str">
        <f>D41</f>
        <v>THE GAP, INC.</v>
      </c>
      <c r="L11" t="str">
        <f>H11</f>
        <v>SDC-0017</v>
      </c>
    </row>
    <row r="12" spans="2:12" x14ac:dyDescent="0.2">
      <c r="B12" s="51" t="s">
        <v>138</v>
      </c>
      <c r="D12" s="51" t="s">
        <v>118</v>
      </c>
      <c r="F12" s="51" t="s">
        <v>104</v>
      </c>
      <c r="G12" s="51" t="s">
        <v>106</v>
      </c>
      <c r="H12" s="51" t="s">
        <v>110</v>
      </c>
      <c r="I12" s="51" t="s">
        <v>114</v>
      </c>
      <c r="K12" t="str">
        <f>D47</f>
        <v>GAP JAPAN K.K.</v>
      </c>
      <c r="L12" t="str">
        <f>I11</f>
        <v>EXPEDITORS INTL LRD OLD NAVY, LLC</v>
      </c>
    </row>
    <row r="13" spans="2:12" x14ac:dyDescent="0.2">
      <c r="B13" s="51" t="s">
        <v>139</v>
      </c>
      <c r="D13" s="51" t="s">
        <v>119</v>
      </c>
      <c r="F13" s="51" t="s">
        <v>101</v>
      </c>
      <c r="G13" s="51" t="s">
        <v>107</v>
      </c>
      <c r="H13" s="51" t="s">
        <v>111</v>
      </c>
      <c r="I13" s="51" t="s">
        <v>115</v>
      </c>
      <c r="L13" t="str">
        <f>F17</f>
        <v>BDC-0015</v>
      </c>
    </row>
    <row r="14" spans="2:12" x14ac:dyDescent="0.2">
      <c r="B14" s="51" t="s">
        <v>141</v>
      </c>
      <c r="D14" s="52" t="s">
        <v>120</v>
      </c>
      <c r="F14" s="52" t="s">
        <v>102</v>
      </c>
      <c r="G14" s="52" t="s">
        <v>108</v>
      </c>
      <c r="H14" s="52" t="s">
        <v>112</v>
      </c>
      <c r="I14" s="52" t="s">
        <v>116</v>
      </c>
      <c r="L14" t="str">
        <f>G17</f>
        <v>CANADA OMNI CAO-0040</v>
      </c>
    </row>
    <row r="15" spans="2:12" x14ac:dyDescent="0.2">
      <c r="B15" s="9" t="s">
        <v>140</v>
      </c>
      <c r="D15" s="9" t="s">
        <v>67</v>
      </c>
      <c r="F15" s="9" t="s">
        <v>67</v>
      </c>
      <c r="G15" s="9" t="s">
        <v>67</v>
      </c>
      <c r="H15" s="9" t="s">
        <v>67</v>
      </c>
      <c r="I15" s="9" t="s">
        <v>67</v>
      </c>
      <c r="L15" t="str">
        <f>H17</f>
        <v>MDC OLD NAVY, LLC</v>
      </c>
    </row>
    <row r="16" spans="2:12" x14ac:dyDescent="0.2">
      <c r="L16" t="str">
        <f>I17</f>
        <v>MULTIBRAND WHLSL GPS STRATEGIC ALLIANCES, LLC</v>
      </c>
    </row>
    <row r="17" spans="2:12" x14ac:dyDescent="0.2">
      <c r="B17" t="str">
        <f>B5</f>
        <v>KANMAX ENTERPRISES LTD</v>
      </c>
      <c r="D17" s="10" t="s">
        <v>70</v>
      </c>
      <c r="F17" s="10" t="s">
        <v>126</v>
      </c>
      <c r="G17" s="10" t="s">
        <v>89</v>
      </c>
      <c r="H17" s="10" t="s">
        <v>90</v>
      </c>
      <c r="I17" s="10" t="s">
        <v>121</v>
      </c>
      <c r="L17" t="str">
        <f>F23</f>
        <v>HKG DC</v>
      </c>
    </row>
    <row r="18" spans="2:12" x14ac:dyDescent="0.2">
      <c r="B18" t="str">
        <f>B11</f>
        <v>CHARLES'S WAIN WORLDWIDE CORP</v>
      </c>
      <c r="D18" s="51" t="s">
        <v>71</v>
      </c>
      <c r="F18" s="51" t="s">
        <v>71</v>
      </c>
      <c r="G18" s="51" t="s">
        <v>71</v>
      </c>
      <c r="H18" s="51" t="s">
        <v>91</v>
      </c>
      <c r="I18" s="51" t="s">
        <v>122</v>
      </c>
      <c r="L18" t="str">
        <f>G23</f>
        <v>EDC(EU FRANCHISE HUB)</v>
      </c>
    </row>
    <row r="19" spans="2:12" x14ac:dyDescent="0.2">
      <c r="D19" s="51" t="s">
        <v>72</v>
      </c>
      <c r="F19" s="51" t="s">
        <v>72</v>
      </c>
      <c r="G19" s="51" t="s">
        <v>72</v>
      </c>
      <c r="H19" s="51" t="s">
        <v>92</v>
      </c>
      <c r="I19" s="51" t="s">
        <v>123</v>
      </c>
      <c r="L19" t="str">
        <f>H23</f>
        <v>EXPEDITORS INT'L GPS STRATEGIC ALLIANCES, LLC</v>
      </c>
    </row>
    <row r="20" spans="2:12" x14ac:dyDescent="0.2">
      <c r="D20" s="51" t="s">
        <v>73</v>
      </c>
      <c r="F20" s="51" t="s">
        <v>73</v>
      </c>
      <c r="G20" s="51" t="s">
        <v>73</v>
      </c>
      <c r="H20" s="52" t="s">
        <v>93</v>
      </c>
      <c r="I20" s="51" t="s">
        <v>124</v>
      </c>
      <c r="L20" t="str">
        <f>I23</f>
        <v>PFC -0024</v>
      </c>
    </row>
    <row r="21" spans="2:12" x14ac:dyDescent="0.2">
      <c r="D21" s="9" t="s">
        <v>74</v>
      </c>
      <c r="F21" s="9" t="s">
        <v>74</v>
      </c>
      <c r="G21" s="9" t="s">
        <v>74</v>
      </c>
      <c r="H21" s="9" t="s">
        <v>67</v>
      </c>
      <c r="I21" s="9" t="s">
        <v>125</v>
      </c>
      <c r="L21" t="str">
        <f>F29</f>
        <v>TDC - 0020</v>
      </c>
    </row>
    <row r="22" spans="2:12" x14ac:dyDescent="0.2">
      <c r="L22" t="str">
        <f>G29</f>
        <v>US EASTERN EAO-0004</v>
      </c>
    </row>
    <row r="23" spans="2:12" x14ac:dyDescent="0.2">
      <c r="D23" s="10" t="s">
        <v>127</v>
      </c>
      <c r="F23" s="10" t="s">
        <v>132</v>
      </c>
      <c r="G23" s="10" t="s">
        <v>145</v>
      </c>
      <c r="H23" s="10" t="s">
        <v>150</v>
      </c>
      <c r="I23" s="10" t="s">
        <v>156</v>
      </c>
      <c r="L23" t="str">
        <f>H29</f>
        <v>NDC-0028</v>
      </c>
    </row>
    <row r="24" spans="2:12" x14ac:dyDescent="0.2">
      <c r="D24" s="51" t="s">
        <v>128</v>
      </c>
      <c r="F24" s="51" t="s">
        <v>135</v>
      </c>
      <c r="G24" s="51" t="s">
        <v>146</v>
      </c>
      <c r="H24" s="51" t="s">
        <v>151</v>
      </c>
      <c r="I24" s="51" t="s">
        <v>157</v>
      </c>
      <c r="L24" t="str">
        <f>I29</f>
        <v>PDC-0014</v>
      </c>
    </row>
    <row r="25" spans="2:12" x14ac:dyDescent="0.2">
      <c r="D25" s="51" t="s">
        <v>129</v>
      </c>
      <c r="F25" s="51" t="s">
        <v>136</v>
      </c>
      <c r="G25" s="51" t="s">
        <v>147</v>
      </c>
      <c r="H25" s="51" t="s">
        <v>152</v>
      </c>
      <c r="I25" s="51" t="s">
        <v>158</v>
      </c>
      <c r="L25" t="str">
        <f>F35</f>
        <v>JPD-0030</v>
      </c>
    </row>
    <row r="26" spans="2:12" x14ac:dyDescent="0.2">
      <c r="D26" s="51" t="s">
        <v>130</v>
      </c>
      <c r="F26" s="51" t="s">
        <v>133</v>
      </c>
      <c r="G26" s="51" t="s">
        <v>148</v>
      </c>
      <c r="H26" s="51" t="s">
        <v>153</v>
      </c>
      <c r="I26" s="52" t="s">
        <v>159</v>
      </c>
    </row>
    <row r="27" spans="2:12" x14ac:dyDescent="0.2">
      <c r="D27" s="9" t="s">
        <v>131</v>
      </c>
      <c r="F27" s="9" t="s">
        <v>134</v>
      </c>
      <c r="G27" s="9" t="s">
        <v>149</v>
      </c>
      <c r="H27" s="9" t="s">
        <v>154</v>
      </c>
      <c r="I27" s="9" t="s">
        <v>67</v>
      </c>
    </row>
    <row r="28" spans="2:12" x14ac:dyDescent="0.2">
      <c r="D28" s="10"/>
    </row>
    <row r="29" spans="2:12" x14ac:dyDescent="0.2">
      <c r="D29" s="10" t="s">
        <v>142</v>
      </c>
      <c r="F29" s="10" t="s">
        <v>160</v>
      </c>
      <c r="G29" s="10" t="s">
        <v>162</v>
      </c>
      <c r="H29" s="10" t="s">
        <v>164</v>
      </c>
      <c r="I29" s="10" t="s">
        <v>165</v>
      </c>
    </row>
    <row r="30" spans="2:12" x14ac:dyDescent="0.2">
      <c r="D30" s="51" t="s">
        <v>143</v>
      </c>
      <c r="F30" s="51" t="s">
        <v>161</v>
      </c>
      <c r="G30" s="51" t="s">
        <v>163</v>
      </c>
      <c r="H30" s="51" t="s">
        <v>163</v>
      </c>
      <c r="I30" s="51" t="s">
        <v>166</v>
      </c>
    </row>
    <row r="31" spans="2:12" x14ac:dyDescent="0.2">
      <c r="D31" s="51" t="s">
        <v>144</v>
      </c>
      <c r="F31" s="51" t="s">
        <v>111</v>
      </c>
      <c r="G31" s="51" t="s">
        <v>69</v>
      </c>
      <c r="H31" s="51" t="s">
        <v>69</v>
      </c>
      <c r="I31" s="51" t="s">
        <v>101</v>
      </c>
    </row>
    <row r="32" spans="2:12" x14ac:dyDescent="0.2">
      <c r="D32" s="51" t="s">
        <v>130</v>
      </c>
      <c r="F32" s="52" t="s">
        <v>112</v>
      </c>
      <c r="G32" s="52" t="s">
        <v>76</v>
      </c>
      <c r="H32" s="52" t="s">
        <v>76</v>
      </c>
      <c r="I32" s="52" t="s">
        <v>102</v>
      </c>
    </row>
    <row r="33" spans="4:9" x14ac:dyDescent="0.2">
      <c r="D33" s="9" t="s">
        <v>131</v>
      </c>
      <c r="F33" s="9" t="s">
        <v>67</v>
      </c>
      <c r="G33" s="9" t="s">
        <v>67</v>
      </c>
      <c r="H33" s="9" t="s">
        <v>67</v>
      </c>
      <c r="I33" s="9" t="s">
        <v>67</v>
      </c>
    </row>
    <row r="35" spans="4:9" x14ac:dyDescent="0.2">
      <c r="D35" s="10" t="s">
        <v>117</v>
      </c>
      <c r="F35" s="10" t="s">
        <v>172</v>
      </c>
    </row>
    <row r="36" spans="4:9" x14ac:dyDescent="0.2">
      <c r="D36" s="51" t="s">
        <v>118</v>
      </c>
      <c r="F36" s="51" t="s">
        <v>173</v>
      </c>
    </row>
    <row r="37" spans="4:9" x14ac:dyDescent="0.2">
      <c r="D37" s="51" t="s">
        <v>119</v>
      </c>
      <c r="F37" s="51" t="s">
        <v>174</v>
      </c>
    </row>
    <row r="38" spans="4:9" x14ac:dyDescent="0.2">
      <c r="D38" s="52" t="s">
        <v>120</v>
      </c>
      <c r="F38" s="51" t="s">
        <v>175</v>
      </c>
    </row>
    <row r="39" spans="4:9" x14ac:dyDescent="0.2">
      <c r="D39" s="9" t="s">
        <v>67</v>
      </c>
      <c r="F39" s="9" t="s">
        <v>176</v>
      </c>
    </row>
    <row r="41" spans="4:9" x14ac:dyDescent="0.2">
      <c r="D41" s="10" t="s">
        <v>155</v>
      </c>
    </row>
    <row r="42" spans="4:9" x14ac:dyDescent="0.2">
      <c r="D42" s="51" t="s">
        <v>65</v>
      </c>
    </row>
    <row r="43" spans="4:9" x14ac:dyDescent="0.2">
      <c r="D43" s="51" t="s">
        <v>66</v>
      </c>
    </row>
    <row r="44" spans="4:9" x14ac:dyDescent="0.2">
      <c r="D44" s="52" t="s">
        <v>75</v>
      </c>
    </row>
    <row r="45" spans="4:9" x14ac:dyDescent="0.2">
      <c r="D45" s="9" t="s">
        <v>67</v>
      </c>
    </row>
    <row r="47" spans="4:9" x14ac:dyDescent="0.2">
      <c r="D47" s="10" t="s">
        <v>167</v>
      </c>
    </row>
    <row r="48" spans="4:9" x14ac:dyDescent="0.2">
      <c r="D48" s="51" t="s">
        <v>168</v>
      </c>
    </row>
    <row r="49" spans="4:4" x14ac:dyDescent="0.2">
      <c r="D49" s="51" t="s">
        <v>169</v>
      </c>
    </row>
    <row r="50" spans="4:4" x14ac:dyDescent="0.2">
      <c r="D50" s="52" t="s">
        <v>170</v>
      </c>
    </row>
    <row r="51" spans="4:4" x14ac:dyDescent="0.2">
      <c r="D51" s="9" t="s">
        <v>171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K29"/>
  <sheetViews>
    <sheetView workbookViewId="0">
      <selection activeCell="D4" sqref="D4"/>
    </sheetView>
  </sheetViews>
  <sheetFormatPr defaultRowHeight="12.75" x14ac:dyDescent="0.2"/>
  <sheetData>
    <row r="2" spans="2:9" ht="15" x14ac:dyDescent="0.25">
      <c r="B2" s="55">
        <v>1</v>
      </c>
      <c r="C2" t="s">
        <v>178</v>
      </c>
      <c r="E2" s="55">
        <v>1</v>
      </c>
      <c r="F2">
        <v>692926</v>
      </c>
      <c r="H2" s="55">
        <v>1</v>
      </c>
      <c r="I2" s="58" t="s">
        <v>177</v>
      </c>
    </row>
    <row r="3" spans="2:9" ht="15" x14ac:dyDescent="0.25">
      <c r="B3" s="55">
        <v>2</v>
      </c>
      <c r="C3" t="s">
        <v>178</v>
      </c>
      <c r="E3" s="55">
        <v>2</v>
      </c>
      <c r="F3">
        <v>692926</v>
      </c>
      <c r="H3" s="55">
        <v>2</v>
      </c>
      <c r="I3" s="58" t="s">
        <v>177</v>
      </c>
    </row>
    <row r="4" spans="2:9" ht="15" x14ac:dyDescent="0.25">
      <c r="B4" s="55">
        <v>3</v>
      </c>
      <c r="C4" t="s">
        <v>178</v>
      </c>
      <c r="E4" s="55">
        <v>3</v>
      </c>
      <c r="F4">
        <v>692926</v>
      </c>
      <c r="H4" s="55">
        <v>3</v>
      </c>
      <c r="I4" s="58" t="s">
        <v>177</v>
      </c>
    </row>
    <row r="5" spans="2:9" ht="15" x14ac:dyDescent="0.25">
      <c r="B5" s="55">
        <v>4</v>
      </c>
      <c r="E5" s="55">
        <v>4</v>
      </c>
      <c r="H5" s="55">
        <v>4</v>
      </c>
      <c r="I5" s="58"/>
    </row>
    <row r="6" spans="2:9" ht="15" x14ac:dyDescent="0.25">
      <c r="B6" s="55">
        <v>5</v>
      </c>
      <c r="E6" s="55">
        <v>5</v>
      </c>
      <c r="H6" s="55">
        <v>5</v>
      </c>
      <c r="I6" s="58"/>
    </row>
    <row r="7" spans="2:9" ht="15" x14ac:dyDescent="0.25">
      <c r="B7" s="55">
        <v>6</v>
      </c>
      <c r="E7" s="55">
        <v>6</v>
      </c>
      <c r="H7" s="55">
        <v>6</v>
      </c>
      <c r="I7" s="58"/>
    </row>
    <row r="8" spans="2:9" ht="15" x14ac:dyDescent="0.25">
      <c r="B8" s="55">
        <v>7</v>
      </c>
      <c r="E8" s="55">
        <v>7</v>
      </c>
      <c r="H8" s="55">
        <v>7</v>
      </c>
      <c r="I8" s="56"/>
    </row>
    <row r="9" spans="2:9" ht="15" x14ac:dyDescent="0.25">
      <c r="B9" s="55">
        <v>8</v>
      </c>
      <c r="E9" s="55">
        <v>8</v>
      </c>
      <c r="H9" s="55">
        <v>8</v>
      </c>
      <c r="I9" s="56"/>
    </row>
    <row r="10" spans="2:9" ht="15" x14ac:dyDescent="0.25">
      <c r="B10" s="55">
        <v>9</v>
      </c>
      <c r="E10" s="55">
        <v>9</v>
      </c>
      <c r="H10" s="55">
        <v>9</v>
      </c>
      <c r="I10" s="56"/>
    </row>
    <row r="11" spans="2:9" ht="15" x14ac:dyDescent="0.25">
      <c r="B11" s="55">
        <v>10</v>
      </c>
      <c r="E11" s="55">
        <v>10</v>
      </c>
      <c r="H11" s="55">
        <v>10</v>
      </c>
      <c r="I11" s="56"/>
    </row>
    <row r="12" spans="2:9" ht="15" x14ac:dyDescent="0.25">
      <c r="B12" s="55">
        <v>11</v>
      </c>
      <c r="E12" s="55">
        <v>11</v>
      </c>
      <c r="H12" s="55">
        <v>11</v>
      </c>
      <c r="I12" s="56"/>
    </row>
    <row r="13" spans="2:9" ht="15" x14ac:dyDescent="0.25">
      <c r="B13" s="55">
        <v>12</v>
      </c>
      <c r="E13" s="55">
        <v>12</v>
      </c>
      <c r="H13" s="55">
        <v>12</v>
      </c>
      <c r="I13" s="56"/>
    </row>
    <row r="14" spans="2:9" ht="15" x14ac:dyDescent="0.25">
      <c r="B14" s="55">
        <v>13</v>
      </c>
      <c r="E14" s="55">
        <v>13</v>
      </c>
      <c r="H14" s="55">
        <v>13</v>
      </c>
      <c r="I14" s="56"/>
    </row>
    <row r="15" spans="2:9" ht="15" x14ac:dyDescent="0.25">
      <c r="B15" s="55">
        <v>14</v>
      </c>
      <c r="E15" s="55">
        <v>14</v>
      </c>
      <c r="H15" s="55">
        <v>14</v>
      </c>
      <c r="I15" s="56"/>
    </row>
    <row r="16" spans="2:9" ht="15" x14ac:dyDescent="0.25">
      <c r="B16" s="55">
        <v>15</v>
      </c>
      <c r="E16" s="55">
        <v>15</v>
      </c>
      <c r="H16" s="55">
        <v>15</v>
      </c>
      <c r="I16" s="56"/>
    </row>
    <row r="17" spans="2:11" ht="15" x14ac:dyDescent="0.25">
      <c r="B17" s="55">
        <v>16</v>
      </c>
      <c r="E17" s="55">
        <v>16</v>
      </c>
      <c r="H17" s="55">
        <v>16</v>
      </c>
      <c r="I17" s="56"/>
    </row>
    <row r="18" spans="2:11" ht="15" x14ac:dyDescent="0.25">
      <c r="B18" s="55">
        <v>17</v>
      </c>
      <c r="E18" s="55">
        <v>17</v>
      </c>
      <c r="H18" s="55">
        <v>17</v>
      </c>
      <c r="I18" s="56"/>
    </row>
    <row r="19" spans="2:11" ht="15" x14ac:dyDescent="0.25">
      <c r="B19" s="55">
        <v>18</v>
      </c>
      <c r="E19" s="55">
        <v>18</v>
      </c>
      <c r="H19" s="55">
        <v>18</v>
      </c>
      <c r="I19" s="56"/>
    </row>
    <row r="20" spans="2:11" ht="15" x14ac:dyDescent="0.25">
      <c r="B20" s="55">
        <v>19</v>
      </c>
      <c r="E20" s="55">
        <v>19</v>
      </c>
      <c r="H20" s="55">
        <v>19</v>
      </c>
      <c r="I20" s="56"/>
    </row>
    <row r="21" spans="2:11" ht="15" x14ac:dyDescent="0.25">
      <c r="B21" s="55">
        <v>20</v>
      </c>
      <c r="E21" s="55">
        <v>20</v>
      </c>
      <c r="H21" s="55">
        <v>20</v>
      </c>
      <c r="I21" s="56"/>
    </row>
    <row r="22" spans="2:11" ht="15" x14ac:dyDescent="0.25">
      <c r="B22" s="55">
        <v>21</v>
      </c>
      <c r="E22" s="55">
        <v>21</v>
      </c>
      <c r="H22" s="55">
        <v>21</v>
      </c>
      <c r="I22" s="56"/>
      <c r="K22" t="s">
        <v>63</v>
      </c>
    </row>
    <row r="23" spans="2:11" ht="15" x14ac:dyDescent="0.25">
      <c r="B23" s="55">
        <v>22</v>
      </c>
      <c r="E23" s="55">
        <v>22</v>
      </c>
      <c r="H23" s="55">
        <v>22</v>
      </c>
      <c r="I23" s="56"/>
    </row>
    <row r="24" spans="2:11" ht="15" x14ac:dyDescent="0.25">
      <c r="B24" s="55">
        <v>23</v>
      </c>
      <c r="E24" s="55">
        <v>23</v>
      </c>
      <c r="H24" s="55">
        <v>23</v>
      </c>
      <c r="I24" s="56"/>
    </row>
    <row r="25" spans="2:11" ht="15" x14ac:dyDescent="0.25">
      <c r="B25" s="55">
        <v>24</v>
      </c>
      <c r="E25" s="55">
        <v>24</v>
      </c>
      <c r="H25" s="55">
        <v>24</v>
      </c>
      <c r="I25" s="56"/>
    </row>
    <row r="26" spans="2:11" ht="15" x14ac:dyDescent="0.25">
      <c r="B26" s="55">
        <v>25</v>
      </c>
      <c r="E26" s="55">
        <v>25</v>
      </c>
      <c r="H26" s="55">
        <v>25</v>
      </c>
      <c r="I26" s="56"/>
    </row>
    <row r="27" spans="2:11" ht="15" x14ac:dyDescent="0.25">
      <c r="B27" s="55">
        <v>26</v>
      </c>
      <c r="E27" s="55">
        <v>26</v>
      </c>
      <c r="H27" s="55">
        <v>26</v>
      </c>
      <c r="I27" s="56"/>
    </row>
    <row r="28" spans="2:11" x14ac:dyDescent="0.2">
      <c r="B28" s="55">
        <v>27</v>
      </c>
      <c r="E28" s="55">
        <v>27</v>
      </c>
      <c r="H28" s="55">
        <v>27</v>
      </c>
    </row>
    <row r="29" spans="2:11" x14ac:dyDescent="0.2">
      <c r="B29" s="55">
        <v>28</v>
      </c>
      <c r="E29" s="55">
        <v>28</v>
      </c>
      <c r="H29" s="55">
        <v>28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V58"/>
  <sheetViews>
    <sheetView tabSelected="1" view="pageBreakPreview" zoomScaleNormal="100" zoomScaleSheetLayoutView="100" workbookViewId="0">
      <selection activeCell="I3" sqref="I3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185</v>
      </c>
      <c r="C2" s="65"/>
      <c r="D2" s="65"/>
      <c r="E2" s="65"/>
      <c r="F2" s="65"/>
      <c r="G2" s="65"/>
      <c r="H2" s="65"/>
      <c r="I2" s="66"/>
      <c r="J2" s="59">
        <v>61779304</v>
      </c>
      <c r="K2" s="60">
        <v>2631</v>
      </c>
      <c r="L2" s="61">
        <v>46</v>
      </c>
      <c r="M2" s="61">
        <v>282.41000000000003</v>
      </c>
      <c r="N2" s="61">
        <v>308.72000000000003</v>
      </c>
      <c r="O2" s="61">
        <v>346.12</v>
      </c>
      <c r="P2" s="61" t="s">
        <v>54</v>
      </c>
      <c r="Q2" s="61">
        <v>1.7669999999999999</v>
      </c>
      <c r="R2" s="61" t="s">
        <v>62</v>
      </c>
    </row>
    <row r="3" spans="2:22" x14ac:dyDescent="0.2">
      <c r="B3" s="6" t="s">
        <v>53</v>
      </c>
      <c r="C3" s="57">
        <v>347</v>
      </c>
      <c r="D3" s="5"/>
      <c r="E3" s="5"/>
      <c r="F3" s="5"/>
      <c r="G3" s="5" t="s">
        <v>52</v>
      </c>
      <c r="H3" s="31">
        <v>46201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61779304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1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346.12</v>
      </c>
      <c r="G23" s="23">
        <f>+N2</f>
        <v>308.72000000000003</v>
      </c>
      <c r="H23" s="23">
        <f>+M2</f>
        <v>282.41000000000003</v>
      </c>
      <c r="I23" s="48">
        <f>+L2</f>
        <v>46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[96% COTTON 4% SPANDEX]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3" t="s">
        <v>19</v>
      </c>
      <c r="E31" s="73"/>
      <c r="F31" s="73" t="s">
        <v>18</v>
      </c>
      <c r="G31" s="73"/>
      <c r="H31" s="48" t="s">
        <v>17</v>
      </c>
      <c r="I31" s="19" t="s">
        <v>16</v>
      </c>
      <c r="M31"/>
    </row>
    <row r="32" spans="2:13" ht="32.25" customHeight="1" x14ac:dyDescent="0.2">
      <c r="B32" s="41" t="s">
        <v>179</v>
      </c>
      <c r="C32" s="19" t="s">
        <v>180</v>
      </c>
      <c r="D32" s="62"/>
      <c r="E32" s="63"/>
      <c r="F32" s="62">
        <f>+K2</f>
        <v>2631</v>
      </c>
      <c r="G32" s="63"/>
      <c r="H32" s="17">
        <v>0.76</v>
      </c>
      <c r="I32" s="18">
        <f>+H32*F32</f>
        <v>1999.56</v>
      </c>
      <c r="K32" s="46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48"/>
    </row>
    <row r="34" spans="2:11" ht="21.75" customHeight="1" x14ac:dyDescent="0.2">
      <c r="B34" s="15" t="s">
        <v>14</v>
      </c>
      <c r="C34" s="15"/>
      <c r="D34" s="78"/>
      <c r="E34" s="79"/>
      <c r="F34" s="62">
        <f>SUM(F31:G33)</f>
        <v>2631</v>
      </c>
      <c r="G34" s="63"/>
      <c r="H34" s="15"/>
      <c r="I34" s="14">
        <f>SUM(I32:I33)</f>
        <v>1999.56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1999.56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1999.56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1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1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B2:I2"/>
    <mergeCell ref="B26:I26"/>
    <mergeCell ref="B27:I27"/>
    <mergeCell ref="D31:E31"/>
    <mergeCell ref="F31:G31"/>
    <mergeCell ref="F32:G32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2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2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2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V58"/>
  <sheetViews>
    <sheetView view="pageBreakPreview" topLeftCell="A21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185</v>
      </c>
      <c r="C2" s="65"/>
      <c r="D2" s="65"/>
      <c r="E2" s="65"/>
      <c r="F2" s="65"/>
      <c r="G2" s="65"/>
      <c r="H2" s="65"/>
      <c r="I2" s="66"/>
      <c r="J2" s="59">
        <v>62023521</v>
      </c>
      <c r="K2" s="61">
        <v>901</v>
      </c>
      <c r="L2" s="61">
        <v>19</v>
      </c>
      <c r="M2" s="61">
        <v>96.72</v>
      </c>
      <c r="N2" s="61">
        <v>105.73</v>
      </c>
      <c r="O2" s="61">
        <v>120.53</v>
      </c>
      <c r="P2" s="61" t="s">
        <v>54</v>
      </c>
      <c r="Q2" s="61">
        <v>0.626</v>
      </c>
      <c r="R2" s="61" t="s">
        <v>62</v>
      </c>
    </row>
    <row r="3" spans="2:22" x14ac:dyDescent="0.2">
      <c r="B3" s="6" t="s">
        <v>53</v>
      </c>
      <c r="C3" s="57">
        <f>+'347'!C3+1</f>
        <v>348</v>
      </c>
      <c r="D3" s="5"/>
      <c r="E3" s="5"/>
      <c r="F3" s="5"/>
      <c r="G3" s="5" t="s">
        <v>52</v>
      </c>
      <c r="H3" s="31">
        <f>+'347'!H3+0</f>
        <v>46201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48">
        <f>J2</f>
        <v>62023521</v>
      </c>
      <c r="C21" s="49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48" t="s">
        <v>35</v>
      </c>
      <c r="G21" s="48"/>
      <c r="H21" s="47" t="str">
        <f>IF(LEFT(G17,2)="CA","CA",IF(LEFT(G17,2)="UN","US",IF(LEFT(G17,2)="PA","PA",IF(LEFT(G17,2)="JA","JP"))))</f>
        <v>US</v>
      </c>
      <c r="I21" s="48" t="s">
        <v>34</v>
      </c>
      <c r="K21" s="20">
        <v>2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48" t="s">
        <v>25</v>
      </c>
      <c r="C23" s="48"/>
      <c r="D23" s="48" t="s">
        <v>24</v>
      </c>
      <c r="E23" s="48" t="str">
        <f>+D23</f>
        <v>JAKARTA,ID</v>
      </c>
      <c r="F23" s="23">
        <f>+O2</f>
        <v>120.53</v>
      </c>
      <c r="G23" s="23">
        <f>+N2</f>
        <v>105.73</v>
      </c>
      <c r="H23" s="23">
        <f>+M2</f>
        <v>96.72</v>
      </c>
      <c r="I23" s="48">
        <f>+L2</f>
        <v>19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[96% COTTON 4% SPANDEX]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48" t="s">
        <v>21</v>
      </c>
      <c r="C31" s="48" t="s">
        <v>20</v>
      </c>
      <c r="D31" s="73" t="s">
        <v>19</v>
      </c>
      <c r="E31" s="73"/>
      <c r="F31" s="73" t="s">
        <v>18</v>
      </c>
      <c r="G31" s="73"/>
      <c r="H31" s="48" t="s">
        <v>17</v>
      </c>
      <c r="I31" s="19" t="s">
        <v>16</v>
      </c>
      <c r="M31"/>
    </row>
    <row r="32" spans="2:13" ht="39.75" customHeight="1" x14ac:dyDescent="0.2">
      <c r="B32" s="41" t="s">
        <v>184</v>
      </c>
      <c r="C32" s="19" t="s">
        <v>182</v>
      </c>
      <c r="D32" s="62"/>
      <c r="E32" s="63"/>
      <c r="F32" s="62">
        <f>+K2</f>
        <v>901</v>
      </c>
      <c r="G32" s="63"/>
      <c r="H32" s="17">
        <v>0.76</v>
      </c>
      <c r="I32" s="18">
        <f>+H32*F32</f>
        <v>684.76</v>
      </c>
      <c r="K32" s="46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48"/>
    </row>
    <row r="34" spans="2:11" ht="21.75" customHeight="1" x14ac:dyDescent="0.2">
      <c r="B34" s="15" t="s">
        <v>14</v>
      </c>
      <c r="C34" s="15"/>
      <c r="D34" s="78"/>
      <c r="E34" s="79"/>
      <c r="F34" s="62">
        <f>SUM(F31:G33)</f>
        <v>901</v>
      </c>
      <c r="G34" s="63"/>
      <c r="H34" s="15"/>
      <c r="I34" s="14">
        <f>SUM(I32:I33)</f>
        <v>684.76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48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684.76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684.76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2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2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C57:D57"/>
    <mergeCell ref="D36:E36"/>
    <mergeCell ref="F36:G36"/>
    <mergeCell ref="C37:H37"/>
    <mergeCell ref="B46:D46"/>
    <mergeCell ref="C55:D55"/>
    <mergeCell ref="C56:D56"/>
    <mergeCell ref="D33:E33"/>
    <mergeCell ref="F33:G33"/>
    <mergeCell ref="D34:E34"/>
    <mergeCell ref="F34:G34"/>
    <mergeCell ref="D35:E35"/>
    <mergeCell ref="F35:G35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Sheet1!$K$5:$K$12</xm:f>
          </x14:formula1>
          <xm:sqref>B14</xm:sqref>
        </x14:dataValidation>
        <x14:dataValidation type="list" allowBlank="1" showInputMessage="1" showErrorMessage="1" xr:uid="{00000000-0002-0000-03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300-000002000000}">
          <x14:formula1>
            <xm:f>Sheet1!$L$5:$L$25</xm:f>
          </x14:formula1>
          <xm:sqref>G13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V58"/>
  <sheetViews>
    <sheetView view="pageBreakPreview" topLeftCell="A22" zoomScaleNormal="100" zoomScaleSheetLayoutView="100" workbookViewId="0">
      <selection activeCell="E8" sqref="E8"/>
    </sheetView>
  </sheetViews>
  <sheetFormatPr defaultRowHeight="12.75" x14ac:dyDescent="0.2"/>
  <cols>
    <col min="2" max="2" width="15.7109375" customWidth="1"/>
    <col min="3" max="3" width="21.7109375" customWidth="1"/>
    <col min="4" max="4" width="11.7109375" customWidth="1"/>
    <col min="5" max="5" width="14.5703125" customWidth="1"/>
    <col min="6" max="6" width="13" customWidth="1"/>
    <col min="7" max="7" width="12.7109375" customWidth="1"/>
    <col min="8" max="8" width="12.5703125" customWidth="1"/>
    <col min="9" max="9" width="25.140625" customWidth="1"/>
    <col min="12" max="12" width="11.7109375" bestFit="1" customWidth="1"/>
    <col min="13" max="13" width="12.5703125" bestFit="1" customWidth="1"/>
    <col min="14" max="15" width="9.85546875" bestFit="1" customWidth="1"/>
  </cols>
  <sheetData>
    <row r="1" spans="2:22" s="32" customFormat="1" ht="90" customHeight="1" thickBot="1" x14ac:dyDescent="0.45">
      <c r="B1" s="38"/>
      <c r="C1" s="37"/>
      <c r="D1" s="37"/>
      <c r="E1" s="37"/>
      <c r="F1" s="37"/>
      <c r="G1" s="37"/>
      <c r="H1" s="37"/>
      <c r="I1" s="36"/>
      <c r="J1" s="35"/>
      <c r="K1" s="34" t="s">
        <v>61</v>
      </c>
      <c r="L1" s="34" t="s">
        <v>60</v>
      </c>
      <c r="M1" s="34" t="s">
        <v>59</v>
      </c>
      <c r="N1" s="34" t="s">
        <v>58</v>
      </c>
      <c r="O1" s="34" t="s">
        <v>57</v>
      </c>
      <c r="P1" s="34" t="s">
        <v>56</v>
      </c>
      <c r="Q1" s="34" t="s">
        <v>55</v>
      </c>
      <c r="R1" s="33"/>
      <c r="S1" s="33"/>
      <c r="T1" s="33"/>
      <c r="U1" s="33"/>
      <c r="V1" s="33"/>
    </row>
    <row r="2" spans="2:22" ht="33.75" customHeight="1" thickTop="1" x14ac:dyDescent="0.2">
      <c r="B2" s="64" t="s">
        <v>185</v>
      </c>
      <c r="C2" s="65"/>
      <c r="D2" s="65"/>
      <c r="E2" s="65"/>
      <c r="F2" s="65"/>
      <c r="G2" s="65"/>
      <c r="H2" s="65"/>
      <c r="I2" s="66"/>
      <c r="J2" s="59">
        <v>62023525</v>
      </c>
      <c r="K2" s="61">
        <v>899</v>
      </c>
      <c r="L2" s="61">
        <v>20</v>
      </c>
      <c r="M2" s="61">
        <v>96.68</v>
      </c>
      <c r="N2" s="61">
        <v>105.67</v>
      </c>
      <c r="O2" s="61">
        <v>121.07</v>
      </c>
      <c r="P2" s="61" t="s">
        <v>54</v>
      </c>
      <c r="Q2" s="61">
        <v>0.63700000000000001</v>
      </c>
      <c r="R2" s="61" t="s">
        <v>62</v>
      </c>
    </row>
    <row r="3" spans="2:22" x14ac:dyDescent="0.2">
      <c r="B3" s="6" t="s">
        <v>53</v>
      </c>
      <c r="C3" s="57">
        <f>+'348'!C3+1</f>
        <v>349</v>
      </c>
      <c r="D3" s="5"/>
      <c r="E3" s="5"/>
      <c r="F3" s="5"/>
      <c r="G3" s="5" t="s">
        <v>52</v>
      </c>
      <c r="H3" s="31">
        <f>+'347'!H3+0</f>
        <v>46201</v>
      </c>
      <c r="I3" s="43" t="s">
        <v>63</v>
      </c>
    </row>
    <row r="4" spans="2:22" ht="15" x14ac:dyDescent="0.2">
      <c r="B4" s="6"/>
      <c r="C4" s="5"/>
      <c r="D4" s="5"/>
      <c r="E4" s="5"/>
      <c r="F4" s="5"/>
      <c r="G4" s="5"/>
      <c r="H4" s="42" t="s">
        <v>63</v>
      </c>
      <c r="I4" s="4"/>
      <c r="K4" t="s">
        <v>181</v>
      </c>
    </row>
    <row r="5" spans="2:22" x14ac:dyDescent="0.2">
      <c r="B5" s="44" t="s">
        <v>81</v>
      </c>
      <c r="C5" s="5"/>
      <c r="D5" s="5"/>
      <c r="E5" s="5"/>
      <c r="F5" s="29" t="s">
        <v>51</v>
      </c>
      <c r="G5" s="5" t="s">
        <v>82</v>
      </c>
      <c r="H5" s="5"/>
      <c r="I5" s="4"/>
    </row>
    <row r="6" spans="2:22" x14ac:dyDescent="0.2">
      <c r="B6" s="6" t="s">
        <v>50</v>
      </c>
      <c r="C6" s="5"/>
      <c r="D6" s="5"/>
      <c r="E6" s="5"/>
      <c r="F6" s="5"/>
      <c r="G6" s="5" t="s">
        <v>83</v>
      </c>
      <c r="H6" s="5"/>
      <c r="I6" s="4"/>
    </row>
    <row r="7" spans="2:22" x14ac:dyDescent="0.2">
      <c r="B7" s="6" t="s">
        <v>49</v>
      </c>
      <c r="C7" s="5"/>
      <c r="D7" s="5"/>
      <c r="E7" s="5"/>
      <c r="F7" s="5"/>
      <c r="G7" s="5" t="s">
        <v>84</v>
      </c>
      <c r="H7" s="5"/>
      <c r="I7" s="4"/>
    </row>
    <row r="8" spans="2:22" x14ac:dyDescent="0.2">
      <c r="B8" s="6" t="s">
        <v>48</v>
      </c>
      <c r="C8" s="5"/>
      <c r="D8" s="5"/>
      <c r="E8" s="5"/>
      <c r="F8" s="5"/>
      <c r="G8" s="5" t="s">
        <v>85</v>
      </c>
      <c r="H8" s="5"/>
      <c r="I8" s="4"/>
    </row>
    <row r="9" spans="2:22" x14ac:dyDescent="0.2">
      <c r="B9" s="6" t="s">
        <v>47</v>
      </c>
      <c r="C9" s="5"/>
      <c r="D9" s="5"/>
      <c r="E9" s="5"/>
      <c r="F9" s="5"/>
      <c r="G9" s="5"/>
      <c r="H9" s="5"/>
      <c r="I9" s="4"/>
    </row>
    <row r="10" spans="2:22" x14ac:dyDescent="0.2">
      <c r="B10" s="6" t="s">
        <v>46</v>
      </c>
      <c r="C10" s="5"/>
      <c r="D10" s="5"/>
      <c r="E10" s="5"/>
      <c r="F10" s="5"/>
      <c r="G10" s="5"/>
      <c r="H10" s="5"/>
      <c r="I10" s="4"/>
    </row>
    <row r="11" spans="2:22" x14ac:dyDescent="0.2">
      <c r="B11" s="6"/>
      <c r="C11" s="5"/>
      <c r="D11" s="5"/>
      <c r="E11" s="5"/>
      <c r="F11" s="5"/>
      <c r="G11" s="5"/>
      <c r="H11" s="5"/>
      <c r="I11" s="4"/>
    </row>
    <row r="12" spans="2:22" x14ac:dyDescent="0.2">
      <c r="B12" s="6"/>
      <c r="C12" s="5"/>
      <c r="D12" s="5"/>
      <c r="E12" s="5"/>
      <c r="F12" s="5"/>
      <c r="G12" s="5"/>
      <c r="H12" s="5"/>
      <c r="I12" s="4"/>
    </row>
    <row r="13" spans="2:22" x14ac:dyDescent="0.2">
      <c r="B13" s="30" t="s">
        <v>45</v>
      </c>
      <c r="C13" s="5"/>
      <c r="D13" s="5"/>
      <c r="E13" s="5"/>
      <c r="F13" s="29" t="s">
        <v>44</v>
      </c>
      <c r="G13" s="27" t="s">
        <v>99</v>
      </c>
      <c r="H13" s="5"/>
      <c r="I13" s="4"/>
    </row>
    <row r="14" spans="2:22" x14ac:dyDescent="0.2">
      <c r="B14" s="6" t="s">
        <v>64</v>
      </c>
      <c r="C14" s="5"/>
      <c r="D14" s="5"/>
      <c r="E14" s="5"/>
      <c r="F14" s="5"/>
      <c r="G14" s="27" t="str">
        <f>IF(G13=Sheet1!F5,Sheet1!F6,IF(G13=Sheet1!G5,Sheet1!G6,IF(G13=Sheet1!H5,Sheet1!H6,IF(G13=Sheet1!I5,Sheet1!I6,IF(G13=Sheet1!F11,Sheet1!F12,IF(G13=Sheet1!G11,Sheet1!G12,IF(G13=Sheet1!H11,Sheet1!H12,IF(G13=Sheet1!I11,Sheet1!I12,IF(G13=Sheet1!F17,Sheet1!F18,IF(G13=Sheet1!G17,Sheet1!G18,IF(G13=Sheet1!H17,Sheet1!H18,IF(G13=Sheet1!I17,Sheet1!I18,IF(G13=Sheet1!F23,Sheet1!F24,IF(G13=Sheet1!G23,Sheet1!G24,IF(G13=Sheet1!H23,Sheet1!H24,IF(G13=Sheet1!I23,Sheet1!I24,IF(G13=Sheet1!F29,Sheet1!F30,IF(G13=Sheet1!G29,Sheet1!G30,IF(G13=Sheet1!H29,Sheet1!H30,IF(G13=Sheet1!I29,Sheet1!I30,IF(G13=Sheet1!F35,Sheet1!F36)))))))))))))))))))))</f>
        <v>3400 NORTH GAP DR</v>
      </c>
      <c r="H14" s="5"/>
      <c r="I14" s="4"/>
    </row>
    <row r="15" spans="2:22" ht="15" customHeight="1" x14ac:dyDescent="0.2">
      <c r="B15" s="28" t="str">
        <f>IF(B14=Sheet1!D5,Sheet1!D6,IF(B14=Sheet1!D11,Sheet1!D12,IF(B14=Sheet1!D17,Sheet1!D18,IF(B14=Sheet1!D23,Sheet1!D24,IF(B14=Sheet1!D29,Sheet1!D30,IF(B14=Sheet1!D35,Sheet1!D36,IF(B14=Sheet1!D41,Sheet1!D42,IF(B14=Sheet1!D47,Sheet1!D48))))))))</f>
        <v>2 FOLSOM STREET</v>
      </c>
      <c r="C15" s="5"/>
      <c r="D15" s="5"/>
      <c r="E15" s="5"/>
      <c r="F15" s="5"/>
      <c r="G15" s="27" t="str">
        <f>IF(G14=Sheet1!F6,Sheet1!F7,IF(G14=Sheet1!G6,Sheet1!G7,IF(G14=Sheet1!H6,Sheet1!H7,IF(G14=Sheet1!I6,Sheet1!I7,IF(G14=Sheet1!F12,Sheet1!F13,IF(G14=Sheet1!G12,Sheet1!G13,IF(G14=Sheet1!H12,Sheet1!H13,IF(G14=Sheet1!I12,Sheet1!I13,IF(G14=Sheet1!F18,Sheet1!F19,IF(G14=Sheet1!G18,Sheet1!G19,IF(G14=Sheet1!H18,Sheet1!H19,IF(G14=Sheet1!I18,Sheet1!I19,IF(G14=Sheet1!F24,Sheet1!F25,IF(G14=Sheet1!G24,Sheet1!G25,IF(G14=Sheet1!H24,Sheet1!H25,IF(G14=Sheet1!I24,Sheet1!I25,IF(G14=Sheet1!F30,Sheet1!F31,IF(G14=Sheet1!G30,Sheet1!G31,IF(G14=Sheet1!H30,Sheet1!H31,IF(G14=Sheet1!I30,Sheet1!I31,IF(G14=Sheet1!F36,Sheet1!F37)))))))))))))))))))))</f>
        <v>FRESNO, CA</v>
      </c>
      <c r="H15" s="5"/>
      <c r="I15" s="4"/>
    </row>
    <row r="16" spans="2:22" x14ac:dyDescent="0.2">
      <c r="B16" s="28" t="str">
        <f>IF(B15=Sheet1!D6,Sheet1!D7,IF(B15=Sheet1!D12,Sheet1!D13,IF(B15=Sheet1!D18,Sheet1!D19,IF(B15=Sheet1!D24,Sheet1!D25,IF(B15=Sheet1!D30,Sheet1!D31,IF(B15=Sheet1!D36,Sheet1!D37,IF(B15=Sheet1!D42,Sheet1!D43,IF(B15=Sheet1!D48,Sheet1!D49))))))))</f>
        <v>SAN FRANCISCO, CALIFORNIA</v>
      </c>
      <c r="C16" s="5"/>
      <c r="D16" s="5"/>
      <c r="E16" s="5"/>
      <c r="F16" s="5"/>
      <c r="G16" s="27" t="str">
        <f>IF(G15=Sheet1!F7,Sheet1!F8,IF(G15=Sheet1!G7,Sheet1!G8,IF(G15=Sheet1!H7,Sheet1!H8,IF(G15=Sheet1!I7,Sheet1!I8,IF(G15=Sheet1!F13,Sheet1!F14,IF(G15=Sheet1!G13,Sheet1!G14,IF(G15=Sheet1!H13,Sheet1!H14,IF(G15=Sheet1!I13,Sheet1!I14,IF(G15=Sheet1!F19,Sheet1!F20,IF(G15=Sheet1!G19,Sheet1!G20,IF(G15=Sheet1!H19,Sheet1!H20,IF(G15=Sheet1!I19,Sheet1!I20,IF(G15=Sheet1!F25,Sheet1!F26,IF(G15=Sheet1!G25,Sheet1!G26,IF(G15=Sheet1!H25,Sheet1!H26,IF(G15=Sheet1!I25,Sheet1!I26,IF(G15=Sheet1!F31,Sheet1!F32,IF(G15=Sheet1!G31,Sheet1!G32,IF(G15=Sheet1!H31,Sheet1!H32,IF(G15=Sheet1!I31,Sheet1!I32,IF(G15=Sheet1!F37,Sheet1!F38)))))))))))))))))))))</f>
        <v>93727</v>
      </c>
      <c r="H16" s="5"/>
      <c r="I16" s="4"/>
    </row>
    <row r="17" spans="2:13" x14ac:dyDescent="0.2">
      <c r="B17" s="28" t="str">
        <f>IF(B16=Sheet1!D7,Sheet1!D8,IF(B16=Sheet1!D13,Sheet1!D14,IF(B16=Sheet1!D19,Sheet1!D20,IF(B16=Sheet1!D25,Sheet1!D26,IF(B16=Sheet1!D31,Sheet1!D32,IF(B16=Sheet1!D37,Sheet1!D38,IF(B16=Sheet1!D43,Sheet1!D44,IF(B16=Sheet1!D49,Sheet1!D50))))))))</f>
        <v>94105</v>
      </c>
      <c r="C17" s="5"/>
      <c r="D17" s="5"/>
      <c r="E17" s="5"/>
      <c r="F17" s="5"/>
      <c r="G17" s="27" t="str">
        <f>IF(G16=Sheet1!F8,Sheet1!F9,IF(G16=Sheet1!G8,Sheet1!G9,IF(G16=Sheet1!H8,Sheet1!H9,IF(G16=Sheet1!I8,Sheet1!I9,IF(G16=Sheet1!F14,Sheet1!F15,IF(G16=Sheet1!G14,Sheet1!G15,IF(G16=Sheet1!H14,Sheet1!H15,IF(G16=Sheet1!I14,Sheet1!I15,IF(G16=Sheet1!F20,Sheet1!F21,IF(G16=Sheet1!G20,Sheet1!G21,IF(G16=Sheet1!H20,Sheet1!H21,IF(G16=Sheet1!I20,Sheet1!I21,IF(G16=Sheet1!F26,Sheet1!F27,IF(G16=Sheet1!G26,Sheet1!G27,IF(G16=Sheet1!H26,Sheet1!H27,IF(G16=Sheet1!I26,Sheet1!I27,IF(G16=Sheet1!F32,Sheet1!F33,IF(G16=Sheet1!G32,Sheet1!G33,IF(G16=Sheet1!H32,Sheet1!H33,IF(G16=Sheet1!I32,Sheet1!I33,IF(G16=Sheet1!F38,Sheet1!F39)))))))))))))))))))))</f>
        <v>UNITED STATES</v>
      </c>
      <c r="H17" s="5"/>
      <c r="I17" s="4"/>
    </row>
    <row r="18" spans="2:13" x14ac:dyDescent="0.2">
      <c r="B18" s="28" t="str">
        <f>IF(B17=Sheet1!D8,Sheet1!D9,IF(B17=Sheet1!D14,Sheet1!D15,IF(B17=Sheet1!D20,Sheet1!D21,IF(B17=Sheet1!D26,Sheet1!D27,IF(B17=Sheet1!D32,Sheet1!D33,IF(B17=Sheet1!D38,Sheet1!D39,IF(B17=Sheet1!D44,Sheet1!D45,IF(B17=Sheet1!D50,Sheet1!D51))))))))</f>
        <v>UNITED STATES</v>
      </c>
      <c r="C18" s="5"/>
      <c r="D18" s="5"/>
      <c r="E18" s="5"/>
      <c r="F18" s="5"/>
      <c r="G18" s="5"/>
      <c r="H18" s="5"/>
      <c r="I18" s="4"/>
    </row>
    <row r="19" spans="2:13" x14ac:dyDescent="0.2">
      <c r="B19" s="6"/>
      <c r="C19" s="5"/>
      <c r="D19" s="5"/>
      <c r="E19" s="5"/>
      <c r="F19" s="5"/>
      <c r="G19" s="5"/>
      <c r="H19" s="5"/>
      <c r="I19" s="4"/>
    </row>
    <row r="20" spans="2:13" s="20" customFormat="1" ht="27" customHeight="1" x14ac:dyDescent="0.2">
      <c r="B20" s="25" t="s">
        <v>43</v>
      </c>
      <c r="C20" s="26" t="s">
        <v>42</v>
      </c>
      <c r="D20" s="26" t="s">
        <v>41</v>
      </c>
      <c r="E20" s="25" t="s">
        <v>40</v>
      </c>
      <c r="F20" s="26" t="s">
        <v>39</v>
      </c>
      <c r="G20" s="25" t="s">
        <v>38</v>
      </c>
      <c r="H20" s="25" t="s">
        <v>37</v>
      </c>
      <c r="I20" s="25" t="s">
        <v>36</v>
      </c>
    </row>
    <row r="21" spans="2:13" s="20" customFormat="1" ht="24" customHeight="1" x14ac:dyDescent="0.2">
      <c r="B21" s="54">
        <f>J2</f>
        <v>62023525</v>
      </c>
      <c r="C21" s="53">
        <f>VLOOKUP($K56,reff!E2:F29,2,0)</f>
        <v>692926</v>
      </c>
      <c r="D21" s="19" t="str">
        <f>IF(LEFT(B14,2)="OL","OLD NAVY",IF(LEFT(B14,2)="TH","THE GAP",IF(LEFT(B14,2)="GA","GAP",IF(LEFT(B14,2)="GP","OLD NAVY"))))</f>
        <v>OLD NAVY</v>
      </c>
      <c r="E21" s="19" t="str">
        <f>VLOOKUP($K21,reff!H2:I29,2,0)</f>
        <v>Online</v>
      </c>
      <c r="F21" s="54" t="s">
        <v>35</v>
      </c>
      <c r="G21" s="54"/>
      <c r="H21" s="47" t="str">
        <f>IF(LEFT(G17,2)="CA","CA",IF(LEFT(G17,2)="UN","US",IF(LEFT(G17,2)="PA","PA",IF(LEFT(G17,2)="JA","JP"))))</f>
        <v>US</v>
      </c>
      <c r="I21" s="54" t="s">
        <v>34</v>
      </c>
      <c r="K21" s="20">
        <v>3</v>
      </c>
    </row>
    <row r="22" spans="2:13" s="24" customFormat="1" ht="30.75" customHeight="1" x14ac:dyDescent="0.2">
      <c r="B22" s="25" t="s">
        <v>33</v>
      </c>
      <c r="C22" s="25" t="s">
        <v>32</v>
      </c>
      <c r="D22" s="25" t="s">
        <v>31</v>
      </c>
      <c r="E22" s="25" t="s">
        <v>30</v>
      </c>
      <c r="F22" s="25" t="s">
        <v>29</v>
      </c>
      <c r="G22" s="25" t="s">
        <v>28</v>
      </c>
      <c r="H22" s="25" t="s">
        <v>27</v>
      </c>
      <c r="I22" s="25" t="s">
        <v>26</v>
      </c>
    </row>
    <row r="23" spans="2:13" s="20" customFormat="1" ht="18.75" customHeight="1" x14ac:dyDescent="0.2">
      <c r="B23" s="54" t="s">
        <v>25</v>
      </c>
      <c r="C23" s="54"/>
      <c r="D23" s="54" t="s">
        <v>24</v>
      </c>
      <c r="E23" s="54" t="str">
        <f>+D23</f>
        <v>JAKARTA,ID</v>
      </c>
      <c r="F23" s="23">
        <f>+O2</f>
        <v>121.07</v>
      </c>
      <c r="G23" s="23">
        <f>+N2</f>
        <v>105.67</v>
      </c>
      <c r="H23" s="23">
        <f>+M2</f>
        <v>96.68</v>
      </c>
      <c r="I23" s="54">
        <f>+L2</f>
        <v>20</v>
      </c>
    </row>
    <row r="24" spans="2:13" x14ac:dyDescent="0.2">
      <c r="B24" s="6"/>
      <c r="C24" s="5"/>
      <c r="D24" s="5"/>
      <c r="E24" s="5"/>
      <c r="F24" s="22"/>
      <c r="G24" s="5"/>
      <c r="H24" s="5"/>
      <c r="I24" s="4"/>
    </row>
    <row r="25" spans="2:13" x14ac:dyDescent="0.2">
      <c r="B25" s="6"/>
      <c r="C25" s="5"/>
      <c r="D25" s="5"/>
      <c r="E25" s="5"/>
      <c r="F25" s="5"/>
      <c r="G25" s="5"/>
      <c r="H25" s="5"/>
      <c r="I25" s="4"/>
    </row>
    <row r="26" spans="2:13" x14ac:dyDescent="0.2">
      <c r="B26" s="67" t="s">
        <v>23</v>
      </c>
      <c r="C26" s="68"/>
      <c r="D26" s="68"/>
      <c r="E26" s="68"/>
      <c r="F26" s="68"/>
      <c r="G26" s="68"/>
      <c r="H26" s="68"/>
      <c r="I26" s="69"/>
    </row>
    <row r="27" spans="2:13" ht="24.75" customHeight="1" x14ac:dyDescent="0.2">
      <c r="B27" s="70" t="str">
        <f>+K4</f>
        <v>WOMENS COTTON FIBERS, KNIT PULLOVER, WITH NO NECK CLOSURE, STITCH COUNT IS GREATER THAN 9/2CM, REACHES WAIST, SLEEVELESS [96% COTTON 4% SPANDEX]</v>
      </c>
      <c r="C27" s="71"/>
      <c r="D27" s="71"/>
      <c r="E27" s="71"/>
      <c r="F27" s="71"/>
      <c r="G27" s="71"/>
      <c r="H27" s="71"/>
      <c r="I27" s="72"/>
    </row>
    <row r="28" spans="2:13" x14ac:dyDescent="0.2">
      <c r="B28" s="21"/>
      <c r="C28" s="5"/>
      <c r="D28" s="5"/>
      <c r="E28" s="5"/>
      <c r="F28" s="5"/>
      <c r="G28" s="5"/>
      <c r="H28" s="5"/>
      <c r="I28" s="4"/>
    </row>
    <row r="29" spans="2:13" x14ac:dyDescent="0.2">
      <c r="B29" s="6" t="s">
        <v>22</v>
      </c>
      <c r="C29" s="5"/>
      <c r="D29" s="5"/>
      <c r="E29" s="5"/>
      <c r="F29" s="5"/>
      <c r="G29" s="5"/>
      <c r="H29" s="5"/>
      <c r="I29" s="4"/>
    </row>
    <row r="30" spans="2:13" x14ac:dyDescent="0.2">
      <c r="B30" s="6"/>
      <c r="C30" s="5"/>
      <c r="D30" s="5"/>
      <c r="E30" s="5"/>
      <c r="F30" s="5"/>
      <c r="G30" s="5"/>
      <c r="H30" s="5"/>
      <c r="I30" s="4"/>
    </row>
    <row r="31" spans="2:13" s="20" customFormat="1" ht="25.5" customHeight="1" x14ac:dyDescent="0.2">
      <c r="B31" s="54" t="s">
        <v>21</v>
      </c>
      <c r="C31" s="54" t="s">
        <v>20</v>
      </c>
      <c r="D31" s="73" t="s">
        <v>19</v>
      </c>
      <c r="E31" s="73"/>
      <c r="F31" s="73" t="s">
        <v>18</v>
      </c>
      <c r="G31" s="73"/>
      <c r="H31" s="54" t="s">
        <v>17</v>
      </c>
      <c r="I31" s="19" t="s">
        <v>16</v>
      </c>
      <c r="M31"/>
    </row>
    <row r="32" spans="2:13" ht="27.75" customHeight="1" x14ac:dyDescent="0.2">
      <c r="B32" s="41">
        <v>21</v>
      </c>
      <c r="C32" s="19" t="s">
        <v>183</v>
      </c>
      <c r="D32" s="62"/>
      <c r="E32" s="63"/>
      <c r="F32" s="62">
        <f>+K2</f>
        <v>899</v>
      </c>
      <c r="G32" s="63"/>
      <c r="H32" s="17">
        <v>0.76</v>
      </c>
      <c r="I32" s="18">
        <f>+H32*F32</f>
        <v>683.24</v>
      </c>
      <c r="K32" s="46"/>
      <c r="M32" s="39"/>
    </row>
    <row r="33" spans="2:11" ht="21" customHeight="1" x14ac:dyDescent="0.2">
      <c r="B33" s="15" t="s">
        <v>15</v>
      </c>
      <c r="C33" s="15"/>
      <c r="D33" s="67"/>
      <c r="E33" s="69"/>
      <c r="F33" s="67"/>
      <c r="G33" s="69"/>
      <c r="H33" s="17"/>
      <c r="I33" s="54"/>
    </row>
    <row r="34" spans="2:11" ht="21.75" customHeight="1" x14ac:dyDescent="0.2">
      <c r="B34" s="15" t="s">
        <v>14</v>
      </c>
      <c r="C34" s="15"/>
      <c r="D34" s="78"/>
      <c r="E34" s="79"/>
      <c r="F34" s="62">
        <f>SUM(F32:G33)</f>
        <v>899</v>
      </c>
      <c r="G34" s="63"/>
      <c r="H34" s="15"/>
      <c r="I34" s="14">
        <f>SUM(I32:I33)</f>
        <v>683.24</v>
      </c>
      <c r="J34" s="40"/>
      <c r="K34" s="40"/>
    </row>
    <row r="35" spans="2:11" ht="21.75" customHeight="1" x14ac:dyDescent="0.2">
      <c r="B35" s="16" t="s">
        <v>13</v>
      </c>
      <c r="C35" s="15"/>
      <c r="D35" s="67"/>
      <c r="E35" s="69"/>
      <c r="F35" s="67"/>
      <c r="G35" s="69"/>
      <c r="H35" s="15"/>
      <c r="I35" s="54"/>
      <c r="J35" s="40"/>
    </row>
    <row r="36" spans="2:11" ht="21.75" customHeight="1" x14ac:dyDescent="0.2">
      <c r="B36" s="16" t="s">
        <v>12</v>
      </c>
      <c r="C36" s="15"/>
      <c r="D36" s="67"/>
      <c r="E36" s="69"/>
      <c r="F36" s="67"/>
      <c r="G36" s="69"/>
      <c r="H36" s="15"/>
      <c r="I36" s="14">
        <f>+I34</f>
        <v>683.24</v>
      </c>
    </row>
    <row r="37" spans="2:11" ht="20.25" customHeight="1" x14ac:dyDescent="0.2">
      <c r="B37" s="15" t="s">
        <v>80</v>
      </c>
      <c r="C37" s="67" t="s">
        <v>11</v>
      </c>
      <c r="D37" s="68"/>
      <c r="E37" s="68"/>
      <c r="F37" s="68"/>
      <c r="G37" s="68"/>
      <c r="H37" s="69"/>
      <c r="I37" s="45"/>
    </row>
    <row r="38" spans="2:11" ht="21" customHeight="1" x14ac:dyDescent="0.2">
      <c r="B38" s="16" t="s">
        <v>10</v>
      </c>
      <c r="C38" s="15"/>
      <c r="D38" s="15"/>
      <c r="E38" s="15"/>
      <c r="F38" s="15"/>
      <c r="G38" s="15"/>
      <c r="H38" s="15"/>
      <c r="I38" s="14">
        <f>+I36+I37</f>
        <v>683.24</v>
      </c>
    </row>
    <row r="39" spans="2:11" ht="18.75" customHeight="1" x14ac:dyDescent="0.2">
      <c r="B39" s="6"/>
      <c r="C39" s="5"/>
      <c r="D39" s="5"/>
      <c r="E39" s="5"/>
      <c r="F39" s="5"/>
      <c r="G39" s="5"/>
      <c r="H39" s="5"/>
      <c r="I39" s="4"/>
    </row>
    <row r="40" spans="2:11" x14ac:dyDescent="0.2">
      <c r="B40" s="6"/>
      <c r="C40" s="5"/>
      <c r="D40" s="5"/>
      <c r="E40" s="5"/>
      <c r="F40" s="5"/>
      <c r="G40" s="5"/>
      <c r="H40" s="5"/>
      <c r="I40" s="4"/>
    </row>
    <row r="41" spans="2:11" x14ac:dyDescent="0.2">
      <c r="B41" s="13" t="s">
        <v>9</v>
      </c>
      <c r="C41" s="12"/>
      <c r="D41" s="12"/>
      <c r="E41" s="12"/>
      <c r="F41" s="12"/>
      <c r="G41" s="12"/>
      <c r="H41" s="12"/>
      <c r="I41" s="11"/>
    </row>
    <row r="42" spans="2:11" x14ac:dyDescent="0.2">
      <c r="B42" s="2" t="s">
        <v>86</v>
      </c>
      <c r="C42" s="1"/>
      <c r="D42" s="1"/>
      <c r="E42" s="1"/>
      <c r="F42" s="1"/>
      <c r="G42" s="1"/>
      <c r="H42" s="1"/>
      <c r="I42" s="3"/>
    </row>
    <row r="43" spans="2:11" x14ac:dyDescent="0.2">
      <c r="B43" s="6"/>
      <c r="C43" s="5"/>
      <c r="D43" s="5"/>
      <c r="E43" s="5"/>
      <c r="F43" s="5"/>
      <c r="G43" s="5"/>
      <c r="H43" s="5"/>
      <c r="I43" s="4"/>
    </row>
    <row r="44" spans="2:11" x14ac:dyDescent="0.2">
      <c r="B44" s="6" t="s">
        <v>8</v>
      </c>
      <c r="C44" s="5"/>
      <c r="D44" s="5"/>
      <c r="E44" s="5"/>
      <c r="F44" s="5"/>
      <c r="G44" s="5"/>
      <c r="H44" s="5"/>
      <c r="I44" s="4"/>
    </row>
    <row r="45" spans="2:11" x14ac:dyDescent="0.2">
      <c r="B45" s="6"/>
      <c r="C45" s="5"/>
      <c r="D45" s="5"/>
      <c r="E45" s="5"/>
      <c r="F45" s="5"/>
      <c r="G45" s="5"/>
      <c r="H45" s="5"/>
      <c r="I45" s="4"/>
    </row>
    <row r="46" spans="2:11" x14ac:dyDescent="0.2">
      <c r="B46" s="75" t="s">
        <v>7</v>
      </c>
      <c r="C46" s="75"/>
      <c r="D46" s="75"/>
      <c r="E46" s="10" t="s">
        <v>6</v>
      </c>
      <c r="F46" s="10"/>
      <c r="G46" s="10"/>
      <c r="H46" s="10"/>
      <c r="I46" s="10"/>
    </row>
    <row r="47" spans="2:11" x14ac:dyDescent="0.2">
      <c r="B47" s="2"/>
      <c r="C47" s="1"/>
      <c r="D47" s="3"/>
      <c r="E47" s="9" t="s">
        <v>5</v>
      </c>
      <c r="F47" s="9"/>
      <c r="G47" s="9"/>
      <c r="H47" s="2"/>
      <c r="I47" s="3"/>
    </row>
    <row r="48" spans="2:11" x14ac:dyDescent="0.2">
      <c r="B48" s="6"/>
      <c r="C48" s="5"/>
      <c r="D48" s="5"/>
      <c r="E48" s="5"/>
      <c r="F48" s="5"/>
      <c r="G48" s="5"/>
      <c r="H48" s="5"/>
      <c r="I48" s="4"/>
    </row>
    <row r="49" spans="2:11" x14ac:dyDescent="0.2">
      <c r="B49" s="6" t="s">
        <v>4</v>
      </c>
      <c r="C49" s="5"/>
      <c r="D49" s="5"/>
      <c r="E49" s="5"/>
      <c r="F49" s="5"/>
      <c r="G49" s="5"/>
      <c r="H49" s="5"/>
      <c r="I49" s="4"/>
    </row>
    <row r="50" spans="2:11" x14ac:dyDescent="0.2">
      <c r="B50" s="6" t="s">
        <v>3</v>
      </c>
      <c r="C50" s="5"/>
      <c r="D50" s="5"/>
      <c r="E50" s="5"/>
      <c r="F50" s="5"/>
      <c r="G50" s="5"/>
      <c r="H50" s="5"/>
      <c r="I50" s="4"/>
    </row>
    <row r="51" spans="2:11" x14ac:dyDescent="0.2">
      <c r="B51" s="6"/>
      <c r="C51" s="5"/>
      <c r="D51" s="5"/>
      <c r="E51" s="5"/>
      <c r="F51" s="5"/>
      <c r="G51" s="5"/>
      <c r="H51" s="5"/>
      <c r="I51" s="4"/>
    </row>
    <row r="52" spans="2:11" x14ac:dyDescent="0.2">
      <c r="B52" s="6"/>
      <c r="C52" s="5"/>
      <c r="D52" s="5"/>
      <c r="E52" s="5"/>
      <c r="F52" s="5"/>
      <c r="G52" s="5" t="s">
        <v>2</v>
      </c>
      <c r="H52" s="5" t="str">
        <f>VLOOKUP($K52,reff!B2:C29,2,0)</f>
        <v>265K0075</v>
      </c>
      <c r="I52" s="8"/>
      <c r="K52">
        <v>3</v>
      </c>
    </row>
    <row r="53" spans="2:11" x14ac:dyDescent="0.2">
      <c r="B53" s="6"/>
      <c r="C53" s="5"/>
      <c r="D53" s="5"/>
      <c r="E53" s="5"/>
      <c r="F53" s="5"/>
      <c r="G53" s="5"/>
      <c r="H53" s="7"/>
      <c r="I53" s="4"/>
    </row>
    <row r="54" spans="2:11" x14ac:dyDescent="0.2">
      <c r="B54" s="6"/>
      <c r="C54" s="5"/>
      <c r="D54" s="5"/>
      <c r="E54" s="5"/>
      <c r="F54" s="5"/>
      <c r="G54" s="5"/>
      <c r="H54" s="5"/>
      <c r="I54" s="4"/>
    </row>
    <row r="55" spans="2:11" x14ac:dyDescent="0.2">
      <c r="B55" s="6"/>
      <c r="C55" s="76" t="s">
        <v>1</v>
      </c>
      <c r="D55" s="76"/>
      <c r="E55" s="5"/>
      <c r="F55" s="5"/>
      <c r="G55" s="5"/>
      <c r="H55" s="5"/>
      <c r="I55" s="4"/>
    </row>
    <row r="56" spans="2:11" x14ac:dyDescent="0.2">
      <c r="B56" s="6"/>
      <c r="C56" s="77" t="s">
        <v>0</v>
      </c>
      <c r="D56" s="77"/>
      <c r="E56" s="5"/>
      <c r="F56" s="5"/>
      <c r="G56" s="5"/>
      <c r="H56" s="5"/>
      <c r="I56" s="4"/>
      <c r="K56">
        <v>3</v>
      </c>
    </row>
    <row r="57" spans="2:11" x14ac:dyDescent="0.2">
      <c r="B57" s="2"/>
      <c r="C57" s="74"/>
      <c r="D57" s="74"/>
      <c r="E57" s="1"/>
      <c r="F57" s="1"/>
      <c r="G57" s="1"/>
      <c r="H57" s="1"/>
      <c r="I57" s="1"/>
    </row>
    <row r="58" spans="2:11" x14ac:dyDescent="0.2">
      <c r="B58" s="5"/>
      <c r="C58" s="5"/>
      <c r="D58" s="5"/>
      <c r="E58" s="5"/>
      <c r="F58" s="5"/>
      <c r="G58" s="5"/>
      <c r="H58" s="5"/>
      <c r="I58" s="5"/>
    </row>
  </sheetData>
  <mergeCells count="20">
    <mergeCell ref="D33:E33"/>
    <mergeCell ref="F33:G33"/>
    <mergeCell ref="D34:E34"/>
    <mergeCell ref="F34:G34"/>
    <mergeCell ref="D35:E35"/>
    <mergeCell ref="F35:G35"/>
    <mergeCell ref="C57:D57"/>
    <mergeCell ref="D36:E36"/>
    <mergeCell ref="F36:G36"/>
    <mergeCell ref="C37:H37"/>
    <mergeCell ref="B46:D46"/>
    <mergeCell ref="C55:D55"/>
    <mergeCell ref="C56:D56"/>
    <mergeCell ref="D32:E32"/>
    <mergeCell ref="F32:G32"/>
    <mergeCell ref="B2:I2"/>
    <mergeCell ref="B26:I26"/>
    <mergeCell ref="B27:I27"/>
    <mergeCell ref="D31:E31"/>
    <mergeCell ref="F31:G31"/>
  </mergeCells>
  <printOptions horizontalCentered="1" verticalCentered="1"/>
  <pageMargins left="0.7" right="0.7" top="0.75" bottom="0.75" header="0.3" footer="0.3"/>
  <pageSetup paperSize="9" scale="6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Sheet1!$L$5:$L$25</xm:f>
          </x14:formula1>
          <xm:sqref>G13</xm:sqref>
        </x14:dataValidation>
        <x14:dataValidation type="list" allowBlank="1" showInputMessage="1" showErrorMessage="1" xr:uid="{00000000-0002-0000-0400-000001000000}">
          <x14:formula1>
            <xm:f>Sheet1!$B$17:$B$18</xm:f>
          </x14:formula1>
          <xm:sqref>G5</xm:sqref>
        </x14:dataValidation>
        <x14:dataValidation type="list" allowBlank="1" showInputMessage="1" showErrorMessage="1" xr:uid="{00000000-0002-0000-0400-000002000000}">
          <x14:formula1>
            <xm:f>Sheet1!$K$5:$K$12</xm:f>
          </x14:formula1>
          <xm:sqref>B14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Sheet1</vt:lpstr>
      <vt:lpstr>reff</vt:lpstr>
      <vt:lpstr>347</vt:lpstr>
      <vt:lpstr>348</vt:lpstr>
      <vt:lpstr>349</vt:lpstr>
      <vt:lpstr>'347'!Print_Area</vt:lpstr>
      <vt:lpstr>'348'!Print_Area</vt:lpstr>
      <vt:lpstr>'349'!Print_Area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ADMEXIM3</dc:creator>
  <cp:lastModifiedBy>ADM EXIM</cp:lastModifiedBy>
  <cp:lastPrinted>2026-06-24T01:23:25Z</cp:lastPrinted>
  <dcterms:created xsi:type="dcterms:W3CDTF">2024-04-17T09:56:05Z</dcterms:created>
  <dcterms:modified xsi:type="dcterms:W3CDTF">2026-06-26T01:23:32Z</dcterms:modified>
</cp:coreProperties>
</file>