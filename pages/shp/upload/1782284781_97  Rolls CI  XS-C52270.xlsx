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esktop\要發出布文件\5 月2026年\80 Rolls(May 5) Hangzhou to Nirwana\"/>
    </mc:Choice>
  </mc:AlternateContent>
  <xr:revisionPtr revIDLastSave="0" documentId="13_ncr:1_{09EAB30D-C596-48BD-94A2-476E1326C7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K32" i="1" l="1"/>
  <c r="M31" i="1"/>
  <c r="M30" i="1"/>
  <c r="M32" i="1" l="1"/>
</calcChain>
</file>

<file path=xl/sharedStrings.xml><?xml version="1.0" encoding="utf-8"?>
<sst xmlns="http://schemas.openxmlformats.org/spreadsheetml/2006/main" count="54" uniqueCount="52">
  <si>
    <t>HANGZHOU XINSHENG PRINTING AND DYEING CO., LTD</t>
  </si>
  <si>
    <t>No.2 Yonghong RD, Dangwan Town, Xiaoshan Dirstrit,Hangzhou City,P.R.China, 311221</t>
  </si>
  <si>
    <t>Tel: +86 571 2280 8088</t>
  </si>
  <si>
    <t xml:space="preserve">Fax: +86 571 2280 8066 </t>
  </si>
  <si>
    <t xml:space="preserve"> COMMERCIAL  INVOICE</t>
  </si>
  <si>
    <t>The Seller :</t>
  </si>
  <si>
    <t xml:space="preserve">Invoice No. </t>
  </si>
  <si>
    <t>Invoice Date</t>
  </si>
  <si>
    <t>HANGZHOU XINSHENG PRINTING &amp; DYEING CO., LTD</t>
  </si>
  <si>
    <t>W20260505-A</t>
  </si>
  <si>
    <t>Buyer's Order No. &amp; Date</t>
  </si>
  <si>
    <t>The buyer:</t>
  </si>
  <si>
    <t xml:space="preserve">Fu Kwok Knitting &amp; Garment Co., Ltd. </t>
  </si>
  <si>
    <t>Other Reference(s)</t>
  </si>
  <si>
    <t>Manufacturer of the goods (if other than exporter)</t>
  </si>
  <si>
    <t>Vessel/Flight No.</t>
  </si>
  <si>
    <t>Port of Loading</t>
  </si>
  <si>
    <t>Country of Origin of goods</t>
  </si>
  <si>
    <t>China</t>
  </si>
  <si>
    <t>Port of Discharge</t>
  </si>
  <si>
    <t>Final Destination</t>
  </si>
  <si>
    <t>Terms of Delivery and Payment</t>
  </si>
  <si>
    <t>FOB SHANGHAI</t>
  </si>
  <si>
    <t>Art#</t>
  </si>
  <si>
    <t xml:space="preserve"> Description of Goods</t>
  </si>
  <si>
    <t>Order no</t>
  </si>
  <si>
    <t>Style</t>
  </si>
  <si>
    <t>color</t>
  </si>
  <si>
    <t>Quantity</t>
  </si>
  <si>
    <t>Currency</t>
  </si>
  <si>
    <t>Amount</t>
  </si>
  <si>
    <t>FOBUnit Price</t>
  </si>
  <si>
    <t>yds</t>
  </si>
  <si>
    <t>USD/Y</t>
  </si>
  <si>
    <t>USD</t>
  </si>
  <si>
    <t>XS-C52270</t>
  </si>
  <si>
    <t>5KBDYE51A03/E52A02</t>
  </si>
  <si>
    <t>CABERNET 155-22-14</t>
  </si>
  <si>
    <t>HEATHER GRAY BH13</t>
  </si>
  <si>
    <t>Total Qty:</t>
  </si>
  <si>
    <t>Total AMT:</t>
  </si>
  <si>
    <t>KNIT FABRIC
50%VISCOSE 28%POLYESTER 
22% POLYAMIDE ,
Width: 62/63'',375GSM</t>
  </si>
  <si>
    <t>JAKARTA,INDONESIA</t>
  </si>
  <si>
    <t>Consignee:</t>
    <phoneticPr fontId="11" type="noConversion"/>
  </si>
  <si>
    <t>PT. NIRWANA ALABARE GARMENT</t>
    <phoneticPr fontId="11" type="noConversion"/>
  </si>
  <si>
    <t>JL. RAYA RANCAEKEK - MAJALAYA NO.289, DESA</t>
    <phoneticPr fontId="11" type="noConversion"/>
  </si>
  <si>
    <t>SOLOKAN JERUK, KEC.SOLOKAN JERUK, KABUPATEN BANDUNG,</t>
  </si>
  <si>
    <t>JAWA BARAT 40382 INDONESIA 6222-85962076</t>
  </si>
  <si>
    <t>ATTN: CINHUI/NINA  NPWP CODE: 0745 4069 2644 4000</t>
  </si>
  <si>
    <t>BEYOND YOGA FA26- CHASE</t>
  </si>
  <si>
    <t>WG1332/
WG70096</t>
    <phoneticPr fontId="18" type="noConversion"/>
  </si>
  <si>
    <t>Say Us Dollars Seventy Thousand Sixty Three and Cents Twenty Six only.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</si>
</sst>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.00_);[Red]\(\$#,##0.00\)"/>
    <numFmt numFmtId="177" formatCode="\¥#,##0.00_);[Red]\(\¥#,##0.00\)"/>
  </numFmts>
  <fonts count="19" x14ac:knownFonts="1">
    <font>
      <sz val="11"/>
      <color theme="1"/>
      <name val="新細明體"/>
      <charset val="134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rgb="FF000000"/>
      <name val="Calibri"/>
      <family val="2"/>
    </font>
    <font>
      <sz val="9"/>
      <color theme="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8"/>
      <name val="細明體"/>
      <family val="3"/>
      <charset val="136"/>
    </font>
    <font>
      <sz val="8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4" fillId="0" borderId="0"/>
    <xf numFmtId="0" fontId="2" fillId="0" borderId="0">
      <alignment vertical="top"/>
    </xf>
    <xf numFmtId="0" fontId="13" fillId="0" borderId="0"/>
  </cellStyleXfs>
  <cellXfs count="136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0" fillId="2" borderId="0" xfId="0" applyFill="1" applyAlignment="1"/>
    <xf numFmtId="0" fontId="5" fillId="2" borderId="4" xfId="0" applyFont="1" applyFill="1" applyBorder="1" applyAlignment="1"/>
    <xf numFmtId="0" fontId="5" fillId="2" borderId="5" xfId="0" applyFont="1" applyFill="1" applyBorder="1" applyAlignment="1"/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2" fillId="2" borderId="6" xfId="0" applyFont="1" applyFill="1" applyBorder="1" applyAlignment="1"/>
    <xf numFmtId="0" fontId="6" fillId="2" borderId="7" xfId="0" applyFont="1" applyFill="1" applyBorder="1" applyAlignment="1"/>
    <xf numFmtId="0" fontId="6" fillId="2" borderId="0" xfId="0" applyFont="1" applyFill="1" applyAlignment="1"/>
    <xf numFmtId="0" fontId="1" fillId="2" borderId="8" xfId="0" applyFont="1" applyFill="1" applyBorder="1" applyAlignment="1"/>
    <xf numFmtId="0" fontId="2" fillId="2" borderId="5" xfId="0" applyFont="1" applyFill="1" applyBorder="1" applyAlignment="1"/>
    <xf numFmtId="0" fontId="2" fillId="2" borderId="9" xfId="0" applyFont="1" applyFill="1" applyBorder="1" applyAlignment="1"/>
    <xf numFmtId="0" fontId="2" fillId="2" borderId="11" xfId="0" applyFont="1" applyFill="1" applyBorder="1" applyAlignment="1"/>
    <xf numFmtId="0" fontId="2" fillId="2" borderId="10" xfId="0" applyFont="1" applyFill="1" applyBorder="1" applyAlignment="1"/>
    <xf numFmtId="0" fontId="2" fillId="2" borderId="8" xfId="0" applyFont="1" applyFill="1" applyBorder="1" applyAlignment="1"/>
    <xf numFmtId="0" fontId="6" fillId="2" borderId="0" xfId="0" applyFont="1" applyFill="1" applyAlignment="1">
      <alignment horizontal="left" vertical="top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5" fillId="2" borderId="7" xfId="0" applyFont="1" applyFill="1" applyBorder="1" applyAlignment="1"/>
    <xf numFmtId="0" fontId="6" fillId="2" borderId="8" xfId="0" applyFont="1" applyFill="1" applyBorder="1" applyAlignment="1"/>
    <xf numFmtId="0" fontId="6" fillId="2" borderId="9" xfId="0" applyFont="1" applyFill="1" applyBorder="1" applyAlignment="1"/>
    <xf numFmtId="0" fontId="6" fillId="2" borderId="11" xfId="0" applyFont="1" applyFill="1" applyBorder="1" applyAlignment="1"/>
    <xf numFmtId="0" fontId="8" fillId="2" borderId="1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9" fillId="0" borderId="15" xfId="0" applyFont="1" applyBorder="1" applyAlignment="1">
      <alignment horizontal="center" vertical="center" wrapText="1"/>
    </xf>
    <xf numFmtId="14" fontId="10" fillId="0" borderId="15" xfId="0" applyNumberFormat="1" applyFont="1" applyBorder="1" applyAlignment="1">
      <alignment horizontal="center" vertical="center" wrapText="1" shrinkToFit="1"/>
    </xf>
    <xf numFmtId="40" fontId="8" fillId="2" borderId="15" xfId="0" applyNumberFormat="1" applyFont="1" applyFill="1" applyBorder="1" applyAlignment="1">
      <alignment horizontal="center" wrapText="1"/>
    </xf>
    <xf numFmtId="176" fontId="8" fillId="2" borderId="15" xfId="0" applyNumberFormat="1" applyFont="1" applyFill="1" applyBorder="1" applyAlignment="1">
      <alignment horizontal="center" wrapText="1"/>
    </xf>
    <xf numFmtId="14" fontId="10" fillId="0" borderId="16" xfId="0" applyNumberFormat="1" applyFont="1" applyBorder="1" applyAlignment="1">
      <alignment horizontal="center" vertical="center" wrapText="1" shrinkToFit="1"/>
    </xf>
    <xf numFmtId="0" fontId="2" fillId="2" borderId="15" xfId="0" applyFont="1" applyFill="1" applyBorder="1" applyAlignment="1"/>
    <xf numFmtId="0" fontId="2" fillId="2" borderId="1" xfId="0" applyFont="1" applyFill="1" applyBorder="1" applyAlignment="1"/>
    <xf numFmtId="0" fontId="7" fillId="2" borderId="3" xfId="0" applyFont="1" applyFill="1" applyBorder="1" applyAlignment="1"/>
    <xf numFmtId="40" fontId="8" fillId="2" borderId="1" xfId="0" applyNumberFormat="1" applyFont="1" applyFill="1" applyBorder="1" applyAlignment="1">
      <alignment horizontal="center"/>
    </xf>
    <xf numFmtId="177" fontId="7" fillId="2" borderId="15" xfId="0" applyNumberFormat="1" applyFont="1" applyFill="1" applyBorder="1" applyAlignment="1">
      <alignment horizontal="center"/>
    </xf>
    <xf numFmtId="176" fontId="8" fillId="2" borderId="3" xfId="0" applyNumberFormat="1" applyFont="1" applyFill="1" applyBorder="1" applyAlignment="1">
      <alignment horizontal="center"/>
    </xf>
    <xf numFmtId="0" fontId="1" fillId="2" borderId="7" xfId="0" applyFont="1" applyFill="1" applyBorder="1" applyAlignment="1"/>
    <xf numFmtId="0" fontId="0" fillId="2" borderId="0" xfId="0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/>
    <xf numFmtId="0" fontId="1" fillId="2" borderId="7" xfId="2" applyFont="1" applyFill="1" applyBorder="1">
      <alignment vertical="top"/>
    </xf>
    <xf numFmtId="0" fontId="1" fillId="2" borderId="0" xfId="2" applyFont="1" applyFill="1">
      <alignment vertical="top"/>
    </xf>
    <xf numFmtId="0" fontId="2" fillId="2" borderId="0" xfId="2" applyFill="1">
      <alignment vertical="top"/>
    </xf>
    <xf numFmtId="0" fontId="2" fillId="2" borderId="0" xfId="2" applyFill="1" applyAlignment="1"/>
    <xf numFmtId="0" fontId="11" fillId="2" borderId="0" xfId="2" applyFont="1" applyFill="1" applyAlignment="1"/>
    <xf numFmtId="0" fontId="1" fillId="2" borderId="7" xfId="2" applyFont="1" applyFill="1" applyBorder="1" applyAlignment="1"/>
    <xf numFmtId="0" fontId="1" fillId="2" borderId="0" xfId="2" applyFont="1" applyFill="1" applyAlignment="1"/>
    <xf numFmtId="0" fontId="12" fillId="2" borderId="7" xfId="2" applyFont="1" applyFill="1" applyBorder="1" applyAlignment="1"/>
    <xf numFmtId="0" fontId="12" fillId="2" borderId="0" xfId="2" applyFont="1" applyFill="1" applyAlignment="1"/>
    <xf numFmtId="0" fontId="1" fillId="2" borderId="8" xfId="2" applyFont="1" applyFill="1" applyBorder="1" applyAlignment="1"/>
    <xf numFmtId="0" fontId="1" fillId="2" borderId="9" xfId="0" applyFont="1" applyFill="1" applyBorder="1" applyAlignment="1"/>
    <xf numFmtId="0" fontId="1" fillId="2" borderId="11" xfId="0" applyFont="1" applyFill="1" applyBorder="1" applyAlignment="1"/>
    <xf numFmtId="0" fontId="1" fillId="2" borderId="10" xfId="0" applyFont="1" applyFill="1" applyBorder="1" applyAlignment="1"/>
    <xf numFmtId="0" fontId="7" fillId="0" borderId="13" xfId="0" applyFont="1" applyBorder="1">
      <alignment vertical="center"/>
    </xf>
    <xf numFmtId="0" fontId="8" fillId="2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5" fillId="2" borderId="0" xfId="0" applyFont="1" applyFill="1" applyAlignment="1"/>
    <xf numFmtId="0" fontId="16" fillId="2" borderId="0" xfId="0" applyFont="1" applyFill="1" applyAlignment="1"/>
    <xf numFmtId="0" fontId="17" fillId="2" borderId="0" xfId="0" applyFont="1" applyFill="1" applyAlignment="1"/>
    <xf numFmtId="0" fontId="6" fillId="2" borderId="2" xfId="0" applyFont="1" applyFill="1" applyBorder="1" applyAlignment="1"/>
    <xf numFmtId="0" fontId="5" fillId="2" borderId="17" xfId="0" applyFont="1" applyFill="1" applyBorder="1" applyAlignment="1"/>
    <xf numFmtId="0" fontId="5" fillId="2" borderId="18" xfId="0" applyFont="1" applyFill="1" applyBorder="1" applyAlignment="1"/>
    <xf numFmtId="0" fontId="2" fillId="2" borderId="18" xfId="0" applyFont="1" applyFill="1" applyBorder="1" applyAlignment="1"/>
    <xf numFmtId="0" fontId="2" fillId="2" borderId="19" xfId="0" applyFont="1" applyFill="1" applyBorder="1" applyAlignment="1"/>
    <xf numFmtId="0" fontId="6" fillId="2" borderId="20" xfId="0" applyFont="1" applyFill="1" applyBorder="1" applyAlignment="1"/>
    <xf numFmtId="0" fontId="2" fillId="2" borderId="21" xfId="0" applyFont="1" applyFill="1" applyBorder="1" applyAlignment="1"/>
    <xf numFmtId="0" fontId="7" fillId="0" borderId="21" xfId="0" applyFont="1" applyBorder="1" applyAlignment="1">
      <alignment vertical="top"/>
    </xf>
    <xf numFmtId="0" fontId="6" fillId="2" borderId="20" xfId="0" applyFont="1" applyFill="1" applyBorder="1" applyAlignment="1">
      <alignment horizontal="left" vertical="top"/>
    </xf>
    <xf numFmtId="0" fontId="15" fillId="2" borderId="20" xfId="0" applyFont="1" applyFill="1" applyBorder="1" applyAlignment="1"/>
    <xf numFmtId="0" fontId="7" fillId="0" borderId="21" xfId="0" applyFont="1" applyBorder="1" applyAlignment="1">
      <alignment horizontal="left" vertical="top"/>
    </xf>
    <xf numFmtId="0" fontId="7" fillId="0" borderId="0" xfId="0" applyFont="1" applyAlignment="1">
      <alignment vertical="center" wrapText="1"/>
    </xf>
    <xf numFmtId="0" fontId="3" fillId="2" borderId="0" xfId="0" applyFont="1" applyFill="1" applyAlignment="1"/>
    <xf numFmtId="0" fontId="2" fillId="2" borderId="0" xfId="0" applyFont="1" applyFill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0" borderId="10" xfId="0" applyFont="1" applyBorder="1" applyAlignment="1">
      <alignment vertical="top"/>
    </xf>
    <xf numFmtId="14" fontId="7" fillId="2" borderId="9" xfId="0" applyNumberFormat="1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vertical="top" wrapText="1"/>
    </xf>
    <xf numFmtId="0" fontId="2" fillId="2" borderId="20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2" fillId="2" borderId="20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20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21" xfId="0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</cellXfs>
  <cellStyles count="4">
    <cellStyle name="一般" xfId="0" builtinId="0"/>
    <cellStyle name="一般 13" xfId="3" xr:uid="{00000000-0005-0000-0000-000033000000}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617855</xdr:colOff>
      <xdr:row>0</xdr:row>
      <xdr:rowOff>142875</xdr:rowOff>
    </xdr:from>
    <xdr:to>
      <xdr:col>2</xdr:col>
      <xdr:colOff>333375</xdr:colOff>
      <xdr:row>3</xdr:row>
      <xdr:rowOff>39370</xdr:rowOff>
    </xdr:to>
    <xdr:pic>
      <xdr:nvPicPr>
        <xdr:cNvPr id="1172" name="Picture 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04215" y="142875"/>
          <a:ext cx="586105" cy="48704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67310</xdr:colOff>
      <xdr:row>0</xdr:row>
      <xdr:rowOff>142875</xdr:rowOff>
    </xdr:from>
    <xdr:to>
      <xdr:col>6</xdr:col>
      <xdr:colOff>495935</xdr:colOff>
      <xdr:row>0</xdr:row>
      <xdr:rowOff>151130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136900" y="142875"/>
          <a:ext cx="495935" cy="825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48"/>
  <sheetViews>
    <sheetView tabSelected="1" topLeftCell="A10" zoomScale="85" zoomScaleNormal="85" workbookViewId="0">
      <selection activeCell="T16" sqref="T16"/>
    </sheetView>
  </sheetViews>
  <sheetFormatPr defaultColWidth="9" defaultRowHeight="12.75" x14ac:dyDescent="0.2"/>
  <cols>
    <col min="1" max="1" width="1.140625" style="2" customWidth="1"/>
    <col min="2" max="2" width="11.5703125" style="2" customWidth="1"/>
    <col min="3" max="3" width="10.5703125" style="2" customWidth="1"/>
    <col min="4" max="4" width="14.140625" style="2" customWidth="1"/>
    <col min="5" max="5" width="2.85546875" style="2" customWidth="1"/>
    <col min="6" max="6" width="0.85546875" style="2" customWidth="1"/>
    <col min="7" max="7" width="19" style="2" customWidth="1"/>
    <col min="8" max="8" width="11.7109375" style="2" customWidth="1"/>
    <col min="9" max="9" width="5.7109375" style="2" customWidth="1"/>
    <col min="10" max="10" width="18.5703125" style="2" customWidth="1"/>
    <col min="11" max="11" width="10.140625" style="2" customWidth="1"/>
    <col min="12" max="12" width="12.42578125" style="2" customWidth="1"/>
    <col min="13" max="13" width="15" style="2" customWidth="1"/>
    <col min="14" max="16384" width="9" style="2"/>
  </cols>
  <sheetData>
    <row r="2" spans="2:13" ht="20.25" x14ac:dyDescent="0.3">
      <c r="D2" s="76" t="s">
        <v>0</v>
      </c>
      <c r="E2" s="76"/>
      <c r="F2" s="76"/>
      <c r="G2" s="77"/>
      <c r="H2" s="77"/>
      <c r="I2" s="76"/>
      <c r="J2" s="76"/>
      <c r="K2" s="76"/>
      <c r="L2" s="76"/>
    </row>
    <row r="3" spans="2:13" ht="15.75" x14ac:dyDescent="0.25">
      <c r="D3" s="3" t="s">
        <v>1</v>
      </c>
    </row>
    <row r="4" spans="2:13" ht="15.75" x14ac:dyDescent="0.25">
      <c r="D4" s="3" t="s">
        <v>2</v>
      </c>
      <c r="F4" s="3" t="s">
        <v>3</v>
      </c>
    </row>
    <row r="7" spans="2:13" ht="26.25" customHeight="1" x14ac:dyDescent="0.25">
      <c r="B7" s="78" t="s">
        <v>4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80"/>
    </row>
    <row r="8" spans="2:13" ht="19.5" customHeight="1" x14ac:dyDescent="0.2">
      <c r="B8" s="4" t="s">
        <v>5</v>
      </c>
      <c r="C8" s="5"/>
      <c r="D8" s="6"/>
      <c r="E8" s="6"/>
      <c r="F8" s="6"/>
      <c r="G8" s="5"/>
      <c r="H8" s="5"/>
      <c r="I8" s="7"/>
      <c r="J8" s="4" t="s">
        <v>6</v>
      </c>
      <c r="K8" s="8"/>
      <c r="L8" s="5" t="s">
        <v>7</v>
      </c>
      <c r="M8" s="8"/>
    </row>
    <row r="9" spans="2:13" ht="18" customHeight="1" x14ac:dyDescent="0.2">
      <c r="B9" s="9" t="s">
        <v>8</v>
      </c>
      <c r="C9" s="10"/>
      <c r="E9" s="10"/>
      <c r="F9" s="10"/>
      <c r="G9" s="10"/>
      <c r="H9" s="10"/>
      <c r="I9" s="11"/>
      <c r="J9" s="120" t="s">
        <v>9</v>
      </c>
      <c r="K9" s="81"/>
      <c r="L9" s="82">
        <v>46147</v>
      </c>
      <c r="M9" s="83"/>
    </row>
    <row r="10" spans="2:13" ht="24.75" customHeight="1" x14ac:dyDescent="0.2">
      <c r="B10" s="9"/>
      <c r="C10" s="10"/>
      <c r="D10" s="10"/>
      <c r="E10" s="10"/>
      <c r="F10" s="10"/>
      <c r="G10" s="10"/>
      <c r="H10" s="10"/>
      <c r="I10" s="11"/>
      <c r="J10" s="4" t="s">
        <v>10</v>
      </c>
      <c r="K10" s="12"/>
      <c r="L10" s="12"/>
      <c r="M10" s="8"/>
    </row>
    <row r="11" spans="2:13" ht="13.5" thickBot="1" x14ac:dyDescent="0.25">
      <c r="B11" s="65" t="s">
        <v>11</v>
      </c>
      <c r="C11" s="66"/>
      <c r="D11" s="67"/>
      <c r="E11" s="67"/>
      <c r="F11" s="67"/>
      <c r="G11" s="66"/>
      <c r="H11" s="66"/>
      <c r="I11" s="68"/>
      <c r="J11" s="14"/>
      <c r="K11" s="14"/>
      <c r="L11" s="14"/>
      <c r="M11" s="15"/>
    </row>
    <row r="12" spans="2:13" ht="28.5" customHeight="1" thickBot="1" x14ac:dyDescent="0.25">
      <c r="B12" s="69" t="s">
        <v>12</v>
      </c>
      <c r="C12" s="10"/>
      <c r="D12" s="10"/>
      <c r="E12" s="10"/>
      <c r="F12" s="10"/>
      <c r="G12" s="10"/>
      <c r="H12" s="10"/>
      <c r="I12" s="70"/>
      <c r="J12" s="5" t="s">
        <v>13</v>
      </c>
      <c r="K12" s="12"/>
      <c r="L12" s="12"/>
      <c r="M12" s="8"/>
    </row>
    <row r="13" spans="2:13" ht="18" customHeight="1" thickBot="1" x14ac:dyDescent="0.25">
      <c r="B13" s="84"/>
      <c r="C13" s="85"/>
      <c r="D13" s="85"/>
      <c r="E13" s="85"/>
      <c r="F13" s="85"/>
      <c r="G13" s="17"/>
      <c r="H13" s="17"/>
      <c r="I13" s="71"/>
      <c r="J13" s="64"/>
      <c r="K13" s="18"/>
      <c r="L13" s="18"/>
      <c r="M13" s="19"/>
    </row>
    <row r="14" spans="2:13" ht="16.5" customHeight="1" x14ac:dyDescent="0.2">
      <c r="B14" s="84"/>
      <c r="C14" s="85"/>
      <c r="D14" s="85"/>
      <c r="E14" s="85"/>
      <c r="F14" s="85"/>
      <c r="G14" s="17"/>
      <c r="H14" s="17"/>
      <c r="I14" s="71"/>
      <c r="J14" s="61" t="s">
        <v>14</v>
      </c>
      <c r="M14" s="16"/>
    </row>
    <row r="15" spans="2:13" ht="16.5" customHeight="1" x14ac:dyDescent="0.2">
      <c r="B15" s="72"/>
      <c r="C15" s="17"/>
      <c r="D15" s="17"/>
      <c r="E15" s="17"/>
      <c r="F15" s="17"/>
      <c r="G15" s="17"/>
      <c r="H15" s="17"/>
      <c r="I15" s="71"/>
      <c r="J15" s="61"/>
      <c r="M15" s="16"/>
    </row>
    <row r="16" spans="2:13" ht="16.5" customHeight="1" x14ac:dyDescent="0.2">
      <c r="B16" s="73" t="s">
        <v>43</v>
      </c>
      <c r="C16" s="62"/>
      <c r="D16" s="63"/>
      <c r="E16" s="63"/>
      <c r="F16" s="63"/>
      <c r="G16" s="63"/>
      <c r="H16" s="17"/>
      <c r="I16" s="71"/>
      <c r="J16" s="61"/>
      <c r="M16" s="16"/>
    </row>
    <row r="17" spans="2:13" ht="16.5" customHeight="1" x14ac:dyDescent="0.2">
      <c r="B17" s="121" t="s">
        <v>44</v>
      </c>
      <c r="C17" s="122"/>
      <c r="D17" s="122"/>
      <c r="E17" s="122"/>
      <c r="F17" s="122"/>
      <c r="G17" s="122"/>
      <c r="H17" s="122"/>
      <c r="I17" s="123"/>
      <c r="J17" s="61"/>
      <c r="M17" s="16"/>
    </row>
    <row r="18" spans="2:13" ht="16.5" customHeight="1" x14ac:dyDescent="0.2">
      <c r="B18" s="124" t="s">
        <v>45</v>
      </c>
      <c r="C18" s="125"/>
      <c r="D18" s="125"/>
      <c r="E18" s="125"/>
      <c r="F18" s="125"/>
      <c r="G18" s="126"/>
      <c r="H18" s="125"/>
      <c r="I18" s="74"/>
      <c r="J18" s="61"/>
      <c r="M18" s="16"/>
    </row>
    <row r="19" spans="2:13" ht="16.5" customHeight="1" x14ac:dyDescent="0.2">
      <c r="B19" s="127" t="s">
        <v>46</v>
      </c>
      <c r="C19" s="128"/>
      <c r="D19" s="128"/>
      <c r="E19" s="128"/>
      <c r="F19" s="128"/>
      <c r="G19" s="128"/>
      <c r="H19" s="125"/>
      <c r="I19" s="74"/>
      <c r="J19" s="61"/>
      <c r="M19" s="16"/>
    </row>
    <row r="20" spans="2:13" ht="16.5" customHeight="1" x14ac:dyDescent="0.2">
      <c r="B20" s="129" t="s">
        <v>47</v>
      </c>
      <c r="C20" s="130"/>
      <c r="D20" s="130"/>
      <c r="E20" s="130"/>
      <c r="F20" s="130"/>
      <c r="G20" s="130"/>
      <c r="H20" s="130"/>
      <c r="I20" s="131"/>
      <c r="J20" s="61"/>
      <c r="M20" s="16"/>
    </row>
    <row r="21" spans="2:13" ht="20.45" customHeight="1" thickBot="1" x14ac:dyDescent="0.25">
      <c r="B21" s="132" t="s">
        <v>48</v>
      </c>
      <c r="C21" s="133"/>
      <c r="D21" s="133"/>
      <c r="E21" s="133"/>
      <c r="F21" s="133"/>
      <c r="G21" s="133"/>
      <c r="H21" s="134"/>
      <c r="I21" s="135"/>
      <c r="J21" s="10"/>
      <c r="K21" s="10"/>
      <c r="L21" s="10"/>
      <c r="M21" s="21"/>
    </row>
    <row r="22" spans="2:13" x14ac:dyDescent="0.2">
      <c r="B22" s="20" t="s">
        <v>15</v>
      </c>
      <c r="C22" s="61"/>
      <c r="D22" s="16"/>
      <c r="E22" s="20" t="s">
        <v>16</v>
      </c>
      <c r="G22" s="61"/>
      <c r="H22" s="61"/>
      <c r="I22" s="16"/>
      <c r="J22" s="4" t="s">
        <v>17</v>
      </c>
      <c r="K22" s="12"/>
      <c r="L22" s="5"/>
      <c r="M22" s="8"/>
    </row>
    <row r="23" spans="2:13" ht="13.5" thickBot="1" x14ac:dyDescent="0.25">
      <c r="B23" s="13"/>
      <c r="C23" s="14"/>
      <c r="D23" s="15"/>
      <c r="E23" s="22"/>
      <c r="F23" s="14"/>
      <c r="G23" s="14"/>
      <c r="H23" s="14"/>
      <c r="I23" s="15"/>
      <c r="J23" s="22" t="s">
        <v>18</v>
      </c>
      <c r="K23" s="14"/>
      <c r="L23" s="14"/>
      <c r="M23" s="15"/>
    </row>
    <row r="24" spans="2:13" x14ac:dyDescent="0.2">
      <c r="B24" s="4" t="s">
        <v>19</v>
      </c>
      <c r="C24" s="5"/>
      <c r="D24" s="8"/>
      <c r="E24" s="4" t="s">
        <v>20</v>
      </c>
      <c r="F24" s="12"/>
      <c r="G24" s="5"/>
      <c r="H24" s="5"/>
      <c r="I24" s="8"/>
      <c r="J24" s="20" t="s">
        <v>21</v>
      </c>
      <c r="M24" s="16"/>
    </row>
    <row r="25" spans="2:13" x14ac:dyDescent="0.2">
      <c r="B25" s="22"/>
      <c r="C25" s="23"/>
      <c r="D25" s="15"/>
      <c r="E25" s="22" t="s">
        <v>42</v>
      </c>
      <c r="F25" s="14"/>
      <c r="G25" s="23"/>
      <c r="H25" s="23"/>
      <c r="I25" s="15"/>
      <c r="J25" s="22" t="s">
        <v>22</v>
      </c>
      <c r="K25" s="14"/>
      <c r="L25" s="14"/>
      <c r="M25" s="16"/>
    </row>
    <row r="26" spans="2:13" ht="46.5" customHeight="1" x14ac:dyDescent="0.2">
      <c r="B26" s="88" t="s">
        <v>23</v>
      </c>
      <c r="C26" s="93" t="s">
        <v>24</v>
      </c>
      <c r="D26" s="96"/>
      <c r="E26" s="96"/>
      <c r="F26" s="97"/>
      <c r="G26" s="93" t="s">
        <v>25</v>
      </c>
      <c r="H26" s="93" t="s">
        <v>26</v>
      </c>
      <c r="I26" s="115" t="s">
        <v>27</v>
      </c>
      <c r="J26" s="116"/>
      <c r="K26" s="24" t="s">
        <v>28</v>
      </c>
      <c r="L26" s="25" t="s">
        <v>29</v>
      </c>
      <c r="M26" s="24" t="s">
        <v>30</v>
      </c>
    </row>
    <row r="27" spans="2:13" ht="46.5" customHeight="1" x14ac:dyDescent="0.2">
      <c r="B27" s="89"/>
      <c r="C27" s="98"/>
      <c r="D27" s="99"/>
      <c r="E27" s="99"/>
      <c r="F27" s="100"/>
      <c r="G27" s="94"/>
      <c r="H27" s="94"/>
      <c r="I27" s="98"/>
      <c r="J27" s="100"/>
      <c r="K27" s="26"/>
      <c r="L27" s="27" t="s">
        <v>31</v>
      </c>
      <c r="M27" s="26"/>
    </row>
    <row r="28" spans="2:13" ht="46.5" customHeight="1" thickBot="1" x14ac:dyDescent="0.25">
      <c r="B28" s="90"/>
      <c r="C28" s="101"/>
      <c r="D28" s="102"/>
      <c r="E28" s="102"/>
      <c r="F28" s="103"/>
      <c r="G28" s="95"/>
      <c r="H28" s="95"/>
      <c r="I28" s="101"/>
      <c r="J28" s="103"/>
      <c r="K28" s="28" t="s">
        <v>32</v>
      </c>
      <c r="L28" s="29" t="s">
        <v>33</v>
      </c>
      <c r="M28" s="28" t="s">
        <v>34</v>
      </c>
    </row>
    <row r="29" spans="2:13" ht="46.5" customHeight="1" thickBot="1" x14ac:dyDescent="0.25">
      <c r="B29" s="58"/>
      <c r="C29" s="110" t="s">
        <v>49</v>
      </c>
      <c r="D29" s="111"/>
      <c r="E29" s="111"/>
      <c r="F29" s="112"/>
      <c r="G29" s="59"/>
      <c r="H29" s="59"/>
      <c r="I29" s="75"/>
      <c r="J29" s="60"/>
      <c r="K29" s="28"/>
      <c r="L29" s="29"/>
      <c r="M29" s="28"/>
    </row>
    <row r="30" spans="2:13" ht="46.5" customHeight="1" thickBot="1" x14ac:dyDescent="0.25">
      <c r="B30" s="91" t="s">
        <v>35</v>
      </c>
      <c r="C30" s="104" t="s">
        <v>41</v>
      </c>
      <c r="D30" s="105"/>
      <c r="E30" s="105"/>
      <c r="F30" s="106"/>
      <c r="G30" s="30" t="s">
        <v>36</v>
      </c>
      <c r="H30" s="31" t="s">
        <v>50</v>
      </c>
      <c r="I30" s="113" t="s">
        <v>37</v>
      </c>
      <c r="J30" s="114"/>
      <c r="K30" s="32">
        <v>1289.5</v>
      </c>
      <c r="L30" s="33">
        <v>4.3</v>
      </c>
      <c r="M30" s="33">
        <f>L30*K30</f>
        <v>5544.8499999999995</v>
      </c>
    </row>
    <row r="31" spans="2:13" ht="46.5" customHeight="1" x14ac:dyDescent="0.2">
      <c r="B31" s="92"/>
      <c r="C31" s="107"/>
      <c r="D31" s="108"/>
      <c r="E31" s="108"/>
      <c r="F31" s="109"/>
      <c r="G31" s="30" t="s">
        <v>36</v>
      </c>
      <c r="H31" s="34" t="s">
        <v>50</v>
      </c>
      <c r="I31" s="113" t="s">
        <v>38</v>
      </c>
      <c r="J31" s="114"/>
      <c r="K31" s="32">
        <v>2678.7</v>
      </c>
      <c r="L31" s="33">
        <v>4.3</v>
      </c>
      <c r="M31" s="33">
        <f>L31*K31</f>
        <v>11518.409999999998</v>
      </c>
    </row>
    <row r="32" spans="2:13" ht="46.5" customHeight="1" thickBot="1" x14ac:dyDescent="0.25">
      <c r="B32" s="35"/>
      <c r="C32" s="36"/>
      <c r="D32" s="18"/>
      <c r="E32" s="18"/>
      <c r="F32" s="19"/>
      <c r="G32" s="86"/>
      <c r="H32" s="87"/>
      <c r="I32" s="36"/>
      <c r="J32" s="37" t="s">
        <v>39</v>
      </c>
      <c r="K32" s="38">
        <f>SUM(K30:K31)</f>
        <v>3968.2</v>
      </c>
      <c r="L32" s="39" t="s">
        <v>40</v>
      </c>
      <c r="M32" s="40">
        <f>SUM(M30:M31)</f>
        <v>17063.259999999998</v>
      </c>
    </row>
    <row r="33" spans="2:13" ht="21.75" customHeight="1" x14ac:dyDescent="0.2">
      <c r="B33" s="117" t="s">
        <v>51</v>
      </c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9"/>
    </row>
    <row r="34" spans="2:13" ht="15.75" x14ac:dyDescent="0.25">
      <c r="B34" s="41"/>
      <c r="C34" s="42"/>
      <c r="D34" s="43"/>
      <c r="G34" s="42"/>
      <c r="H34" s="42"/>
      <c r="M34" s="16"/>
    </row>
    <row r="35" spans="2:13" s="1" customFormat="1" x14ac:dyDescent="0.2">
      <c r="B35" s="41"/>
      <c r="M35" s="11"/>
    </row>
    <row r="36" spans="2:13" s="1" customFormat="1" x14ac:dyDescent="0.2">
      <c r="B36" s="41"/>
      <c r="M36" s="11"/>
    </row>
    <row r="37" spans="2:13" s="1" customFormat="1" x14ac:dyDescent="0.2">
      <c r="B37" s="41"/>
      <c r="M37" s="11"/>
    </row>
    <row r="38" spans="2:13" s="1" customFormat="1" x14ac:dyDescent="0.2">
      <c r="B38" s="41"/>
      <c r="M38" s="11"/>
    </row>
    <row r="39" spans="2:13" s="1" customFormat="1" x14ac:dyDescent="0.2">
      <c r="B39" s="41"/>
      <c r="D39" s="44"/>
      <c r="M39" s="11"/>
    </row>
    <row r="40" spans="2:13" s="1" customFormat="1" ht="15" x14ac:dyDescent="0.2">
      <c r="B40" s="45"/>
      <c r="C40" s="46"/>
      <c r="D40" s="47"/>
      <c r="E40" s="47"/>
      <c r="F40" s="47"/>
      <c r="G40" s="46"/>
      <c r="H40" s="46"/>
      <c r="I40" s="48"/>
      <c r="J40" s="48"/>
      <c r="K40" s="49"/>
      <c r="M40" s="11"/>
    </row>
    <row r="41" spans="2:13" s="1" customFormat="1" ht="15" x14ac:dyDescent="0.2">
      <c r="B41" s="50"/>
      <c r="C41" s="51"/>
      <c r="D41" s="48"/>
      <c r="E41" s="48"/>
      <c r="F41" s="48"/>
      <c r="G41" s="51"/>
      <c r="H41" s="51"/>
      <c r="I41" s="48"/>
      <c r="J41" s="48"/>
      <c r="K41" s="49"/>
      <c r="M41" s="11"/>
    </row>
    <row r="42" spans="2:13" s="1" customFormat="1" ht="12" customHeight="1" x14ac:dyDescent="0.2">
      <c r="B42" s="50"/>
      <c r="C42" s="51"/>
      <c r="D42" s="48"/>
      <c r="E42" s="48"/>
      <c r="F42" s="48"/>
      <c r="G42" s="51"/>
      <c r="H42" s="51"/>
      <c r="I42" s="48"/>
      <c r="J42" s="48"/>
      <c r="K42" s="49"/>
      <c r="M42" s="11"/>
    </row>
    <row r="43" spans="2:13" s="1" customFormat="1" ht="15" x14ac:dyDescent="0.2">
      <c r="B43" s="50"/>
      <c r="C43" s="51"/>
      <c r="D43" s="48"/>
      <c r="E43" s="48"/>
      <c r="F43" s="48"/>
      <c r="G43" s="51"/>
      <c r="H43" s="51"/>
      <c r="I43" s="48"/>
      <c r="J43" s="48"/>
      <c r="K43" s="49"/>
      <c r="M43" s="11"/>
    </row>
    <row r="44" spans="2:13" s="1" customFormat="1" ht="15" x14ac:dyDescent="0.2">
      <c r="B44" s="50"/>
      <c r="C44" s="51"/>
      <c r="D44" s="48"/>
      <c r="E44" s="48"/>
      <c r="F44" s="48"/>
      <c r="G44" s="51"/>
      <c r="H44" s="51"/>
      <c r="I44" s="48"/>
      <c r="J44" s="48"/>
      <c r="K44" s="49"/>
      <c r="M44" s="11"/>
    </row>
    <row r="45" spans="2:13" s="1" customFormat="1" ht="15" x14ac:dyDescent="0.2">
      <c r="B45" s="50"/>
      <c r="C45" s="51"/>
      <c r="D45" s="48"/>
      <c r="E45" s="48"/>
      <c r="F45" s="48"/>
      <c r="G45" s="51"/>
      <c r="H45" s="51"/>
      <c r="I45" s="48"/>
      <c r="J45" s="48"/>
      <c r="K45" s="49"/>
      <c r="M45" s="11"/>
    </row>
    <row r="46" spans="2:13" s="1" customFormat="1" x14ac:dyDescent="0.2">
      <c r="B46" s="52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4"/>
    </row>
    <row r="47" spans="2:13" s="1" customFormat="1" x14ac:dyDescent="0.2">
      <c r="B47" s="52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4"/>
    </row>
    <row r="48" spans="2:13" s="1" customFormat="1" x14ac:dyDescent="0.2">
      <c r="B48" s="55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7"/>
    </row>
  </sheetData>
  <mergeCells count="21">
    <mergeCell ref="B33:M33"/>
    <mergeCell ref="B17:I17"/>
    <mergeCell ref="B20:I20"/>
    <mergeCell ref="B14:F14"/>
    <mergeCell ref="I30:J30"/>
    <mergeCell ref="I31:J31"/>
    <mergeCell ref="I26:J28"/>
    <mergeCell ref="B21:G21"/>
    <mergeCell ref="G32:H32"/>
    <mergeCell ref="B26:B28"/>
    <mergeCell ref="B30:B31"/>
    <mergeCell ref="G26:G28"/>
    <mergeCell ref="H26:H28"/>
    <mergeCell ref="C26:F28"/>
    <mergeCell ref="C30:F31"/>
    <mergeCell ref="C29:F29"/>
    <mergeCell ref="D2:L2"/>
    <mergeCell ref="B7:M7"/>
    <mergeCell ref="J9:K9"/>
    <mergeCell ref="L9:M9"/>
    <mergeCell ref="B13:F13"/>
  </mergeCells>
  <phoneticPr fontId="18" type="noConversion"/>
  <pageMargins left="0.70866141732283505" right="0.32" top="0.74803149606299202" bottom="0.74803149606299202" header="0.31496062992126" footer="0.31496062992126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FK-Daisy Tsai</cp:lastModifiedBy>
  <cp:lastPrinted>2026-05-06T10:10:04Z</cp:lastPrinted>
  <dcterms:created xsi:type="dcterms:W3CDTF">2019-01-09T05:13:00Z</dcterms:created>
  <dcterms:modified xsi:type="dcterms:W3CDTF">2026-05-06T10:42:26Z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FC992C6C142942578A2D96DBE1086D97_13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