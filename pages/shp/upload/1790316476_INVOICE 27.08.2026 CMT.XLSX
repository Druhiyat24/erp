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27.08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367" sheetId="138" r:id="rId3"/>
    <sheet name="368" sheetId="129" r:id="rId4"/>
    <sheet name="369" sheetId="133" r:id="rId5"/>
    <sheet name="370" sheetId="134" r:id="rId6"/>
    <sheet name="371" sheetId="135" r:id="rId7"/>
    <sheet name="372" sheetId="137" r:id="rId8"/>
    <sheet name="373" sheetId="172" r:id="rId9"/>
    <sheet name="374" sheetId="173" r:id="rId10"/>
    <sheet name="375" sheetId="174" r:id="rId11"/>
    <sheet name="376" sheetId="175" r:id="rId12"/>
    <sheet name="377" sheetId="176" r:id="rId13"/>
    <sheet name="378" sheetId="177" r:id="rId14"/>
    <sheet name="379" sheetId="178" r:id="rId15"/>
    <sheet name="380" sheetId="179" r:id="rId16"/>
  </sheets>
  <externalReferences>
    <externalReference r:id="rId17"/>
    <externalReference r:id="rId18"/>
    <externalReference r:id="rId1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>[2]xdata!#REF!</definedName>
    <definedName name="INVOICE">[2]xdata!$B$2</definedName>
    <definedName name="_xlnm.Print_Area" localSheetId="2">'367'!$B$1:$I$57</definedName>
    <definedName name="_xlnm.Print_Area" localSheetId="3">'368'!$B$1:$I$59</definedName>
    <definedName name="_xlnm.Print_Area" localSheetId="4">'369'!$B$1:$I$57</definedName>
    <definedName name="_xlnm.Print_Area" localSheetId="5">'370'!$B$1:$I$57</definedName>
    <definedName name="_xlnm.Print_Area" localSheetId="6">'371'!$B$1:$I$57</definedName>
    <definedName name="_xlnm.Print_Area" localSheetId="7">'372'!$B$1:$I$57</definedName>
    <definedName name="_xlnm.Print_Area" localSheetId="8">'373'!$B$1:$I$57</definedName>
    <definedName name="_xlnm.Print_Area" localSheetId="9">'374'!$B$1:$I$58</definedName>
    <definedName name="_xlnm.Print_Area" localSheetId="10">'375'!$B$1:$I$57</definedName>
    <definedName name="_xlnm.Print_Area" localSheetId="11">'376'!$B$1:$I$57</definedName>
    <definedName name="_xlnm.Print_Area" localSheetId="12">'377'!$B$1:$I$57</definedName>
    <definedName name="_xlnm.Print_Area" localSheetId="13">'378'!$B$1:$I$57</definedName>
    <definedName name="_xlnm.Print_Area" localSheetId="14">'379'!$B$1:$I$57</definedName>
    <definedName name="_xlnm.Print_Area" localSheetId="15">'380'!$B$1:$I$57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73" l="1"/>
  <c r="F32" i="176"/>
  <c r="F32" i="174"/>
  <c r="I33" i="173"/>
  <c r="F32" i="137"/>
  <c r="F32" i="134"/>
  <c r="F32" i="133"/>
  <c r="I33" i="129"/>
  <c r="F36" i="129" l="1"/>
  <c r="F32" i="179" l="1"/>
  <c r="F32" i="178"/>
  <c r="F34" i="176"/>
  <c r="F32" i="177" l="1"/>
  <c r="F32" i="175"/>
  <c r="F32" i="172"/>
  <c r="I32" i="137"/>
  <c r="F34" i="133"/>
  <c r="I32" i="133"/>
  <c r="I34" i="133" s="1"/>
  <c r="F32" i="138"/>
  <c r="F34" i="179" l="1"/>
  <c r="I32" i="178"/>
  <c r="I32" i="176"/>
  <c r="F32" i="135"/>
  <c r="I34" i="129"/>
  <c r="I32" i="129"/>
  <c r="F34" i="138"/>
  <c r="I32" i="138"/>
  <c r="I34" i="138" s="1"/>
  <c r="H52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B15" i="179"/>
  <c r="G14" i="179"/>
  <c r="G15" i="179" s="1"/>
  <c r="G16" i="179" s="1"/>
  <c r="G17" i="179" s="1"/>
  <c r="H21" i="179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2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3" i="173"/>
  <c r="F35" i="173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6" l="1"/>
  <c r="I36" i="176" s="1"/>
  <c r="I38" i="176" s="1"/>
  <c r="I34" i="178"/>
  <c r="I36" i="178" s="1"/>
  <c r="I38" i="178" s="1"/>
  <c r="I34" i="175"/>
  <c r="I36" i="175" s="1"/>
  <c r="I38" i="175" s="1"/>
  <c r="I36" i="129"/>
  <c r="I32" i="173"/>
  <c r="I35" i="173" s="1"/>
  <c r="I37" i="173" s="1"/>
  <c r="I39" i="173" s="1"/>
  <c r="I32" i="172"/>
  <c r="I34" i="172" s="1"/>
  <c r="I36" i="172" s="1"/>
  <c r="I38" i="172" s="1"/>
  <c r="I32" i="179"/>
  <c r="I34" i="179" s="1"/>
  <c r="I36" i="179" s="1"/>
  <c r="I38" i="179" s="1"/>
  <c r="I32" i="135" l="1"/>
  <c r="F34" i="135"/>
  <c r="B27" i="135"/>
  <c r="C3" i="129" l="1"/>
  <c r="I32" i="134" l="1"/>
  <c r="C3" i="133"/>
  <c r="F34" i="137" l="1"/>
  <c r="F34" i="134" l="1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4" i="129"/>
  <c r="H52" i="134"/>
  <c r="H52" i="135"/>
  <c r="H52" i="137"/>
  <c r="H52" i="138"/>
  <c r="H52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C3" i="179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8" i="129"/>
  <c r="I40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<sst xmlns="http://schemas.openxmlformats.org/spreadsheetml/2006/main" count="1282" uniqueCount="209">
  <si>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</si>
  <si>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</si>
  <si>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</si>
  <si>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</si>
  <si>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</si>
  <si>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</si>
  <si>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</si>
  <si>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</si>
  <si>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</si>
  <si>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</si>
  <si>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</si>
  <si>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</si>
  <si>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</si>
  <si>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</si>
  <si>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</si>
  <si>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</si>
  <si>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</si>
  <si>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</si>
  <si>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</si>
  <si>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</si>
  <si>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</si>
  <si>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</si>
  <si>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</si>
  <si>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</si>
  <si>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</si>
  <si>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</si>
  <si>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</si>
  <si>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</si>
  <si>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</si>
  <si>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</si>
  <si>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</si>
  <si>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</si>
  <si>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</si>
  <si>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</si>
  <si>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</si>
  <si>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</si>
  <si>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</si>
  <si>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</si>
  <si>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</si>
  <si>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</si>
  <si>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</si>
  <si>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</si>
  <si>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</si>
  <si>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</si>
  <si>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</si>
  <si>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</si>
  <si>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</si>
  <si>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</si>
  <si>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</si>
  <si>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</si>
  <si>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</si>
  <si>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</si>
  <si>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</si>
  <si>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</si>
  <si>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</si>
  <si>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</si>
  <si>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</si>
  <si>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</si>
  <si>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</si>
  <si>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</si>
  <si>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</si>
  <si>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</si>
  <si>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</si>
  <si>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</si>
  <si>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</si>
  <si>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</si>
  <si>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</si>
  <si>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</si>
  <si>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</si>
  <si>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</si>
  <si>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</si>
  <si>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</si>
  <si>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</si>
  <si>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</si>
  <si>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</si>
  <si>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</si>
  <si>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</si>
  <si>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</si>
  <si>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</si>
  <si>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</si>
  <si>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</si>
  <si>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</si>
  <si>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</si>
  <si>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</si>
  <si>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</si>
  <si>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</si>
  <si>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</si>
  <si>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</si>
  <si>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</si>
  <si>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</si>
  <si>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</si>
  <si>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</si>
  <si>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</si>
  <si>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</si>
  <si>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</si>
  <si>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</si>
  <si>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</si>
  <si>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</si>
  <si>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</si>
  <si>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</si>
  <si>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</si>
  <si>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</si>
  <si>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</si>
  <si>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</si>
  <si>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</si>
  <si>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</si>
  <si>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</si>
  <si>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</si>
  <si>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</si>
  <si>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</si>
  <si>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</si>
  <si>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</si>
  <si>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</si>
  <si>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</si>
  <si>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</si>
  <si>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</si>
  <si>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</si>
  <si>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</si>
  <si>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</si>
  <si>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</si>
  <si>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</si>
  <si>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</si>
  <si>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</si>
  <si>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</si>
  <si>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</si>
  <si>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</si>
  <si>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</si>
  <si>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</si>
  <si>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</si>
  <si>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</si>
  <si>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</si>
  <si>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</si>
  <si>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</si>
  <si>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</si>
  <si>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</si>
  <si>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</si>
  <si>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</si>
  <si>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</si>
  <si>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</si>
  <si>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</si>
  <si>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</si>
  <si>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</si>
  <si>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</si>
  <si>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</si>
  <si>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</si>
  <si>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</si>
  <si>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</si>
  <si>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</si>
  <si>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</si>
  <si>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</si>
  <si>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</si>
  <si>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</si>
  <si>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</si>
  <si>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</si>
  <si>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</si>
  <si>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</si>
  <si>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</si>
  <si>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</si>
  <si>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</si>
  <si>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</si>
  <si>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</si>
  <si>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</si>
  <si>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</si>
  <si>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</si>
  <si>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</si>
  <si>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</si>
  <si>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</si>
  <si>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</si>
  <si>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</si>
  <si>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</si>
  <si>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</si>
  <si>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</si>
  <si>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</si>
  <si>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</si>
  <si>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</si>
  <si>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</si>
  <si>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</si>
  <si>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265K0089</t>
  </si>
  <si>
    <t>GIRLS COTTON FIBERS, KNIT PULLOVER, WITH NO NECK CLOSURE, STITCH COUNT IS GREATER THAN 9/2CM, REACHES WAIST [100% COTTON]</t>
  </si>
  <si>
    <t>Online</t>
  </si>
  <si>
    <t>Retail</t>
  </si>
  <si>
    <t>Franchise</t>
  </si>
  <si>
    <t>265K0103</t>
  </si>
  <si>
    <t>265K0077</t>
  </si>
  <si>
    <t>00</t>
  </si>
  <si>
    <t>BLACK LEOPARD</t>
  </si>
  <si>
    <t>WOMENS COTTON FIBERS, KNIT PULLOVER, WITH NO NECK CLOSURE, STITCH COUNT IS GREATER THAN 9/2CM, REACHES WAIST, SLEEVELESS [96% COTTON 4% SPANDEX]</t>
  </si>
  <si>
    <t>13, 15, 16, 20</t>
  </si>
  <si>
    <t>BLACK COFFEE, BLACK JACK 3, IN THE NAVY, CALLA LILY 2</t>
  </si>
  <si>
    <t>265K0076</t>
  </si>
  <si>
    <t>265K0090</t>
  </si>
  <si>
    <t>RED TAPE, BLUE TANGO</t>
  </si>
  <si>
    <t>01, 07</t>
  </si>
  <si>
    <t>BOYS COTTON FIBERS, KNIT SHIRT, WITH NECK CLOSURE, STITCH COUNT EQUAL OR IS GREATER THAN 10/1CM, HEM BOTTOM [60% COTTON 40% POLYESTER]</t>
  </si>
  <si>
    <t>BRIGHT WHITE</t>
  </si>
  <si>
    <t>04</t>
  </si>
  <si>
    <t>DARK FOREST GREEN</t>
  </si>
  <si>
    <t>01, 02, 05</t>
  </si>
  <si>
    <t>RED TAPE, INK BLUE, MONET BLUE</t>
  </si>
  <si>
    <t>PURPLE CHECK</t>
  </si>
  <si>
    <t>06</t>
  </si>
  <si>
    <t>PINK FLORAL</t>
  </si>
  <si>
    <t>RED HEART, PURPLE CHECK</t>
  </si>
  <si>
    <t>03, 05</t>
  </si>
  <si>
    <t>BLACK LEOPARD, PINK LEOPARD HEART</t>
  </si>
  <si>
    <t>00, 01</t>
  </si>
  <si>
    <t>SHOOTING STAR</t>
  </si>
  <si>
    <t>BLACK COFFEE, BLACK JACK 3, IN THE NAVY,
CALLA LILY 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</si>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</sst>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5" sqref="I15"/>
    </sheetView>
  </sheetViews>
  <sheetFormatPr defaultRowHeight="12.75" x14ac:dyDescent="0.2"/>
  <sheetData>
    <row r="2" spans="2:9" ht="15" x14ac:dyDescent="0.25">
      <c r="B2" s="57">
        <v>1</v>
      </c>
      <c r="C2" t="s">
        <v>183</v>
      </c>
      <c r="E2" s="57">
        <v>1</v>
      </c>
      <c r="F2">
        <v>767468</v>
      </c>
      <c r="H2" s="57">
        <v>1</v>
      </c>
      <c r="I2" s="65" t="s">
        <v>179</v>
      </c>
    </row>
    <row r="3" spans="2:9" ht="15" x14ac:dyDescent="0.25">
      <c r="B3" s="57">
        <v>2</v>
      </c>
      <c r="C3" t="s">
        <v>189</v>
      </c>
      <c r="E3" s="57">
        <v>2</v>
      </c>
      <c r="F3">
        <v>416363</v>
      </c>
      <c r="H3" s="57">
        <v>2</v>
      </c>
      <c r="I3" s="65" t="s">
        <v>179</v>
      </c>
    </row>
    <row r="4" spans="2:9" ht="15" x14ac:dyDescent="0.25">
      <c r="B4" s="57">
        <v>3</v>
      </c>
      <c r="C4" t="s">
        <v>177</v>
      </c>
      <c r="E4" s="57">
        <v>3</v>
      </c>
      <c r="F4">
        <v>905994</v>
      </c>
      <c r="H4" s="57">
        <v>3</v>
      </c>
      <c r="I4" s="65" t="s">
        <v>179</v>
      </c>
    </row>
    <row r="5" spans="2:9" ht="15" x14ac:dyDescent="0.25">
      <c r="B5" s="57">
        <v>4</v>
      </c>
      <c r="C5" t="s">
        <v>177</v>
      </c>
      <c r="E5" s="57">
        <v>4</v>
      </c>
      <c r="F5">
        <v>905994</v>
      </c>
      <c r="H5" s="57">
        <v>4</v>
      </c>
      <c r="I5" s="65" t="s">
        <v>179</v>
      </c>
    </row>
    <row r="6" spans="2:9" ht="15" x14ac:dyDescent="0.25">
      <c r="B6" s="57">
        <v>5</v>
      </c>
      <c r="C6" t="s">
        <v>190</v>
      </c>
      <c r="E6" s="57">
        <v>5</v>
      </c>
      <c r="F6">
        <v>906033</v>
      </c>
      <c r="H6" s="57">
        <v>5</v>
      </c>
      <c r="I6" s="65" t="s">
        <v>179</v>
      </c>
    </row>
    <row r="7" spans="2:9" ht="15" x14ac:dyDescent="0.25">
      <c r="B7" s="57">
        <v>6</v>
      </c>
      <c r="C7" t="s">
        <v>190</v>
      </c>
      <c r="E7" s="57">
        <v>6</v>
      </c>
      <c r="F7">
        <v>906033</v>
      </c>
      <c r="H7" s="57">
        <v>6</v>
      </c>
      <c r="I7" s="65" t="s">
        <v>179</v>
      </c>
    </row>
    <row r="8" spans="2:9" ht="15" x14ac:dyDescent="0.25">
      <c r="B8" s="57">
        <v>7</v>
      </c>
      <c r="C8" t="s">
        <v>190</v>
      </c>
      <c r="E8" s="57">
        <v>7</v>
      </c>
      <c r="F8">
        <v>906033</v>
      </c>
      <c r="H8" s="57">
        <v>7</v>
      </c>
      <c r="I8" s="65" t="s">
        <v>180</v>
      </c>
    </row>
    <row r="9" spans="2:9" ht="15" x14ac:dyDescent="0.25">
      <c r="B9" s="57">
        <v>8</v>
      </c>
      <c r="C9" t="s">
        <v>190</v>
      </c>
      <c r="E9" s="57">
        <v>8</v>
      </c>
      <c r="F9">
        <v>906033</v>
      </c>
      <c r="H9" s="57">
        <v>8</v>
      </c>
      <c r="I9" s="65" t="s">
        <v>180</v>
      </c>
    </row>
    <row r="10" spans="2:9" ht="15" x14ac:dyDescent="0.25">
      <c r="B10" s="57">
        <v>9</v>
      </c>
      <c r="C10" t="s">
        <v>177</v>
      </c>
      <c r="E10" s="57">
        <v>9</v>
      </c>
      <c r="F10">
        <v>905994</v>
      </c>
      <c r="H10" s="57">
        <v>9</v>
      </c>
      <c r="I10" s="65" t="s">
        <v>180</v>
      </c>
    </row>
    <row r="11" spans="2:9" ht="15" x14ac:dyDescent="0.25">
      <c r="B11" s="57">
        <v>10</v>
      </c>
      <c r="C11" t="s">
        <v>177</v>
      </c>
      <c r="E11" s="57">
        <v>10</v>
      </c>
      <c r="F11">
        <v>905994</v>
      </c>
      <c r="H11" s="57">
        <v>10</v>
      </c>
      <c r="I11" s="65" t="s">
        <v>180</v>
      </c>
    </row>
    <row r="12" spans="2:9" ht="15" x14ac:dyDescent="0.25">
      <c r="B12" s="57">
        <v>11</v>
      </c>
      <c r="C12" t="s">
        <v>182</v>
      </c>
      <c r="E12" s="57">
        <v>11</v>
      </c>
      <c r="F12">
        <v>692926</v>
      </c>
      <c r="H12" s="57">
        <v>11</v>
      </c>
      <c r="I12" s="65" t="s">
        <v>181</v>
      </c>
    </row>
    <row r="13" spans="2:9" ht="15" x14ac:dyDescent="0.25">
      <c r="B13" s="57">
        <v>12</v>
      </c>
      <c r="C13" t="s">
        <v>182</v>
      </c>
      <c r="E13" s="57">
        <v>12</v>
      </c>
      <c r="F13">
        <v>692926</v>
      </c>
      <c r="H13" s="57">
        <v>12</v>
      </c>
      <c r="I13" s="65" t="s">
        <v>179</v>
      </c>
    </row>
    <row r="14" spans="2:9" ht="15" x14ac:dyDescent="0.25">
      <c r="B14" s="57">
        <v>13</v>
      </c>
      <c r="C14" t="s">
        <v>182</v>
      </c>
      <c r="E14" s="57">
        <v>13</v>
      </c>
      <c r="F14">
        <v>692926</v>
      </c>
      <c r="H14" s="57">
        <v>13</v>
      </c>
      <c r="I14" s="65" t="s">
        <v>179</v>
      </c>
    </row>
    <row r="15" spans="2:9" ht="15" x14ac:dyDescent="0.25">
      <c r="B15" s="57">
        <v>14</v>
      </c>
      <c r="C15" t="s">
        <v>182</v>
      </c>
      <c r="E15" s="57">
        <v>14</v>
      </c>
      <c r="F15">
        <v>692926</v>
      </c>
      <c r="H15" s="57">
        <v>14</v>
      </c>
      <c r="I15" s="65" t="s">
        <v>180</v>
      </c>
    </row>
    <row r="16" spans="2:9" ht="15" x14ac:dyDescent="0.25">
      <c r="B16" s="57">
        <v>15</v>
      </c>
      <c r="E16" s="57">
        <v>15</v>
      </c>
      <c r="H16" s="57">
        <v>15</v>
      </c>
      <c r="I16" s="65"/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28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62002312</v>
      </c>
      <c r="K2" s="64">
        <v>701</v>
      </c>
      <c r="L2" s="64">
        <v>15</v>
      </c>
      <c r="M2" s="64">
        <v>94.85</v>
      </c>
      <c r="N2" s="64">
        <v>108.87</v>
      </c>
      <c r="O2" s="64">
        <v>121.07</v>
      </c>
      <c r="P2" s="64" t="s">
        <v>54</v>
      </c>
      <c r="Q2" s="64">
        <v>0.56999999999999995</v>
      </c>
      <c r="R2" s="64" t="s">
        <v>62</v>
      </c>
    </row>
    <row r="3" spans="2:22" x14ac:dyDescent="0.2">
      <c r="B3" s="6" t="s">
        <v>53</v>
      </c>
      <c r="C3" s="69">
        <v>367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62002312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121.07</v>
      </c>
      <c r="G23" s="23">
        <f>+N2</f>
        <v>108.87</v>
      </c>
      <c r="H23" s="23">
        <f>+M2</f>
        <v>94.85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BOYS COTTON FIBERS, KNIT SHIRT, WITH NECK CLOSURE, STITCH COUNT EQUAL OR IS GREATER THAN 10/1CM, HEM BOTTOM [60% COTTON 40% POLYESTER]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9" t="s">
        <v>19</v>
      </c>
      <c r="E31" s="79"/>
      <c r="F31" s="79" t="s">
        <v>18</v>
      </c>
      <c r="G31" s="79"/>
      <c r="H31" s="55" t="s">
        <v>17</v>
      </c>
      <c r="I31" s="19" t="s">
        <v>16</v>
      </c>
      <c r="M31"/>
    </row>
    <row r="32" spans="2:13" ht="37.5" customHeight="1" x14ac:dyDescent="0.2">
      <c r="B32" s="41" t="s">
        <v>192</v>
      </c>
      <c r="C32" s="19" t="s">
        <v>191</v>
      </c>
      <c r="D32" s="86"/>
      <c r="E32" s="87"/>
      <c r="F32" s="86">
        <f>+K2</f>
        <v>701</v>
      </c>
      <c r="G32" s="87"/>
      <c r="H32" s="17">
        <v>1.05</v>
      </c>
      <c r="I32" s="18">
        <f>+H32*F32</f>
        <v>736.05000000000007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0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701</v>
      </c>
      <c r="G34" s="87"/>
      <c r="H34" s="15"/>
      <c r="I34" s="14">
        <f>SUM(I32:I33)</f>
        <v>736.05000000000007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736.05000000000007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736.05000000000007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2:E32"/>
    <mergeCell ref="F32:G32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62050446</v>
      </c>
      <c r="K2" s="63">
        <v>8013</v>
      </c>
      <c r="L2" s="64">
        <v>105</v>
      </c>
      <c r="M2" s="64">
        <v>975.82399999999996</v>
      </c>
      <c r="N2" s="64">
        <v>991.85</v>
      </c>
      <c r="O2" s="66">
        <v>1086.1500000000001</v>
      </c>
      <c r="P2" s="64" t="s">
        <v>54</v>
      </c>
      <c r="Q2" s="64">
        <v>5.3680000000000003</v>
      </c>
      <c r="R2" s="64" t="s">
        <v>62</v>
      </c>
    </row>
    <row r="3" spans="2:22" x14ac:dyDescent="0.2">
      <c r="B3" s="6" t="s">
        <v>53</v>
      </c>
      <c r="C3" s="69">
        <f>+'367'!C3+1</f>
        <v>368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62050446</v>
      </c>
      <c r="C21" s="49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1086.1500000000001</v>
      </c>
      <c r="G23" s="23">
        <f>+N2</f>
        <v>991.85</v>
      </c>
      <c r="H23" s="23">
        <f>+M2</f>
        <v>975.82399999999996</v>
      </c>
      <c r="I23" s="48">
        <f>+L2</f>
        <v>105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BOYS COTTON FIBERS, KNIT SHIRT, WITH NECK CLOSURE, STITCH COUNT EQUAL OR IS GREATER THAN 10/1CM, HEM BOTTOM [60% COTTON 40% POLYESTER]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9" t="s">
        <v>19</v>
      </c>
      <c r="E31" s="79"/>
      <c r="F31" s="79" t="s">
        <v>18</v>
      </c>
      <c r="G31" s="79"/>
      <c r="H31" s="48" t="s">
        <v>17</v>
      </c>
      <c r="I31" s="19" t="s">
        <v>16</v>
      </c>
      <c r="M31"/>
    </row>
    <row r="32" spans="2:13" ht="39.75" customHeight="1" x14ac:dyDescent="0.2">
      <c r="B32" s="41" t="s">
        <v>197</v>
      </c>
      <c r="C32" s="19" t="s">
        <v>198</v>
      </c>
      <c r="D32" s="86"/>
      <c r="E32" s="87"/>
      <c r="F32" s="86">
        <v>4791</v>
      </c>
      <c r="G32" s="87"/>
      <c r="H32" s="17">
        <v>0.9</v>
      </c>
      <c r="I32" s="18">
        <f>+H32*F32</f>
        <v>4311.9000000000005</v>
      </c>
      <c r="K32" s="46"/>
      <c r="M32" s="39"/>
    </row>
    <row r="33" spans="2:13" ht="24.95" customHeight="1" x14ac:dyDescent="0.2">
      <c r="B33" s="41" t="s">
        <v>195</v>
      </c>
      <c r="C33" s="19" t="s">
        <v>194</v>
      </c>
      <c r="D33" s="86"/>
      <c r="E33" s="87"/>
      <c r="F33" s="86">
        <v>1573</v>
      </c>
      <c r="G33" s="87"/>
      <c r="H33" s="17">
        <v>0.9</v>
      </c>
      <c r="I33" s="18">
        <f>+H33*F33</f>
        <v>1415.7</v>
      </c>
      <c r="K33" s="46"/>
      <c r="M33" s="39"/>
    </row>
    <row r="34" spans="2:13" ht="24.95" customHeight="1" x14ac:dyDescent="0.2">
      <c r="B34" s="41">
        <v>10</v>
      </c>
      <c r="C34" s="19" t="s">
        <v>196</v>
      </c>
      <c r="D34" s="86"/>
      <c r="E34" s="87"/>
      <c r="F34" s="86">
        <v>1649</v>
      </c>
      <c r="G34" s="87"/>
      <c r="H34" s="17">
        <v>0.9</v>
      </c>
      <c r="I34" s="18">
        <f>+H34*F34</f>
        <v>1484.1000000000001</v>
      </c>
      <c r="K34" s="46"/>
      <c r="M34" s="39"/>
    </row>
    <row r="35" spans="2:13" ht="21" customHeight="1" x14ac:dyDescent="0.2">
      <c r="B35" s="15" t="s">
        <v>15</v>
      </c>
      <c r="C35" s="15"/>
      <c r="D35" s="73"/>
      <c r="E35" s="75"/>
      <c r="F35" s="73"/>
      <c r="G35" s="75"/>
      <c r="H35" s="17"/>
      <c r="I35" s="48"/>
    </row>
    <row r="36" spans="2:13" ht="21.75" customHeight="1" x14ac:dyDescent="0.2">
      <c r="B36" s="15" t="s">
        <v>14</v>
      </c>
      <c r="C36" s="15"/>
      <c r="D36" s="84"/>
      <c r="E36" s="85"/>
      <c r="F36" s="86">
        <f>SUM(F32:G35)</f>
        <v>8013</v>
      </c>
      <c r="G36" s="87"/>
      <c r="H36" s="15"/>
      <c r="I36" s="14">
        <f>SUM(I32:I35)</f>
        <v>7211.7000000000007</v>
      </c>
      <c r="J36" s="40"/>
      <c r="K36" s="40"/>
    </row>
    <row r="37" spans="2:13" ht="21.75" customHeight="1" x14ac:dyDescent="0.2">
      <c r="B37" s="16" t="s">
        <v>13</v>
      </c>
      <c r="C37" s="15"/>
      <c r="D37" s="73"/>
      <c r="E37" s="75"/>
      <c r="F37" s="73"/>
      <c r="G37" s="75"/>
      <c r="H37" s="15"/>
      <c r="I37" s="48"/>
      <c r="J37" s="40"/>
    </row>
    <row r="38" spans="2:13" ht="21.75" customHeight="1" x14ac:dyDescent="0.2">
      <c r="B38" s="16" t="s">
        <v>12</v>
      </c>
      <c r="C38" s="15"/>
      <c r="D38" s="73"/>
      <c r="E38" s="75"/>
      <c r="F38" s="73"/>
      <c r="G38" s="75"/>
      <c r="H38" s="15"/>
      <c r="I38" s="14">
        <f>+I36</f>
        <v>7211.7000000000007</v>
      </c>
    </row>
    <row r="39" spans="2:13" ht="20.25" customHeight="1" x14ac:dyDescent="0.2">
      <c r="B39" s="15" t="s">
        <v>80</v>
      </c>
      <c r="C39" s="73" t="s">
        <v>11</v>
      </c>
      <c r="D39" s="74"/>
      <c r="E39" s="74"/>
      <c r="F39" s="74"/>
      <c r="G39" s="74"/>
      <c r="H39" s="75"/>
      <c r="I39" s="45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7211.7000000000007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86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81" t="s">
        <v>7</v>
      </c>
      <c r="C48" s="81"/>
      <c r="D48" s="81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265K0076</v>
      </c>
      <c r="I54" s="8"/>
      <c r="K54">
        <v>2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82" t="s">
        <v>1</v>
      </c>
      <c r="D57" s="82"/>
      <c r="E57" s="5"/>
      <c r="F57" s="5"/>
      <c r="G57" s="5"/>
      <c r="H57" s="5"/>
      <c r="I57" s="4"/>
    </row>
    <row r="58" spans="2:11" x14ac:dyDescent="0.2">
      <c r="B58" s="6"/>
      <c r="C58" s="83" t="s">
        <v>0</v>
      </c>
      <c r="D58" s="83"/>
      <c r="E58" s="5"/>
      <c r="F58" s="5"/>
      <c r="G58" s="5"/>
      <c r="H58" s="5"/>
      <c r="I58" s="4"/>
      <c r="K58">
        <v>2</v>
      </c>
    </row>
    <row r="59" spans="2:11" x14ac:dyDescent="0.2">
      <c r="B59" s="2"/>
      <c r="C59" s="80"/>
      <c r="D59" s="80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2:E32"/>
    <mergeCell ref="F32:G32"/>
    <mergeCell ref="D34:E34"/>
    <mergeCell ref="F34:G34"/>
    <mergeCell ref="B2:I2"/>
    <mergeCell ref="B26:I26"/>
    <mergeCell ref="B27:I27"/>
    <mergeCell ref="D31:E31"/>
    <mergeCell ref="F31:G31"/>
    <mergeCell ref="D33:E33"/>
    <mergeCell ref="F33:G33"/>
    <mergeCell ref="C59:D59"/>
    <mergeCell ref="D38:E38"/>
    <mergeCell ref="F38:G38"/>
    <mergeCell ref="C39:H39"/>
    <mergeCell ref="B48:D48"/>
    <mergeCell ref="C57:D57"/>
    <mergeCell ref="C58:D58"/>
    <mergeCell ref="D35:E35"/>
    <mergeCell ref="F35:G35"/>
    <mergeCell ref="D36:E36"/>
    <mergeCell ref="F36:G36"/>
    <mergeCell ref="D37:E37"/>
    <mergeCell ref="F37:G3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61996969</v>
      </c>
      <c r="K2" s="64">
        <v>585</v>
      </c>
      <c r="L2" s="64">
        <v>7</v>
      </c>
      <c r="M2" s="64">
        <v>41.17</v>
      </c>
      <c r="N2" s="64">
        <v>42.34</v>
      </c>
      <c r="O2" s="64">
        <v>47.94</v>
      </c>
      <c r="P2" s="64" t="s">
        <v>54</v>
      </c>
      <c r="Q2" s="64">
        <v>0.246</v>
      </c>
      <c r="R2" s="64" t="s">
        <v>62</v>
      </c>
    </row>
    <row r="3" spans="2:22" x14ac:dyDescent="0.2">
      <c r="B3" s="6" t="s">
        <v>53</v>
      </c>
      <c r="C3" s="69">
        <f>+'368'!C3+1</f>
        <v>369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61996969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47.94</v>
      </c>
      <c r="G23" s="23">
        <f>+N2</f>
        <v>42.34</v>
      </c>
      <c r="H23" s="23">
        <f>+M2</f>
        <v>41.17</v>
      </c>
      <c r="I23" s="48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9" t="s">
        <v>19</v>
      </c>
      <c r="E31" s="79"/>
      <c r="F31" s="79" t="s">
        <v>18</v>
      </c>
      <c r="G31" s="79"/>
      <c r="H31" s="48" t="s">
        <v>17</v>
      </c>
      <c r="I31" s="19" t="s">
        <v>16</v>
      </c>
      <c r="M31"/>
    </row>
    <row r="32" spans="2:13" ht="28.5" customHeight="1" x14ac:dyDescent="0.2">
      <c r="B32" s="41" t="s">
        <v>200</v>
      </c>
      <c r="C32" s="19" t="s">
        <v>199</v>
      </c>
      <c r="D32" s="86"/>
      <c r="E32" s="87"/>
      <c r="F32" s="86">
        <f>+K2</f>
        <v>585</v>
      </c>
      <c r="G32" s="87"/>
      <c r="H32" s="17">
        <v>0.81</v>
      </c>
      <c r="I32" s="18">
        <f>+H32*F32</f>
        <v>473.85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48"/>
    </row>
    <row r="34" spans="2:11" ht="21.75" customHeight="1" x14ac:dyDescent="0.2">
      <c r="B34" s="15" t="s">
        <v>14</v>
      </c>
      <c r="C34" s="15"/>
      <c r="D34" s="84"/>
      <c r="E34" s="85"/>
      <c r="F34" s="86">
        <f>SUM(F31:G33)</f>
        <v>585</v>
      </c>
      <c r="G34" s="87"/>
      <c r="H34" s="15"/>
      <c r="I34" s="14">
        <f>SUM(I32:I33)</f>
        <v>473.85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473.85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473.85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0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61996954</v>
      </c>
      <c r="K2" s="64">
        <v>702</v>
      </c>
      <c r="L2" s="64">
        <v>8</v>
      </c>
      <c r="M2" s="64">
        <v>49.401000000000003</v>
      </c>
      <c r="N2" s="64">
        <v>50.805</v>
      </c>
      <c r="O2" s="64">
        <v>57.305</v>
      </c>
      <c r="P2" s="64" t="s">
        <v>54</v>
      </c>
      <c r="Q2" s="64">
        <v>0.30199999999999999</v>
      </c>
      <c r="R2" s="64" t="s">
        <v>62</v>
      </c>
    </row>
    <row r="3" spans="2:22" x14ac:dyDescent="0.2">
      <c r="B3" s="6" t="s">
        <v>53</v>
      </c>
      <c r="C3" s="69">
        <f>+'369'!C3+1</f>
        <v>370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61996954</v>
      </c>
      <c r="C21" s="5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57.305</v>
      </c>
      <c r="G23" s="23">
        <f>+N2</f>
        <v>50.805</v>
      </c>
      <c r="H23" s="23">
        <f>+M2</f>
        <v>49.401000000000003</v>
      </c>
      <c r="I23" s="54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9" t="s">
        <v>19</v>
      </c>
      <c r="E31" s="79"/>
      <c r="F31" s="79" t="s">
        <v>18</v>
      </c>
      <c r="G31" s="79"/>
      <c r="H31" s="54" t="s">
        <v>17</v>
      </c>
      <c r="I31" s="19" t="s">
        <v>16</v>
      </c>
      <c r="M31"/>
    </row>
    <row r="32" spans="2:13" ht="26.25" customHeight="1" x14ac:dyDescent="0.2">
      <c r="B32" s="41" t="s">
        <v>195</v>
      </c>
      <c r="C32" s="19" t="s">
        <v>201</v>
      </c>
      <c r="D32" s="86"/>
      <c r="E32" s="87"/>
      <c r="F32" s="86">
        <f>+K2</f>
        <v>702</v>
      </c>
      <c r="G32" s="87"/>
      <c r="H32" s="17">
        <v>0.81</v>
      </c>
      <c r="I32" s="18">
        <f>+H32*F32</f>
        <v>568.62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54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702</v>
      </c>
      <c r="G34" s="87"/>
      <c r="H34" s="15"/>
      <c r="I34" s="14">
        <f>SUM(I32:I33)</f>
        <v>568.62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568.62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568.62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61997081</v>
      </c>
      <c r="K2" s="63">
        <v>2054</v>
      </c>
      <c r="L2" s="64">
        <v>24</v>
      </c>
      <c r="M2" s="64">
        <v>172.40199999999999</v>
      </c>
      <c r="N2" s="64">
        <v>176.51</v>
      </c>
      <c r="O2" s="64">
        <v>197.31</v>
      </c>
      <c r="P2" s="64" t="s">
        <v>54</v>
      </c>
      <c r="Q2" s="64">
        <v>1.107</v>
      </c>
      <c r="R2" s="64" t="s">
        <v>62</v>
      </c>
    </row>
    <row r="3" spans="2:22" x14ac:dyDescent="0.2">
      <c r="B3" s="6" t="s">
        <v>53</v>
      </c>
      <c r="C3" s="69">
        <f>+'370'!C3+1</f>
        <v>371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61997081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197.31</v>
      </c>
      <c r="G23" s="23">
        <f>+N2</f>
        <v>176.51</v>
      </c>
      <c r="H23" s="23">
        <f>+M2</f>
        <v>172.40199999999999</v>
      </c>
      <c r="I23" s="55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9" t="s">
        <v>19</v>
      </c>
      <c r="E31" s="79"/>
      <c r="F31" s="79" t="s">
        <v>18</v>
      </c>
      <c r="G31" s="79"/>
      <c r="H31" s="55" t="s">
        <v>17</v>
      </c>
      <c r="I31" s="19" t="s">
        <v>16</v>
      </c>
      <c r="M31"/>
    </row>
    <row r="32" spans="2:13" ht="40.5" customHeight="1" x14ac:dyDescent="0.2">
      <c r="B32" s="41" t="s">
        <v>203</v>
      </c>
      <c r="C32" s="19" t="s">
        <v>202</v>
      </c>
      <c r="D32" s="86"/>
      <c r="E32" s="87"/>
      <c r="F32" s="86">
        <f>+K2</f>
        <v>2054</v>
      </c>
      <c r="G32" s="87"/>
      <c r="H32" s="17">
        <v>0.84</v>
      </c>
      <c r="I32" s="18">
        <f>+H32*F32</f>
        <v>1725.36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59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2054</v>
      </c>
      <c r="G34" s="87"/>
      <c r="H34" s="15"/>
      <c r="I34" s="14">
        <f>SUM(I32:I32)</f>
        <v>1725.36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1725.36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1725.36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62031467</v>
      </c>
      <c r="K2" s="63">
        <v>1073</v>
      </c>
      <c r="L2" s="64">
        <v>14</v>
      </c>
      <c r="M2" s="64">
        <v>89.888999999999996</v>
      </c>
      <c r="N2" s="64">
        <v>92.034999999999997</v>
      </c>
      <c r="O2" s="64">
        <v>103.735</v>
      </c>
      <c r="P2" s="64" t="s">
        <v>54</v>
      </c>
      <c r="Q2" s="64">
        <v>0.58199999999999996</v>
      </c>
      <c r="R2" s="64" t="s">
        <v>62</v>
      </c>
    </row>
    <row r="3" spans="2:22" x14ac:dyDescent="0.2">
      <c r="B3" s="6" t="s">
        <v>53</v>
      </c>
      <c r="C3" s="69">
        <f>+'371'!C3+1</f>
        <v>372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62031467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103.735</v>
      </c>
      <c r="G23" s="23">
        <f>+N2</f>
        <v>92.034999999999997</v>
      </c>
      <c r="H23" s="23">
        <f>+M2</f>
        <v>89.888999999999996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9" t="s">
        <v>19</v>
      </c>
      <c r="E31" s="79"/>
      <c r="F31" s="79" t="s">
        <v>18</v>
      </c>
      <c r="G31" s="79"/>
      <c r="H31" s="55" t="s">
        <v>17</v>
      </c>
      <c r="I31" s="19" t="s">
        <v>16</v>
      </c>
      <c r="M31"/>
    </row>
    <row r="32" spans="2:13" ht="37.5" customHeight="1" x14ac:dyDescent="0.2">
      <c r="B32" s="61" t="s">
        <v>205</v>
      </c>
      <c r="C32" s="19" t="s">
        <v>204</v>
      </c>
      <c r="D32" s="86"/>
      <c r="E32" s="87"/>
      <c r="F32" s="86">
        <f>+K2</f>
        <v>1073</v>
      </c>
      <c r="G32" s="87"/>
      <c r="H32" s="17">
        <v>0.84</v>
      </c>
      <c r="I32" s="18">
        <f>+H32*F32</f>
        <v>901.31999999999994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55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1073</v>
      </c>
      <c r="G34" s="87"/>
      <c r="H34" s="15"/>
      <c r="I34" s="14">
        <f>SUM(I32:I33)</f>
        <v>901.31999999999994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901.31999999999994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901.31999999999994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62046367</v>
      </c>
      <c r="K2" s="63">
        <v>1017</v>
      </c>
      <c r="L2" s="64">
        <v>12</v>
      </c>
      <c r="M2" s="64">
        <v>81.756</v>
      </c>
      <c r="N2" s="64">
        <v>83.79</v>
      </c>
      <c r="O2" s="64">
        <v>93.89</v>
      </c>
      <c r="P2" s="64" t="s">
        <v>54</v>
      </c>
      <c r="Q2" s="64">
        <v>0.56999999999999995</v>
      </c>
      <c r="R2" s="64" t="s">
        <v>62</v>
      </c>
    </row>
    <row r="3" spans="2:22" x14ac:dyDescent="0.2">
      <c r="B3" s="6" t="s">
        <v>53</v>
      </c>
      <c r="C3" s="69">
        <f>+'372'!C3+1</f>
        <v>373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62046367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93.89</v>
      </c>
      <c r="G23" s="23">
        <f>+N2</f>
        <v>83.79</v>
      </c>
      <c r="H23" s="23">
        <f>+M2</f>
        <v>81.756</v>
      </c>
      <c r="I23" s="67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4.95" customHeight="1" x14ac:dyDescent="0.2">
      <c r="B32" s="41" t="s">
        <v>184</v>
      </c>
      <c r="C32" s="19" t="s">
        <v>185</v>
      </c>
      <c r="D32" s="86"/>
      <c r="E32" s="87"/>
      <c r="F32" s="86">
        <f>+K2</f>
        <v>1017</v>
      </c>
      <c r="G32" s="87"/>
      <c r="H32" s="17">
        <v>0.84</v>
      </c>
      <c r="I32" s="18">
        <f>+H32*F32</f>
        <v>854.28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1017</v>
      </c>
      <c r="G34" s="87"/>
      <c r="H34" s="15"/>
      <c r="I34" s="14">
        <f>SUM(I32:I33)</f>
        <v>854.28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854.28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854.28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3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61996846</v>
      </c>
      <c r="K2" s="63">
        <v>4900</v>
      </c>
      <c r="L2" s="64">
        <v>60</v>
      </c>
      <c r="M2" s="64">
        <v>401.36500000000001</v>
      </c>
      <c r="N2" s="64">
        <v>411.16500000000002</v>
      </c>
      <c r="O2" s="64">
        <v>461.565</v>
      </c>
      <c r="P2" s="64" t="s">
        <v>54</v>
      </c>
      <c r="Q2" s="64">
        <v>2.7509999999999999</v>
      </c>
      <c r="R2" s="64" t="s">
        <v>62</v>
      </c>
    </row>
    <row r="3" spans="2:22" x14ac:dyDescent="0.2">
      <c r="B3" s="6" t="s">
        <v>53</v>
      </c>
      <c r="C3" s="69">
        <f>+'373'!C3+1</f>
        <v>374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61996846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461.565</v>
      </c>
      <c r="G23" s="23">
        <f>+N2</f>
        <v>411.16500000000002</v>
      </c>
      <c r="H23" s="23">
        <f>+M2</f>
        <v>401.36500000000001</v>
      </c>
      <c r="I23" s="67">
        <f>+L2</f>
        <v>60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6.25" customHeight="1" x14ac:dyDescent="0.2">
      <c r="B32" s="41" t="s">
        <v>195</v>
      </c>
      <c r="C32" s="19" t="s">
        <v>201</v>
      </c>
      <c r="D32" s="86"/>
      <c r="E32" s="87"/>
      <c r="F32" s="86">
        <v>1886</v>
      </c>
      <c r="G32" s="87"/>
      <c r="H32" s="17">
        <v>0.84</v>
      </c>
      <c r="I32" s="18">
        <f>+H32*F32</f>
        <v>1584.24</v>
      </c>
      <c r="K32" s="46"/>
      <c r="M32" s="39"/>
    </row>
    <row r="33" spans="2:13" ht="38.25" customHeight="1" x14ac:dyDescent="0.2">
      <c r="B33" s="41" t="s">
        <v>203</v>
      </c>
      <c r="C33" s="19" t="s">
        <v>202</v>
      </c>
      <c r="D33" s="86"/>
      <c r="E33" s="87"/>
      <c r="F33" s="86">
        <f>+K2-F32</f>
        <v>3014</v>
      </c>
      <c r="G33" s="87"/>
      <c r="H33" s="17">
        <v>0.84</v>
      </c>
      <c r="I33" s="18">
        <f>+H33*F33</f>
        <v>2531.7599999999998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5"/>
      <c r="F34" s="73"/>
      <c r="G34" s="75"/>
      <c r="H34" s="17"/>
      <c r="I34" s="67"/>
    </row>
    <row r="35" spans="2:13" ht="21.75" customHeight="1" x14ac:dyDescent="0.2">
      <c r="B35" s="15" t="s">
        <v>14</v>
      </c>
      <c r="C35" s="15"/>
      <c r="D35" s="84"/>
      <c r="E35" s="85"/>
      <c r="F35" s="86">
        <f>SUM(F31:G34)</f>
        <v>4900</v>
      </c>
      <c r="G35" s="87"/>
      <c r="H35" s="15"/>
      <c r="I35" s="14">
        <f>SUM(I32:I34)</f>
        <v>4116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5"/>
      <c r="F36" s="73"/>
      <c r="G36" s="75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3"/>
      <c r="E37" s="75"/>
      <c r="F37" s="73"/>
      <c r="G37" s="75"/>
      <c r="H37" s="15"/>
      <c r="I37" s="14">
        <f>+I35</f>
        <v>4116</v>
      </c>
    </row>
    <row r="38" spans="2:13" ht="20.25" customHeight="1" x14ac:dyDescent="0.2">
      <c r="B38" s="15" t="s">
        <v>80</v>
      </c>
      <c r="C38" s="73" t="s">
        <v>11</v>
      </c>
      <c r="D38" s="74"/>
      <c r="E38" s="74"/>
      <c r="F38" s="74"/>
      <c r="G38" s="74"/>
      <c r="H38" s="75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4116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1" t="s">
        <v>7</v>
      </c>
      <c r="C47" s="81"/>
      <c r="D47" s="81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2" t="s">
        <v>1</v>
      </c>
      <c r="D56" s="82"/>
      <c r="E56" s="5"/>
      <c r="F56" s="5"/>
      <c r="G56" s="5"/>
      <c r="H56" s="5"/>
      <c r="I56" s="4"/>
    </row>
    <row r="57" spans="2:11" x14ac:dyDescent="0.2">
      <c r="B57" s="6"/>
      <c r="C57" s="83" t="s">
        <v>0</v>
      </c>
      <c r="D57" s="83"/>
      <c r="E57" s="5"/>
      <c r="F57" s="5"/>
      <c r="G57" s="5"/>
      <c r="H57" s="5"/>
      <c r="I57" s="4"/>
      <c r="K57" s="20">
        <v>8</v>
      </c>
    </row>
    <row r="58" spans="2:11" x14ac:dyDescent="0.2">
      <c r="B58" s="2"/>
      <c r="C58" s="80"/>
      <c r="D58" s="8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3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61996867</v>
      </c>
      <c r="K2" s="64">
        <v>584</v>
      </c>
      <c r="L2" s="64">
        <v>6</v>
      </c>
      <c r="M2" s="64">
        <v>39.302</v>
      </c>
      <c r="N2" s="64">
        <v>40.47</v>
      </c>
      <c r="O2" s="64">
        <v>45.32</v>
      </c>
      <c r="P2" s="64" t="s">
        <v>54</v>
      </c>
      <c r="Q2" s="64">
        <v>0.252</v>
      </c>
      <c r="R2" s="64" t="s">
        <v>62</v>
      </c>
    </row>
    <row r="3" spans="2:22" x14ac:dyDescent="0.2">
      <c r="B3" s="6" t="s">
        <v>53</v>
      </c>
      <c r="C3" s="69">
        <f>+'374'!C3+1</f>
        <v>375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61996867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45.32</v>
      </c>
      <c r="G23" s="23">
        <f>+N2</f>
        <v>40.47</v>
      </c>
      <c r="H23" s="23">
        <f>+M2</f>
        <v>39.302</v>
      </c>
      <c r="I23" s="67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8.5" customHeight="1" x14ac:dyDescent="0.2">
      <c r="B32" s="41" t="s">
        <v>200</v>
      </c>
      <c r="C32" s="19" t="s">
        <v>199</v>
      </c>
      <c r="D32" s="86"/>
      <c r="E32" s="87"/>
      <c r="F32" s="86">
        <f>+K2</f>
        <v>584</v>
      </c>
      <c r="G32" s="87"/>
      <c r="H32" s="17">
        <v>0.81</v>
      </c>
      <c r="I32" s="18">
        <f>+H32*F32</f>
        <v>473.04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SUM(F31:G33)</f>
        <v>584</v>
      </c>
      <c r="G34" s="87"/>
      <c r="H34" s="15"/>
      <c r="I34" s="14">
        <f>SUM(I32:I33)</f>
        <v>473.04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473.04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473.04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61996869</v>
      </c>
      <c r="K2" s="63">
        <v>2262</v>
      </c>
      <c r="L2" s="64">
        <v>23</v>
      </c>
      <c r="M2" s="64">
        <v>151.011</v>
      </c>
      <c r="N2" s="64">
        <v>155.535</v>
      </c>
      <c r="O2" s="64">
        <v>173.285</v>
      </c>
      <c r="P2" s="64" t="s">
        <v>54</v>
      </c>
      <c r="Q2" s="64">
        <v>0.95599999999999996</v>
      </c>
      <c r="R2" s="64" t="s">
        <v>62</v>
      </c>
    </row>
    <row r="3" spans="2:22" x14ac:dyDescent="0.2">
      <c r="B3" s="6" t="s">
        <v>53</v>
      </c>
      <c r="C3" s="69">
        <f>+'375'!C3+1</f>
        <v>376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61996869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173.285</v>
      </c>
      <c r="G23" s="23">
        <f>+N2</f>
        <v>155.535</v>
      </c>
      <c r="H23" s="23">
        <f>+M2</f>
        <v>151.011</v>
      </c>
      <c r="I23" s="67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GIRLS COTTON FIBERS, KNIT PULLOVER, WITH NO NECK CLOSURE, STITCH COUNT IS GREATER THAN 9/2CM, REACHES WAIST [100% COTTON]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6.1" customHeight="1" x14ac:dyDescent="0.2">
      <c r="B32" s="41" t="s">
        <v>195</v>
      </c>
      <c r="C32" s="19" t="s">
        <v>201</v>
      </c>
      <c r="D32" s="86"/>
      <c r="E32" s="87"/>
      <c r="F32" s="86">
        <f>+K2</f>
        <v>2262</v>
      </c>
      <c r="G32" s="87"/>
      <c r="H32" s="17">
        <v>0.81</v>
      </c>
      <c r="I32" s="18">
        <f>+H32*F32</f>
        <v>1832.22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2262</v>
      </c>
      <c r="G34" s="87"/>
      <c r="H34" s="15"/>
      <c r="I34" s="14">
        <f>SUM(I32:I33)</f>
        <v>1832.22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1832.22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1832.22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0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62006255</v>
      </c>
      <c r="K2" s="64">
        <v>670</v>
      </c>
      <c r="L2" s="64">
        <v>18</v>
      </c>
      <c r="M2" s="64">
        <v>69.625</v>
      </c>
      <c r="N2" s="64">
        <v>76.325000000000003</v>
      </c>
      <c r="O2" s="64">
        <v>86.924999999999997</v>
      </c>
      <c r="P2" s="64" t="s">
        <v>54</v>
      </c>
      <c r="Q2" s="64">
        <v>0.47</v>
      </c>
      <c r="R2" s="64" t="s">
        <v>62</v>
      </c>
    </row>
    <row r="3" spans="2:22" x14ac:dyDescent="0.2">
      <c r="B3" s="6" t="s">
        <v>53</v>
      </c>
      <c r="C3" s="69">
        <f>+'376'!C3+1</f>
        <v>377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62006255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86.924999999999997</v>
      </c>
      <c r="G23" s="23">
        <f>+N2</f>
        <v>76.325000000000003</v>
      </c>
      <c r="H23" s="23">
        <f>+M2</f>
        <v>69.625</v>
      </c>
      <c r="I23" s="67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4.95" customHeight="1" x14ac:dyDescent="0.2">
      <c r="B32" s="41">
        <v>21</v>
      </c>
      <c r="C32" s="19" t="s">
        <v>206</v>
      </c>
      <c r="D32" s="86"/>
      <c r="E32" s="87"/>
      <c r="F32" s="86">
        <f>+K2</f>
        <v>670</v>
      </c>
      <c r="G32" s="87"/>
      <c r="H32" s="17">
        <v>0.76</v>
      </c>
      <c r="I32" s="18">
        <f>+H32*F32</f>
        <v>509.2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670</v>
      </c>
      <c r="G34" s="87"/>
      <c r="H34" s="15"/>
      <c r="I34" s="14">
        <f>SUM(I32:I33)</f>
        <v>509.2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509.2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509.2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62046847</v>
      </c>
      <c r="K2" s="63">
        <v>7048</v>
      </c>
      <c r="L2" s="64">
        <v>112</v>
      </c>
      <c r="M2" s="64">
        <v>747.32</v>
      </c>
      <c r="N2" s="64">
        <v>817.8</v>
      </c>
      <c r="O2" s="64">
        <v>910.6</v>
      </c>
      <c r="P2" s="64" t="s">
        <v>54</v>
      </c>
      <c r="Q2" s="64">
        <v>4.54</v>
      </c>
      <c r="R2" s="64" t="s">
        <v>62</v>
      </c>
    </row>
    <row r="3" spans="2:22" x14ac:dyDescent="0.2">
      <c r="B3" s="6" t="s">
        <v>53</v>
      </c>
      <c r="C3" s="69">
        <f>+'377'!C3+1</f>
        <v>378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62046847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910.6</v>
      </c>
      <c r="G23" s="23">
        <f>+N2</f>
        <v>817.8</v>
      </c>
      <c r="H23" s="23">
        <f>+M2</f>
        <v>747.32</v>
      </c>
      <c r="I23" s="67">
        <f>+L2</f>
        <v>112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48.75" customHeight="1" x14ac:dyDescent="0.2">
      <c r="B32" s="61" t="s">
        <v>187</v>
      </c>
      <c r="C32" s="19" t="s">
        <v>188</v>
      </c>
      <c r="D32" s="86"/>
      <c r="E32" s="87"/>
      <c r="F32" s="86">
        <f>+K2</f>
        <v>7048</v>
      </c>
      <c r="G32" s="87"/>
      <c r="H32" s="17">
        <v>0.76</v>
      </c>
      <c r="I32" s="18">
        <f>+H32*F32</f>
        <v>5356.4800000000005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7048</v>
      </c>
      <c r="G34" s="87"/>
      <c r="H34" s="15"/>
      <c r="I34" s="14">
        <f>SUM(I32:I33)</f>
        <v>5356.4800000000005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5356.4800000000005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5356.4800000000005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62188541</v>
      </c>
      <c r="K2" s="63">
        <v>1294</v>
      </c>
      <c r="L2" s="64">
        <v>17</v>
      </c>
      <c r="M2" s="64">
        <v>137.31</v>
      </c>
      <c r="N2" s="64">
        <v>150.25</v>
      </c>
      <c r="O2" s="64">
        <v>165.15</v>
      </c>
      <c r="P2" s="64" t="s">
        <v>54</v>
      </c>
      <c r="Q2" s="64">
        <v>0.80500000000000005</v>
      </c>
      <c r="R2" s="64" t="s">
        <v>62</v>
      </c>
    </row>
    <row r="3" spans="2:22" x14ac:dyDescent="0.2">
      <c r="B3" s="6" t="s">
        <v>53</v>
      </c>
      <c r="C3" s="69">
        <f>+'378'!C3+1</f>
        <v>379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62188541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165.15</v>
      </c>
      <c r="G23" s="23">
        <f>+N2</f>
        <v>150.25</v>
      </c>
      <c r="H23" s="23">
        <f>+M2</f>
        <v>137.31</v>
      </c>
      <c r="I23" s="67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25.5" customHeight="1" x14ac:dyDescent="0.2">
      <c r="B32" s="41">
        <v>21</v>
      </c>
      <c r="C32" s="19" t="s">
        <v>206</v>
      </c>
      <c r="D32" s="86"/>
      <c r="E32" s="87"/>
      <c r="F32" s="86">
        <f>+K2</f>
        <v>1294</v>
      </c>
      <c r="G32" s="87"/>
      <c r="H32" s="17">
        <v>0.76</v>
      </c>
      <c r="I32" s="18">
        <f>+H32*F32</f>
        <v>983.44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1294</v>
      </c>
      <c r="G34" s="87"/>
      <c r="H34" s="15"/>
      <c r="I34" s="14">
        <f>SUM(I32:I33)</f>
        <v>983.44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983.44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983.44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0" t="s">
        <v>208</v>
      </c>
      <c r="C2" s="71"/>
      <c r="D2" s="71"/>
      <c r="E2" s="71"/>
      <c r="F2" s="71"/>
      <c r="G2" s="71"/>
      <c r="H2" s="71"/>
      <c r="I2" s="72"/>
      <c r="J2" s="62">
        <v>62046866</v>
      </c>
      <c r="K2" s="63">
        <v>14724</v>
      </c>
      <c r="L2" s="64">
        <v>331</v>
      </c>
      <c r="M2" s="66">
        <v>1499.41</v>
      </c>
      <c r="N2" s="66">
        <v>2014.75</v>
      </c>
      <c r="O2" s="66">
        <v>2324.35</v>
      </c>
      <c r="P2" s="64" t="s">
        <v>54</v>
      </c>
      <c r="Q2" s="64">
        <v>18.62</v>
      </c>
      <c r="R2" s="64" t="s">
        <v>62</v>
      </c>
    </row>
    <row r="3" spans="2:22" x14ac:dyDescent="0.2">
      <c r="B3" s="6" t="s">
        <v>53</v>
      </c>
      <c r="C3" s="69">
        <f>+'379'!C3+1</f>
        <v>380</v>
      </c>
      <c r="D3" s="5"/>
      <c r="E3" s="5"/>
      <c r="F3" s="5"/>
      <c r="G3" s="5" t="s">
        <v>52</v>
      </c>
      <c r="H3" s="31">
        <v>46269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62046866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2324.35</v>
      </c>
      <c r="G23" s="23">
        <f>+N2</f>
        <v>2014.75</v>
      </c>
      <c r="H23" s="23">
        <f>+M2</f>
        <v>1499.41</v>
      </c>
      <c r="I23" s="67">
        <f>+L2</f>
        <v>331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4"/>
      <c r="D26" s="74"/>
      <c r="E26" s="74"/>
      <c r="F26" s="74"/>
      <c r="G26" s="74"/>
      <c r="H26" s="74"/>
      <c r="I26" s="75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[96% COTTON 4% SPANDEX]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79" t="s">
        <v>19</v>
      </c>
      <c r="E31" s="79"/>
      <c r="F31" s="79" t="s">
        <v>18</v>
      </c>
      <c r="G31" s="79"/>
      <c r="H31" s="67" t="s">
        <v>17</v>
      </c>
      <c r="I31" s="19" t="s">
        <v>16</v>
      </c>
      <c r="M31"/>
    </row>
    <row r="32" spans="2:13" ht="51.75" customHeight="1" x14ac:dyDescent="0.2">
      <c r="B32" s="41" t="s">
        <v>187</v>
      </c>
      <c r="C32" s="19" t="s">
        <v>207</v>
      </c>
      <c r="D32" s="86"/>
      <c r="E32" s="87"/>
      <c r="F32" s="86">
        <f>+K2</f>
        <v>14724</v>
      </c>
      <c r="G32" s="87"/>
      <c r="H32" s="17">
        <v>0.76</v>
      </c>
      <c r="I32" s="18">
        <f>+H32*F32</f>
        <v>11190.24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5"/>
      <c r="F33" s="73"/>
      <c r="G33" s="75"/>
      <c r="H33" s="17"/>
      <c r="I33" s="67"/>
    </row>
    <row r="34" spans="2:11" ht="21.75" customHeight="1" x14ac:dyDescent="0.2">
      <c r="B34" s="15" t="s">
        <v>14</v>
      </c>
      <c r="C34" s="15"/>
      <c r="D34" s="84"/>
      <c r="E34" s="85"/>
      <c r="F34" s="86">
        <f>SUM(F32:G33)</f>
        <v>14724</v>
      </c>
      <c r="G34" s="87"/>
      <c r="H34" s="15"/>
      <c r="I34" s="14">
        <f>SUM(I32:I33)</f>
        <v>11190.24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5"/>
      <c r="F35" s="73"/>
      <c r="G35" s="75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3"/>
      <c r="E36" s="75"/>
      <c r="F36" s="73"/>
      <c r="G36" s="75"/>
      <c r="H36" s="15"/>
      <c r="I36" s="14">
        <f>+I34</f>
        <v>11190.24</v>
      </c>
    </row>
    <row r="37" spans="2:11" ht="20.25" customHeight="1" x14ac:dyDescent="0.2">
      <c r="B37" s="15" t="s">
        <v>80</v>
      </c>
      <c r="C37" s="73" t="s">
        <v>11</v>
      </c>
      <c r="D37" s="74"/>
      <c r="E37" s="74"/>
      <c r="F37" s="74"/>
      <c r="G37" s="74"/>
      <c r="H37" s="75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11190.24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1" t="s">
        <v>7</v>
      </c>
      <c r="C46" s="81"/>
      <c r="D46" s="81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2" t="s">
        <v>1</v>
      </c>
      <c r="D55" s="82"/>
      <c r="E55" s="5"/>
      <c r="F55" s="5"/>
      <c r="G55" s="5"/>
      <c r="H55" s="5"/>
      <c r="I55" s="4"/>
      <c r="K55" s="20">
        <v>14</v>
      </c>
    </row>
    <row r="56" spans="2:11" x14ac:dyDescent="0.2">
      <c r="B56" s="6"/>
      <c r="C56" s="83" t="s">
        <v>0</v>
      </c>
      <c r="D56" s="83"/>
      <c r="E56" s="5"/>
      <c r="F56" s="5"/>
      <c r="G56" s="5"/>
      <c r="H56" s="5"/>
      <c r="I56" s="4"/>
    </row>
    <row r="57" spans="2:11" x14ac:dyDescent="0.2">
      <c r="B57" s="2"/>
      <c r="C57" s="80"/>
      <c r="D57" s="8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reff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'367'!Print_Area</vt:lpstr>
      <vt:lpstr>'368'!Print_Area</vt:lpstr>
      <vt:lpstr>'369'!Print_Area</vt:lpstr>
      <vt:lpstr>'370'!Print_Area</vt:lpstr>
      <vt:lpstr>'371'!Print_Area</vt:lpstr>
      <vt:lpstr>'372'!Print_Area</vt:lpstr>
      <vt:lpstr>'373'!Print_Area</vt:lpstr>
      <vt:lpstr>'374'!Print_Area</vt:lpstr>
      <vt:lpstr>'375'!Print_Area</vt:lpstr>
      <vt:lpstr>'376'!Print_Area</vt:lpstr>
      <vt:lpstr>'377'!Print_Area</vt:lpstr>
      <vt:lpstr>'378'!Print_Area</vt:lpstr>
      <vt:lpstr>'379'!Print_Area</vt:lpstr>
      <vt:lpstr>'380'!Print_Area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2026-08-13T02:02:12Z</cp:lastPrinted>
  <dcterms:created xsi:type="dcterms:W3CDTF">2024-04-17T09:56:05Z</dcterms:created>
  <dcterms:modified xsi:type="dcterms:W3CDTF">2026-08-28T08:12:11Z</dcterms:modified>
</cp:coreProperties>
</file>