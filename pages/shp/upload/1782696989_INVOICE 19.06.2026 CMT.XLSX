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06. JUNI\19.06.2026\"/>
    </mc:Choice>
  </mc:AlternateContent>
  <bookViews>
    <workbookView xWindow="-120" yWindow="-120" windowWidth="20730" windowHeight="11160" activeTab="2"/>
  </bookViews>
  <sheets>
    <sheet name="Sheet1" sheetId="128" r:id="rId1"/>
    <sheet name="reff" sheetId="162" r:id="rId2"/>
    <sheet name="289" sheetId="129" r:id="rId3"/>
    <sheet name="290" sheetId="133" r:id="rId4"/>
    <sheet name="291" sheetId="134" r:id="rId5"/>
    <sheet name="292" sheetId="135" r:id="rId6"/>
    <sheet name="293" sheetId="163" r:id="rId7"/>
    <sheet name="294" sheetId="164" r:id="rId8"/>
  </sheets>
  <externalReferences>
    <externalReference r:id="rId9"/>
    <externalReference r:id="rId10"/>
    <externalReference r:id="rId11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>[2]xdata!#REF!</definedName>
    <definedName name="INVOICE">[2]xdata!$B$2</definedName>
    <definedName name="_xlnm.Print_Area" localSheetId="2">'289'!$B$1:$I$57</definedName>
    <definedName name="_xlnm.Print_Area" localSheetId="3">'290'!$B$1:$I$57</definedName>
    <definedName name="_xlnm.Print_Area" localSheetId="4">'291'!$B$1:$I$57</definedName>
    <definedName name="_xlnm.Print_Area" localSheetId="5">'292'!$B$1:$I$57</definedName>
    <definedName name="_xlnm.Print_Area" localSheetId="6">'293'!$B$1:$I$57</definedName>
    <definedName name="_xlnm.Print_Area" localSheetId="7">'294'!$B$1:$I$57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64" l="1"/>
  <c r="I32" i="164" s="1"/>
  <c r="I34" i="164" s="1"/>
  <c r="I36" i="164" s="1"/>
  <c r="I38" i="164" s="1"/>
  <c r="F32" i="163"/>
  <c r="F32" i="135"/>
  <c r="F32" i="134"/>
  <c r="F32" i="133"/>
  <c r="I32" i="133" s="1"/>
  <c r="F32" i="129"/>
  <c r="H52" i="164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3" i="164"/>
  <c r="H52" i="163"/>
  <c r="F34" i="163"/>
  <c r="I32" i="163"/>
  <c r="I34" i="163" s="1"/>
  <c r="I36" i="163" s="1"/>
  <c r="I38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H3" i="163"/>
  <c r="F34" i="134" l="1"/>
  <c r="F34" i="135"/>
  <c r="I32" i="134"/>
  <c r="I34" i="134" s="1"/>
  <c r="F34" i="133" l="1"/>
  <c r="F34" i="129" l="1"/>
  <c r="C3" i="133"/>
  <c r="H3" i="135"/>
  <c r="H3" i="134"/>
  <c r="H3" i="133"/>
  <c r="I32" i="129" l="1"/>
  <c r="I34" i="129" s="1"/>
  <c r="B27" i="135" l="1"/>
  <c r="B27" i="134"/>
  <c r="E21" i="129" l="1"/>
  <c r="E21" i="133" l="1"/>
  <c r="E21" i="135"/>
  <c r="E21" i="134"/>
  <c r="C21" i="129"/>
  <c r="C21" i="134"/>
  <c r="C21" i="135"/>
  <c r="C21" i="133"/>
  <c r="H52" i="129"/>
  <c r="H52" i="134"/>
  <c r="H52" i="135"/>
  <c r="H52" i="133"/>
  <c r="I32" i="135" l="1"/>
  <c r="I34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6" i="134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63" s="1"/>
  <c r="C3" i="164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<sst xmlns="http://schemas.openxmlformats.org/spreadsheetml/2006/main" count="635" uniqueCount="185">
  <si>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</si>
  <si>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</si>
  <si>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</si>
  <si>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</si>
  <si>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</si>
  <si>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</si>
  <si>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</si>
  <si>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</si>
  <si>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</si>
  <si>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</si>
  <si>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</si>
  <si>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</si>
  <si>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</si>
  <si>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</si>
  <si>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</si>
  <si>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</si>
  <si>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</si>
  <si>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</si>
  <si>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</si>
  <si>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</si>
  <si>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</si>
  <si>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</si>
  <si>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</si>
  <si>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</si>
  <si>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</si>
  <si>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</si>
  <si>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</si>
  <si>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</si>
  <si>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</si>
  <si>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</si>
  <si>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</si>
  <si>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</si>
  <si>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</si>
  <si>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</si>
  <si>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</si>
  <si>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</si>
  <si>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</si>
  <si>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</si>
  <si>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</si>
  <si>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</si>
  <si>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</si>
  <si>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</si>
  <si>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</si>
  <si>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</si>
  <si>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</si>
  <si>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</si>
  <si>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</si>
  <si>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</si>
  <si>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</si>
  <si>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</si>
  <si>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</si>
  <si>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</si>
  <si>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</si>
  <si>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</si>
  <si>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</si>
  <si>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</si>
  <si>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</si>
  <si>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</si>
  <si>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</si>
  <si>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</si>
  <si>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</si>
  <si>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</si>
  <si>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</si>
  <si>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</si>
  <si>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</si>
  <si>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</si>
  <si>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</si>
  <si>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</si>
  <si>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</si>
  <si>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</si>
  <si>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</si>
  <si>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</si>
  <si>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</si>
  <si>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</si>
  <si>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</si>
  <si>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</si>
  <si>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</si>
  <si>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</si>
  <si>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</si>
  <si>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</si>
  <si>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</si>
  <si>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</si>
  <si>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</si>
  <si>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</si>
  <si>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</si>
  <si>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</si>
  <si>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</si>
  <si>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</si>
  <si>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</si>
  <si>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</si>
  <si>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</si>
  <si>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</si>
  <si>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</si>
  <si>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</si>
  <si>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</si>
  <si>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</si>
  <si>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</si>
  <si>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</si>
  <si>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</si>
  <si>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</si>
  <si>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</si>
  <si>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</si>
  <si>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</si>
  <si>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</si>
  <si>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</si>
  <si>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</si>
  <si>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</si>
  <si>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</si>
  <si>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</si>
  <si>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</si>
  <si>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</si>
  <si>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</si>
  <si>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</si>
  <si>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</si>
  <si>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</si>
  <si>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</si>
  <si>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</si>
  <si>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</si>
  <si>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</si>
  <si>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</si>
  <si>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</si>
  <si>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</si>
  <si>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</si>
  <si>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</si>
  <si>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</si>
  <si>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</si>
  <si>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</si>
  <si>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</si>
  <si>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</si>
  <si>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</si>
  <si>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</si>
  <si>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</si>
  <si>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</si>
  <si>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</si>
  <si>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</si>
  <si>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</si>
  <si>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</si>
  <si>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</si>
  <si>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</si>
  <si>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</si>
  <si>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</si>
  <si>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</si>
  <si>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</si>
  <si>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</si>
  <si>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</si>
  <si>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</si>
  <si>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</si>
  <si>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</si>
  <si>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</si>
  <si>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</si>
  <si>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</si>
  <si>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</si>
  <si>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</si>
  <si>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</si>
  <si>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</si>
  <si>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</si>
  <si>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</si>
  <si>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</si>
  <si>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</si>
  <si>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</si>
  <si>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</si>
  <si>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</si>
  <si>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</si>
  <si>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</si>
  <si>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</si>
  <si>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</si>
  <si>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</si>
  <si>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</si>
  <si>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</si>
  <si>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</si>
  <si>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</si>
  <si>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</si>
  <si>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</si>
  <si>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</si>
  <si>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</si>
  <si>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</si>
  <si>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</si>
  <si>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</si>
  <si>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265K0075</t>
  </si>
  <si>
    <t>13, 15</t>
  </si>
  <si>
    <t>BLACK COFFEE, BLACK JACK 3</t>
  </si>
  <si>
    <t>WOMENS COTTON FIBERS, KNIT PULLOVER, WITH NO NECK CLOSURE, STITCH COUNT IS GREATER THAN 9/2CM, REACHES WAIST, SLEEVELESS [96% COTTON 4% SPANDEX]</t>
  </si>
  <si>
    <t>BLUSH ON YOU</t>
  </si>
  <si>
    <t>SHOOTING STAR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</si>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</sst>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34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2395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F3" sqref="F3:F7"/>
    </sheetView>
  </sheetViews>
  <sheetFormatPr defaultRowHeight="12.75" x14ac:dyDescent="0.2"/>
  <sheetData>
    <row r="2" spans="2:9" ht="15" x14ac:dyDescent="0.25">
      <c r="B2" s="57">
        <v>1</v>
      </c>
      <c r="C2" t="s">
        <v>178</v>
      </c>
      <c r="E2" s="57">
        <v>1</v>
      </c>
      <c r="F2">
        <v>692926</v>
      </c>
      <c r="H2" s="57">
        <v>1</v>
      </c>
      <c r="I2" s="66" t="s">
        <v>177</v>
      </c>
    </row>
    <row r="3" spans="2:9" ht="15" x14ac:dyDescent="0.25">
      <c r="B3" s="57">
        <v>2</v>
      </c>
      <c r="C3" t="s">
        <v>178</v>
      </c>
      <c r="E3" s="57">
        <v>2</v>
      </c>
      <c r="F3">
        <v>692926</v>
      </c>
      <c r="H3" s="57">
        <v>2</v>
      </c>
      <c r="I3" s="66" t="s">
        <v>177</v>
      </c>
    </row>
    <row r="4" spans="2:9" ht="15" x14ac:dyDescent="0.25">
      <c r="B4" s="57">
        <v>3</v>
      </c>
      <c r="C4" t="s">
        <v>178</v>
      </c>
      <c r="E4" s="57">
        <v>3</v>
      </c>
      <c r="F4">
        <v>692926</v>
      </c>
      <c r="H4" s="57">
        <v>3</v>
      </c>
      <c r="I4" s="66" t="s">
        <v>177</v>
      </c>
    </row>
    <row r="5" spans="2:9" ht="15" x14ac:dyDescent="0.25">
      <c r="B5" s="57">
        <v>4</v>
      </c>
      <c r="C5" t="s">
        <v>178</v>
      </c>
      <c r="E5" s="57">
        <v>4</v>
      </c>
      <c r="F5">
        <v>692926</v>
      </c>
      <c r="H5" s="57">
        <v>4</v>
      </c>
      <c r="I5" s="66" t="s">
        <v>177</v>
      </c>
    </row>
    <row r="6" spans="2:9" ht="15" x14ac:dyDescent="0.25">
      <c r="B6" s="57">
        <v>5</v>
      </c>
      <c r="C6" t="s">
        <v>178</v>
      </c>
      <c r="E6" s="57">
        <v>5</v>
      </c>
      <c r="F6">
        <v>692926</v>
      </c>
      <c r="H6" s="57">
        <v>5</v>
      </c>
      <c r="I6" s="66" t="s">
        <v>177</v>
      </c>
    </row>
    <row r="7" spans="2:9" ht="15" x14ac:dyDescent="0.25">
      <c r="B7" s="57">
        <v>6</v>
      </c>
      <c r="C7" t="s">
        <v>178</v>
      </c>
      <c r="E7" s="57">
        <v>6</v>
      </c>
      <c r="F7">
        <v>692926</v>
      </c>
      <c r="H7" s="57">
        <v>6</v>
      </c>
      <c r="I7" s="66" t="s">
        <v>177</v>
      </c>
    </row>
    <row r="8" spans="2:9" ht="15" x14ac:dyDescent="0.25">
      <c r="B8" s="57">
        <v>7</v>
      </c>
      <c r="E8" s="57">
        <v>7</v>
      </c>
      <c r="H8" s="57">
        <v>7</v>
      </c>
      <c r="I8" s="58"/>
    </row>
    <row r="9" spans="2:9" ht="15" x14ac:dyDescent="0.25">
      <c r="B9" s="57">
        <v>8</v>
      </c>
      <c r="E9" s="57">
        <v>8</v>
      </c>
      <c r="H9" s="57">
        <v>8</v>
      </c>
      <c r="I9" s="58"/>
    </row>
    <row r="10" spans="2:9" ht="15" x14ac:dyDescent="0.25">
      <c r="B10" s="57">
        <v>9</v>
      </c>
      <c r="E10" s="57">
        <v>9</v>
      </c>
      <c r="H10" s="57">
        <v>9</v>
      </c>
      <c r="I10" s="58"/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topLeftCell="A22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184</v>
      </c>
      <c r="C2" s="70"/>
      <c r="D2" s="70"/>
      <c r="E2" s="70"/>
      <c r="F2" s="70"/>
      <c r="G2" s="70"/>
      <c r="H2" s="70"/>
      <c r="I2" s="71"/>
      <c r="J2" s="63">
        <v>61779306</v>
      </c>
      <c r="K2" s="64">
        <v>1398</v>
      </c>
      <c r="L2" s="65">
        <v>27</v>
      </c>
      <c r="M2" s="65">
        <v>149.74</v>
      </c>
      <c r="N2" s="65">
        <v>163.72</v>
      </c>
      <c r="O2" s="65">
        <v>185.12</v>
      </c>
      <c r="P2" s="65" t="s">
        <v>54</v>
      </c>
      <c r="Q2" s="65">
        <v>0.96199999999999997</v>
      </c>
      <c r="R2" s="65" t="s">
        <v>62</v>
      </c>
    </row>
    <row r="3" spans="2:22" x14ac:dyDescent="0.2">
      <c r="B3" s="6" t="s">
        <v>53</v>
      </c>
      <c r="C3" s="60">
        <v>289</v>
      </c>
      <c r="D3" s="5"/>
      <c r="E3" s="5"/>
      <c r="F3" s="5"/>
      <c r="G3" s="5" t="s">
        <v>52</v>
      </c>
      <c r="H3" s="31">
        <v>46192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61779306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185.12</v>
      </c>
      <c r="G23" s="23">
        <f>+N2</f>
        <v>163.72</v>
      </c>
      <c r="H23" s="23">
        <f>+M2</f>
        <v>149.74</v>
      </c>
      <c r="I23" s="48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[96% COTTON 4% SPANDEX]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32.25" customHeight="1" x14ac:dyDescent="0.2">
      <c r="B32" s="41" t="s">
        <v>179</v>
      </c>
      <c r="C32" s="19" t="s">
        <v>180</v>
      </c>
      <c r="D32" s="67"/>
      <c r="E32" s="68"/>
      <c r="F32" s="67">
        <f>+K2</f>
        <v>1398</v>
      </c>
      <c r="G32" s="68"/>
      <c r="H32" s="17">
        <v>0.76</v>
      </c>
      <c r="I32" s="18">
        <f>+H32*F32</f>
        <v>1062.48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48"/>
    </row>
    <row r="34" spans="2:11" ht="21.75" customHeight="1" x14ac:dyDescent="0.2">
      <c r="B34" s="15" t="s">
        <v>14</v>
      </c>
      <c r="C34" s="15"/>
      <c r="D34" s="83"/>
      <c r="E34" s="84"/>
      <c r="F34" s="67">
        <f>SUM(F31:G33)</f>
        <v>1398</v>
      </c>
      <c r="G34" s="68"/>
      <c r="H34" s="15"/>
      <c r="I34" s="14">
        <f>SUM(I32:I33)</f>
        <v>1062.48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1062.48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1062.48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184</v>
      </c>
      <c r="C2" s="70"/>
      <c r="D2" s="70"/>
      <c r="E2" s="70"/>
      <c r="F2" s="70"/>
      <c r="G2" s="70"/>
      <c r="H2" s="70"/>
      <c r="I2" s="71"/>
      <c r="J2" s="63">
        <v>61779302</v>
      </c>
      <c r="K2" s="64">
        <v>2645</v>
      </c>
      <c r="L2" s="65">
        <v>45</v>
      </c>
      <c r="M2" s="65">
        <v>283.89</v>
      </c>
      <c r="N2" s="65">
        <v>310.33999999999997</v>
      </c>
      <c r="O2" s="65">
        <v>347.14</v>
      </c>
      <c r="P2" s="65" t="s">
        <v>54</v>
      </c>
      <c r="Q2" s="65">
        <v>1.756</v>
      </c>
      <c r="R2" s="65" t="s">
        <v>62</v>
      </c>
    </row>
    <row r="3" spans="2:22" x14ac:dyDescent="0.2">
      <c r="B3" s="6" t="s">
        <v>53</v>
      </c>
      <c r="C3" s="60">
        <f>+'289'!C3+1</f>
        <v>290</v>
      </c>
      <c r="D3" s="5"/>
      <c r="E3" s="5"/>
      <c r="F3" s="5"/>
      <c r="G3" s="5" t="s">
        <v>52</v>
      </c>
      <c r="H3" s="31">
        <f>+'289'!H3+0</f>
        <v>46192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61779302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347.14</v>
      </c>
      <c r="G23" s="23">
        <f>+N2</f>
        <v>310.33999999999997</v>
      </c>
      <c r="H23" s="23">
        <f>+M2</f>
        <v>283.89</v>
      </c>
      <c r="I23" s="48">
        <f>+L2</f>
        <v>45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[96% COTTON 4% SPANDEX]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39.75" customHeight="1" x14ac:dyDescent="0.2">
      <c r="B32" s="41" t="s">
        <v>179</v>
      </c>
      <c r="C32" s="19" t="s">
        <v>180</v>
      </c>
      <c r="D32" s="67"/>
      <c r="E32" s="68"/>
      <c r="F32" s="67">
        <f>+K2</f>
        <v>2645</v>
      </c>
      <c r="G32" s="68"/>
      <c r="H32" s="17">
        <v>0.76</v>
      </c>
      <c r="I32" s="18">
        <f>+H32*F32</f>
        <v>2010.2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48"/>
    </row>
    <row r="34" spans="2:11" ht="21.75" customHeight="1" x14ac:dyDescent="0.2">
      <c r="B34" s="15" t="s">
        <v>14</v>
      </c>
      <c r="C34" s="15"/>
      <c r="D34" s="83"/>
      <c r="E34" s="84"/>
      <c r="F34" s="67">
        <f>SUM(F31:G33)</f>
        <v>2645</v>
      </c>
      <c r="G34" s="68"/>
      <c r="H34" s="15"/>
      <c r="I34" s="14">
        <f>SUM(I32:I33)</f>
        <v>2010.2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2010.2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2010.2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184</v>
      </c>
      <c r="C2" s="70"/>
      <c r="D2" s="70"/>
      <c r="E2" s="70"/>
      <c r="F2" s="70"/>
      <c r="G2" s="70"/>
      <c r="H2" s="70"/>
      <c r="I2" s="71"/>
      <c r="J2" s="63">
        <v>62023520</v>
      </c>
      <c r="K2" s="65">
        <v>906</v>
      </c>
      <c r="L2" s="65">
        <v>19</v>
      </c>
      <c r="M2" s="65">
        <v>97.26</v>
      </c>
      <c r="N2" s="65">
        <v>106.32</v>
      </c>
      <c r="O2" s="65">
        <v>121.12</v>
      </c>
      <c r="P2" s="65" t="s">
        <v>54</v>
      </c>
      <c r="Q2" s="65">
        <v>0.626</v>
      </c>
      <c r="R2" s="65" t="s">
        <v>62</v>
      </c>
    </row>
    <row r="3" spans="2:22" x14ac:dyDescent="0.2">
      <c r="B3" s="6" t="s">
        <v>53</v>
      </c>
      <c r="C3" s="60">
        <f>+'290'!C3+1</f>
        <v>291</v>
      </c>
      <c r="D3" s="5"/>
      <c r="E3" s="5"/>
      <c r="F3" s="5"/>
      <c r="G3" s="5" t="s">
        <v>52</v>
      </c>
      <c r="H3" s="31">
        <f>+'289'!H3+0</f>
        <v>46192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62023520</v>
      </c>
      <c r="C21" s="5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121.12</v>
      </c>
      <c r="G23" s="23">
        <f>+N2</f>
        <v>106.32</v>
      </c>
      <c r="H23" s="23">
        <f>+M2</f>
        <v>97.26</v>
      </c>
      <c r="I23" s="54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[96% COTTON 4% SPANDEX]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8" t="s">
        <v>19</v>
      </c>
      <c r="E31" s="78"/>
      <c r="F31" s="78" t="s">
        <v>18</v>
      </c>
      <c r="G31" s="78"/>
      <c r="H31" s="54" t="s">
        <v>17</v>
      </c>
      <c r="I31" s="19" t="s">
        <v>16</v>
      </c>
      <c r="M31"/>
    </row>
    <row r="32" spans="2:13" ht="27.75" customHeight="1" x14ac:dyDescent="0.2">
      <c r="B32" s="41">
        <v>22</v>
      </c>
      <c r="C32" s="19" t="s">
        <v>182</v>
      </c>
      <c r="D32" s="67"/>
      <c r="E32" s="68"/>
      <c r="F32" s="67">
        <f>+K2</f>
        <v>906</v>
      </c>
      <c r="G32" s="68"/>
      <c r="H32" s="17">
        <v>0.76</v>
      </c>
      <c r="I32" s="18">
        <f>+H32*F32</f>
        <v>688.56000000000006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4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906</v>
      </c>
      <c r="G34" s="68"/>
      <c r="H34" s="15"/>
      <c r="I34" s="14">
        <f>SUM(I32:I33)</f>
        <v>688.56000000000006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688.56000000000006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688.56000000000006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184</v>
      </c>
      <c r="C2" s="70"/>
      <c r="D2" s="70"/>
      <c r="E2" s="70"/>
      <c r="F2" s="70"/>
      <c r="G2" s="70"/>
      <c r="H2" s="70"/>
      <c r="I2" s="71"/>
      <c r="J2" s="63">
        <v>62023524</v>
      </c>
      <c r="K2" s="65">
        <v>905</v>
      </c>
      <c r="L2" s="65">
        <v>19</v>
      </c>
      <c r="M2" s="65">
        <v>97.42</v>
      </c>
      <c r="N2" s="65">
        <v>106.47</v>
      </c>
      <c r="O2" s="65">
        <v>121.37</v>
      </c>
      <c r="P2" s="65" t="s">
        <v>54</v>
      </c>
      <c r="Q2" s="65">
        <v>0.63700000000000001</v>
      </c>
      <c r="R2" s="65" t="s">
        <v>62</v>
      </c>
    </row>
    <row r="3" spans="2:22" x14ac:dyDescent="0.2">
      <c r="B3" s="6" t="s">
        <v>53</v>
      </c>
      <c r="C3" s="60">
        <f>+'291'!C3+1</f>
        <v>292</v>
      </c>
      <c r="D3" s="5"/>
      <c r="E3" s="5"/>
      <c r="F3" s="5"/>
      <c r="G3" s="5" t="s">
        <v>52</v>
      </c>
      <c r="H3" s="31">
        <f>+'289'!H3+0</f>
        <v>46192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62023524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121.37</v>
      </c>
      <c r="G23" s="23">
        <f>+N2</f>
        <v>106.47</v>
      </c>
      <c r="H23" s="23">
        <f>+M2</f>
        <v>97.42</v>
      </c>
      <c r="I23" s="55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[96% COTTON 4% SPANDEX]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33" customHeight="1" x14ac:dyDescent="0.2">
      <c r="B32" s="41">
        <v>21</v>
      </c>
      <c r="C32" s="19" t="s">
        <v>183</v>
      </c>
      <c r="D32" s="67"/>
      <c r="E32" s="68"/>
      <c r="F32" s="67">
        <f>+K2</f>
        <v>905</v>
      </c>
      <c r="G32" s="68"/>
      <c r="H32" s="17">
        <v>0.76</v>
      </c>
      <c r="I32" s="18">
        <f>+H32*F32</f>
        <v>687.8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9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905</v>
      </c>
      <c r="G34" s="68"/>
      <c r="H34" s="15"/>
      <c r="I34" s="14">
        <f>SUM(I32:I32)</f>
        <v>687.8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687.8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687.8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184</v>
      </c>
      <c r="C2" s="70"/>
      <c r="D2" s="70"/>
      <c r="E2" s="70"/>
      <c r="F2" s="70"/>
      <c r="G2" s="70"/>
      <c r="H2" s="70"/>
      <c r="I2" s="71"/>
      <c r="J2" s="63">
        <v>62023522</v>
      </c>
      <c r="K2" s="65">
        <v>474</v>
      </c>
      <c r="L2" s="65">
        <v>11</v>
      </c>
      <c r="M2" s="65">
        <v>50.88</v>
      </c>
      <c r="N2" s="65">
        <v>55.62</v>
      </c>
      <c r="O2" s="65">
        <v>64.02</v>
      </c>
      <c r="P2" s="65" t="s">
        <v>54</v>
      </c>
      <c r="Q2" s="65">
        <v>0.33500000000000002</v>
      </c>
      <c r="R2" s="65" t="s">
        <v>62</v>
      </c>
    </row>
    <row r="3" spans="2:22" x14ac:dyDescent="0.2">
      <c r="B3" s="6" t="s">
        <v>53</v>
      </c>
      <c r="C3" s="60">
        <f>+'292'!C3+1</f>
        <v>293</v>
      </c>
      <c r="D3" s="5"/>
      <c r="E3" s="5"/>
      <c r="F3" s="5"/>
      <c r="G3" s="5" t="s">
        <v>52</v>
      </c>
      <c r="H3" s="31">
        <f>+'289'!H3+0</f>
        <v>46192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1">
        <f>J2</f>
        <v>62023522</v>
      </c>
      <c r="C21" s="6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1" t="s">
        <v>35</v>
      </c>
      <c r="G21" s="61"/>
      <c r="H21" s="47" t="str">
        <f>IF(LEFT(G17,2)="CA","CA",IF(LEFT(G17,2)="UN","US",IF(LEFT(G17,2)="PA","PA",IF(LEFT(G17,2)="JA","JP"))))</f>
        <v>US</v>
      </c>
      <c r="I21" s="61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1" t="s">
        <v>25</v>
      </c>
      <c r="C23" s="61"/>
      <c r="D23" s="61" t="s">
        <v>24</v>
      </c>
      <c r="E23" s="61" t="str">
        <f>+D23</f>
        <v>JAKARTA,ID</v>
      </c>
      <c r="F23" s="23">
        <f>+O2</f>
        <v>64.02</v>
      </c>
      <c r="G23" s="23">
        <f>+N2</f>
        <v>55.62</v>
      </c>
      <c r="H23" s="23">
        <f>+M2</f>
        <v>50.88</v>
      </c>
      <c r="I23" s="61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[96% COTTON 4% SPANDEX]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1" t="s">
        <v>21</v>
      </c>
      <c r="C31" s="61" t="s">
        <v>20</v>
      </c>
      <c r="D31" s="78" t="s">
        <v>19</v>
      </c>
      <c r="E31" s="78"/>
      <c r="F31" s="78" t="s">
        <v>18</v>
      </c>
      <c r="G31" s="78"/>
      <c r="H31" s="61" t="s">
        <v>17</v>
      </c>
      <c r="I31" s="19" t="s">
        <v>16</v>
      </c>
      <c r="M31"/>
    </row>
    <row r="32" spans="2:13" ht="27.75" customHeight="1" x14ac:dyDescent="0.2">
      <c r="B32" s="41">
        <v>22</v>
      </c>
      <c r="C32" s="19" t="s">
        <v>182</v>
      </c>
      <c r="D32" s="67"/>
      <c r="E32" s="68"/>
      <c r="F32" s="67">
        <f>+K2</f>
        <v>474</v>
      </c>
      <c r="G32" s="68"/>
      <c r="H32" s="17">
        <v>0.76</v>
      </c>
      <c r="I32" s="18">
        <f>+H32*F32</f>
        <v>360.24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1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474</v>
      </c>
      <c r="G34" s="68"/>
      <c r="H34" s="15"/>
      <c r="I34" s="14">
        <f>SUM(I32:I33)</f>
        <v>360.24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1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360.24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360.24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184</v>
      </c>
      <c r="C2" s="70"/>
      <c r="D2" s="70"/>
      <c r="E2" s="70"/>
      <c r="F2" s="70"/>
      <c r="G2" s="70"/>
      <c r="H2" s="70"/>
      <c r="I2" s="71"/>
      <c r="J2" s="63">
        <v>62023526</v>
      </c>
      <c r="K2" s="65">
        <v>476</v>
      </c>
      <c r="L2" s="65">
        <v>11</v>
      </c>
      <c r="M2" s="65">
        <v>51.17</v>
      </c>
      <c r="N2" s="65">
        <v>55.93</v>
      </c>
      <c r="O2" s="65">
        <v>64.33</v>
      </c>
      <c r="P2" s="65" t="s">
        <v>54</v>
      </c>
      <c r="Q2" s="65">
        <v>0.33500000000000002</v>
      </c>
      <c r="R2" s="65" t="s">
        <v>62</v>
      </c>
    </row>
    <row r="3" spans="2:22" x14ac:dyDescent="0.2">
      <c r="B3" s="6" t="s">
        <v>53</v>
      </c>
      <c r="C3" s="60">
        <f>+'293'!C3+1</f>
        <v>294</v>
      </c>
      <c r="D3" s="5"/>
      <c r="E3" s="5"/>
      <c r="F3" s="5"/>
      <c r="G3" s="5" t="s">
        <v>52</v>
      </c>
      <c r="H3" s="31">
        <f>+'289'!H3+0</f>
        <v>46192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1">
        <f>J2</f>
        <v>62023526</v>
      </c>
      <c r="C21" s="6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1" t="s">
        <v>35</v>
      </c>
      <c r="G21" s="61"/>
      <c r="H21" s="47" t="str">
        <f>IF(LEFT(G17,2)="CA","CA",IF(LEFT(G17,2)="UN","US",IF(LEFT(G17,2)="PA","PA",IF(LEFT(G17,2)="JA","JP"))))</f>
        <v>US</v>
      </c>
      <c r="I21" s="61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1" t="s">
        <v>25</v>
      </c>
      <c r="C23" s="61"/>
      <c r="D23" s="61" t="s">
        <v>24</v>
      </c>
      <c r="E23" s="61" t="str">
        <f>+D23</f>
        <v>JAKARTA,ID</v>
      </c>
      <c r="F23" s="23">
        <f>+O2</f>
        <v>64.33</v>
      </c>
      <c r="G23" s="23">
        <f>+N2</f>
        <v>55.93</v>
      </c>
      <c r="H23" s="23">
        <f>+M2</f>
        <v>51.17</v>
      </c>
      <c r="I23" s="61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[96% COTTON 4% SPANDEX]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1" t="s">
        <v>21</v>
      </c>
      <c r="C31" s="61" t="s">
        <v>20</v>
      </c>
      <c r="D31" s="78" t="s">
        <v>19</v>
      </c>
      <c r="E31" s="78"/>
      <c r="F31" s="78" t="s">
        <v>18</v>
      </c>
      <c r="G31" s="78"/>
      <c r="H31" s="61" t="s">
        <v>17</v>
      </c>
      <c r="I31" s="19" t="s">
        <v>16</v>
      </c>
      <c r="M31"/>
    </row>
    <row r="32" spans="2:13" ht="33" customHeight="1" x14ac:dyDescent="0.2">
      <c r="B32" s="41">
        <v>21</v>
      </c>
      <c r="C32" s="19" t="s">
        <v>183</v>
      </c>
      <c r="D32" s="67"/>
      <c r="E32" s="68"/>
      <c r="F32" s="67">
        <f>+K2</f>
        <v>476</v>
      </c>
      <c r="G32" s="68"/>
      <c r="H32" s="17">
        <v>0.76</v>
      </c>
      <c r="I32" s="18">
        <f>+H32*F32</f>
        <v>361.76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1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476</v>
      </c>
      <c r="G34" s="68"/>
      <c r="H34" s="15"/>
      <c r="I34" s="14">
        <f>SUM(I32:I32)</f>
        <v>361.76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61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361.76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361.76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Sheet1</vt:lpstr>
      <vt:lpstr>reff</vt:lpstr>
      <vt:lpstr>289</vt:lpstr>
      <vt:lpstr>290</vt:lpstr>
      <vt:lpstr>291</vt:lpstr>
      <vt:lpstr>292</vt:lpstr>
      <vt:lpstr>293</vt:lpstr>
      <vt:lpstr>294</vt:lpstr>
      <vt:lpstr>'289'!Print_Area</vt:lpstr>
      <vt:lpstr>'290'!Print_Area</vt:lpstr>
      <vt:lpstr>'291'!Print_Area</vt:lpstr>
      <vt:lpstr>'292'!Print_Area</vt:lpstr>
      <vt:lpstr>'293'!Print_Area</vt:lpstr>
      <vt:lpstr>'294'!Print_Area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2026-06-19T01:12:38Z</cp:lastPrinted>
  <dcterms:created xsi:type="dcterms:W3CDTF">2024-04-17T09:56:05Z</dcterms:created>
  <dcterms:modified xsi:type="dcterms:W3CDTF">2026-06-19T01:12:41Z</dcterms:modified>
</cp:coreProperties>
</file>