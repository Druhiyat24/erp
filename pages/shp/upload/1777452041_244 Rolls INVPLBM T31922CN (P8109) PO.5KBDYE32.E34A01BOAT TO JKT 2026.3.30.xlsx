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13215DAA-A10B-4B2F-8A0F-45409223F3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1" r:id="rId1"/>
    <sheet name="PACKING " sheetId="6" r:id="rId2"/>
    <sheet name="DETAIL PACKING" sheetId="5" r:id="rId3"/>
  </sheets>
  <definedNames>
    <definedName name="_xlnm._FilterDatabase" localSheetId="2" hidden="1">'DETAIL PACKING'!$A$1:$F$8</definedName>
    <definedName name="_xlnm.Print_Area" localSheetId="2">'DETAIL PACKING'!$A$1:$F$271</definedName>
    <definedName name="_xlnm.Print_Area" localSheetId="0">INVOICE!$A$1:$J$37</definedName>
    <definedName name="_xlnm.Print_Area" localSheetId="1">'PACKING '!$A$1:$J$27</definedName>
    <definedName name="_xlnm.Print_Titles" localSheetId="2">'DETAIL PACKING'!$A:$F,'DETAIL PACKING'!$1:$8</definedName>
  </definedNames>
  <calcPr calcId="181029"/>
</workbook>
</file>

<file path=xl/calcChain.xml><?xml version="1.0" encoding="utf-8"?>
<calcChain xmlns="http://schemas.openxmlformats.org/spreadsheetml/2006/main">
  <c r="J22" i="1" l="1"/>
  <c r="J20" i="1"/>
  <c r="D25" i="1"/>
  <c r="F150" i="5"/>
  <c r="E150" i="5"/>
  <c r="D150" i="5"/>
  <c r="F152" i="5"/>
  <c r="E152" i="5"/>
  <c r="D152" i="5"/>
  <c r="F166" i="5"/>
  <c r="E166" i="5"/>
  <c r="D166" i="5"/>
  <c r="F195" i="5"/>
  <c r="E195" i="5"/>
  <c r="D195" i="5"/>
  <c r="F223" i="5"/>
  <c r="E223" i="5"/>
  <c r="D223" i="5"/>
  <c r="F245" i="5"/>
  <c r="E245" i="5"/>
  <c r="D245" i="5"/>
  <c r="F269" i="5"/>
  <c r="F270" i="5" s="1"/>
  <c r="F271" i="5" s="1"/>
  <c r="E269" i="5"/>
  <c r="E270" i="5" s="1"/>
  <c r="E271" i="5" s="1"/>
  <c r="D269" i="5"/>
  <c r="D270" i="5" s="1"/>
  <c r="C270" i="5"/>
  <c r="C271" i="5" s="1"/>
  <c r="F35" i="5"/>
  <c r="E35" i="5"/>
  <c r="D35" i="5"/>
  <c r="F46" i="5"/>
  <c r="E46" i="5"/>
  <c r="D46" i="5"/>
  <c r="F57" i="5"/>
  <c r="E57" i="5"/>
  <c r="D57" i="5"/>
  <c r="F88" i="5"/>
  <c r="E88" i="5"/>
  <c r="D88" i="5"/>
  <c r="F99" i="5"/>
  <c r="E99" i="5"/>
  <c r="D99" i="5"/>
  <c r="F110" i="5"/>
  <c r="E110" i="5"/>
  <c r="D110" i="5"/>
  <c r="F120" i="5"/>
  <c r="E120" i="5"/>
  <c r="D120" i="5"/>
  <c r="F130" i="5"/>
  <c r="F131" i="5" s="1"/>
  <c r="E130" i="5"/>
  <c r="E131" i="5" s="1"/>
  <c r="D130" i="5"/>
  <c r="D131" i="5" s="1"/>
  <c r="C131" i="5"/>
  <c r="I22" i="6"/>
  <c r="F22" i="6"/>
  <c r="D22" i="6"/>
  <c r="C22" i="6"/>
  <c r="J25" i="1" l="1"/>
  <c r="D271" i="5"/>
</calcChain>
</file>

<file path=xl/sharedStrings.xml><?xml version="1.0" encoding="utf-8"?>
<sst xmlns="http://schemas.openxmlformats.org/spreadsheetml/2006/main" count="375" uniqueCount="83">
  <si>
    <t xml:space="preserve">Marks </t>
  </si>
  <si>
    <t xml:space="preserve"> Description of Goods</t>
  </si>
  <si>
    <t>QTY</t>
  </si>
  <si>
    <t xml:space="preserve"> Unit  Price  </t>
  </si>
  <si>
    <t xml:space="preserve">  Amount</t>
  </si>
  <si>
    <t>YDS</t>
  </si>
  <si>
    <t>USD</t>
  </si>
  <si>
    <t>/YD</t>
  </si>
  <si>
    <t xml:space="preserve"> </t>
  </si>
  <si>
    <t>DETAILED PACKING LIST</t>
  </si>
  <si>
    <t>G MEGA TEXTILE ENTERPRISE CO., LTD.</t>
    <phoneticPr fontId="20" type="noConversion"/>
  </si>
  <si>
    <t>FOR ACCOUNT AND RISK OF MESSRS.:</t>
    <phoneticPr fontId="20" type="noConversion"/>
  </si>
  <si>
    <t xml:space="preserve">1F., No. 52 , Wuquan 7th Rd., Wugu Dist., New Taipei City 24890, Taiwan </t>
    <phoneticPr fontId="20" type="noConversion"/>
  </si>
  <si>
    <t>KNITTED FABRIC</t>
    <phoneticPr fontId="20" type="noConversion"/>
  </si>
  <si>
    <t>G-MEGA TEXTILE ENTERPRISE CO., LTD.</t>
  </si>
  <si>
    <t>1ST FL.,NO.52, WU QUAN 7TH RD., WU KU IND., PART TAIPEI-TAIWAN</t>
  </si>
  <si>
    <t>QUANTITY
(YDS)</t>
    <phoneticPr fontId="20" type="noConversion"/>
  </si>
  <si>
    <t xml:space="preserve">     
COLOR</t>
    <phoneticPr fontId="20" type="noConversion"/>
  </si>
  <si>
    <t>N.W.
(KGS)</t>
    <phoneticPr fontId="20" type="noConversion"/>
  </si>
  <si>
    <t>G.W.
(KGS)</t>
    <phoneticPr fontId="20" type="noConversion"/>
  </si>
  <si>
    <t>FROM: SHANGHAI</t>
    <phoneticPr fontId="19" type="noConversion"/>
  </si>
  <si>
    <t>TOTAL</t>
    <phoneticPr fontId="19" type="noConversion"/>
  </si>
  <si>
    <t>DESCRIPTION</t>
  </si>
  <si>
    <t>LOT</t>
    <phoneticPr fontId="20" type="noConversion"/>
  </si>
  <si>
    <t>PACKING LIST</t>
    <phoneticPr fontId="26" type="noConversion"/>
  </si>
  <si>
    <t>YDS</t>
    <phoneticPr fontId="26" type="noConversion"/>
  </si>
  <si>
    <t>KGS</t>
    <phoneticPr fontId="26" type="noConversion"/>
  </si>
  <si>
    <t>N.W</t>
    <phoneticPr fontId="26" type="noConversion"/>
  </si>
  <si>
    <t>COMMERCIAL INVOICE</t>
    <phoneticPr fontId="19" type="noConversion"/>
  </si>
  <si>
    <t>G.W.</t>
    <phoneticPr fontId="26" type="noConversion"/>
  </si>
  <si>
    <t>FU KWOK KNITTING &amp; GARMENT CO., LTD</t>
    <phoneticPr fontId="19" type="noConversion"/>
  </si>
  <si>
    <t>FOR ACCOUNT AND RISK OF MESSRS: 
FU KWOK KNITTING &amp; GARMENT CO., LTD
110, NEI-HUAN SOUTH ROAD, N.E.P.Z. KAOHSIUNG 811 TAIWAN, R.O.C.</t>
    <phoneticPr fontId="20" type="noConversion"/>
  </si>
  <si>
    <t>110, NEI-HUAN SOUTH ROAD, N.E.P.Z. KAOHSIUNG 811 TAIWAN, R.O.C.</t>
    <phoneticPr fontId="26" type="noConversion"/>
  </si>
  <si>
    <t>110, NEI-HUAN SOUTH ROAD, N.E.P.Z. KAOHSIUNG 811 TAIWAN, R.O.C.</t>
    <phoneticPr fontId="19" type="noConversion"/>
  </si>
  <si>
    <t>TOTAL</t>
    <phoneticPr fontId="26" type="noConversion"/>
  </si>
  <si>
    <t>INVOICE NO.: T31922CN</t>
    <phoneticPr fontId="20" type="noConversion"/>
  </si>
  <si>
    <t xml:space="preserve">INVOICE NO.: T31922CN </t>
    <phoneticPr fontId="26" type="noConversion"/>
  </si>
  <si>
    <t xml:space="preserve">CONSIGNEE:
PT. NIRWANA ALABARE GARMENT
JL. RAYA RANCAEKEK-MAJALAYA NO.289 DESA SOLOKAN JERUK,
KECAMATAN SOLOKAN JERUK,KABUPATEN BANDUNG.
JAWA BARAT - INDONESIA
POST CODE:40382
TEL:022-8596 2081
TAX ID:0745 4069 2644 4000		</t>
    <phoneticPr fontId="19" type="noConversion"/>
  </si>
  <si>
    <t>CONSIGNEE:
PT. NIRWANA ALABARE GARMENT
JL. RAYA RANCAEKEK-MAJALAYA NO.289 DESA SOLOKAN JERUK,
KECAMATAN SOLOKAN JERUK,KABUPATEN BANDUNG.
JAWA BARAT - INDONESIA
POST CODE:40382
TEL:022-8596 2081
TAX ID:0745 4069 2644 4000</t>
    <phoneticPr fontId="20" type="noConversion"/>
  </si>
  <si>
    <t>TO: JAKARTA, INDONESIA</t>
    <phoneticPr fontId="20" type="noConversion"/>
  </si>
  <si>
    <t>PI NO.:T31922CN</t>
    <phoneticPr fontId="19" type="noConversion"/>
  </si>
  <si>
    <t>STYLE NO:RI1290/RI70124</t>
    <phoneticPr fontId="19" type="noConversion"/>
  </si>
  <si>
    <t>CABERNET</t>
    <phoneticPr fontId="19" type="noConversion"/>
  </si>
  <si>
    <t>DARK CHOCOLATE</t>
    <phoneticPr fontId="19" type="noConversion"/>
  </si>
  <si>
    <t>DATE: 2026.3.30</t>
    <phoneticPr fontId="20" type="noConversion"/>
  </si>
  <si>
    <t>CABERNET</t>
  </si>
  <si>
    <t>25</t>
    <phoneticPr fontId="26" type="noConversion"/>
  </si>
  <si>
    <t>LOT OF 1</t>
    <phoneticPr fontId="26" type="noConversion"/>
  </si>
  <si>
    <t>DATE: 2026.3.30</t>
    <phoneticPr fontId="26" type="noConversion"/>
  </si>
  <si>
    <t>LOT OF 2</t>
    <phoneticPr fontId="26" type="noConversion"/>
  </si>
  <si>
    <t>10</t>
    <phoneticPr fontId="26" type="noConversion"/>
  </si>
  <si>
    <t>LOT OF 3</t>
    <phoneticPr fontId="26" type="noConversion"/>
  </si>
  <si>
    <t>30</t>
    <phoneticPr fontId="26" type="noConversion"/>
  </si>
  <si>
    <t>LOT OF 4</t>
    <phoneticPr fontId="26" type="noConversion"/>
  </si>
  <si>
    <t>LOT OF 5</t>
    <phoneticPr fontId="26" type="noConversion"/>
  </si>
  <si>
    <t>LOT OF 6</t>
    <phoneticPr fontId="26" type="noConversion"/>
  </si>
  <si>
    <t>LOT OF 7</t>
    <phoneticPr fontId="26" type="noConversion"/>
  </si>
  <si>
    <t>LOT OF 8</t>
    <phoneticPr fontId="26" type="noConversion"/>
  </si>
  <si>
    <t>9</t>
    <phoneticPr fontId="26" type="noConversion"/>
  </si>
  <si>
    <t>CABERNET</t>
    <phoneticPr fontId="26" type="noConversion"/>
  </si>
  <si>
    <t>TOTAL OF CABERNET</t>
    <phoneticPr fontId="26" type="noConversion"/>
  </si>
  <si>
    <t>DARK CHOCOLATE</t>
  </si>
  <si>
    <t>1</t>
    <phoneticPr fontId="26" type="noConversion"/>
  </si>
  <si>
    <t>18</t>
    <phoneticPr fontId="26" type="noConversion"/>
  </si>
  <si>
    <t>2</t>
    <phoneticPr fontId="26" type="noConversion"/>
  </si>
  <si>
    <t>13</t>
    <phoneticPr fontId="26" type="noConversion"/>
  </si>
  <si>
    <t>28</t>
    <phoneticPr fontId="26" type="noConversion"/>
  </si>
  <si>
    <t>27</t>
    <phoneticPr fontId="26" type="noConversion"/>
  </si>
  <si>
    <t>21</t>
    <phoneticPr fontId="26" type="noConversion"/>
  </si>
  <si>
    <t>DARK CHOCOLATE</t>
    <phoneticPr fontId="26" type="noConversion"/>
  </si>
  <si>
    <t>TOTAL OF DARK CHOCOLATE</t>
    <phoneticPr fontId="26" type="noConversion"/>
  </si>
  <si>
    <t>TOTAL Q'TY</t>
    <phoneticPr fontId="26" type="noConversion"/>
  </si>
  <si>
    <t>23</t>
    <phoneticPr fontId="26" type="noConversion"/>
  </si>
  <si>
    <t>ROLL</t>
    <phoneticPr fontId="26" type="noConversion"/>
  </si>
  <si>
    <t>ROLL</t>
    <phoneticPr fontId="20" type="noConversion"/>
  </si>
  <si>
    <t>ITEM:P8109 - 95% Polyester 5% Elastane</t>
  </si>
  <si>
    <t xml:space="preserve">KNITTED FABRIC </t>
    <phoneticPr fontId="19" type="noConversion"/>
  </si>
  <si>
    <t>HS CODE:6006.32</t>
    <phoneticPr fontId="19" type="noConversion"/>
  </si>
  <si>
    <t>PO NO.:5KBDYE32/E34A01</t>
    <phoneticPr fontId="19" type="noConversion"/>
  </si>
  <si>
    <t>SAY TOTAL US DOLLARS THIRTY TWO THOUSAND THREE HUNDRED NINE AND CENTS ELEVEN ONLY.</t>
    <phoneticPr fontId="19" type="noConversion"/>
  </si>
  <si>
    <t>BEYOND YOGA F26-BULK</t>
    <phoneticPr fontId="19" type="noConversion"/>
  </si>
  <si>
    <t>WIDTH: 63" X 330G/M2</t>
    <phoneticPr fontId="19" type="noConversion"/>
  </si>
  <si>
    <t>TERMS OF PRICE : FOB SHANGHAI, CHINA
PI:T31922CN 
PO NO.:SKBDYE32/E34A01
STYLE NO:RI1290/RI70124
ITEM:P8109 - 95% Polyester 5% Elastane
WIDTH: 63" X 330G/M2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</si>
</sst>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;[Red]0.00"/>
    <numFmt numFmtId="177" formatCode="0.00_);[Red]\(0.00\)"/>
    <numFmt numFmtId="178" formatCode="#,##0.00_ "/>
    <numFmt numFmtId="179" formatCode="0.00_ "/>
    <numFmt numFmtId="180" formatCode="#,##0.00;[Red]#,##0.00"/>
    <numFmt numFmtId="181" formatCode="#,##0.0_);[Red]\(#,##0.0\)"/>
    <numFmt numFmtId="182" formatCode="0.0;[Red]0.0"/>
    <numFmt numFmtId="183" formatCode="0;[Red]0"/>
  </numFmts>
  <fonts count="41">
    <font>
      <sz val="12"/>
      <name val="宋体"/>
      <family val="3"/>
      <charset val="134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65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</font>
    <font>
      <sz val="11"/>
      <name val="Calibri"/>
      <family val="2"/>
    </font>
    <font>
      <sz val="11"/>
      <color indexed="8"/>
      <name val="Calibri"/>
      <family val="2"/>
    </font>
    <font>
      <u/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9"/>
      <name val="細明體"/>
      <family val="3"/>
      <charset val="136"/>
    </font>
    <font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sz val="22"/>
      <name val="Calibri"/>
      <family val="2"/>
    </font>
    <font>
      <sz val="11"/>
      <color theme="1"/>
      <name val="新細明體"/>
      <family val="3"/>
      <charset val="134"/>
      <scheme val="minor"/>
    </font>
    <font>
      <sz val="11"/>
      <name val="宋体"/>
      <family val="3"/>
      <charset val="134"/>
    </font>
    <font>
      <b/>
      <sz val="12"/>
      <color indexed="8"/>
      <name val="Calibri"/>
      <family val="2"/>
    </font>
    <font>
      <sz val="10"/>
      <color theme="1"/>
      <name val="細明體"/>
      <family val="3"/>
      <charset val="136"/>
    </font>
    <font>
      <sz val="10"/>
      <name val="細明體"/>
      <family val="3"/>
      <charset val="136"/>
    </font>
    <font>
      <sz val="10"/>
      <color theme="1"/>
      <name val="Calibri"/>
      <family val="2"/>
    </font>
    <font>
      <sz val="12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34" fillId="0" borderId="0">
      <alignment vertical="center"/>
    </xf>
  </cellStyleXfs>
  <cellXfs count="150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0" borderId="0" xfId="0" applyFont="1" applyAlignment="1"/>
    <xf numFmtId="0" fontId="21" fillId="0" borderId="0" xfId="42" applyFont="1" applyAlignment="1">
      <alignment horizontal="center" vertical="center"/>
    </xf>
    <xf numFmtId="176" fontId="21" fillId="0" borderId="0" xfId="0" applyNumberFormat="1" applyFont="1" applyAlignment="1">
      <alignment horizontal="right"/>
    </xf>
    <xf numFmtId="0" fontId="27" fillId="0" borderId="0" xfId="0" applyFont="1">
      <alignment vertical="center"/>
    </xf>
    <xf numFmtId="176" fontId="24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8" fillId="0" borderId="0" xfId="0" applyFont="1" applyAlignment="1"/>
    <xf numFmtId="176" fontId="29" fillId="0" borderId="0" xfId="42" applyNumberFormat="1" applyFont="1" applyAlignment="1">
      <alignment horizontal="right"/>
    </xf>
    <xf numFmtId="176" fontId="29" fillId="0" borderId="0" xfId="42" applyNumberFormat="1" applyFont="1" applyAlignment="1">
      <alignment horizontal="left"/>
    </xf>
    <xf numFmtId="176" fontId="29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/>
    <xf numFmtId="49" fontId="28" fillId="0" borderId="0" xfId="0" applyNumberFormat="1" applyFont="1" applyAlignment="1">
      <alignment horizontal="right"/>
    </xf>
    <xf numFmtId="176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right" vertical="center"/>
    </xf>
    <xf numFmtId="0" fontId="33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9" fillId="0" borderId="0" xfId="42" applyFont="1" applyAlignment="1">
      <alignment horizontal="left"/>
    </xf>
    <xf numFmtId="0" fontId="24" fillId="0" borderId="0" xfId="42" applyFont="1" applyAlignment="1">
      <alignment horizontal="center" vertical="center"/>
    </xf>
    <xf numFmtId="0" fontId="24" fillId="0" borderId="0" xfId="42" applyFont="1">
      <alignment vertical="center"/>
    </xf>
    <xf numFmtId="0" fontId="21" fillId="0" borderId="0" xfId="0" applyFont="1" applyAlignment="1">
      <alignment horizontal="left" vertical="center"/>
    </xf>
    <xf numFmtId="0" fontId="21" fillId="0" borderId="10" xfId="0" applyFont="1" applyBorder="1">
      <alignment vertical="center"/>
    </xf>
    <xf numFmtId="0" fontId="21" fillId="0" borderId="10" xfId="0" applyFont="1" applyBorder="1" applyAlignment="1">
      <alignment horizontal="center" vertical="center"/>
    </xf>
    <xf numFmtId="181" fontId="27" fillId="0" borderId="0" xfId="0" applyNumberFormat="1" applyFont="1" applyAlignment="1">
      <alignment horizontal="center"/>
    </xf>
    <xf numFmtId="0" fontId="24" fillId="0" borderId="13" xfId="42" applyFont="1" applyBorder="1">
      <alignment vertical="center"/>
    </xf>
    <xf numFmtId="0" fontId="30" fillId="0" borderId="14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 wrapText="1"/>
    </xf>
    <xf numFmtId="181" fontId="30" fillId="0" borderId="14" xfId="0" applyNumberFormat="1" applyFont="1" applyBorder="1" applyAlignment="1">
      <alignment horizontal="center" vertical="center" wrapText="1"/>
    </xf>
    <xf numFmtId="0" fontId="30" fillId="34" borderId="16" xfId="0" applyFont="1" applyFill="1" applyBorder="1" applyAlignment="1">
      <alignment horizontal="center" vertical="center"/>
    </xf>
    <xf numFmtId="49" fontId="30" fillId="34" borderId="16" xfId="43" applyNumberFormat="1" applyFont="1" applyFill="1" applyBorder="1" applyAlignment="1">
      <alignment horizontal="center" vertical="center"/>
    </xf>
    <xf numFmtId="176" fontId="30" fillId="34" borderId="16" xfId="43" applyNumberFormat="1" applyFont="1" applyFill="1" applyBorder="1" applyAlignment="1">
      <alignment horizontal="center" vertical="center"/>
    </xf>
    <xf numFmtId="0" fontId="21" fillId="0" borderId="0" xfId="42" applyFont="1" applyAlignment="1">
      <alignment horizontal="left" vertical="center"/>
    </xf>
    <xf numFmtId="0" fontId="21" fillId="0" borderId="0" xfId="0" applyFont="1" applyAlignment="1">
      <alignment horizontal="right" vertical="center" wrapText="1"/>
    </xf>
    <xf numFmtId="176" fontId="21" fillId="0" borderId="0" xfId="42" applyNumberFormat="1" applyFont="1" applyAlignment="1">
      <alignment horizontal="left"/>
    </xf>
    <xf numFmtId="176" fontId="21" fillId="0" borderId="0" xfId="42" applyNumberFormat="1" applyFont="1" applyAlignment="1">
      <alignment horizontal="right"/>
    </xf>
    <xf numFmtId="177" fontId="22" fillId="0" borderId="0" xfId="42" applyNumberFormat="1" applyFont="1" applyAlignment="1"/>
    <xf numFmtId="176" fontId="21" fillId="0" borderId="0" xfId="42" applyNumberFormat="1" applyFont="1" applyAlignment="1"/>
    <xf numFmtId="9" fontId="21" fillId="0" borderId="0" xfId="0" applyNumberFormat="1" applyFont="1">
      <alignment vertical="center"/>
    </xf>
    <xf numFmtId="176" fontId="21" fillId="0" borderId="0" xfId="0" applyNumberFormat="1" applyFont="1" applyAlignment="1">
      <alignment horizontal="right" vertical="center"/>
    </xf>
    <xf numFmtId="176" fontId="21" fillId="0" borderId="0" xfId="42" applyNumberFormat="1" applyFont="1" applyAlignment="1">
      <alignment horizontal="right" vertical="center"/>
    </xf>
    <xf numFmtId="176" fontId="22" fillId="0" borderId="0" xfId="42" applyNumberFormat="1" applyFont="1" applyAlignment="1">
      <alignment horizontal="right" vertical="center"/>
    </xf>
    <xf numFmtId="0" fontId="24" fillId="0" borderId="0" xfId="0" applyFont="1" applyAlignment="1">
      <alignment vertical="center" wrapText="1"/>
    </xf>
    <xf numFmtId="180" fontId="21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36" fillId="33" borderId="16" xfId="0" applyFont="1" applyFill="1" applyBorder="1" applyAlignment="1">
      <alignment horizontal="center" vertical="center" wrapText="1"/>
    </xf>
    <xf numFmtId="177" fontId="21" fillId="0" borderId="0" xfId="42" applyNumberFormat="1" applyFont="1" applyAlignment="1">
      <alignment horizontal="center" vertical="center"/>
    </xf>
    <xf numFmtId="0" fontId="23" fillId="0" borderId="0" xfId="0" applyFont="1">
      <alignment vertical="center"/>
    </xf>
    <xf numFmtId="0" fontId="21" fillId="0" borderId="11" xfId="42" applyFont="1" applyBorder="1" applyAlignment="1">
      <alignment horizontal="center" vertical="center"/>
    </xf>
    <xf numFmtId="182" fontId="30" fillId="34" borderId="16" xfId="43" applyNumberFormat="1" applyFont="1" applyFill="1" applyBorder="1" applyAlignment="1">
      <alignment horizontal="center" vertical="center"/>
    </xf>
    <xf numFmtId="177" fontId="24" fillId="0" borderId="13" xfId="42" applyNumberFormat="1" applyFont="1" applyBorder="1" applyAlignment="1">
      <alignment horizontal="center" vertical="center"/>
    </xf>
    <xf numFmtId="182" fontId="21" fillId="0" borderId="0" xfId="0" applyNumberFormat="1" applyFont="1" applyAlignment="1">
      <alignment horizontal="center" vertical="center"/>
    </xf>
    <xf numFmtId="0" fontId="35" fillId="34" borderId="13" xfId="0" applyFont="1" applyFill="1" applyBorder="1" applyAlignment="1">
      <alignment horizontal="center" vertical="center"/>
    </xf>
    <xf numFmtId="0" fontId="38" fillId="0" borderId="0" xfId="0" applyFont="1" applyAlignment="1">
      <alignment horizontal="left"/>
    </xf>
    <xf numFmtId="49" fontId="38" fillId="0" borderId="0" xfId="0" applyNumberFormat="1" applyFont="1" applyAlignment="1"/>
    <xf numFmtId="0" fontId="38" fillId="0" borderId="0" xfId="0" applyFont="1" applyAlignment="1"/>
    <xf numFmtId="182" fontId="24" fillId="0" borderId="13" xfId="0" applyNumberFormat="1" applyFont="1" applyBorder="1" applyAlignment="1">
      <alignment horizontal="center" vertical="center"/>
    </xf>
    <xf numFmtId="0" fontId="21" fillId="0" borderId="16" xfId="42" applyFont="1" applyBorder="1" applyAlignment="1">
      <alignment horizontal="center" vertical="center"/>
    </xf>
    <xf numFmtId="176" fontId="24" fillId="0" borderId="13" xfId="42" applyNumberFormat="1" applyFont="1" applyBorder="1" applyAlignment="1">
      <alignment horizontal="center" vertical="center"/>
    </xf>
    <xf numFmtId="176" fontId="22" fillId="0" borderId="0" xfId="42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76" fontId="21" fillId="0" borderId="0" xfId="0" applyNumberFormat="1" applyFont="1" applyAlignment="1">
      <alignment horizontal="left"/>
    </xf>
    <xf numFmtId="177" fontId="22" fillId="0" borderId="0" xfId="42" applyNumberFormat="1" applyFont="1" applyAlignment="1">
      <alignment horizontal="left"/>
    </xf>
    <xf numFmtId="176" fontId="21" fillId="0" borderId="0" xfId="42" applyNumberFormat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8" fontId="38" fillId="0" borderId="0" xfId="0" applyNumberFormat="1" applyFont="1" applyAlignment="1">
      <alignment horizontal="left"/>
    </xf>
    <xf numFmtId="49" fontId="38" fillId="0" borderId="0" xfId="0" applyNumberFormat="1" applyFont="1" applyAlignment="1">
      <alignment horizontal="left"/>
    </xf>
    <xf numFmtId="0" fontId="24" fillId="0" borderId="0" xfId="0" applyFont="1" applyAlignment="1">
      <alignment horizontal="left" vertical="center"/>
    </xf>
    <xf numFmtId="176" fontId="24" fillId="0" borderId="0" xfId="0" applyNumberFormat="1" applyFont="1" applyAlignment="1">
      <alignment horizontal="left" vertical="center"/>
    </xf>
    <xf numFmtId="183" fontId="29" fillId="0" borderId="0" xfId="42" applyNumberFormat="1" applyFont="1" applyAlignment="1">
      <alignment horizontal="left"/>
    </xf>
    <xf numFmtId="49" fontId="21" fillId="0" borderId="0" xfId="0" applyNumberFormat="1" applyFont="1" applyAlignment="1">
      <alignment horizontal="left"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28" fillId="0" borderId="0" xfId="0" applyFont="1" applyAlignment="1">
      <alignment horizontal="left"/>
    </xf>
    <xf numFmtId="178" fontId="28" fillId="0" borderId="0" xfId="0" applyNumberFormat="1" applyFont="1" applyAlignment="1">
      <alignment horizontal="right"/>
    </xf>
    <xf numFmtId="49" fontId="28" fillId="0" borderId="0" xfId="0" applyNumberFormat="1" applyFont="1">
      <alignment vertical="center"/>
    </xf>
    <xf numFmtId="49" fontId="28" fillId="0" borderId="0" xfId="0" applyNumberFormat="1" applyFont="1" applyAlignment="1">
      <alignment horizontal="right" vertical="center"/>
    </xf>
    <xf numFmtId="0" fontId="28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183" fontId="24" fillId="34" borderId="13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176" fontId="21" fillId="0" borderId="0" xfId="42" applyNumberFormat="1" applyFont="1" applyAlignment="1">
      <alignment horizontal="center" vertical="center"/>
    </xf>
    <xf numFmtId="176" fontId="25" fillId="0" borderId="13" xfId="42" applyNumberFormat="1" applyFont="1" applyBorder="1" applyAlignment="1">
      <alignment horizontal="center" vertical="center"/>
    </xf>
    <xf numFmtId="0" fontId="22" fillId="34" borderId="0" xfId="42" applyFont="1" applyFill="1" applyAlignment="1">
      <alignment horizontal="center" vertical="center"/>
    </xf>
    <xf numFmtId="0" fontId="21" fillId="34" borderId="0" xfId="0" applyFont="1" applyFill="1" applyAlignment="1"/>
    <xf numFmtId="0" fontId="21" fillId="34" borderId="0" xfId="0" applyFont="1" applyFill="1">
      <alignment vertical="center"/>
    </xf>
    <xf numFmtId="176" fontId="21" fillId="34" borderId="0" xfId="0" applyNumberFormat="1" applyFont="1" applyFill="1" applyAlignment="1">
      <alignment horizontal="right"/>
    </xf>
    <xf numFmtId="49" fontId="21" fillId="0" borderId="17" xfId="0" applyNumberFormat="1" applyFont="1" applyBorder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0" fontId="21" fillId="34" borderId="0" xfId="0" applyFont="1" applyFill="1" applyAlignment="1">
      <alignment horizontal="left" vertical="center"/>
    </xf>
    <xf numFmtId="0" fontId="21" fillId="34" borderId="0" xfId="0" applyFont="1" applyFill="1" applyAlignment="1">
      <alignment horizontal="center" vertical="center"/>
    </xf>
    <xf numFmtId="0" fontId="23" fillId="34" borderId="0" xfId="0" applyFont="1" applyFill="1">
      <alignment vertical="center"/>
    </xf>
    <xf numFmtId="0" fontId="23" fillId="34" borderId="0" xfId="0" applyFont="1" applyFill="1" applyAlignment="1">
      <alignment horizontal="left" vertical="center"/>
    </xf>
    <xf numFmtId="0" fontId="27" fillId="34" borderId="0" xfId="0" applyFont="1" applyFill="1" applyAlignment="1">
      <alignment horizontal="center"/>
    </xf>
    <xf numFmtId="183" fontId="30" fillId="34" borderId="16" xfId="43" applyNumberFormat="1" applyFont="1" applyFill="1" applyBorder="1" applyAlignment="1">
      <alignment horizontal="center" vertical="center"/>
    </xf>
    <xf numFmtId="0" fontId="27" fillId="34" borderId="0" xfId="0" applyFont="1" applyFill="1">
      <alignment vertical="center"/>
    </xf>
    <xf numFmtId="9" fontId="24" fillId="34" borderId="0" xfId="0" applyNumberFormat="1" applyFont="1" applyFill="1" applyAlignment="1">
      <alignment horizontal="left" vertical="center"/>
    </xf>
    <xf numFmtId="9" fontId="21" fillId="34" borderId="0" xfId="0" applyNumberFormat="1" applyFont="1" applyFill="1">
      <alignment vertical="center"/>
    </xf>
    <xf numFmtId="180" fontId="21" fillId="34" borderId="0" xfId="0" applyNumberFormat="1" applyFont="1" applyFill="1" applyAlignment="1">
      <alignment horizontal="right" vertical="center"/>
    </xf>
    <xf numFmtId="176" fontId="21" fillId="34" borderId="0" xfId="42" applyNumberFormat="1" applyFont="1" applyFill="1" applyAlignment="1">
      <alignment horizontal="right" vertical="center"/>
    </xf>
    <xf numFmtId="176" fontId="22" fillId="34" borderId="0" xfId="42" applyNumberFormat="1" applyFont="1" applyFill="1" applyAlignment="1">
      <alignment horizontal="right" vertical="center"/>
    </xf>
    <xf numFmtId="177" fontId="21" fillId="34" borderId="0" xfId="42" applyNumberFormat="1" applyFont="1" applyFill="1" applyAlignment="1">
      <alignment horizontal="center" vertical="center"/>
    </xf>
    <xf numFmtId="0" fontId="30" fillId="36" borderId="16" xfId="0" applyFont="1" applyFill="1" applyBorder="1" applyAlignment="1">
      <alignment horizontal="center" vertical="center"/>
    </xf>
    <xf numFmtId="49" fontId="30" fillId="36" borderId="16" xfId="43" applyNumberFormat="1" applyFont="1" applyFill="1" applyBorder="1" applyAlignment="1">
      <alignment horizontal="center" vertical="center"/>
    </xf>
    <xf numFmtId="176" fontId="30" fillId="36" borderId="16" xfId="43" applyNumberFormat="1" applyFont="1" applyFill="1" applyBorder="1" applyAlignment="1">
      <alignment horizontal="center" vertical="center"/>
    </xf>
    <xf numFmtId="182" fontId="30" fillId="36" borderId="16" xfId="43" applyNumberFormat="1" applyFont="1" applyFill="1" applyBorder="1" applyAlignment="1">
      <alignment horizontal="center" vertical="center"/>
    </xf>
    <xf numFmtId="0" fontId="30" fillId="37" borderId="16" xfId="0" applyFont="1" applyFill="1" applyBorder="1" applyAlignment="1">
      <alignment horizontal="center" vertical="center"/>
    </xf>
    <xf numFmtId="49" fontId="30" fillId="37" borderId="16" xfId="43" applyNumberFormat="1" applyFont="1" applyFill="1" applyBorder="1" applyAlignment="1">
      <alignment horizontal="center" vertical="center"/>
    </xf>
    <xf numFmtId="183" fontId="30" fillId="37" borderId="16" xfId="43" applyNumberFormat="1" applyFont="1" applyFill="1" applyBorder="1" applyAlignment="1">
      <alignment horizontal="center" vertical="center"/>
    </xf>
    <xf numFmtId="176" fontId="30" fillId="37" borderId="16" xfId="43" applyNumberFormat="1" applyFont="1" applyFill="1" applyBorder="1" applyAlignment="1">
      <alignment horizontal="center" vertical="center"/>
    </xf>
    <xf numFmtId="182" fontId="30" fillId="37" borderId="16" xfId="43" applyNumberFormat="1" applyFont="1" applyFill="1" applyBorder="1" applyAlignment="1">
      <alignment horizontal="center" vertical="center"/>
    </xf>
    <xf numFmtId="0" fontId="30" fillId="35" borderId="16" xfId="0" applyFont="1" applyFill="1" applyBorder="1" applyAlignment="1">
      <alignment horizontal="center" vertical="center"/>
    </xf>
    <xf numFmtId="49" fontId="30" fillId="35" borderId="16" xfId="43" applyNumberFormat="1" applyFont="1" applyFill="1" applyBorder="1" applyAlignment="1">
      <alignment horizontal="center" vertical="center"/>
    </xf>
    <xf numFmtId="176" fontId="30" fillId="35" borderId="16" xfId="43" applyNumberFormat="1" applyFont="1" applyFill="1" applyBorder="1" applyAlignment="1">
      <alignment horizontal="center" vertical="center"/>
    </xf>
    <xf numFmtId="182" fontId="30" fillId="35" borderId="16" xfId="43" applyNumberFormat="1" applyFont="1" applyFill="1" applyBorder="1" applyAlignment="1">
      <alignment horizontal="center" vertical="center"/>
    </xf>
    <xf numFmtId="183" fontId="30" fillId="35" borderId="16" xfId="43" applyNumberFormat="1" applyFont="1" applyFill="1" applyBorder="1" applyAlignment="1">
      <alignment horizontal="center" vertical="center"/>
    </xf>
    <xf numFmtId="0" fontId="21" fillId="34" borderId="0" xfId="0" applyFont="1" applyFill="1" applyAlignment="1">
      <alignment horizontal="left" vertical="center" wrapText="1"/>
    </xf>
    <xf numFmtId="0" fontId="21" fillId="0" borderId="12" xfId="42" applyFont="1" applyBorder="1" applyAlignment="1">
      <alignment horizontal="center" vertical="center"/>
    </xf>
    <xf numFmtId="0" fontId="21" fillId="0" borderId="15" xfId="42" applyFont="1" applyBorder="1" applyAlignment="1">
      <alignment horizontal="center" vertical="center"/>
    </xf>
    <xf numFmtId="0" fontId="21" fillId="0" borderId="11" xfId="42" applyFont="1" applyBorder="1" applyAlignment="1">
      <alignment horizontal="center" vertical="center"/>
    </xf>
    <xf numFmtId="0" fontId="31" fillId="0" borderId="0" xfId="42" applyFont="1" applyAlignment="1">
      <alignment horizontal="center"/>
    </xf>
    <xf numFmtId="0" fontId="24" fillId="0" borderId="0" xfId="42" applyFont="1" applyAlignment="1">
      <alignment horizontal="center"/>
    </xf>
    <xf numFmtId="0" fontId="31" fillId="0" borderId="0" xfId="42" applyFont="1" applyAlignment="1">
      <alignment horizontal="center" vertical="center"/>
    </xf>
    <xf numFmtId="0" fontId="22" fillId="0" borderId="0" xfId="42" applyFont="1" applyAlignment="1">
      <alignment horizontal="center" vertical="center" wrapText="1"/>
    </xf>
    <xf numFmtId="0" fontId="22" fillId="34" borderId="0" xfId="42" applyFont="1" applyFill="1" applyAlignment="1">
      <alignment horizontal="center" vertical="center"/>
    </xf>
    <xf numFmtId="176" fontId="24" fillId="0" borderId="13" xfId="42" applyNumberFormat="1" applyFont="1" applyBorder="1" applyAlignment="1">
      <alignment horizontal="center" vertical="center"/>
    </xf>
    <xf numFmtId="0" fontId="21" fillId="0" borderId="12" xfId="42" applyFont="1" applyBorder="1" applyAlignment="1">
      <alignment horizontal="center" vertical="center" wrapText="1"/>
    </xf>
    <xf numFmtId="176" fontId="21" fillId="0" borderId="0" xfId="42" applyNumberFormat="1" applyFont="1" applyAlignment="1">
      <alignment horizontal="center" vertical="center"/>
    </xf>
    <xf numFmtId="0" fontId="36" fillId="33" borderId="15" xfId="0" applyFont="1" applyFill="1" applyBorder="1" applyAlignment="1">
      <alignment horizontal="left" vertical="center" wrapText="1"/>
    </xf>
    <xf numFmtId="0" fontId="36" fillId="33" borderId="11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center" vertical="center"/>
    </xf>
    <xf numFmtId="179" fontId="32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179" fontId="28" fillId="0" borderId="0" xfId="0" applyNumberFormat="1" applyFont="1" applyAlignment="1">
      <alignment horizontal="center"/>
    </xf>
    <xf numFmtId="0" fontId="32" fillId="0" borderId="0" xfId="0" applyFont="1" applyAlignment="1">
      <alignment horizontal="center" vertical="center" wrapText="1"/>
    </xf>
    <xf numFmtId="179" fontId="32" fillId="0" borderId="0" xfId="0" applyNumberFormat="1" applyFont="1" applyAlignment="1">
      <alignment horizontal="center" vertical="center" wrapText="1"/>
    </xf>
    <xf numFmtId="0" fontId="25" fillId="33" borderId="12" xfId="0" applyFont="1" applyFill="1" applyBorder="1" applyAlignment="1">
      <alignment horizontal="left" vertical="center" wrapText="1"/>
    </xf>
    <xf numFmtId="0" fontId="25" fillId="33" borderId="15" xfId="0" applyFont="1" applyFill="1" applyBorder="1" applyAlignment="1">
      <alignment horizontal="left" vertical="center" wrapText="1"/>
    </xf>
    <xf numFmtId="0" fontId="25" fillId="33" borderId="11" xfId="0" applyFont="1" applyFill="1" applyBorder="1" applyAlignment="1">
      <alignment horizontal="left" vertical="center" wrapText="1"/>
    </xf>
    <xf numFmtId="0" fontId="25" fillId="34" borderId="14" xfId="0" applyFont="1" applyFill="1" applyBorder="1" applyAlignment="1">
      <alignment horizontal="left" vertical="center" wrapText="1"/>
    </xf>
    <xf numFmtId="0" fontId="25" fillId="34" borderId="16" xfId="0" applyFont="1" applyFill="1" applyBorder="1" applyAlignment="1">
      <alignment horizontal="left" vertical="center" wrapText="1"/>
    </xf>
    <xf numFmtId="181" fontId="30" fillId="0" borderId="0" xfId="0" applyNumberFormat="1" applyFont="1" applyAlignment="1">
      <alignment horizontal="center" vertical="center" wrapText="1"/>
    </xf>
    <xf numFmtId="181" fontId="30" fillId="34" borderId="10" xfId="0" applyNumberFormat="1" applyFont="1" applyFill="1" applyBorder="1" applyAlignment="1">
      <alignment horizontal="center" vertical="center" wrapText="1"/>
    </xf>
  </cellXfs>
  <cellStyles count="44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 customBuiltin="1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常规 4" xfId="43" xr:uid="{00000000-0005-0000-0000-000018000000}"/>
    <cellStyle name="常规_4THCAM" xfId="42" xr:uid="{00000000-0005-0000-0000-000019000000}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10" zoomScaleNormal="100" zoomScaleSheetLayoutView="100" workbookViewId="0">
      <selection activeCell="B16" sqref="B16"/>
    </sheetView>
  </sheetViews>
  <sheetFormatPr defaultColWidth="9" defaultRowHeight="18" customHeight="1"/>
  <cols>
    <col min="1" max="1" width="17.5" style="5" customWidth="1"/>
    <col min="2" max="2" width="26.875" style="5" customWidth="1"/>
    <col min="3" max="3" width="5.625" style="5" customWidth="1"/>
    <col min="4" max="4" width="11.625" style="17" customWidth="1"/>
    <col min="5" max="5" width="5.875" style="5" customWidth="1"/>
    <col min="6" max="6" width="6" style="5" customWidth="1"/>
    <col min="7" max="7" width="7.5" style="5" customWidth="1"/>
    <col min="8" max="8" width="5.75" style="5" customWidth="1"/>
    <col min="9" max="9" width="8.625" style="5" customWidth="1"/>
    <col min="10" max="10" width="14" style="5" customWidth="1"/>
    <col min="11" max="16384" width="9" style="5"/>
  </cols>
  <sheetData>
    <row r="1" spans="1:12" ht="18" customHeight="1">
      <c r="A1" s="127" t="s">
        <v>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2" ht="18" customHeight="1">
      <c r="A2" s="128" t="s">
        <v>12</v>
      </c>
      <c r="B2" s="128"/>
      <c r="C2" s="128"/>
      <c r="D2" s="128"/>
      <c r="E2" s="128"/>
      <c r="F2" s="128"/>
      <c r="G2" s="128"/>
      <c r="H2" s="128"/>
      <c r="I2" s="128"/>
      <c r="J2" s="128"/>
      <c r="K2" s="1"/>
      <c r="L2" s="1"/>
    </row>
    <row r="3" spans="1:12" ht="18" customHeight="1">
      <c r="A3" s="129" t="s">
        <v>28</v>
      </c>
      <c r="B3" s="129"/>
      <c r="C3" s="129"/>
      <c r="D3" s="129"/>
      <c r="E3" s="129"/>
      <c r="F3" s="129"/>
      <c r="G3" s="129"/>
      <c r="H3" s="129"/>
      <c r="I3" s="129"/>
      <c r="J3" s="129"/>
      <c r="K3" s="1"/>
      <c r="L3" s="1"/>
    </row>
    <row r="4" spans="1:12" s="1" customFormat="1" ht="34.700000000000003" customHeight="1">
      <c r="A4" s="1" t="s">
        <v>11</v>
      </c>
      <c r="B4" s="2"/>
      <c r="C4" s="3"/>
      <c r="D4" s="4"/>
      <c r="E4" s="2"/>
      <c r="F4" s="130" t="s">
        <v>35</v>
      </c>
      <c r="G4" s="130"/>
      <c r="H4" s="130"/>
      <c r="I4" s="130"/>
      <c r="J4" s="130"/>
    </row>
    <row r="5" spans="1:12" s="1" customFormat="1" ht="25.35" customHeight="1">
      <c r="A5" s="1" t="s">
        <v>30</v>
      </c>
      <c r="B5" s="2"/>
      <c r="D5" s="4"/>
      <c r="E5" s="2"/>
      <c r="F5" s="131" t="s">
        <v>44</v>
      </c>
      <c r="G5" s="131"/>
      <c r="H5" s="131"/>
      <c r="I5" s="131"/>
      <c r="J5" s="131"/>
    </row>
    <row r="6" spans="1:12" s="92" customFormat="1" ht="25.35" customHeight="1">
      <c r="A6" s="92" t="s">
        <v>33</v>
      </c>
      <c r="B6" s="91"/>
      <c r="D6" s="93"/>
      <c r="E6" s="91"/>
      <c r="G6" s="90"/>
      <c r="H6" s="90"/>
      <c r="I6" s="90"/>
      <c r="J6" s="90"/>
    </row>
    <row r="7" spans="1:12" s="2" customFormat="1" ht="63.6" customHeight="1">
      <c r="A7" s="123" t="s">
        <v>37</v>
      </c>
      <c r="B7" s="123"/>
      <c r="C7" s="123"/>
      <c r="D7" s="123"/>
      <c r="E7" s="123"/>
      <c r="F7" s="123"/>
      <c r="G7" s="123"/>
      <c r="H7" s="123"/>
      <c r="I7" s="123"/>
      <c r="J7" s="123"/>
    </row>
    <row r="8" spans="1:12" s="2" customFormat="1" ht="63.6" customHeight="1">
      <c r="A8" s="123"/>
      <c r="B8" s="123"/>
      <c r="C8" s="123"/>
      <c r="D8" s="123"/>
      <c r="E8" s="123"/>
      <c r="F8" s="123"/>
      <c r="G8" s="123"/>
      <c r="H8" s="123"/>
      <c r="I8" s="123"/>
      <c r="J8" s="123"/>
    </row>
    <row r="9" spans="1:12" s="1" customFormat="1" ht="23.25" customHeight="1">
      <c r="A9" s="53" t="s">
        <v>20</v>
      </c>
      <c r="D9" s="43"/>
      <c r="G9" s="98" t="s">
        <v>39</v>
      </c>
      <c r="H9" s="96"/>
      <c r="I9" s="92"/>
      <c r="J9" s="97"/>
    </row>
    <row r="10" spans="1:12" s="1" customFormat="1" ht="18" customHeight="1">
      <c r="A10" s="2"/>
      <c r="B10" s="2"/>
      <c r="D10" s="4"/>
      <c r="E10" s="2"/>
      <c r="H10" s="25"/>
      <c r="I10" s="26"/>
      <c r="J10" s="27"/>
    </row>
    <row r="11" spans="1:12" ht="18" customHeight="1">
      <c r="A11" s="54" t="s">
        <v>0</v>
      </c>
      <c r="B11" s="124" t="s">
        <v>1</v>
      </c>
      <c r="C11" s="126"/>
      <c r="D11" s="124" t="s">
        <v>2</v>
      </c>
      <c r="E11" s="126"/>
      <c r="F11" s="124" t="s">
        <v>3</v>
      </c>
      <c r="G11" s="125"/>
      <c r="H11" s="126"/>
      <c r="I11" s="124" t="s">
        <v>4</v>
      </c>
      <c r="J11" s="125"/>
      <c r="K11" s="1"/>
      <c r="L11" s="1"/>
    </row>
    <row r="12" spans="1:12" ht="22.5" customHeight="1">
      <c r="B12" s="1" t="s">
        <v>76</v>
      </c>
      <c r="C12" s="37"/>
      <c r="D12" s="1"/>
      <c r="E12" s="4"/>
      <c r="F12" s="38"/>
      <c r="G12" s="39"/>
      <c r="H12" s="40"/>
      <c r="I12" s="41"/>
      <c r="J12" s="44"/>
    </row>
    <row r="13" spans="1:12" ht="22.5" customHeight="1">
      <c r="B13" s="1" t="s">
        <v>80</v>
      </c>
      <c r="C13" s="37"/>
      <c r="D13" s="1"/>
      <c r="E13" s="4"/>
      <c r="F13" s="38"/>
      <c r="G13" s="39"/>
      <c r="H13" s="40"/>
      <c r="I13" s="41"/>
      <c r="J13" s="44"/>
    </row>
    <row r="14" spans="1:12" ht="22.5" customHeight="1">
      <c r="A14" s="36"/>
      <c r="B14" s="46" t="s">
        <v>40</v>
      </c>
      <c r="C14" s="87"/>
      <c r="D14" s="43"/>
      <c r="E14" s="44"/>
      <c r="F14" s="44"/>
      <c r="G14" s="45"/>
      <c r="H14" s="44"/>
      <c r="I14" s="44"/>
      <c r="J14" s="52"/>
    </row>
    <row r="15" spans="1:12" ht="22.5" customHeight="1">
      <c r="A15" s="36"/>
      <c r="B15" s="42" t="s">
        <v>75</v>
      </c>
      <c r="C15" s="1"/>
      <c r="D15" s="4"/>
      <c r="E15" s="38"/>
      <c r="F15" s="39"/>
      <c r="G15" s="40"/>
      <c r="H15" s="41"/>
      <c r="I15" s="39"/>
      <c r="J15" s="44"/>
    </row>
    <row r="16" spans="1:12" ht="22.5" customHeight="1">
      <c r="A16" s="36"/>
      <c r="B16" s="48" t="s">
        <v>81</v>
      </c>
      <c r="C16" s="42"/>
      <c r="D16" s="47"/>
      <c r="E16" s="44"/>
      <c r="F16" s="44"/>
      <c r="G16" s="45"/>
      <c r="H16" s="44"/>
      <c r="I16" s="44"/>
      <c r="J16" s="52"/>
    </row>
    <row r="17" spans="1:10" ht="22.5" customHeight="1">
      <c r="B17" s="103" t="s">
        <v>77</v>
      </c>
      <c r="C17" s="42"/>
      <c r="D17" s="47"/>
      <c r="E17" s="44"/>
      <c r="F17" s="44"/>
      <c r="G17" s="45"/>
      <c r="H17" s="44"/>
      <c r="I17" s="44"/>
      <c r="J17" s="52"/>
    </row>
    <row r="18" spans="1:10" s="102" customFormat="1" ht="22.5" customHeight="1">
      <c r="B18" s="103" t="s">
        <v>78</v>
      </c>
      <c r="C18" s="104"/>
      <c r="D18" s="105"/>
      <c r="E18" s="106"/>
      <c r="F18" s="106"/>
      <c r="G18" s="107"/>
      <c r="H18" s="106"/>
      <c r="I18" s="106"/>
      <c r="J18" s="108"/>
    </row>
    <row r="19" spans="1:10" ht="22.5" customHeight="1">
      <c r="A19" s="36"/>
      <c r="B19" s="49" t="s">
        <v>41</v>
      </c>
      <c r="C19" s="87"/>
      <c r="D19" s="43"/>
      <c r="E19" s="44"/>
      <c r="F19" s="44"/>
      <c r="G19" s="45"/>
      <c r="H19" s="44"/>
      <c r="I19" s="44"/>
      <c r="J19" s="52"/>
    </row>
    <row r="20" spans="1:10" ht="22.5" customHeight="1">
      <c r="A20" s="36"/>
      <c r="B20" s="77" t="s">
        <v>42</v>
      </c>
      <c r="C20" s="48"/>
      <c r="D20" s="57">
        <v>5189</v>
      </c>
      <c r="E20" s="88" t="s">
        <v>5</v>
      </c>
      <c r="F20" s="88" t="s">
        <v>6</v>
      </c>
      <c r="G20" s="65">
        <v>2.93</v>
      </c>
      <c r="H20" s="88" t="s">
        <v>7</v>
      </c>
      <c r="I20" s="88" t="s">
        <v>6</v>
      </c>
      <c r="J20" s="52">
        <f>ROUND(D20*G20,2)</f>
        <v>15203.77</v>
      </c>
    </row>
    <row r="21" spans="1:10" ht="22.5" customHeight="1">
      <c r="A21" s="36"/>
      <c r="B21" s="77"/>
      <c r="C21" s="48"/>
      <c r="D21" s="57"/>
      <c r="E21" s="88"/>
      <c r="F21" s="88"/>
      <c r="G21" s="65"/>
      <c r="H21" s="88"/>
      <c r="I21" s="88"/>
      <c r="J21" s="52"/>
    </row>
    <row r="22" spans="1:10" ht="22.5" customHeight="1">
      <c r="A22" s="36"/>
      <c r="B22" s="77" t="s">
        <v>43</v>
      </c>
      <c r="C22" s="48"/>
      <c r="D22" s="57">
        <v>5838</v>
      </c>
      <c r="E22" s="88" t="s">
        <v>5</v>
      </c>
      <c r="F22" s="88" t="s">
        <v>6</v>
      </c>
      <c r="G22" s="65">
        <v>2.93</v>
      </c>
      <c r="H22" s="88" t="s">
        <v>7</v>
      </c>
      <c r="I22" s="88" t="s">
        <v>6</v>
      </c>
      <c r="J22" s="52">
        <f>ROUND(D22*G22,2)</f>
        <v>17105.34</v>
      </c>
    </row>
    <row r="23" spans="1:10" ht="22.5" customHeight="1">
      <c r="A23" s="36"/>
      <c r="B23" s="77"/>
      <c r="C23" s="48"/>
      <c r="D23" s="57"/>
      <c r="E23" s="88"/>
      <c r="F23" s="88"/>
      <c r="G23" s="65"/>
      <c r="H23" s="88"/>
      <c r="I23" s="88"/>
      <c r="J23" s="52"/>
    </row>
    <row r="24" spans="1:10" ht="22.5" customHeight="1" thickBot="1">
      <c r="A24" s="36"/>
      <c r="B24" s="77"/>
      <c r="C24" s="48"/>
      <c r="D24" s="57"/>
      <c r="E24" s="88"/>
      <c r="F24" s="88"/>
      <c r="G24" s="65"/>
      <c r="H24" s="88"/>
      <c r="I24" s="88"/>
      <c r="J24" s="52"/>
    </row>
    <row r="25" spans="1:10" ht="22.5" customHeight="1">
      <c r="A25" s="36"/>
      <c r="B25" s="29" t="s">
        <v>21</v>
      </c>
      <c r="C25" s="58"/>
      <c r="D25" s="62">
        <f>SUM(D20:D23)</f>
        <v>11027</v>
      </c>
      <c r="E25" s="64" t="s">
        <v>5</v>
      </c>
      <c r="F25" s="64"/>
      <c r="G25" s="89"/>
      <c r="H25" s="64"/>
      <c r="I25" s="64" t="s">
        <v>6</v>
      </c>
      <c r="J25" s="56">
        <f>SUM(J20:J23)</f>
        <v>32309.11</v>
      </c>
    </row>
    <row r="26" spans="1:10" ht="22.5" customHeight="1">
      <c r="A26" s="36"/>
      <c r="C26" s="22"/>
      <c r="D26" s="9"/>
      <c r="E26" s="10" t="s">
        <v>8</v>
      </c>
      <c r="F26" s="9"/>
      <c r="G26" s="9"/>
      <c r="H26" s="9"/>
      <c r="J26" s="11" t="s">
        <v>8</v>
      </c>
    </row>
    <row r="27" spans="1:10" ht="22.5" customHeight="1">
      <c r="A27" s="36"/>
      <c r="B27" s="78" t="s">
        <v>79</v>
      </c>
      <c r="C27" s="79"/>
      <c r="D27" s="79"/>
      <c r="E27" s="79"/>
      <c r="F27" s="80"/>
      <c r="G27" s="81"/>
      <c r="H27" s="14"/>
      <c r="I27" s="8"/>
      <c r="J27" s="6"/>
    </row>
    <row r="28" spans="1:10" ht="22.5" customHeight="1">
      <c r="A28" s="36"/>
      <c r="B28" s="82"/>
      <c r="C28" s="82"/>
      <c r="D28" s="83"/>
      <c r="E28" s="84"/>
      <c r="F28" s="85"/>
      <c r="G28" s="85"/>
      <c r="H28" s="82"/>
      <c r="I28" s="85"/>
      <c r="J28" s="6"/>
    </row>
    <row r="29" spans="1:10" ht="22.5" customHeight="1">
      <c r="A29" s="36"/>
      <c r="B29" s="82"/>
      <c r="C29" s="85"/>
      <c r="D29" s="82"/>
      <c r="E29" s="85"/>
      <c r="F29" s="82"/>
      <c r="G29" s="85"/>
      <c r="H29" s="82"/>
      <c r="I29" s="85"/>
      <c r="J29" s="6"/>
    </row>
    <row r="30" spans="1:10" ht="22.5" customHeight="1">
      <c r="A30" s="36"/>
      <c r="B30" s="85"/>
      <c r="C30" s="85"/>
      <c r="D30" s="82"/>
      <c r="E30" s="82"/>
      <c r="F30" s="85"/>
      <c r="G30" s="85"/>
      <c r="H30" s="82"/>
      <c r="I30" s="85"/>
      <c r="J30" s="50"/>
    </row>
    <row r="31" spans="1:10" ht="22.5" customHeight="1">
      <c r="A31" s="36"/>
      <c r="B31" s="85"/>
      <c r="C31" s="85"/>
      <c r="D31" s="82"/>
      <c r="E31" s="85"/>
      <c r="F31" s="85"/>
      <c r="G31" s="85"/>
      <c r="H31" s="85"/>
      <c r="I31" s="85"/>
      <c r="J31" s="23"/>
    </row>
    <row r="32" spans="1:10" ht="22.5" customHeight="1">
      <c r="A32" s="77"/>
      <c r="B32" s="85"/>
      <c r="C32" s="85"/>
      <c r="D32" s="85"/>
      <c r="E32" s="85"/>
      <c r="F32" s="79"/>
      <c r="G32" s="79"/>
      <c r="H32" s="79"/>
      <c r="I32" s="79"/>
      <c r="J32" s="23"/>
    </row>
    <row r="33" spans="1:10" ht="22.5" customHeight="1">
      <c r="A33" s="77"/>
      <c r="G33" s="1"/>
      <c r="H33" s="1"/>
      <c r="I33" s="1"/>
      <c r="J33" s="7"/>
    </row>
    <row r="34" spans="1:10" ht="22.5" customHeight="1">
      <c r="G34" s="1"/>
      <c r="H34" s="1"/>
      <c r="I34" s="1"/>
      <c r="J34" s="7" t="s">
        <v>8</v>
      </c>
    </row>
    <row r="35" spans="1:10" ht="22.5" customHeight="1">
      <c r="G35" s="12"/>
      <c r="H35" s="12"/>
      <c r="J35" s="15"/>
    </row>
    <row r="36" spans="1:10" ht="22.5" customHeight="1">
      <c r="B36" s="1"/>
      <c r="C36" s="1"/>
      <c r="D36" s="1"/>
      <c r="E36" s="1"/>
      <c r="F36" s="1"/>
      <c r="G36" s="14"/>
      <c r="H36" s="8"/>
      <c r="J36" s="15"/>
    </row>
    <row r="37" spans="1:10" ht="22.5" customHeight="1">
      <c r="B37" s="1"/>
      <c r="C37" s="1"/>
      <c r="D37" s="1"/>
      <c r="E37" s="1"/>
      <c r="F37" s="1"/>
      <c r="G37" s="13"/>
      <c r="H37" s="8"/>
      <c r="J37" s="15"/>
    </row>
    <row r="38" spans="1:10" ht="22.5" customHeight="1">
      <c r="B38" s="1"/>
      <c r="C38" s="1"/>
      <c r="D38" s="1"/>
      <c r="E38" s="1"/>
      <c r="F38" s="1"/>
      <c r="G38" s="13"/>
      <c r="H38" s="8"/>
      <c r="J38" s="15"/>
    </row>
    <row r="39" spans="1:10" ht="22.5" customHeight="1">
      <c r="B39" s="8"/>
      <c r="C39" s="13"/>
      <c r="D39" s="8"/>
      <c r="E39" s="8"/>
      <c r="F39" s="8"/>
      <c r="G39" s="13"/>
      <c r="H39" s="8"/>
      <c r="J39" s="16"/>
    </row>
    <row r="40" spans="1:10" ht="18.600000000000001" customHeight="1"/>
    <row r="41" spans="1:10" ht="27.6" customHeight="1"/>
    <row r="47" spans="1:10" ht="21.75" customHeight="1"/>
  </sheetData>
  <mergeCells count="10">
    <mergeCell ref="A1:J1"/>
    <mergeCell ref="A2:J2"/>
    <mergeCell ref="A3:J3"/>
    <mergeCell ref="F4:J4"/>
    <mergeCell ref="F5:J5"/>
    <mergeCell ref="A7:J8"/>
    <mergeCell ref="I11:J11"/>
    <mergeCell ref="B11:C11"/>
    <mergeCell ref="D11:E11"/>
    <mergeCell ref="F11:H11"/>
  </mergeCells>
  <phoneticPr fontId="19" type="noConversion"/>
  <printOptions horizontalCentered="1"/>
  <pageMargins left="0.35433070866141736" right="0.31496062992125984" top="0.6692913385826772" bottom="0.74803149606299213" header="0.51181102362204722" footer="0.51181102362204722"/>
  <pageSetup paperSize="9" scale="80" fitToWidth="0" fitToHeight="0" orientation="portrait" r:id="rId1"/>
  <headerFooter>
    <oddFooter>&amp;C&amp;"Calibri,標準"&amp;9&amp;P/&amp;N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8065-5518-44C7-AF47-2C0418737F4C}">
  <dimension ref="A1:L36"/>
  <sheetViews>
    <sheetView topLeftCell="A7" zoomScaleNormal="100" zoomScaleSheetLayoutView="100" workbookViewId="0">
      <selection activeCell="B15" sqref="B15"/>
    </sheetView>
  </sheetViews>
  <sheetFormatPr defaultColWidth="9" defaultRowHeight="18" customHeight="1"/>
  <cols>
    <col min="1" max="1" width="14.875" style="5" customWidth="1"/>
    <col min="2" max="2" width="45.875" style="5" customWidth="1"/>
    <col min="3" max="3" width="10.375" style="5" customWidth="1"/>
    <col min="4" max="4" width="10.125" style="17" customWidth="1"/>
    <col min="5" max="6" width="4.625" style="5" customWidth="1"/>
    <col min="7" max="7" width="4.875" style="5" customWidth="1"/>
    <col min="8" max="8" width="4.375" style="5" customWidth="1"/>
    <col min="9" max="9" width="10.625" style="5" customWidth="1"/>
    <col min="10" max="10" width="5.125" style="5" customWidth="1"/>
    <col min="11" max="16384" width="9" style="5"/>
  </cols>
  <sheetData>
    <row r="1" spans="1:12" ht="18" customHeight="1">
      <c r="A1" s="127" t="s">
        <v>10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2" ht="18" customHeight="1">
      <c r="A2" s="128" t="s">
        <v>12</v>
      </c>
      <c r="B2" s="128"/>
      <c r="C2" s="128"/>
      <c r="D2" s="128"/>
      <c r="E2" s="128"/>
      <c r="F2" s="128"/>
      <c r="G2" s="128"/>
      <c r="H2" s="128"/>
      <c r="I2" s="128"/>
      <c r="J2" s="128"/>
      <c r="K2" s="1"/>
      <c r="L2" s="1"/>
    </row>
    <row r="3" spans="1:12" ht="18" customHeight="1">
      <c r="A3" s="129" t="s">
        <v>24</v>
      </c>
      <c r="B3" s="129"/>
      <c r="C3" s="129"/>
      <c r="D3" s="129"/>
      <c r="E3" s="129"/>
      <c r="F3" s="129"/>
      <c r="G3" s="129"/>
      <c r="H3" s="129"/>
      <c r="I3" s="129"/>
      <c r="J3" s="129"/>
      <c r="K3" s="1"/>
      <c r="L3" s="1"/>
    </row>
    <row r="4" spans="1:12" s="1" customFormat="1" ht="36.6" customHeight="1">
      <c r="A4" s="1" t="s">
        <v>11</v>
      </c>
      <c r="B4" s="2"/>
      <c r="C4" s="3"/>
      <c r="D4" s="4"/>
      <c r="E4" s="130" t="s">
        <v>35</v>
      </c>
      <c r="F4" s="130"/>
      <c r="G4" s="130"/>
      <c r="H4" s="130"/>
      <c r="I4" s="130"/>
      <c r="J4" s="130"/>
    </row>
    <row r="5" spans="1:12" s="1" customFormat="1" ht="23.45" customHeight="1">
      <c r="A5" s="1" t="s">
        <v>30</v>
      </c>
      <c r="B5" s="2"/>
      <c r="D5" s="4"/>
      <c r="E5" s="131" t="s">
        <v>44</v>
      </c>
      <c r="F5" s="131"/>
      <c r="G5" s="131"/>
      <c r="H5" s="131"/>
      <c r="I5" s="131"/>
      <c r="J5" s="131"/>
    </row>
    <row r="6" spans="1:12" s="92" customFormat="1" ht="23.45" customHeight="1">
      <c r="A6" s="92" t="s">
        <v>32</v>
      </c>
      <c r="B6" s="91"/>
      <c r="D6" s="93"/>
      <c r="E6" s="91"/>
      <c r="G6" s="90"/>
      <c r="H6" s="90"/>
      <c r="I6" s="90"/>
      <c r="J6" s="90"/>
    </row>
    <row r="7" spans="1:12" s="91" customFormat="1" ht="58.7" customHeight="1">
      <c r="A7" s="123" t="s">
        <v>37</v>
      </c>
      <c r="B7" s="123"/>
      <c r="C7" s="123"/>
      <c r="D7" s="123"/>
      <c r="E7" s="123"/>
      <c r="F7" s="123"/>
      <c r="G7" s="123"/>
      <c r="H7" s="123"/>
      <c r="I7" s="123"/>
      <c r="J7" s="123"/>
    </row>
    <row r="8" spans="1:12" s="91" customFormat="1" ht="58.7" customHeight="1">
      <c r="A8" s="123"/>
      <c r="B8" s="123"/>
      <c r="C8" s="123"/>
      <c r="D8" s="123"/>
      <c r="E8" s="123"/>
      <c r="F8" s="123"/>
      <c r="G8" s="123"/>
      <c r="H8" s="123"/>
      <c r="I8" s="123"/>
      <c r="J8" s="123"/>
    </row>
    <row r="9" spans="1:12" s="1" customFormat="1" ht="23.25" customHeight="1">
      <c r="A9" s="53" t="s">
        <v>20</v>
      </c>
      <c r="D9" s="43"/>
      <c r="G9" s="98" t="s">
        <v>39</v>
      </c>
      <c r="H9" s="99"/>
      <c r="I9" s="98"/>
      <c r="J9" s="97"/>
    </row>
    <row r="10" spans="1:12" s="1" customFormat="1" ht="18" customHeight="1">
      <c r="A10" s="2"/>
      <c r="B10" s="2"/>
      <c r="D10" s="4"/>
      <c r="E10" s="2"/>
      <c r="H10" s="25"/>
      <c r="I10" s="26"/>
      <c r="J10" s="27"/>
    </row>
    <row r="11" spans="1:12" ht="18" customHeight="1">
      <c r="A11" s="54" t="s">
        <v>0</v>
      </c>
      <c r="B11" s="63" t="s">
        <v>1</v>
      </c>
      <c r="C11" s="63" t="s">
        <v>73</v>
      </c>
      <c r="D11" s="63" t="s">
        <v>2</v>
      </c>
      <c r="E11" s="63" t="s">
        <v>25</v>
      </c>
      <c r="F11" s="133" t="s">
        <v>27</v>
      </c>
      <c r="G11" s="126"/>
      <c r="H11" s="63" t="s">
        <v>26</v>
      </c>
      <c r="I11" s="63" t="s">
        <v>29</v>
      </c>
      <c r="J11" s="63" t="s">
        <v>26</v>
      </c>
      <c r="K11" s="1"/>
      <c r="L11" s="1"/>
    </row>
    <row r="12" spans="1:12" s="66" customFormat="1" ht="21" customHeight="1">
      <c r="A12" s="5"/>
      <c r="B12" s="1" t="s">
        <v>13</v>
      </c>
      <c r="C12" s="37"/>
      <c r="D12" s="25"/>
      <c r="E12" s="67"/>
      <c r="F12" s="38"/>
      <c r="G12" s="38"/>
      <c r="H12" s="68"/>
      <c r="I12" s="38"/>
      <c r="J12" s="69"/>
    </row>
    <row r="13" spans="1:12" s="66" customFormat="1" ht="21" customHeight="1">
      <c r="A13" s="36"/>
      <c r="B13" s="46" t="s">
        <v>40</v>
      </c>
      <c r="C13" s="21"/>
      <c r="D13" s="57"/>
      <c r="E13" s="88"/>
      <c r="F13" s="88"/>
      <c r="G13" s="88"/>
      <c r="H13" s="88"/>
      <c r="I13" s="88"/>
      <c r="J13" s="88"/>
    </row>
    <row r="14" spans="1:12" s="66" customFormat="1" ht="21" customHeight="1">
      <c r="A14" s="36"/>
      <c r="B14" s="42" t="s">
        <v>75</v>
      </c>
      <c r="C14" s="21"/>
      <c r="D14" s="57"/>
      <c r="E14" s="88"/>
      <c r="F14" s="88"/>
      <c r="G14" s="88"/>
      <c r="H14" s="88"/>
      <c r="I14" s="88"/>
      <c r="J14" s="88"/>
    </row>
    <row r="15" spans="1:12" s="66" customFormat="1" ht="21" customHeight="1">
      <c r="A15" s="36"/>
      <c r="B15" s="48" t="s">
        <v>81</v>
      </c>
      <c r="C15" s="21"/>
      <c r="D15" s="57"/>
      <c r="E15" s="88"/>
      <c r="F15" s="88"/>
      <c r="G15" s="88"/>
      <c r="H15" s="88"/>
      <c r="I15" s="88"/>
      <c r="J15" s="88"/>
    </row>
    <row r="16" spans="1:12" s="66" customFormat="1" ht="21" customHeight="1">
      <c r="A16" s="36"/>
      <c r="B16" s="103" t="s">
        <v>77</v>
      </c>
      <c r="C16" s="21"/>
      <c r="D16" s="57"/>
      <c r="E16" s="88"/>
      <c r="F16" s="88"/>
      <c r="G16" s="88"/>
      <c r="H16" s="88"/>
      <c r="I16" s="88"/>
      <c r="J16" s="88"/>
    </row>
    <row r="17" spans="1:10" s="102" customFormat="1" ht="22.5" customHeight="1">
      <c r="B17" s="103" t="s">
        <v>78</v>
      </c>
      <c r="C17" s="104"/>
      <c r="D17" s="105"/>
      <c r="E17" s="106"/>
      <c r="F17" s="106"/>
      <c r="G17" s="107"/>
      <c r="H17" s="106"/>
      <c r="I17" s="106"/>
      <c r="J17" s="108"/>
    </row>
    <row r="18" spans="1:10" s="66" customFormat="1" ht="21" customHeight="1">
      <c r="A18" s="36"/>
      <c r="B18" s="49" t="s">
        <v>41</v>
      </c>
      <c r="C18" s="21"/>
      <c r="D18" s="57"/>
      <c r="E18" s="88"/>
      <c r="F18" s="134"/>
      <c r="G18" s="134"/>
      <c r="H18" s="88"/>
      <c r="I18" s="88"/>
      <c r="J18" s="88"/>
    </row>
    <row r="19" spans="1:10" s="66" customFormat="1" ht="21" customHeight="1">
      <c r="A19" s="36"/>
      <c r="B19" s="77" t="s">
        <v>42</v>
      </c>
      <c r="C19" s="21">
        <v>113</v>
      </c>
      <c r="D19" s="57">
        <v>5189</v>
      </c>
      <c r="E19" s="88" t="s">
        <v>5</v>
      </c>
      <c r="F19" s="134">
        <v>2592.1999999999998</v>
      </c>
      <c r="G19" s="134"/>
      <c r="H19" s="88" t="s">
        <v>26</v>
      </c>
      <c r="I19" s="88">
        <v>2846.6</v>
      </c>
      <c r="J19" s="88" t="s">
        <v>26</v>
      </c>
    </row>
    <row r="20" spans="1:10" s="66" customFormat="1" ht="21" customHeight="1">
      <c r="A20" s="36"/>
      <c r="B20" s="77" t="s">
        <v>43</v>
      </c>
      <c r="C20" s="21">
        <v>131</v>
      </c>
      <c r="D20" s="57">
        <v>5838</v>
      </c>
      <c r="E20" s="88" t="s">
        <v>5</v>
      </c>
      <c r="F20" s="134">
        <v>2928.7</v>
      </c>
      <c r="G20" s="134"/>
      <c r="H20" s="88" t="s">
        <v>26</v>
      </c>
      <c r="I20" s="88">
        <v>3183.4</v>
      </c>
      <c r="J20" s="88" t="s">
        <v>26</v>
      </c>
    </row>
    <row r="21" spans="1:10" s="66" customFormat="1" ht="21" customHeight="1" thickBot="1">
      <c r="A21" s="36"/>
      <c r="B21" s="94"/>
      <c r="C21" s="21"/>
      <c r="D21" s="57"/>
      <c r="E21" s="88"/>
      <c r="F21" s="88"/>
      <c r="G21" s="88"/>
      <c r="H21" s="88"/>
      <c r="I21" s="88"/>
      <c r="J21" s="88"/>
    </row>
    <row r="22" spans="1:10" s="66" customFormat="1" ht="21" customHeight="1">
      <c r="A22" s="36"/>
      <c r="B22" s="95" t="s">
        <v>34</v>
      </c>
      <c r="C22" s="86">
        <f>SUM(C18:C20)</f>
        <v>244</v>
      </c>
      <c r="D22" s="62">
        <f>SUM(D19:D20)</f>
        <v>11027</v>
      </c>
      <c r="E22" s="64" t="s">
        <v>5</v>
      </c>
      <c r="F22" s="132">
        <f>SUM(F19:G20)</f>
        <v>5520.9</v>
      </c>
      <c r="G22" s="132"/>
      <c r="H22" s="64" t="s">
        <v>26</v>
      </c>
      <c r="I22" s="64">
        <f>SUM(I19:I20)</f>
        <v>6030</v>
      </c>
      <c r="J22" s="64" t="s">
        <v>26</v>
      </c>
    </row>
    <row r="23" spans="1:10" s="66" customFormat="1" ht="21" customHeight="1">
      <c r="A23" s="36"/>
      <c r="C23" s="76"/>
      <c r="D23" s="10"/>
      <c r="E23" s="10" t="s">
        <v>8</v>
      </c>
      <c r="F23" s="10"/>
      <c r="G23" s="10"/>
      <c r="H23" s="10"/>
      <c r="J23" s="11" t="s">
        <v>8</v>
      </c>
    </row>
    <row r="24" spans="1:10" s="66" customFormat="1" ht="21" customHeight="1">
      <c r="A24" s="36"/>
      <c r="B24" s="70"/>
      <c r="C24" s="71"/>
      <c r="D24" s="71"/>
      <c r="E24" s="71"/>
      <c r="F24" s="59"/>
      <c r="G24" s="72"/>
      <c r="H24" s="73"/>
      <c r="I24" s="74"/>
      <c r="J24" s="75"/>
    </row>
    <row r="25" spans="1:10" s="66" customFormat="1" ht="21" customHeight="1">
      <c r="A25" s="36"/>
      <c r="B25" s="73"/>
      <c r="C25" s="73"/>
      <c r="D25" s="73"/>
      <c r="E25" s="59"/>
      <c r="F25" s="59"/>
      <c r="G25" s="59"/>
      <c r="H25" s="73"/>
      <c r="I25" s="74"/>
      <c r="J25" s="75"/>
    </row>
    <row r="26" spans="1:10" s="66" customFormat="1" ht="21" customHeight="1">
      <c r="A26" s="36"/>
      <c r="B26" s="73"/>
      <c r="C26" s="59"/>
      <c r="D26" s="73"/>
      <c r="E26" s="59"/>
      <c r="F26" s="73"/>
      <c r="G26" s="59"/>
      <c r="H26" s="73"/>
      <c r="I26" s="74"/>
      <c r="J26" s="75"/>
    </row>
    <row r="27" spans="1:10" s="66" customFormat="1" ht="21" customHeight="1">
      <c r="A27" s="36"/>
      <c r="B27" s="59"/>
      <c r="C27" s="59"/>
      <c r="D27" s="73"/>
      <c r="E27" s="73"/>
      <c r="F27" s="59"/>
      <c r="G27" s="59"/>
      <c r="H27" s="73"/>
      <c r="I27" s="74"/>
      <c r="J27" s="74"/>
    </row>
    <row r="28" spans="1:10" s="66" customFormat="1" ht="21" customHeight="1">
      <c r="A28" s="36"/>
      <c r="B28" s="61"/>
      <c r="C28" s="61"/>
      <c r="D28" s="60"/>
      <c r="E28" s="61"/>
      <c r="F28" s="61"/>
      <c r="G28" s="61"/>
      <c r="H28" s="61"/>
      <c r="I28" s="49"/>
      <c r="J28" s="23"/>
    </row>
    <row r="29" spans="1:10" s="66" customFormat="1" ht="21" customHeight="1">
      <c r="A29" s="77"/>
      <c r="B29" s="61"/>
      <c r="C29" s="61"/>
      <c r="D29" s="61"/>
      <c r="E29" s="61"/>
      <c r="F29"/>
      <c r="G29"/>
      <c r="H29"/>
      <c r="I29" s="24"/>
      <c r="J29" s="23"/>
    </row>
    <row r="30" spans="1:10" s="66" customFormat="1" ht="21" customHeight="1">
      <c r="A30" s="77"/>
      <c r="B30" s="5"/>
      <c r="C30" s="5"/>
      <c r="D30" s="17"/>
      <c r="E30" s="5"/>
      <c r="F30" s="5"/>
      <c r="G30" s="1"/>
      <c r="H30" s="1"/>
      <c r="I30" s="1"/>
      <c r="J30" s="7"/>
    </row>
    <row r="31" spans="1:10" s="66" customFormat="1" ht="21" customHeight="1">
      <c r="A31" s="77"/>
      <c r="B31" s="5"/>
      <c r="C31" s="5"/>
      <c r="D31" s="17"/>
      <c r="E31" s="5"/>
      <c r="F31" s="5"/>
      <c r="G31" s="1"/>
      <c r="H31" s="1"/>
      <c r="I31" s="1"/>
      <c r="J31" s="7"/>
    </row>
    <row r="32" spans="1:10" ht="18" customHeight="1">
      <c r="G32" s="12"/>
      <c r="H32" s="12"/>
      <c r="J32" s="15"/>
    </row>
    <row r="33" spans="2:10" ht="18" customHeight="1">
      <c r="B33" s="1"/>
      <c r="C33" s="1"/>
      <c r="D33" s="1"/>
      <c r="E33" s="1"/>
      <c r="F33" s="1"/>
      <c r="G33" s="14"/>
      <c r="H33" s="8"/>
      <c r="J33" s="15"/>
    </row>
    <row r="34" spans="2:10" ht="18" customHeight="1">
      <c r="B34" s="1"/>
      <c r="C34" s="1"/>
      <c r="D34" s="1"/>
      <c r="E34" s="1"/>
      <c r="F34" s="1"/>
      <c r="G34" s="13"/>
      <c r="H34" s="8"/>
      <c r="J34" s="15"/>
    </row>
    <row r="35" spans="2:10" ht="18" customHeight="1">
      <c r="B35" s="1"/>
      <c r="C35" s="1"/>
      <c r="D35" s="1"/>
      <c r="E35" s="1"/>
      <c r="F35" s="1"/>
      <c r="G35" s="13"/>
      <c r="H35" s="8"/>
      <c r="J35" s="15"/>
    </row>
    <row r="36" spans="2:10" ht="18" customHeight="1">
      <c r="B36" s="8"/>
      <c r="C36" s="13"/>
      <c r="D36" s="8"/>
      <c r="E36" s="8"/>
      <c r="F36" s="8"/>
      <c r="G36" s="13"/>
      <c r="H36" s="8"/>
      <c r="J36" s="16"/>
    </row>
  </sheetData>
  <mergeCells count="11">
    <mergeCell ref="F22:G22"/>
    <mergeCell ref="A7:J8"/>
    <mergeCell ref="F11:G11"/>
    <mergeCell ref="A1:J1"/>
    <mergeCell ref="A2:J2"/>
    <mergeCell ref="A3:J3"/>
    <mergeCell ref="E4:J4"/>
    <mergeCell ref="E5:J5"/>
    <mergeCell ref="F18:G18"/>
    <mergeCell ref="F19:G19"/>
    <mergeCell ref="F20:G20"/>
  </mergeCells>
  <phoneticPr fontId="26" type="noConversion"/>
  <printOptions horizontalCentered="1"/>
  <pageMargins left="0.35433070866141736" right="0.31496062992125984" top="0.6692913385826772" bottom="0.74803149606299213" header="0.51181102362204722" footer="0.51181102362204722"/>
  <pageSetup paperSize="9" scale="70" fitToWidth="0" fitToHeight="0" orientation="portrait" r:id="rId1"/>
  <headerFooter>
    <oddFooter>&amp;C&amp;"Calibri,標準"&amp;9&amp;P/&amp;N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71"/>
  <sheetViews>
    <sheetView topLeftCell="A40" zoomScaleNormal="100" workbookViewId="0">
      <selection activeCell="J7" sqref="J7"/>
    </sheetView>
  </sheetViews>
  <sheetFormatPr defaultColWidth="9" defaultRowHeight="15.75"/>
  <cols>
    <col min="1" max="1" width="39.375" style="19" customWidth="1"/>
    <col min="2" max="2" width="11.625" style="19" customWidth="1"/>
    <col min="3" max="3" width="10" style="19" customWidth="1"/>
    <col min="4" max="5" width="11.875" style="28" customWidth="1"/>
    <col min="6" max="6" width="12.875" style="28" customWidth="1"/>
    <col min="7" max="249" width="9" style="19"/>
    <col min="250" max="250" width="28.625" style="19" customWidth="1"/>
    <col min="251" max="255" width="12.625" style="19" customWidth="1"/>
    <col min="256" max="505" width="9" style="19"/>
    <col min="506" max="506" width="28.625" style="19" customWidth="1"/>
    <col min="507" max="511" width="12.625" style="19" customWidth="1"/>
    <col min="512" max="761" width="9" style="19"/>
    <col min="762" max="762" width="28.625" style="19" customWidth="1"/>
    <col min="763" max="767" width="12.625" style="19" customWidth="1"/>
    <col min="768" max="1017" width="9" style="19"/>
    <col min="1018" max="1018" width="28.625" style="19" customWidth="1"/>
    <col min="1019" max="1023" width="12.625" style="19" customWidth="1"/>
    <col min="1024" max="1273" width="9" style="19"/>
    <col min="1274" max="1274" width="28.625" style="19" customWidth="1"/>
    <col min="1275" max="1279" width="12.625" style="19" customWidth="1"/>
    <col min="1280" max="1529" width="9" style="19"/>
    <col min="1530" max="1530" width="28.625" style="19" customWidth="1"/>
    <col min="1531" max="1535" width="12.625" style="19" customWidth="1"/>
    <col min="1536" max="1785" width="9" style="19"/>
    <col min="1786" max="1786" width="28.625" style="19" customWidth="1"/>
    <col min="1787" max="1791" width="12.625" style="19" customWidth="1"/>
    <col min="1792" max="2041" width="9" style="19"/>
    <col min="2042" max="2042" width="28.625" style="19" customWidth="1"/>
    <col min="2043" max="2047" width="12.625" style="19" customWidth="1"/>
    <col min="2048" max="2297" width="9" style="19"/>
    <col min="2298" max="2298" width="28.625" style="19" customWidth="1"/>
    <col min="2299" max="2303" width="12.625" style="19" customWidth="1"/>
    <col min="2304" max="2553" width="9" style="19"/>
    <col min="2554" max="2554" width="28.625" style="19" customWidth="1"/>
    <col min="2555" max="2559" width="12.625" style="19" customWidth="1"/>
    <col min="2560" max="2809" width="9" style="19"/>
    <col min="2810" max="2810" width="28.625" style="19" customWidth="1"/>
    <col min="2811" max="2815" width="12.625" style="19" customWidth="1"/>
    <col min="2816" max="3065" width="9" style="19"/>
    <col min="3066" max="3066" width="28.625" style="19" customWidth="1"/>
    <col min="3067" max="3071" width="12.625" style="19" customWidth="1"/>
    <col min="3072" max="3321" width="9" style="19"/>
    <col min="3322" max="3322" width="28.625" style="19" customWidth="1"/>
    <col min="3323" max="3327" width="12.625" style="19" customWidth="1"/>
    <col min="3328" max="3577" width="9" style="19"/>
    <col min="3578" max="3578" width="28.625" style="19" customWidth="1"/>
    <col min="3579" max="3583" width="12.625" style="19" customWidth="1"/>
    <col min="3584" max="3833" width="9" style="19"/>
    <col min="3834" max="3834" width="28.625" style="19" customWidth="1"/>
    <col min="3835" max="3839" width="12.625" style="19" customWidth="1"/>
    <col min="3840" max="4089" width="9" style="19"/>
    <col min="4090" max="4090" width="28.625" style="19" customWidth="1"/>
    <col min="4091" max="4095" width="12.625" style="19" customWidth="1"/>
    <col min="4096" max="4345" width="9" style="19"/>
    <col min="4346" max="4346" width="28.625" style="19" customWidth="1"/>
    <col min="4347" max="4351" width="12.625" style="19" customWidth="1"/>
    <col min="4352" max="4601" width="9" style="19"/>
    <col min="4602" max="4602" width="28.625" style="19" customWidth="1"/>
    <col min="4603" max="4607" width="12.625" style="19" customWidth="1"/>
    <col min="4608" max="4857" width="9" style="19"/>
    <col min="4858" max="4858" width="28.625" style="19" customWidth="1"/>
    <col min="4859" max="4863" width="12.625" style="19" customWidth="1"/>
    <col min="4864" max="5113" width="9" style="19"/>
    <col min="5114" max="5114" width="28.625" style="19" customWidth="1"/>
    <col min="5115" max="5119" width="12.625" style="19" customWidth="1"/>
    <col min="5120" max="5369" width="9" style="19"/>
    <col min="5370" max="5370" width="28.625" style="19" customWidth="1"/>
    <col min="5371" max="5375" width="12.625" style="19" customWidth="1"/>
    <col min="5376" max="5625" width="9" style="19"/>
    <col min="5626" max="5626" width="28.625" style="19" customWidth="1"/>
    <col min="5627" max="5631" width="12.625" style="19" customWidth="1"/>
    <col min="5632" max="5881" width="9" style="19"/>
    <col min="5882" max="5882" width="28.625" style="19" customWidth="1"/>
    <col min="5883" max="5887" width="12.625" style="19" customWidth="1"/>
    <col min="5888" max="6137" width="9" style="19"/>
    <col min="6138" max="6138" width="28.625" style="19" customWidth="1"/>
    <col min="6139" max="6143" width="12.625" style="19" customWidth="1"/>
    <col min="6144" max="6393" width="9" style="19"/>
    <col min="6394" max="6394" width="28.625" style="19" customWidth="1"/>
    <col min="6395" max="6399" width="12.625" style="19" customWidth="1"/>
    <col min="6400" max="6649" width="9" style="19"/>
    <col min="6650" max="6650" width="28.625" style="19" customWidth="1"/>
    <col min="6651" max="6655" width="12.625" style="19" customWidth="1"/>
    <col min="6656" max="6905" width="9" style="19"/>
    <col min="6906" max="6906" width="28.625" style="19" customWidth="1"/>
    <col min="6907" max="6911" width="12.625" style="19" customWidth="1"/>
    <col min="6912" max="7161" width="9" style="19"/>
    <col min="7162" max="7162" width="28.625" style="19" customWidth="1"/>
    <col min="7163" max="7167" width="12.625" style="19" customWidth="1"/>
    <col min="7168" max="7417" width="9" style="19"/>
    <col min="7418" max="7418" width="28.625" style="19" customWidth="1"/>
    <col min="7419" max="7423" width="12.625" style="19" customWidth="1"/>
    <col min="7424" max="7673" width="9" style="19"/>
    <col min="7674" max="7674" width="28.625" style="19" customWidth="1"/>
    <col min="7675" max="7679" width="12.625" style="19" customWidth="1"/>
    <col min="7680" max="7929" width="9" style="19"/>
    <col min="7930" max="7930" width="28.625" style="19" customWidth="1"/>
    <col min="7931" max="7935" width="12.625" style="19" customWidth="1"/>
    <col min="7936" max="8185" width="9" style="19"/>
    <col min="8186" max="8186" width="28.625" style="19" customWidth="1"/>
    <col min="8187" max="8191" width="12.625" style="19" customWidth="1"/>
    <col min="8192" max="8441" width="9" style="19"/>
    <col min="8442" max="8442" width="28.625" style="19" customWidth="1"/>
    <col min="8443" max="8447" width="12.625" style="19" customWidth="1"/>
    <col min="8448" max="8697" width="9" style="19"/>
    <col min="8698" max="8698" width="28.625" style="19" customWidth="1"/>
    <col min="8699" max="8703" width="12.625" style="19" customWidth="1"/>
    <col min="8704" max="8953" width="9" style="19"/>
    <col min="8954" max="8954" width="28.625" style="19" customWidth="1"/>
    <col min="8955" max="8959" width="12.625" style="19" customWidth="1"/>
    <col min="8960" max="9209" width="9" style="19"/>
    <col min="9210" max="9210" width="28.625" style="19" customWidth="1"/>
    <col min="9211" max="9215" width="12.625" style="19" customWidth="1"/>
    <col min="9216" max="9465" width="9" style="19"/>
    <col min="9466" max="9466" width="28.625" style="19" customWidth="1"/>
    <col min="9467" max="9471" width="12.625" style="19" customWidth="1"/>
    <col min="9472" max="9721" width="9" style="19"/>
    <col min="9722" max="9722" width="28.625" style="19" customWidth="1"/>
    <col min="9723" max="9727" width="12.625" style="19" customWidth="1"/>
    <col min="9728" max="9977" width="9" style="19"/>
    <col min="9978" max="9978" width="28.625" style="19" customWidth="1"/>
    <col min="9979" max="9983" width="12.625" style="19" customWidth="1"/>
    <col min="9984" max="10233" width="9" style="19"/>
    <col min="10234" max="10234" width="28.625" style="19" customWidth="1"/>
    <col min="10235" max="10239" width="12.625" style="19" customWidth="1"/>
    <col min="10240" max="10489" width="9" style="19"/>
    <col min="10490" max="10490" width="28.625" style="19" customWidth="1"/>
    <col min="10491" max="10495" width="12.625" style="19" customWidth="1"/>
    <col min="10496" max="10745" width="9" style="19"/>
    <col min="10746" max="10746" width="28.625" style="19" customWidth="1"/>
    <col min="10747" max="10751" width="12.625" style="19" customWidth="1"/>
    <col min="10752" max="11001" width="9" style="19"/>
    <col min="11002" max="11002" width="28.625" style="19" customWidth="1"/>
    <col min="11003" max="11007" width="12.625" style="19" customWidth="1"/>
    <col min="11008" max="11257" width="9" style="19"/>
    <col min="11258" max="11258" width="28.625" style="19" customWidth="1"/>
    <col min="11259" max="11263" width="12.625" style="19" customWidth="1"/>
    <col min="11264" max="11513" width="9" style="19"/>
    <col min="11514" max="11514" width="28.625" style="19" customWidth="1"/>
    <col min="11515" max="11519" width="12.625" style="19" customWidth="1"/>
    <col min="11520" max="11769" width="9" style="19"/>
    <col min="11770" max="11770" width="28.625" style="19" customWidth="1"/>
    <col min="11771" max="11775" width="12.625" style="19" customWidth="1"/>
    <col min="11776" max="12025" width="9" style="19"/>
    <col min="12026" max="12026" width="28.625" style="19" customWidth="1"/>
    <col min="12027" max="12031" width="12.625" style="19" customWidth="1"/>
    <col min="12032" max="12281" width="9" style="19"/>
    <col min="12282" max="12282" width="28.625" style="19" customWidth="1"/>
    <col min="12283" max="12287" width="12.625" style="19" customWidth="1"/>
    <col min="12288" max="12537" width="9" style="19"/>
    <col min="12538" max="12538" width="28.625" style="19" customWidth="1"/>
    <col min="12539" max="12543" width="12.625" style="19" customWidth="1"/>
    <col min="12544" max="12793" width="9" style="19"/>
    <col min="12794" max="12794" width="28.625" style="19" customWidth="1"/>
    <col min="12795" max="12799" width="12.625" style="19" customWidth="1"/>
    <col min="12800" max="13049" width="9" style="19"/>
    <col min="13050" max="13050" width="28.625" style="19" customWidth="1"/>
    <col min="13051" max="13055" width="12.625" style="19" customWidth="1"/>
    <col min="13056" max="13305" width="9" style="19"/>
    <col min="13306" max="13306" width="28.625" style="19" customWidth="1"/>
    <col min="13307" max="13311" width="12.625" style="19" customWidth="1"/>
    <col min="13312" max="13561" width="9" style="19"/>
    <col min="13562" max="13562" width="28.625" style="19" customWidth="1"/>
    <col min="13563" max="13567" width="12.625" style="19" customWidth="1"/>
    <col min="13568" max="13817" width="9" style="19"/>
    <col min="13818" max="13818" width="28.625" style="19" customWidth="1"/>
    <col min="13819" max="13823" width="12.625" style="19" customWidth="1"/>
    <col min="13824" max="14073" width="9" style="19"/>
    <col min="14074" max="14074" width="28.625" style="19" customWidth="1"/>
    <col min="14075" max="14079" width="12.625" style="19" customWidth="1"/>
    <col min="14080" max="14329" width="9" style="19"/>
    <col min="14330" max="14330" width="28.625" style="19" customWidth="1"/>
    <col min="14331" max="14335" width="12.625" style="19" customWidth="1"/>
    <col min="14336" max="14585" width="9" style="19"/>
    <col min="14586" max="14586" width="28.625" style="19" customWidth="1"/>
    <col min="14587" max="14591" width="12.625" style="19" customWidth="1"/>
    <col min="14592" max="14841" width="9" style="19"/>
    <col min="14842" max="14842" width="28.625" style="19" customWidth="1"/>
    <col min="14843" max="14847" width="12.625" style="19" customWidth="1"/>
    <col min="14848" max="15097" width="9" style="19"/>
    <col min="15098" max="15098" width="28.625" style="19" customWidth="1"/>
    <col min="15099" max="15103" width="12.625" style="19" customWidth="1"/>
    <col min="15104" max="15353" width="9" style="19"/>
    <col min="15354" max="15354" width="28.625" style="19" customWidth="1"/>
    <col min="15355" max="15359" width="12.625" style="19" customWidth="1"/>
    <col min="15360" max="15609" width="9" style="19"/>
    <col min="15610" max="15610" width="28.625" style="19" customWidth="1"/>
    <col min="15611" max="15615" width="12.625" style="19" customWidth="1"/>
    <col min="15616" max="15865" width="9" style="19"/>
    <col min="15866" max="15866" width="28.625" style="19" customWidth="1"/>
    <col min="15867" max="15871" width="12.625" style="19" customWidth="1"/>
    <col min="15872" max="16121" width="9" style="19"/>
    <col min="16122" max="16122" width="28.625" style="19" customWidth="1"/>
    <col min="16123" max="16127" width="12.625" style="19" customWidth="1"/>
    <col min="16128" max="16384" width="9" style="19"/>
  </cols>
  <sheetData>
    <row r="1" spans="1:6" s="18" customFormat="1" ht="28.5">
      <c r="A1" s="137" t="s">
        <v>14</v>
      </c>
      <c r="B1" s="137"/>
      <c r="C1" s="137"/>
      <c r="D1" s="138"/>
      <c r="E1" s="138"/>
      <c r="F1" s="138"/>
    </row>
    <row r="2" spans="1:6">
      <c r="A2" s="139" t="s">
        <v>15</v>
      </c>
      <c r="B2" s="139"/>
      <c r="C2" s="139"/>
      <c r="D2" s="140"/>
      <c r="E2" s="140"/>
      <c r="F2" s="140"/>
    </row>
    <row r="3" spans="1:6" ht="23.25">
      <c r="A3" s="141" t="s">
        <v>9</v>
      </c>
      <c r="B3" s="141"/>
      <c r="C3" s="141"/>
      <c r="D3" s="142"/>
      <c r="E3" s="142"/>
      <c r="F3" s="142"/>
    </row>
    <row r="4" spans="1:6" ht="26.45" customHeight="1">
      <c r="A4" s="20"/>
      <c r="D4" s="148" t="s">
        <v>36</v>
      </c>
      <c r="E4" s="148"/>
      <c r="F4" s="148"/>
    </row>
    <row r="5" spans="1:6" ht="26.1" customHeight="1">
      <c r="A5" s="20"/>
      <c r="D5" s="149" t="s">
        <v>48</v>
      </c>
      <c r="E5" s="149"/>
      <c r="F5" s="149"/>
    </row>
    <row r="6" spans="1:6" s="21" customFormat="1" ht="55.35" customHeight="1">
      <c r="A6" s="143" t="s">
        <v>31</v>
      </c>
      <c r="B6" s="144"/>
      <c r="C6" s="144"/>
      <c r="D6" s="144"/>
      <c r="E6" s="144"/>
      <c r="F6" s="145"/>
    </row>
    <row r="7" spans="1:6" s="21" customFormat="1" ht="123" customHeight="1">
      <c r="A7" s="146" t="s">
        <v>38</v>
      </c>
      <c r="B7" s="146"/>
      <c r="C7" s="147"/>
      <c r="D7" s="146"/>
      <c r="E7" s="146"/>
      <c r="F7" s="146"/>
    </row>
    <row r="8" spans="1:6" ht="31.5">
      <c r="A8" s="30" t="s">
        <v>17</v>
      </c>
      <c r="B8" s="31" t="s">
        <v>23</v>
      </c>
      <c r="C8" s="31" t="s">
        <v>74</v>
      </c>
      <c r="D8" s="32" t="s">
        <v>18</v>
      </c>
      <c r="E8" s="32" t="s">
        <v>19</v>
      </c>
      <c r="F8" s="32" t="s">
        <v>16</v>
      </c>
    </row>
    <row r="9" spans="1:6" ht="109.7" customHeight="1">
      <c r="A9" s="51" t="s">
        <v>22</v>
      </c>
      <c r="B9" s="135" t="s">
        <v>82</v>
      </c>
      <c r="C9" s="135"/>
      <c r="D9" s="135"/>
      <c r="E9" s="135"/>
      <c r="F9" s="136"/>
    </row>
    <row r="10" spans="1:6" s="100" customFormat="1" ht="21" customHeight="1">
      <c r="A10" s="33" t="s">
        <v>45</v>
      </c>
      <c r="B10" s="34">
        <v>1</v>
      </c>
      <c r="C10" s="34">
        <v>1</v>
      </c>
      <c r="D10" s="35">
        <v>24</v>
      </c>
      <c r="E10" s="35">
        <v>26.2</v>
      </c>
      <c r="F10" s="55">
        <v>48</v>
      </c>
    </row>
    <row r="11" spans="1:6" s="100" customFormat="1" ht="21" customHeight="1">
      <c r="A11" s="33" t="s">
        <v>45</v>
      </c>
      <c r="B11" s="34">
        <v>1</v>
      </c>
      <c r="C11" s="34">
        <v>2</v>
      </c>
      <c r="D11" s="35">
        <v>23.8</v>
      </c>
      <c r="E11" s="35">
        <v>26</v>
      </c>
      <c r="F11" s="55">
        <v>49</v>
      </c>
    </row>
    <row r="12" spans="1:6" s="100" customFormat="1" ht="21" customHeight="1">
      <c r="A12" s="33" t="s">
        <v>45</v>
      </c>
      <c r="B12" s="34">
        <v>1</v>
      </c>
      <c r="C12" s="34">
        <v>3</v>
      </c>
      <c r="D12" s="35">
        <v>24.3</v>
      </c>
      <c r="E12" s="35">
        <v>26.5</v>
      </c>
      <c r="F12" s="55">
        <v>49</v>
      </c>
    </row>
    <row r="13" spans="1:6" s="100" customFormat="1" ht="21" customHeight="1">
      <c r="A13" s="33" t="s">
        <v>45</v>
      </c>
      <c r="B13" s="34">
        <v>1</v>
      </c>
      <c r="C13" s="34">
        <v>4</v>
      </c>
      <c r="D13" s="35">
        <v>23.6</v>
      </c>
      <c r="E13" s="35">
        <v>25.8</v>
      </c>
      <c r="F13" s="55">
        <v>47</v>
      </c>
    </row>
    <row r="14" spans="1:6" s="100" customFormat="1" ht="21" customHeight="1">
      <c r="A14" s="33" t="s">
        <v>45</v>
      </c>
      <c r="B14" s="34">
        <v>1</v>
      </c>
      <c r="C14" s="34">
        <v>5</v>
      </c>
      <c r="D14" s="35">
        <v>24</v>
      </c>
      <c r="E14" s="35">
        <v>26.2</v>
      </c>
      <c r="F14" s="55">
        <v>48</v>
      </c>
    </row>
    <row r="15" spans="1:6" s="100" customFormat="1" ht="21" customHeight="1">
      <c r="A15" s="33" t="s">
        <v>45</v>
      </c>
      <c r="B15" s="34">
        <v>1</v>
      </c>
      <c r="C15" s="34">
        <v>6</v>
      </c>
      <c r="D15" s="35">
        <v>23.8</v>
      </c>
      <c r="E15" s="35">
        <v>26</v>
      </c>
      <c r="F15" s="55">
        <v>48</v>
      </c>
    </row>
    <row r="16" spans="1:6" s="100" customFormat="1" ht="21" customHeight="1">
      <c r="A16" s="33" t="s">
        <v>45</v>
      </c>
      <c r="B16" s="34">
        <v>1</v>
      </c>
      <c r="C16" s="34">
        <v>7</v>
      </c>
      <c r="D16" s="35">
        <v>23.3</v>
      </c>
      <c r="E16" s="35">
        <v>25.5</v>
      </c>
      <c r="F16" s="55">
        <v>47</v>
      </c>
    </row>
    <row r="17" spans="1:6" s="100" customFormat="1" ht="21" customHeight="1">
      <c r="A17" s="33" t="s">
        <v>45</v>
      </c>
      <c r="B17" s="34">
        <v>1</v>
      </c>
      <c r="C17" s="34">
        <v>8</v>
      </c>
      <c r="D17" s="35">
        <v>29.1</v>
      </c>
      <c r="E17" s="35">
        <v>31.3</v>
      </c>
      <c r="F17" s="55">
        <v>58</v>
      </c>
    </row>
    <row r="18" spans="1:6" s="100" customFormat="1" ht="21" customHeight="1">
      <c r="A18" s="33" t="s">
        <v>45</v>
      </c>
      <c r="B18" s="34">
        <v>1</v>
      </c>
      <c r="C18" s="34">
        <v>9</v>
      </c>
      <c r="D18" s="35">
        <v>22.5</v>
      </c>
      <c r="E18" s="35">
        <v>24.7</v>
      </c>
      <c r="F18" s="55">
        <v>45</v>
      </c>
    </row>
    <row r="19" spans="1:6" s="100" customFormat="1" ht="21" customHeight="1">
      <c r="A19" s="33" t="s">
        <v>45</v>
      </c>
      <c r="B19" s="34">
        <v>1</v>
      </c>
      <c r="C19" s="34">
        <v>10</v>
      </c>
      <c r="D19" s="35">
        <v>23.2</v>
      </c>
      <c r="E19" s="35">
        <v>25.4</v>
      </c>
      <c r="F19" s="55">
        <v>46</v>
      </c>
    </row>
    <row r="20" spans="1:6" s="100" customFormat="1" ht="21" customHeight="1">
      <c r="A20" s="33" t="s">
        <v>45</v>
      </c>
      <c r="B20" s="34">
        <v>1</v>
      </c>
      <c r="C20" s="34">
        <v>11</v>
      </c>
      <c r="D20" s="35">
        <v>23.7</v>
      </c>
      <c r="E20" s="35">
        <v>25.9</v>
      </c>
      <c r="F20" s="55">
        <v>47</v>
      </c>
    </row>
    <row r="21" spans="1:6" s="100" customFormat="1" ht="21" customHeight="1">
      <c r="A21" s="33" t="s">
        <v>45</v>
      </c>
      <c r="B21" s="34">
        <v>1</v>
      </c>
      <c r="C21" s="34">
        <v>12</v>
      </c>
      <c r="D21" s="35">
        <v>22.8</v>
      </c>
      <c r="E21" s="35">
        <v>25</v>
      </c>
      <c r="F21" s="55">
        <v>46</v>
      </c>
    </row>
    <row r="22" spans="1:6" s="100" customFormat="1" ht="21" customHeight="1">
      <c r="A22" s="33" t="s">
        <v>45</v>
      </c>
      <c r="B22" s="34">
        <v>1</v>
      </c>
      <c r="C22" s="34">
        <v>13</v>
      </c>
      <c r="D22" s="35">
        <v>23.6</v>
      </c>
      <c r="E22" s="35">
        <v>25.8</v>
      </c>
      <c r="F22" s="55">
        <v>47</v>
      </c>
    </row>
    <row r="23" spans="1:6" s="100" customFormat="1" ht="21" customHeight="1">
      <c r="A23" s="33" t="s">
        <v>45</v>
      </c>
      <c r="B23" s="34">
        <v>1</v>
      </c>
      <c r="C23" s="34">
        <v>14</v>
      </c>
      <c r="D23" s="35">
        <v>24.8</v>
      </c>
      <c r="E23" s="35">
        <v>27</v>
      </c>
      <c r="F23" s="55">
        <v>50</v>
      </c>
    </row>
    <row r="24" spans="1:6" s="100" customFormat="1" ht="21" customHeight="1">
      <c r="A24" s="33" t="s">
        <v>45</v>
      </c>
      <c r="B24" s="34">
        <v>1</v>
      </c>
      <c r="C24" s="34">
        <v>15</v>
      </c>
      <c r="D24" s="35">
        <v>23.8</v>
      </c>
      <c r="E24" s="35">
        <v>26</v>
      </c>
      <c r="F24" s="55">
        <v>48</v>
      </c>
    </row>
    <row r="25" spans="1:6" s="100" customFormat="1" ht="21" customHeight="1">
      <c r="A25" s="33" t="s">
        <v>45</v>
      </c>
      <c r="B25" s="34">
        <v>1</v>
      </c>
      <c r="C25" s="101">
        <v>16</v>
      </c>
      <c r="D25" s="35">
        <v>23.8</v>
      </c>
      <c r="E25" s="35">
        <v>26</v>
      </c>
      <c r="F25" s="55">
        <v>48</v>
      </c>
    </row>
    <row r="26" spans="1:6" s="100" customFormat="1" ht="21" customHeight="1">
      <c r="A26" s="33" t="s">
        <v>45</v>
      </c>
      <c r="B26" s="34">
        <v>1</v>
      </c>
      <c r="C26" s="34">
        <v>17</v>
      </c>
      <c r="D26" s="35">
        <v>24</v>
      </c>
      <c r="E26" s="35">
        <v>26.2</v>
      </c>
      <c r="F26" s="55">
        <v>48</v>
      </c>
    </row>
    <row r="27" spans="1:6" s="100" customFormat="1" ht="21" customHeight="1">
      <c r="A27" s="33" t="s">
        <v>45</v>
      </c>
      <c r="B27" s="34">
        <v>1</v>
      </c>
      <c r="C27" s="34">
        <v>18</v>
      </c>
      <c r="D27" s="35">
        <v>23.9</v>
      </c>
      <c r="E27" s="35">
        <v>26.1</v>
      </c>
      <c r="F27" s="55">
        <v>48</v>
      </c>
    </row>
    <row r="28" spans="1:6" s="100" customFormat="1" ht="21" customHeight="1">
      <c r="A28" s="33" t="s">
        <v>45</v>
      </c>
      <c r="B28" s="34">
        <v>1</v>
      </c>
      <c r="C28" s="34">
        <v>19</v>
      </c>
      <c r="D28" s="35">
        <v>24.1</v>
      </c>
      <c r="E28" s="35">
        <v>26.3</v>
      </c>
      <c r="F28" s="55">
        <v>48</v>
      </c>
    </row>
    <row r="29" spans="1:6" s="100" customFormat="1" ht="21" customHeight="1">
      <c r="A29" s="33" t="s">
        <v>45</v>
      </c>
      <c r="B29" s="34">
        <v>1</v>
      </c>
      <c r="C29" s="34">
        <v>20</v>
      </c>
      <c r="D29" s="35">
        <v>24.1</v>
      </c>
      <c r="E29" s="35">
        <v>26.3</v>
      </c>
      <c r="F29" s="55">
        <v>48</v>
      </c>
    </row>
    <row r="30" spans="1:6" s="100" customFormat="1" ht="21" customHeight="1">
      <c r="A30" s="33" t="s">
        <v>45</v>
      </c>
      <c r="B30" s="34">
        <v>1</v>
      </c>
      <c r="C30" s="34">
        <v>21</v>
      </c>
      <c r="D30" s="35">
        <v>22.7</v>
      </c>
      <c r="E30" s="35">
        <v>24.9</v>
      </c>
      <c r="F30" s="55">
        <v>45</v>
      </c>
    </row>
    <row r="31" spans="1:6" s="100" customFormat="1" ht="21" customHeight="1">
      <c r="A31" s="33" t="s">
        <v>45</v>
      </c>
      <c r="B31" s="34">
        <v>1</v>
      </c>
      <c r="C31" s="34">
        <v>22</v>
      </c>
      <c r="D31" s="35">
        <v>23.5</v>
      </c>
      <c r="E31" s="35">
        <v>25.7</v>
      </c>
      <c r="F31" s="55">
        <v>47</v>
      </c>
    </row>
    <row r="32" spans="1:6" s="100" customFormat="1" ht="21" customHeight="1">
      <c r="A32" s="33" t="s">
        <v>45</v>
      </c>
      <c r="B32" s="34">
        <v>1</v>
      </c>
      <c r="C32" s="34">
        <v>23</v>
      </c>
      <c r="D32" s="35">
        <v>23.7</v>
      </c>
      <c r="E32" s="35">
        <v>25.9</v>
      </c>
      <c r="F32" s="55">
        <v>47</v>
      </c>
    </row>
    <row r="33" spans="1:6" s="100" customFormat="1" ht="21" customHeight="1">
      <c r="A33" s="33" t="s">
        <v>45</v>
      </c>
      <c r="B33" s="34">
        <v>1</v>
      </c>
      <c r="C33" s="34">
        <v>24</v>
      </c>
      <c r="D33" s="35">
        <v>23.5</v>
      </c>
      <c r="E33" s="35">
        <v>25.7</v>
      </c>
      <c r="F33" s="55">
        <v>47</v>
      </c>
    </row>
    <row r="34" spans="1:6" s="100" customFormat="1" ht="21" customHeight="1">
      <c r="A34" s="33" t="s">
        <v>45</v>
      </c>
      <c r="B34" s="34">
        <v>1</v>
      </c>
      <c r="C34" s="34">
        <v>25</v>
      </c>
      <c r="D34" s="35">
        <v>24</v>
      </c>
      <c r="E34" s="35">
        <v>26.2</v>
      </c>
      <c r="F34" s="55">
        <v>48</v>
      </c>
    </row>
    <row r="35" spans="1:6" s="100" customFormat="1" ht="21" customHeight="1">
      <c r="A35" s="109" t="s">
        <v>47</v>
      </c>
      <c r="B35" s="110"/>
      <c r="C35" s="110" t="s">
        <v>46</v>
      </c>
      <c r="D35" s="111">
        <f>SUM(D10:D34)</f>
        <v>597.60000000000014</v>
      </c>
      <c r="E35" s="111">
        <f>SUM(E10:E34)</f>
        <v>652.6</v>
      </c>
      <c r="F35" s="112">
        <f>SUM(F10:F34)</f>
        <v>1197</v>
      </c>
    </row>
    <row r="36" spans="1:6" s="100" customFormat="1" ht="21" customHeight="1">
      <c r="A36" s="33" t="s">
        <v>45</v>
      </c>
      <c r="B36" s="34">
        <v>2</v>
      </c>
      <c r="C36" s="34">
        <v>26</v>
      </c>
      <c r="D36" s="35">
        <v>23.2</v>
      </c>
      <c r="E36" s="35">
        <v>25.4</v>
      </c>
      <c r="F36" s="55">
        <v>46</v>
      </c>
    </row>
    <row r="37" spans="1:6" s="100" customFormat="1" ht="21" customHeight="1">
      <c r="A37" s="33" t="s">
        <v>45</v>
      </c>
      <c r="B37" s="34">
        <v>2</v>
      </c>
      <c r="C37" s="34">
        <v>27</v>
      </c>
      <c r="D37" s="35">
        <v>23.2</v>
      </c>
      <c r="E37" s="35">
        <v>25.4</v>
      </c>
      <c r="F37" s="55">
        <v>46</v>
      </c>
    </row>
    <row r="38" spans="1:6" s="100" customFormat="1" ht="21" customHeight="1">
      <c r="A38" s="33" t="s">
        <v>45</v>
      </c>
      <c r="B38" s="34">
        <v>2</v>
      </c>
      <c r="C38" s="34">
        <v>28</v>
      </c>
      <c r="D38" s="35">
        <v>21.5</v>
      </c>
      <c r="E38" s="35">
        <v>23.7</v>
      </c>
      <c r="F38" s="55">
        <v>43</v>
      </c>
    </row>
    <row r="39" spans="1:6" s="100" customFormat="1" ht="21" customHeight="1">
      <c r="A39" s="33" t="s">
        <v>45</v>
      </c>
      <c r="B39" s="34">
        <v>2</v>
      </c>
      <c r="C39" s="34">
        <v>29</v>
      </c>
      <c r="D39" s="35">
        <v>23.6</v>
      </c>
      <c r="E39" s="35">
        <v>25.8</v>
      </c>
      <c r="F39" s="55">
        <v>47</v>
      </c>
    </row>
    <row r="40" spans="1:6" s="100" customFormat="1" ht="21" customHeight="1">
      <c r="A40" s="33" t="s">
        <v>45</v>
      </c>
      <c r="B40" s="34">
        <v>2</v>
      </c>
      <c r="C40" s="34">
        <v>30</v>
      </c>
      <c r="D40" s="35">
        <v>23.9</v>
      </c>
      <c r="E40" s="35">
        <v>26.1</v>
      </c>
      <c r="F40" s="55">
        <v>48</v>
      </c>
    </row>
    <row r="41" spans="1:6" s="100" customFormat="1" ht="21" customHeight="1">
      <c r="A41" s="33" t="s">
        <v>45</v>
      </c>
      <c r="B41" s="34">
        <v>2</v>
      </c>
      <c r="C41" s="34">
        <v>31</v>
      </c>
      <c r="D41" s="35">
        <v>23.8</v>
      </c>
      <c r="E41" s="35">
        <v>26</v>
      </c>
      <c r="F41" s="55">
        <v>48</v>
      </c>
    </row>
    <row r="42" spans="1:6" s="100" customFormat="1" ht="21" customHeight="1">
      <c r="A42" s="33" t="s">
        <v>45</v>
      </c>
      <c r="B42" s="34">
        <v>2</v>
      </c>
      <c r="C42" s="34">
        <v>32</v>
      </c>
      <c r="D42" s="35">
        <v>18.2</v>
      </c>
      <c r="E42" s="35">
        <v>20.399999999999999</v>
      </c>
      <c r="F42" s="55">
        <v>36</v>
      </c>
    </row>
    <row r="43" spans="1:6" s="100" customFormat="1" ht="21" customHeight="1">
      <c r="A43" s="33" t="s">
        <v>45</v>
      </c>
      <c r="B43" s="34">
        <v>2</v>
      </c>
      <c r="C43" s="34">
        <v>33</v>
      </c>
      <c r="D43" s="35">
        <v>23.5</v>
      </c>
      <c r="E43" s="35">
        <v>25.7</v>
      </c>
      <c r="F43" s="55">
        <v>47</v>
      </c>
    </row>
    <row r="44" spans="1:6" s="100" customFormat="1" ht="21" customHeight="1">
      <c r="A44" s="33" t="s">
        <v>45</v>
      </c>
      <c r="B44" s="34">
        <v>2</v>
      </c>
      <c r="C44" s="34">
        <v>34</v>
      </c>
      <c r="D44" s="35">
        <v>24.1</v>
      </c>
      <c r="E44" s="35">
        <v>26.3</v>
      </c>
      <c r="F44" s="55">
        <v>48</v>
      </c>
    </row>
    <row r="45" spans="1:6" s="100" customFormat="1" ht="21" customHeight="1">
      <c r="A45" s="33" t="s">
        <v>45</v>
      </c>
      <c r="B45" s="34">
        <v>2</v>
      </c>
      <c r="C45" s="34">
        <v>35</v>
      </c>
      <c r="D45" s="35">
        <v>23.5</v>
      </c>
      <c r="E45" s="35">
        <v>25.7</v>
      </c>
      <c r="F45" s="55">
        <v>47</v>
      </c>
    </row>
    <row r="46" spans="1:6" s="100" customFormat="1" ht="21" customHeight="1">
      <c r="A46" s="109" t="s">
        <v>49</v>
      </c>
      <c r="B46" s="110"/>
      <c r="C46" s="110" t="s">
        <v>50</v>
      </c>
      <c r="D46" s="111">
        <f>SUM(D36:D45)</f>
        <v>228.5</v>
      </c>
      <c r="E46" s="111">
        <f>SUM(E36:E45)</f>
        <v>250.5</v>
      </c>
      <c r="F46" s="112">
        <f>SUM(F36:F45)</f>
        <v>456</v>
      </c>
    </row>
    <row r="47" spans="1:6" s="100" customFormat="1" ht="21" customHeight="1">
      <c r="A47" s="33" t="s">
        <v>45</v>
      </c>
      <c r="B47" s="34">
        <v>3</v>
      </c>
      <c r="C47" s="34">
        <v>36</v>
      </c>
      <c r="D47" s="35">
        <v>24</v>
      </c>
      <c r="E47" s="35">
        <v>26.2</v>
      </c>
      <c r="F47" s="55">
        <v>48</v>
      </c>
    </row>
    <row r="48" spans="1:6" s="100" customFormat="1" ht="21" customHeight="1">
      <c r="A48" s="33" t="s">
        <v>45</v>
      </c>
      <c r="B48" s="34">
        <v>3</v>
      </c>
      <c r="C48" s="34">
        <v>37</v>
      </c>
      <c r="D48" s="35">
        <v>24</v>
      </c>
      <c r="E48" s="35">
        <v>26.2</v>
      </c>
      <c r="F48" s="55">
        <v>48</v>
      </c>
    </row>
    <row r="49" spans="1:6" s="100" customFormat="1" ht="21" customHeight="1">
      <c r="A49" s="33" t="s">
        <v>45</v>
      </c>
      <c r="B49" s="34">
        <v>3</v>
      </c>
      <c r="C49" s="34">
        <v>38</v>
      </c>
      <c r="D49" s="35">
        <v>23.8</v>
      </c>
      <c r="E49" s="35">
        <v>26</v>
      </c>
      <c r="F49" s="55">
        <v>48</v>
      </c>
    </row>
    <row r="50" spans="1:6" s="100" customFormat="1" ht="21" customHeight="1">
      <c r="A50" s="33" t="s">
        <v>45</v>
      </c>
      <c r="B50" s="34">
        <v>3</v>
      </c>
      <c r="C50" s="34">
        <v>39</v>
      </c>
      <c r="D50" s="35">
        <v>22.7</v>
      </c>
      <c r="E50" s="35">
        <v>24.9</v>
      </c>
      <c r="F50" s="55">
        <v>45</v>
      </c>
    </row>
    <row r="51" spans="1:6" s="100" customFormat="1" ht="21" customHeight="1">
      <c r="A51" s="33" t="s">
        <v>45</v>
      </c>
      <c r="B51" s="34">
        <v>3</v>
      </c>
      <c r="C51" s="34">
        <v>40</v>
      </c>
      <c r="D51" s="35">
        <v>23.3</v>
      </c>
      <c r="E51" s="35">
        <v>25.5</v>
      </c>
      <c r="F51" s="55">
        <v>47</v>
      </c>
    </row>
    <row r="52" spans="1:6" s="100" customFormat="1" ht="21" customHeight="1">
      <c r="A52" s="33" t="s">
        <v>45</v>
      </c>
      <c r="B52" s="34">
        <v>3</v>
      </c>
      <c r="C52" s="34">
        <v>41</v>
      </c>
      <c r="D52" s="35">
        <v>23.9</v>
      </c>
      <c r="E52" s="35">
        <v>26.1</v>
      </c>
      <c r="F52" s="55">
        <v>48</v>
      </c>
    </row>
    <row r="53" spans="1:6" s="100" customFormat="1" ht="21" customHeight="1">
      <c r="A53" s="33" t="s">
        <v>45</v>
      </c>
      <c r="B53" s="34">
        <v>3</v>
      </c>
      <c r="C53" s="34">
        <v>42</v>
      </c>
      <c r="D53" s="35">
        <v>23.9</v>
      </c>
      <c r="E53" s="35">
        <v>26.1</v>
      </c>
      <c r="F53" s="55">
        <v>48</v>
      </c>
    </row>
    <row r="54" spans="1:6" s="100" customFormat="1" ht="21" customHeight="1">
      <c r="A54" s="33" t="s">
        <v>45</v>
      </c>
      <c r="B54" s="34">
        <v>3</v>
      </c>
      <c r="C54" s="34">
        <v>43</v>
      </c>
      <c r="D54" s="35">
        <v>16.8</v>
      </c>
      <c r="E54" s="35">
        <v>19</v>
      </c>
      <c r="F54" s="55">
        <v>34</v>
      </c>
    </row>
    <row r="55" spans="1:6" s="100" customFormat="1" ht="21" customHeight="1">
      <c r="A55" s="33" t="s">
        <v>45</v>
      </c>
      <c r="B55" s="34">
        <v>3</v>
      </c>
      <c r="C55" s="34">
        <v>44</v>
      </c>
      <c r="D55" s="35">
        <v>24</v>
      </c>
      <c r="E55" s="35">
        <v>26.2</v>
      </c>
      <c r="F55" s="55">
        <v>48</v>
      </c>
    </row>
    <row r="56" spans="1:6" s="100" customFormat="1" ht="21" customHeight="1">
      <c r="A56" s="33" t="s">
        <v>45</v>
      </c>
      <c r="B56" s="34">
        <v>3</v>
      </c>
      <c r="C56" s="101">
        <v>45</v>
      </c>
      <c r="D56" s="35">
        <v>24</v>
      </c>
      <c r="E56" s="35">
        <v>26.2</v>
      </c>
      <c r="F56" s="55">
        <v>48</v>
      </c>
    </row>
    <row r="57" spans="1:6" s="100" customFormat="1" ht="21" customHeight="1">
      <c r="A57" s="109" t="s">
        <v>51</v>
      </c>
      <c r="B57" s="110"/>
      <c r="C57" s="110" t="s">
        <v>50</v>
      </c>
      <c r="D57" s="111">
        <f>SUM(D47:D56)</f>
        <v>230.4</v>
      </c>
      <c r="E57" s="111">
        <f>SUM(E47:E56)</f>
        <v>252.39999999999998</v>
      </c>
      <c r="F57" s="112">
        <f>SUM(F47:F56)</f>
        <v>462</v>
      </c>
    </row>
    <row r="58" spans="1:6" s="100" customFormat="1" ht="21" customHeight="1">
      <c r="A58" s="33" t="s">
        <v>45</v>
      </c>
      <c r="B58" s="34">
        <v>4</v>
      </c>
      <c r="C58" s="34">
        <v>46</v>
      </c>
      <c r="D58" s="35">
        <v>23.4</v>
      </c>
      <c r="E58" s="35">
        <v>25.6</v>
      </c>
      <c r="F58" s="55">
        <v>47</v>
      </c>
    </row>
    <row r="59" spans="1:6" s="100" customFormat="1" ht="21" customHeight="1">
      <c r="A59" s="33" t="s">
        <v>45</v>
      </c>
      <c r="B59" s="34">
        <v>4</v>
      </c>
      <c r="C59" s="34">
        <v>47</v>
      </c>
      <c r="D59" s="35">
        <v>23.9</v>
      </c>
      <c r="E59" s="35">
        <v>26.1</v>
      </c>
      <c r="F59" s="55">
        <v>48</v>
      </c>
    </row>
    <row r="60" spans="1:6" s="100" customFormat="1" ht="21" customHeight="1">
      <c r="A60" s="33" t="s">
        <v>45</v>
      </c>
      <c r="B60" s="34">
        <v>4</v>
      </c>
      <c r="C60" s="34">
        <v>48</v>
      </c>
      <c r="D60" s="35">
        <v>22.6</v>
      </c>
      <c r="E60" s="35">
        <v>24.8</v>
      </c>
      <c r="F60" s="55">
        <v>45</v>
      </c>
    </row>
    <row r="61" spans="1:6" s="100" customFormat="1" ht="21" customHeight="1">
      <c r="A61" s="33" t="s">
        <v>45</v>
      </c>
      <c r="B61" s="34">
        <v>4</v>
      </c>
      <c r="C61" s="34">
        <v>49</v>
      </c>
      <c r="D61" s="35">
        <v>22.8</v>
      </c>
      <c r="E61" s="35">
        <v>25</v>
      </c>
      <c r="F61" s="55">
        <v>46</v>
      </c>
    </row>
    <row r="62" spans="1:6" s="100" customFormat="1" ht="21" customHeight="1">
      <c r="A62" s="33" t="s">
        <v>45</v>
      </c>
      <c r="B62" s="34">
        <v>4</v>
      </c>
      <c r="C62" s="34">
        <v>50</v>
      </c>
      <c r="D62" s="35">
        <v>23.1</v>
      </c>
      <c r="E62" s="35">
        <v>25.3</v>
      </c>
      <c r="F62" s="55">
        <v>46</v>
      </c>
    </row>
    <row r="63" spans="1:6" s="100" customFormat="1" ht="21" customHeight="1">
      <c r="A63" s="33" t="s">
        <v>45</v>
      </c>
      <c r="B63" s="34">
        <v>4</v>
      </c>
      <c r="C63" s="34">
        <v>51</v>
      </c>
      <c r="D63" s="35">
        <v>23.3</v>
      </c>
      <c r="E63" s="35">
        <v>25.5</v>
      </c>
      <c r="F63" s="55">
        <v>47</v>
      </c>
    </row>
    <row r="64" spans="1:6" s="100" customFormat="1" ht="21" customHeight="1">
      <c r="A64" s="33" t="s">
        <v>45</v>
      </c>
      <c r="B64" s="34">
        <v>4</v>
      </c>
      <c r="C64" s="34">
        <v>52</v>
      </c>
      <c r="D64" s="35">
        <v>18.899999999999999</v>
      </c>
      <c r="E64" s="35">
        <v>21.1</v>
      </c>
      <c r="F64" s="55">
        <v>38</v>
      </c>
    </row>
    <row r="65" spans="1:6" s="100" customFormat="1" ht="21" customHeight="1">
      <c r="A65" s="33" t="s">
        <v>45</v>
      </c>
      <c r="B65" s="34">
        <v>4</v>
      </c>
      <c r="C65" s="34">
        <v>53</v>
      </c>
      <c r="D65" s="35">
        <v>18.7</v>
      </c>
      <c r="E65" s="35">
        <v>20.9</v>
      </c>
      <c r="F65" s="55">
        <v>37</v>
      </c>
    </row>
    <row r="66" spans="1:6" s="100" customFormat="1" ht="21" customHeight="1">
      <c r="A66" s="33" t="s">
        <v>45</v>
      </c>
      <c r="B66" s="34">
        <v>4</v>
      </c>
      <c r="C66" s="34">
        <v>54</v>
      </c>
      <c r="D66" s="35">
        <v>23.5</v>
      </c>
      <c r="E66" s="35">
        <v>25.7</v>
      </c>
      <c r="F66" s="55">
        <v>47</v>
      </c>
    </row>
    <row r="67" spans="1:6" s="100" customFormat="1" ht="21" customHeight="1">
      <c r="A67" s="33" t="s">
        <v>45</v>
      </c>
      <c r="B67" s="34">
        <v>4</v>
      </c>
      <c r="C67" s="34">
        <v>55</v>
      </c>
      <c r="D67" s="35">
        <v>23.9</v>
      </c>
      <c r="E67" s="35">
        <v>26.1</v>
      </c>
      <c r="F67" s="55">
        <v>48</v>
      </c>
    </row>
    <row r="68" spans="1:6" s="100" customFormat="1" ht="21" customHeight="1">
      <c r="A68" s="33" t="s">
        <v>45</v>
      </c>
      <c r="B68" s="34">
        <v>4</v>
      </c>
      <c r="C68" s="34">
        <v>56</v>
      </c>
      <c r="D68" s="35">
        <v>23.8</v>
      </c>
      <c r="E68" s="35">
        <v>26</v>
      </c>
      <c r="F68" s="55">
        <v>48</v>
      </c>
    </row>
    <row r="69" spans="1:6" s="100" customFormat="1" ht="21" customHeight="1">
      <c r="A69" s="33" t="s">
        <v>45</v>
      </c>
      <c r="B69" s="34">
        <v>4</v>
      </c>
      <c r="C69" s="34">
        <v>57</v>
      </c>
      <c r="D69" s="35">
        <v>23.8</v>
      </c>
      <c r="E69" s="35">
        <v>26</v>
      </c>
      <c r="F69" s="55">
        <v>48</v>
      </c>
    </row>
    <row r="70" spans="1:6" s="100" customFormat="1" ht="21" customHeight="1">
      <c r="A70" s="33" t="s">
        <v>45</v>
      </c>
      <c r="B70" s="34">
        <v>4</v>
      </c>
      <c r="C70" s="34">
        <v>58</v>
      </c>
      <c r="D70" s="35">
        <v>23.7</v>
      </c>
      <c r="E70" s="35">
        <v>25.9</v>
      </c>
      <c r="F70" s="55">
        <v>47</v>
      </c>
    </row>
    <row r="71" spans="1:6" s="100" customFormat="1" ht="21" customHeight="1">
      <c r="A71" s="33" t="s">
        <v>45</v>
      </c>
      <c r="B71" s="34">
        <v>4</v>
      </c>
      <c r="C71" s="34">
        <v>59</v>
      </c>
      <c r="D71" s="35">
        <v>23.3</v>
      </c>
      <c r="E71" s="35">
        <v>25.5</v>
      </c>
      <c r="F71" s="55">
        <v>47</v>
      </c>
    </row>
    <row r="72" spans="1:6" s="100" customFormat="1" ht="21" customHeight="1">
      <c r="A72" s="33" t="s">
        <v>45</v>
      </c>
      <c r="B72" s="34">
        <v>4</v>
      </c>
      <c r="C72" s="34">
        <v>60</v>
      </c>
      <c r="D72" s="35">
        <v>23.8</v>
      </c>
      <c r="E72" s="35">
        <v>26</v>
      </c>
      <c r="F72" s="55">
        <v>48</v>
      </c>
    </row>
    <row r="73" spans="1:6" s="100" customFormat="1" ht="21" customHeight="1">
      <c r="A73" s="33" t="s">
        <v>45</v>
      </c>
      <c r="B73" s="34">
        <v>4</v>
      </c>
      <c r="C73" s="34">
        <v>61</v>
      </c>
      <c r="D73" s="35">
        <v>23.4</v>
      </c>
      <c r="E73" s="35">
        <v>25.6</v>
      </c>
      <c r="F73" s="55">
        <v>47</v>
      </c>
    </row>
    <row r="74" spans="1:6" s="100" customFormat="1" ht="21" customHeight="1">
      <c r="A74" s="33" t="s">
        <v>45</v>
      </c>
      <c r="B74" s="34">
        <v>4</v>
      </c>
      <c r="C74" s="34">
        <v>62</v>
      </c>
      <c r="D74" s="35">
        <v>23.8</v>
      </c>
      <c r="E74" s="35">
        <v>26</v>
      </c>
      <c r="F74" s="55">
        <v>48</v>
      </c>
    </row>
    <row r="75" spans="1:6" s="100" customFormat="1" ht="21" customHeight="1">
      <c r="A75" s="33" t="s">
        <v>45</v>
      </c>
      <c r="B75" s="34">
        <v>4</v>
      </c>
      <c r="C75" s="34">
        <v>63</v>
      </c>
      <c r="D75" s="35">
        <v>24.2</v>
      </c>
      <c r="E75" s="35">
        <v>26.4</v>
      </c>
      <c r="F75" s="55">
        <v>48</v>
      </c>
    </row>
    <row r="76" spans="1:6" s="100" customFormat="1" ht="21" customHeight="1">
      <c r="A76" s="33" t="s">
        <v>45</v>
      </c>
      <c r="B76" s="34">
        <v>4</v>
      </c>
      <c r="C76" s="34">
        <v>64</v>
      </c>
      <c r="D76" s="35">
        <v>24.1</v>
      </c>
      <c r="E76" s="35">
        <v>26.3</v>
      </c>
      <c r="F76" s="55">
        <v>48</v>
      </c>
    </row>
    <row r="77" spans="1:6" s="100" customFormat="1" ht="21" customHeight="1">
      <c r="A77" s="33" t="s">
        <v>45</v>
      </c>
      <c r="B77" s="34">
        <v>4</v>
      </c>
      <c r="C77" s="34">
        <v>65</v>
      </c>
      <c r="D77" s="35">
        <v>23.7</v>
      </c>
      <c r="E77" s="35">
        <v>25.9</v>
      </c>
      <c r="F77" s="55">
        <v>47</v>
      </c>
    </row>
    <row r="78" spans="1:6" s="100" customFormat="1" ht="21" customHeight="1">
      <c r="A78" s="33" t="s">
        <v>45</v>
      </c>
      <c r="B78" s="34">
        <v>4</v>
      </c>
      <c r="C78" s="34">
        <v>66</v>
      </c>
      <c r="D78" s="35">
        <v>23.8</v>
      </c>
      <c r="E78" s="35">
        <v>26</v>
      </c>
      <c r="F78" s="55">
        <v>48</v>
      </c>
    </row>
    <row r="79" spans="1:6" s="100" customFormat="1" ht="21" customHeight="1">
      <c r="A79" s="33" t="s">
        <v>45</v>
      </c>
      <c r="B79" s="34">
        <v>4</v>
      </c>
      <c r="C79" s="34">
        <v>67</v>
      </c>
      <c r="D79" s="35">
        <v>23.9</v>
      </c>
      <c r="E79" s="35">
        <v>26.1</v>
      </c>
      <c r="F79" s="55">
        <v>48</v>
      </c>
    </row>
    <row r="80" spans="1:6" s="100" customFormat="1" ht="21" customHeight="1">
      <c r="A80" s="33" t="s">
        <v>45</v>
      </c>
      <c r="B80" s="34">
        <v>4</v>
      </c>
      <c r="C80" s="34">
        <v>68</v>
      </c>
      <c r="D80" s="35">
        <v>23.6</v>
      </c>
      <c r="E80" s="35">
        <v>25.8</v>
      </c>
      <c r="F80" s="55">
        <v>47</v>
      </c>
    </row>
    <row r="81" spans="1:6" s="100" customFormat="1" ht="21" customHeight="1">
      <c r="A81" s="33" t="s">
        <v>45</v>
      </c>
      <c r="B81" s="34">
        <v>4</v>
      </c>
      <c r="C81" s="34">
        <v>69</v>
      </c>
      <c r="D81" s="35">
        <v>23.8</v>
      </c>
      <c r="E81" s="35">
        <v>26</v>
      </c>
      <c r="F81" s="55">
        <v>48</v>
      </c>
    </row>
    <row r="82" spans="1:6" s="100" customFormat="1" ht="21" customHeight="1">
      <c r="A82" s="33" t="s">
        <v>45</v>
      </c>
      <c r="B82" s="34">
        <v>4</v>
      </c>
      <c r="C82" s="34">
        <v>70</v>
      </c>
      <c r="D82" s="35">
        <v>23.4</v>
      </c>
      <c r="E82" s="35">
        <v>25.6</v>
      </c>
      <c r="F82" s="55">
        <v>47</v>
      </c>
    </row>
    <row r="83" spans="1:6" s="100" customFormat="1" ht="21" customHeight="1">
      <c r="A83" s="33" t="s">
        <v>45</v>
      </c>
      <c r="B83" s="34">
        <v>4</v>
      </c>
      <c r="C83" s="34">
        <v>71</v>
      </c>
      <c r="D83" s="35">
        <v>22.5</v>
      </c>
      <c r="E83" s="35">
        <v>24.7</v>
      </c>
      <c r="F83" s="55">
        <v>45</v>
      </c>
    </row>
    <row r="84" spans="1:6" s="100" customFormat="1" ht="21" customHeight="1">
      <c r="A84" s="33" t="s">
        <v>45</v>
      </c>
      <c r="B84" s="34">
        <v>4</v>
      </c>
      <c r="C84" s="34">
        <v>72</v>
      </c>
      <c r="D84" s="35">
        <v>23.9</v>
      </c>
      <c r="E84" s="35">
        <v>26.1</v>
      </c>
      <c r="F84" s="55">
        <v>48</v>
      </c>
    </row>
    <row r="85" spans="1:6" s="100" customFormat="1" ht="21" customHeight="1">
      <c r="A85" s="33" t="s">
        <v>45</v>
      </c>
      <c r="B85" s="34">
        <v>4</v>
      </c>
      <c r="C85" s="34">
        <v>73</v>
      </c>
      <c r="D85" s="35">
        <v>23.5</v>
      </c>
      <c r="E85" s="35">
        <v>25.7</v>
      </c>
      <c r="F85" s="55">
        <v>47</v>
      </c>
    </row>
    <row r="86" spans="1:6" s="100" customFormat="1" ht="21" customHeight="1">
      <c r="A86" s="33" t="s">
        <v>45</v>
      </c>
      <c r="B86" s="34">
        <v>4</v>
      </c>
      <c r="C86" s="34">
        <v>74</v>
      </c>
      <c r="D86" s="35">
        <v>23.8</v>
      </c>
      <c r="E86" s="35">
        <v>26</v>
      </c>
      <c r="F86" s="55">
        <v>48</v>
      </c>
    </row>
    <row r="87" spans="1:6" s="100" customFormat="1" ht="21" customHeight="1">
      <c r="A87" s="33" t="s">
        <v>45</v>
      </c>
      <c r="B87" s="34">
        <v>4</v>
      </c>
      <c r="C87" s="34">
        <v>75</v>
      </c>
      <c r="D87" s="35">
        <v>21.4</v>
      </c>
      <c r="E87" s="35">
        <v>23.6</v>
      </c>
      <c r="F87" s="55">
        <v>43</v>
      </c>
    </row>
    <row r="88" spans="1:6" s="100" customFormat="1" ht="21" customHeight="1">
      <c r="A88" s="109" t="s">
        <v>53</v>
      </c>
      <c r="B88" s="110"/>
      <c r="C88" s="110" t="s">
        <v>52</v>
      </c>
      <c r="D88" s="111">
        <f>SUM(D58:D87)</f>
        <v>695.29999999999984</v>
      </c>
      <c r="E88" s="111">
        <f>SUM(E58:E87)</f>
        <v>761.30000000000018</v>
      </c>
      <c r="F88" s="112">
        <f>SUM(F58:F87)</f>
        <v>1394</v>
      </c>
    </row>
    <row r="89" spans="1:6" s="100" customFormat="1" ht="21" customHeight="1">
      <c r="A89" s="33" t="s">
        <v>45</v>
      </c>
      <c r="B89" s="34">
        <v>5</v>
      </c>
      <c r="C89" s="34">
        <v>76</v>
      </c>
      <c r="D89" s="35">
        <v>23</v>
      </c>
      <c r="E89" s="35">
        <v>25.2</v>
      </c>
      <c r="F89" s="55">
        <v>46</v>
      </c>
    </row>
    <row r="90" spans="1:6" s="100" customFormat="1" ht="21" customHeight="1">
      <c r="A90" s="33" t="s">
        <v>45</v>
      </c>
      <c r="B90" s="34">
        <v>5</v>
      </c>
      <c r="C90" s="34">
        <v>77</v>
      </c>
      <c r="D90" s="35">
        <v>22.8</v>
      </c>
      <c r="E90" s="35">
        <v>25</v>
      </c>
      <c r="F90" s="55">
        <v>46</v>
      </c>
    </row>
    <row r="91" spans="1:6" s="100" customFormat="1" ht="21" customHeight="1">
      <c r="A91" s="33" t="s">
        <v>45</v>
      </c>
      <c r="B91" s="34">
        <v>5</v>
      </c>
      <c r="C91" s="34">
        <v>78</v>
      </c>
      <c r="D91" s="35">
        <v>23.7</v>
      </c>
      <c r="E91" s="35">
        <v>25.9</v>
      </c>
      <c r="F91" s="55">
        <v>47</v>
      </c>
    </row>
    <row r="92" spans="1:6" s="100" customFormat="1" ht="21" customHeight="1">
      <c r="A92" s="33" t="s">
        <v>45</v>
      </c>
      <c r="B92" s="34">
        <v>5</v>
      </c>
      <c r="C92" s="34">
        <v>79</v>
      </c>
      <c r="D92" s="35">
        <v>23.9</v>
      </c>
      <c r="E92" s="35">
        <v>26.1</v>
      </c>
      <c r="F92" s="55">
        <v>48</v>
      </c>
    </row>
    <row r="93" spans="1:6" s="100" customFormat="1" ht="21" customHeight="1">
      <c r="A93" s="33" t="s">
        <v>45</v>
      </c>
      <c r="B93" s="34">
        <v>5</v>
      </c>
      <c r="C93" s="34">
        <v>80</v>
      </c>
      <c r="D93" s="35">
        <v>24.4</v>
      </c>
      <c r="E93" s="35">
        <v>26.6</v>
      </c>
      <c r="F93" s="55">
        <v>49</v>
      </c>
    </row>
    <row r="94" spans="1:6" s="100" customFormat="1" ht="21" customHeight="1">
      <c r="A94" s="33" t="s">
        <v>45</v>
      </c>
      <c r="B94" s="34">
        <v>5</v>
      </c>
      <c r="C94" s="34">
        <v>81</v>
      </c>
      <c r="D94" s="35">
        <v>23.7</v>
      </c>
      <c r="E94" s="35">
        <v>25.9</v>
      </c>
      <c r="F94" s="55">
        <v>47</v>
      </c>
    </row>
    <row r="95" spans="1:6" s="100" customFormat="1" ht="21" customHeight="1">
      <c r="A95" s="33" t="s">
        <v>45</v>
      </c>
      <c r="B95" s="34">
        <v>5</v>
      </c>
      <c r="C95" s="34">
        <v>82</v>
      </c>
      <c r="D95" s="35">
        <v>18.899999999999999</v>
      </c>
      <c r="E95" s="35">
        <v>21.1</v>
      </c>
      <c r="F95" s="55">
        <v>38</v>
      </c>
    </row>
    <row r="96" spans="1:6" s="100" customFormat="1" ht="21" customHeight="1">
      <c r="A96" s="33" t="s">
        <v>45</v>
      </c>
      <c r="B96" s="34">
        <v>5</v>
      </c>
      <c r="C96" s="34">
        <v>83</v>
      </c>
      <c r="D96" s="35">
        <v>23.6</v>
      </c>
      <c r="E96" s="35">
        <v>25.8</v>
      </c>
      <c r="F96" s="55">
        <v>47</v>
      </c>
    </row>
    <row r="97" spans="1:6" s="100" customFormat="1" ht="21" customHeight="1">
      <c r="A97" s="33" t="s">
        <v>45</v>
      </c>
      <c r="B97" s="34">
        <v>5</v>
      </c>
      <c r="C97" s="34">
        <v>84</v>
      </c>
      <c r="D97" s="35">
        <v>23.9</v>
      </c>
      <c r="E97" s="35">
        <v>26.1</v>
      </c>
      <c r="F97" s="55">
        <v>48</v>
      </c>
    </row>
    <row r="98" spans="1:6" s="100" customFormat="1" ht="21" customHeight="1">
      <c r="A98" s="33" t="s">
        <v>45</v>
      </c>
      <c r="B98" s="34">
        <v>5</v>
      </c>
      <c r="C98" s="34">
        <v>85</v>
      </c>
      <c r="D98" s="35">
        <v>22.9</v>
      </c>
      <c r="E98" s="35">
        <v>25.1</v>
      </c>
      <c r="F98" s="55">
        <v>46</v>
      </c>
    </row>
    <row r="99" spans="1:6" s="100" customFormat="1" ht="21" customHeight="1">
      <c r="A99" s="109" t="s">
        <v>54</v>
      </c>
      <c r="B99" s="110"/>
      <c r="C99" s="110" t="s">
        <v>50</v>
      </c>
      <c r="D99" s="111">
        <f>SUM(D89:D98)</f>
        <v>230.8</v>
      </c>
      <c r="E99" s="111">
        <f>SUM(E89:E98)</f>
        <v>252.79999999999998</v>
      </c>
      <c r="F99" s="112">
        <f>SUM(F89:F98)</f>
        <v>462</v>
      </c>
    </row>
    <row r="100" spans="1:6" s="100" customFormat="1" ht="21" customHeight="1">
      <c r="A100" s="33" t="s">
        <v>45</v>
      </c>
      <c r="B100" s="34">
        <v>6</v>
      </c>
      <c r="C100" s="101">
        <v>86</v>
      </c>
      <c r="D100" s="35">
        <v>23.2</v>
      </c>
      <c r="E100" s="35">
        <v>25.4</v>
      </c>
      <c r="F100" s="55">
        <v>46</v>
      </c>
    </row>
    <row r="101" spans="1:6" s="100" customFormat="1" ht="21" customHeight="1">
      <c r="A101" s="33" t="s">
        <v>45</v>
      </c>
      <c r="B101" s="34">
        <v>6</v>
      </c>
      <c r="C101" s="34">
        <v>87</v>
      </c>
      <c r="D101" s="35">
        <v>20.5</v>
      </c>
      <c r="E101" s="35">
        <v>22.7</v>
      </c>
      <c r="F101" s="55">
        <v>41</v>
      </c>
    </row>
    <row r="102" spans="1:6" s="100" customFormat="1" ht="21" customHeight="1">
      <c r="A102" s="33" t="s">
        <v>45</v>
      </c>
      <c r="B102" s="34">
        <v>6</v>
      </c>
      <c r="C102" s="34">
        <v>88</v>
      </c>
      <c r="D102" s="35">
        <v>24</v>
      </c>
      <c r="E102" s="35">
        <v>26.2</v>
      </c>
      <c r="F102" s="55">
        <v>48</v>
      </c>
    </row>
    <row r="103" spans="1:6" s="100" customFormat="1" ht="21" customHeight="1">
      <c r="A103" s="33" t="s">
        <v>45</v>
      </c>
      <c r="B103" s="34">
        <v>6</v>
      </c>
      <c r="C103" s="34">
        <v>89</v>
      </c>
      <c r="D103" s="35">
        <v>24.1</v>
      </c>
      <c r="E103" s="35">
        <v>26.3</v>
      </c>
      <c r="F103" s="55">
        <v>48</v>
      </c>
    </row>
    <row r="104" spans="1:6" s="100" customFormat="1" ht="21" customHeight="1">
      <c r="A104" s="33" t="s">
        <v>45</v>
      </c>
      <c r="B104" s="34">
        <v>6</v>
      </c>
      <c r="C104" s="34">
        <v>90</v>
      </c>
      <c r="D104" s="35">
        <v>23</v>
      </c>
      <c r="E104" s="35">
        <v>25.2</v>
      </c>
      <c r="F104" s="55">
        <v>46</v>
      </c>
    </row>
    <row r="105" spans="1:6" s="100" customFormat="1" ht="21" customHeight="1">
      <c r="A105" s="33" t="s">
        <v>45</v>
      </c>
      <c r="B105" s="34">
        <v>6</v>
      </c>
      <c r="C105" s="34">
        <v>91</v>
      </c>
      <c r="D105" s="35">
        <v>24</v>
      </c>
      <c r="E105" s="35">
        <v>26.2</v>
      </c>
      <c r="F105" s="55">
        <v>48</v>
      </c>
    </row>
    <row r="106" spans="1:6" s="100" customFormat="1" ht="21" customHeight="1">
      <c r="A106" s="33" t="s">
        <v>45</v>
      </c>
      <c r="B106" s="34">
        <v>6</v>
      </c>
      <c r="C106" s="34">
        <v>92</v>
      </c>
      <c r="D106" s="35">
        <v>24</v>
      </c>
      <c r="E106" s="35">
        <v>26.2</v>
      </c>
      <c r="F106" s="55">
        <v>48</v>
      </c>
    </row>
    <row r="107" spans="1:6" s="100" customFormat="1" ht="21" customHeight="1">
      <c r="A107" s="33" t="s">
        <v>45</v>
      </c>
      <c r="B107" s="34">
        <v>6</v>
      </c>
      <c r="C107" s="34">
        <v>93</v>
      </c>
      <c r="D107" s="35">
        <v>22.1</v>
      </c>
      <c r="E107" s="35">
        <v>24.3</v>
      </c>
      <c r="F107" s="55">
        <v>44</v>
      </c>
    </row>
    <row r="108" spans="1:6" s="100" customFormat="1" ht="21" customHeight="1">
      <c r="A108" s="33" t="s">
        <v>45</v>
      </c>
      <c r="B108" s="34">
        <v>6</v>
      </c>
      <c r="C108" s="34">
        <v>94</v>
      </c>
      <c r="D108" s="35">
        <v>23.7</v>
      </c>
      <c r="E108" s="35">
        <v>25.9</v>
      </c>
      <c r="F108" s="55">
        <v>47</v>
      </c>
    </row>
    <row r="109" spans="1:6" s="100" customFormat="1" ht="21" customHeight="1">
      <c r="A109" s="33" t="s">
        <v>45</v>
      </c>
      <c r="B109" s="34">
        <v>6</v>
      </c>
      <c r="C109" s="34">
        <v>95</v>
      </c>
      <c r="D109" s="35">
        <v>24.1</v>
      </c>
      <c r="E109" s="35">
        <v>26.3</v>
      </c>
      <c r="F109" s="55">
        <v>48</v>
      </c>
    </row>
    <row r="110" spans="1:6" s="100" customFormat="1" ht="21" customHeight="1">
      <c r="A110" s="109" t="s">
        <v>55</v>
      </c>
      <c r="B110" s="110"/>
      <c r="C110" s="110" t="s">
        <v>50</v>
      </c>
      <c r="D110" s="111">
        <f>SUM(D100:D109)</f>
        <v>232.7</v>
      </c>
      <c r="E110" s="111">
        <f>SUM(E100:E109)</f>
        <v>254.70000000000002</v>
      </c>
      <c r="F110" s="112">
        <f>SUM(F100:F109)</f>
        <v>464</v>
      </c>
    </row>
    <row r="111" spans="1:6" s="100" customFormat="1" ht="21" customHeight="1">
      <c r="A111" s="33" t="s">
        <v>45</v>
      </c>
      <c r="B111" s="34">
        <v>7</v>
      </c>
      <c r="C111" s="34">
        <v>96</v>
      </c>
      <c r="D111" s="35">
        <v>23.3</v>
      </c>
      <c r="E111" s="35">
        <v>25.5</v>
      </c>
      <c r="F111" s="55">
        <v>47</v>
      </c>
    </row>
    <row r="112" spans="1:6" s="100" customFormat="1" ht="21" customHeight="1">
      <c r="A112" s="33" t="s">
        <v>45</v>
      </c>
      <c r="B112" s="34">
        <v>7</v>
      </c>
      <c r="C112" s="34">
        <v>97</v>
      </c>
      <c r="D112" s="35">
        <v>23.1</v>
      </c>
      <c r="E112" s="35">
        <v>25.3</v>
      </c>
      <c r="F112" s="55">
        <v>46</v>
      </c>
    </row>
    <row r="113" spans="1:6" s="100" customFormat="1" ht="21" customHeight="1">
      <c r="A113" s="33" t="s">
        <v>45</v>
      </c>
      <c r="B113" s="34">
        <v>7</v>
      </c>
      <c r="C113" s="34">
        <v>98</v>
      </c>
      <c r="D113" s="35">
        <v>19.8</v>
      </c>
      <c r="E113" s="35">
        <v>22</v>
      </c>
      <c r="F113" s="55">
        <v>40</v>
      </c>
    </row>
    <row r="114" spans="1:6" s="100" customFormat="1" ht="21" customHeight="1">
      <c r="A114" s="33" t="s">
        <v>45</v>
      </c>
      <c r="B114" s="34">
        <v>7</v>
      </c>
      <c r="C114" s="34">
        <v>99</v>
      </c>
      <c r="D114" s="35">
        <v>21.6</v>
      </c>
      <c r="E114" s="35">
        <v>23.8</v>
      </c>
      <c r="F114" s="55">
        <v>43</v>
      </c>
    </row>
    <row r="115" spans="1:6" s="100" customFormat="1" ht="21" customHeight="1">
      <c r="A115" s="33" t="s">
        <v>45</v>
      </c>
      <c r="B115" s="34">
        <v>7</v>
      </c>
      <c r="C115" s="34">
        <v>100</v>
      </c>
      <c r="D115" s="35">
        <v>21.5</v>
      </c>
      <c r="E115" s="35">
        <v>23.7</v>
      </c>
      <c r="F115" s="55">
        <v>43</v>
      </c>
    </row>
    <row r="116" spans="1:6" s="100" customFormat="1" ht="21" customHeight="1">
      <c r="A116" s="33" t="s">
        <v>45</v>
      </c>
      <c r="B116" s="34">
        <v>7</v>
      </c>
      <c r="C116" s="34">
        <v>101</v>
      </c>
      <c r="D116" s="35">
        <v>23.9</v>
      </c>
      <c r="E116" s="35">
        <v>26.1</v>
      </c>
      <c r="F116" s="55">
        <v>48</v>
      </c>
    </row>
    <row r="117" spans="1:6" s="100" customFormat="1" ht="21" customHeight="1">
      <c r="A117" s="33" t="s">
        <v>45</v>
      </c>
      <c r="B117" s="34">
        <v>7</v>
      </c>
      <c r="C117" s="34">
        <v>102</v>
      </c>
      <c r="D117" s="35">
        <v>18.899999999999999</v>
      </c>
      <c r="E117" s="35">
        <v>21.1</v>
      </c>
      <c r="F117" s="55">
        <v>38</v>
      </c>
    </row>
    <row r="118" spans="1:6" s="100" customFormat="1" ht="21" customHeight="1">
      <c r="A118" s="33" t="s">
        <v>45</v>
      </c>
      <c r="B118" s="34">
        <v>7</v>
      </c>
      <c r="C118" s="34">
        <v>103</v>
      </c>
      <c r="D118" s="35">
        <v>20.100000000000001</v>
      </c>
      <c r="E118" s="35">
        <v>22.3</v>
      </c>
      <c r="F118" s="55">
        <v>40</v>
      </c>
    </row>
    <row r="119" spans="1:6" s="100" customFormat="1" ht="21" customHeight="1">
      <c r="A119" s="33" t="s">
        <v>45</v>
      </c>
      <c r="B119" s="34">
        <v>7</v>
      </c>
      <c r="C119" s="34">
        <v>104</v>
      </c>
      <c r="D119" s="35">
        <v>15.4</v>
      </c>
      <c r="E119" s="35">
        <v>18.100000000000001</v>
      </c>
      <c r="F119" s="55">
        <v>31</v>
      </c>
    </row>
    <row r="120" spans="1:6" s="100" customFormat="1" ht="21" customHeight="1">
      <c r="A120" s="109" t="s">
        <v>56</v>
      </c>
      <c r="B120" s="110"/>
      <c r="C120" s="110" t="s">
        <v>58</v>
      </c>
      <c r="D120" s="111">
        <f>SUM(D111:D119)</f>
        <v>187.60000000000002</v>
      </c>
      <c r="E120" s="111">
        <f>SUM(E111:E119)</f>
        <v>207.9</v>
      </c>
      <c r="F120" s="112">
        <f>SUM(F111:F119)</f>
        <v>376</v>
      </c>
    </row>
    <row r="121" spans="1:6" s="100" customFormat="1" ht="21" customHeight="1">
      <c r="A121" s="33" t="s">
        <v>59</v>
      </c>
      <c r="B121" s="34">
        <v>8</v>
      </c>
      <c r="C121" s="34">
        <v>105</v>
      </c>
      <c r="D121" s="35">
        <v>19.899999999999999</v>
      </c>
      <c r="E121" s="35">
        <v>22.6</v>
      </c>
      <c r="F121" s="55">
        <v>40</v>
      </c>
    </row>
    <row r="122" spans="1:6" s="100" customFormat="1" ht="21" customHeight="1">
      <c r="A122" s="33" t="s">
        <v>45</v>
      </c>
      <c r="B122" s="34">
        <v>8</v>
      </c>
      <c r="C122" s="34">
        <v>106</v>
      </c>
      <c r="D122" s="35">
        <v>21.9</v>
      </c>
      <c r="E122" s="35">
        <v>24.7</v>
      </c>
      <c r="F122" s="55">
        <v>44</v>
      </c>
    </row>
    <row r="123" spans="1:6" s="100" customFormat="1" ht="21" customHeight="1">
      <c r="A123" s="33" t="s">
        <v>45</v>
      </c>
      <c r="B123" s="34">
        <v>8</v>
      </c>
      <c r="C123" s="34">
        <v>107</v>
      </c>
      <c r="D123" s="35">
        <v>23.9</v>
      </c>
      <c r="E123" s="35">
        <v>26.7</v>
      </c>
      <c r="F123" s="55">
        <v>48</v>
      </c>
    </row>
    <row r="124" spans="1:6" s="100" customFormat="1" ht="21" customHeight="1">
      <c r="A124" s="33" t="s">
        <v>45</v>
      </c>
      <c r="B124" s="34">
        <v>8</v>
      </c>
      <c r="C124" s="34">
        <v>108</v>
      </c>
      <c r="D124" s="35">
        <v>23.7</v>
      </c>
      <c r="E124" s="35">
        <v>26.5</v>
      </c>
      <c r="F124" s="55">
        <v>47</v>
      </c>
    </row>
    <row r="125" spans="1:6" s="100" customFormat="1" ht="21" customHeight="1">
      <c r="A125" s="33" t="s">
        <v>45</v>
      </c>
      <c r="B125" s="34">
        <v>8</v>
      </c>
      <c r="C125" s="34">
        <v>109</v>
      </c>
      <c r="D125" s="35">
        <v>20.399999999999999</v>
      </c>
      <c r="E125" s="35">
        <v>23.2</v>
      </c>
      <c r="F125" s="55">
        <v>41</v>
      </c>
    </row>
    <row r="126" spans="1:6" s="100" customFormat="1" ht="21" customHeight="1">
      <c r="A126" s="33" t="s">
        <v>45</v>
      </c>
      <c r="B126" s="34">
        <v>8</v>
      </c>
      <c r="C126" s="101">
        <v>110</v>
      </c>
      <c r="D126" s="35">
        <v>23.7</v>
      </c>
      <c r="E126" s="35">
        <v>26.5</v>
      </c>
      <c r="F126" s="55">
        <v>47</v>
      </c>
    </row>
    <row r="127" spans="1:6" s="100" customFormat="1" ht="21" customHeight="1">
      <c r="A127" s="33" t="s">
        <v>45</v>
      </c>
      <c r="B127" s="34">
        <v>8</v>
      </c>
      <c r="C127" s="34">
        <v>111</v>
      </c>
      <c r="D127" s="35">
        <v>16.7</v>
      </c>
      <c r="E127" s="35">
        <v>19.5</v>
      </c>
      <c r="F127" s="55">
        <v>33</v>
      </c>
    </row>
    <row r="128" spans="1:6" s="100" customFormat="1" ht="21" customHeight="1">
      <c r="A128" s="33" t="s">
        <v>45</v>
      </c>
      <c r="B128" s="34">
        <v>8</v>
      </c>
      <c r="C128" s="34">
        <v>112</v>
      </c>
      <c r="D128" s="35">
        <v>22.7</v>
      </c>
      <c r="E128" s="35">
        <v>25.5</v>
      </c>
      <c r="F128" s="55">
        <v>45</v>
      </c>
    </row>
    <row r="129" spans="1:6" s="100" customFormat="1" ht="21" customHeight="1">
      <c r="A129" s="33" t="s">
        <v>45</v>
      </c>
      <c r="B129" s="34">
        <v>8</v>
      </c>
      <c r="C129" s="34">
        <v>113</v>
      </c>
      <c r="D129" s="35">
        <v>16.399999999999999</v>
      </c>
      <c r="E129" s="35">
        <v>19.2</v>
      </c>
      <c r="F129" s="55">
        <v>33</v>
      </c>
    </row>
    <row r="130" spans="1:6" s="100" customFormat="1" ht="21" customHeight="1">
      <c r="A130" s="109" t="s">
        <v>57</v>
      </c>
      <c r="B130" s="110"/>
      <c r="C130" s="110" t="s">
        <v>58</v>
      </c>
      <c r="D130" s="111">
        <f>SUM(D121:D129)</f>
        <v>189.29999999999995</v>
      </c>
      <c r="E130" s="111">
        <f>SUM(E121:E129)</f>
        <v>214.39999999999998</v>
      </c>
      <c r="F130" s="112">
        <f>SUM(F121:F129)</f>
        <v>378</v>
      </c>
    </row>
    <row r="131" spans="1:6" s="100" customFormat="1" ht="21" customHeight="1">
      <c r="A131" s="113" t="s">
        <v>60</v>
      </c>
      <c r="B131" s="114"/>
      <c r="C131" s="115">
        <f>C130+C120+C110+C99+C88+C57+C46+C35</f>
        <v>113</v>
      </c>
      <c r="D131" s="116">
        <f>D130+D120+D110+D99+D88+D57+D46+D35</f>
        <v>2592.1999999999998</v>
      </c>
      <c r="E131" s="116">
        <f>E130+E120+E110+E99+E88+E57+E46+E35</f>
        <v>2846.6</v>
      </c>
      <c r="F131" s="117">
        <f>F130+F120+F110+F99+F88+F57+F46+F35</f>
        <v>5189</v>
      </c>
    </row>
    <row r="132" spans="1:6" s="100" customFormat="1" ht="21" customHeight="1">
      <c r="A132" s="33" t="s">
        <v>61</v>
      </c>
      <c r="B132" s="34">
        <v>1</v>
      </c>
      <c r="C132" s="34">
        <v>1</v>
      </c>
      <c r="D132" s="35">
        <v>24.1</v>
      </c>
      <c r="E132" s="35">
        <v>26</v>
      </c>
      <c r="F132" s="55">
        <v>45</v>
      </c>
    </row>
    <row r="133" spans="1:6" s="100" customFormat="1" ht="21" customHeight="1">
      <c r="A133" s="33" t="s">
        <v>61</v>
      </c>
      <c r="B133" s="34">
        <v>1</v>
      </c>
      <c r="C133" s="34">
        <v>2</v>
      </c>
      <c r="D133" s="35">
        <v>24.2</v>
      </c>
      <c r="E133" s="35">
        <v>26.1</v>
      </c>
      <c r="F133" s="55">
        <v>45</v>
      </c>
    </row>
    <row r="134" spans="1:6" s="100" customFormat="1" ht="21" customHeight="1">
      <c r="A134" s="33" t="s">
        <v>61</v>
      </c>
      <c r="B134" s="34">
        <v>1</v>
      </c>
      <c r="C134" s="34">
        <v>5</v>
      </c>
      <c r="D134" s="35">
        <v>20.5</v>
      </c>
      <c r="E134" s="35">
        <v>22.4</v>
      </c>
      <c r="F134" s="55">
        <v>41</v>
      </c>
    </row>
    <row r="135" spans="1:6" s="100" customFormat="1" ht="21" customHeight="1">
      <c r="A135" s="33" t="s">
        <v>61</v>
      </c>
      <c r="B135" s="34">
        <v>1</v>
      </c>
      <c r="C135" s="34">
        <v>6</v>
      </c>
      <c r="D135" s="35">
        <v>23.8</v>
      </c>
      <c r="E135" s="35">
        <v>25.7</v>
      </c>
      <c r="F135" s="55">
        <v>48</v>
      </c>
    </row>
    <row r="136" spans="1:6" s="100" customFormat="1" ht="21" customHeight="1">
      <c r="A136" s="33" t="s">
        <v>61</v>
      </c>
      <c r="B136" s="34">
        <v>1</v>
      </c>
      <c r="C136" s="34">
        <v>7</v>
      </c>
      <c r="D136" s="35">
        <v>23.9</v>
      </c>
      <c r="E136" s="35">
        <v>25.8</v>
      </c>
      <c r="F136" s="55">
        <v>48</v>
      </c>
    </row>
    <row r="137" spans="1:6" s="100" customFormat="1" ht="21" customHeight="1">
      <c r="A137" s="33" t="s">
        <v>61</v>
      </c>
      <c r="B137" s="34">
        <v>1</v>
      </c>
      <c r="C137" s="34">
        <v>8</v>
      </c>
      <c r="D137" s="35">
        <v>23.9</v>
      </c>
      <c r="E137" s="35">
        <v>25.8</v>
      </c>
      <c r="F137" s="55">
        <v>48</v>
      </c>
    </row>
    <row r="138" spans="1:6" s="100" customFormat="1" ht="21" customHeight="1">
      <c r="A138" s="33" t="s">
        <v>61</v>
      </c>
      <c r="B138" s="34">
        <v>1</v>
      </c>
      <c r="C138" s="34">
        <v>9</v>
      </c>
      <c r="D138" s="35">
        <v>21.4</v>
      </c>
      <c r="E138" s="35">
        <v>23.3</v>
      </c>
      <c r="F138" s="55">
        <v>43</v>
      </c>
    </row>
    <row r="139" spans="1:6" s="100" customFormat="1" ht="21" customHeight="1">
      <c r="A139" s="33" t="s">
        <v>61</v>
      </c>
      <c r="B139" s="34">
        <v>1</v>
      </c>
      <c r="C139" s="34">
        <v>10</v>
      </c>
      <c r="D139" s="35">
        <v>20.7</v>
      </c>
      <c r="E139" s="35">
        <v>22.6</v>
      </c>
      <c r="F139" s="55">
        <v>41</v>
      </c>
    </row>
    <row r="140" spans="1:6" s="100" customFormat="1" ht="21" customHeight="1">
      <c r="A140" s="33" t="s">
        <v>61</v>
      </c>
      <c r="B140" s="34">
        <v>1</v>
      </c>
      <c r="C140" s="34">
        <v>11</v>
      </c>
      <c r="D140" s="35">
        <v>23.3</v>
      </c>
      <c r="E140" s="35">
        <v>25.2</v>
      </c>
      <c r="F140" s="55">
        <v>47</v>
      </c>
    </row>
    <row r="141" spans="1:6" s="100" customFormat="1" ht="21" customHeight="1">
      <c r="A141" s="33" t="s">
        <v>61</v>
      </c>
      <c r="B141" s="34">
        <v>1</v>
      </c>
      <c r="C141" s="34">
        <v>12</v>
      </c>
      <c r="D141" s="35">
        <v>23.8</v>
      </c>
      <c r="E141" s="35">
        <v>25.7</v>
      </c>
      <c r="F141" s="55">
        <v>48</v>
      </c>
    </row>
    <row r="142" spans="1:6" s="100" customFormat="1" ht="21" customHeight="1">
      <c r="A142" s="33" t="s">
        <v>61</v>
      </c>
      <c r="B142" s="34">
        <v>1</v>
      </c>
      <c r="C142" s="34">
        <v>13</v>
      </c>
      <c r="D142" s="35">
        <v>23.9</v>
      </c>
      <c r="E142" s="35">
        <v>25.8</v>
      </c>
      <c r="F142" s="55">
        <v>48</v>
      </c>
    </row>
    <row r="143" spans="1:6" s="100" customFormat="1" ht="21" customHeight="1">
      <c r="A143" s="33" t="s">
        <v>61</v>
      </c>
      <c r="B143" s="34">
        <v>1</v>
      </c>
      <c r="C143" s="34">
        <v>14</v>
      </c>
      <c r="D143" s="35">
        <v>24.2</v>
      </c>
      <c r="E143" s="35">
        <v>26.1</v>
      </c>
      <c r="F143" s="55">
        <v>48</v>
      </c>
    </row>
    <row r="144" spans="1:6" s="100" customFormat="1" ht="21" customHeight="1">
      <c r="A144" s="33" t="s">
        <v>61</v>
      </c>
      <c r="B144" s="34">
        <v>1</v>
      </c>
      <c r="C144" s="34">
        <v>15</v>
      </c>
      <c r="D144" s="35">
        <v>24</v>
      </c>
      <c r="E144" s="35">
        <v>25.9</v>
      </c>
      <c r="F144" s="55">
        <v>48</v>
      </c>
    </row>
    <row r="145" spans="1:6" s="100" customFormat="1" ht="21" customHeight="1">
      <c r="A145" s="33" t="s">
        <v>61</v>
      </c>
      <c r="B145" s="34">
        <v>1</v>
      </c>
      <c r="C145" s="34">
        <v>16</v>
      </c>
      <c r="D145" s="35">
        <v>14.2</v>
      </c>
      <c r="E145" s="35">
        <v>16.100000000000001</v>
      </c>
      <c r="F145" s="55">
        <v>28</v>
      </c>
    </row>
    <row r="146" spans="1:6" s="100" customFormat="1" ht="21" customHeight="1">
      <c r="A146" s="33" t="s">
        <v>61</v>
      </c>
      <c r="B146" s="34">
        <v>1</v>
      </c>
      <c r="C146" s="34">
        <v>17</v>
      </c>
      <c r="D146" s="35">
        <v>24.2</v>
      </c>
      <c r="E146" s="35">
        <v>26.1</v>
      </c>
      <c r="F146" s="55">
        <v>48</v>
      </c>
    </row>
    <row r="147" spans="1:6" s="100" customFormat="1" ht="21" customHeight="1">
      <c r="A147" s="33" t="s">
        <v>61</v>
      </c>
      <c r="B147" s="34">
        <v>1</v>
      </c>
      <c r="C147" s="34">
        <v>18</v>
      </c>
      <c r="D147" s="35">
        <v>24.1</v>
      </c>
      <c r="E147" s="35">
        <v>26</v>
      </c>
      <c r="F147" s="55">
        <v>48</v>
      </c>
    </row>
    <row r="148" spans="1:6" s="100" customFormat="1" ht="21" customHeight="1">
      <c r="A148" s="33" t="s">
        <v>61</v>
      </c>
      <c r="B148" s="34">
        <v>1</v>
      </c>
      <c r="C148" s="34">
        <v>19</v>
      </c>
      <c r="D148" s="35">
        <v>24</v>
      </c>
      <c r="E148" s="35">
        <v>25.9</v>
      </c>
      <c r="F148" s="55">
        <v>48</v>
      </c>
    </row>
    <row r="149" spans="1:6" s="100" customFormat="1" ht="21" customHeight="1">
      <c r="A149" s="33" t="s">
        <v>61</v>
      </c>
      <c r="B149" s="34">
        <v>1</v>
      </c>
      <c r="C149" s="34">
        <v>20</v>
      </c>
      <c r="D149" s="35">
        <v>23.9</v>
      </c>
      <c r="E149" s="35">
        <v>25.8</v>
      </c>
      <c r="F149" s="55">
        <v>48</v>
      </c>
    </row>
    <row r="150" spans="1:6" s="100" customFormat="1" ht="21" customHeight="1">
      <c r="A150" s="109" t="s">
        <v>47</v>
      </c>
      <c r="B150" s="110"/>
      <c r="C150" s="110" t="s">
        <v>63</v>
      </c>
      <c r="D150" s="111">
        <f>SUM(D132:D149)</f>
        <v>412.1</v>
      </c>
      <c r="E150" s="111">
        <f>SUM(E132:E149)</f>
        <v>446.3</v>
      </c>
      <c r="F150" s="112">
        <f>SUM(F132:F149)</f>
        <v>818</v>
      </c>
    </row>
    <row r="151" spans="1:6" s="100" customFormat="1" ht="21" customHeight="1">
      <c r="A151" s="33" t="s">
        <v>61</v>
      </c>
      <c r="B151" s="34" t="s">
        <v>64</v>
      </c>
      <c r="C151" s="34">
        <v>22</v>
      </c>
      <c r="D151" s="35">
        <v>22.9</v>
      </c>
      <c r="E151" s="35">
        <v>24.8</v>
      </c>
      <c r="F151" s="55">
        <v>46</v>
      </c>
    </row>
    <row r="152" spans="1:6" s="100" customFormat="1" ht="21" customHeight="1">
      <c r="A152" s="109" t="s">
        <v>49</v>
      </c>
      <c r="B152" s="110"/>
      <c r="C152" s="110" t="s">
        <v>62</v>
      </c>
      <c r="D152" s="111">
        <f>SUM(D151)</f>
        <v>22.9</v>
      </c>
      <c r="E152" s="111">
        <f>SUM(E151)</f>
        <v>24.8</v>
      </c>
      <c r="F152" s="112">
        <f>SUM(F151)</f>
        <v>46</v>
      </c>
    </row>
    <row r="153" spans="1:6" s="100" customFormat="1" ht="21" customHeight="1">
      <c r="A153" s="33" t="s">
        <v>61</v>
      </c>
      <c r="B153" s="34">
        <v>3</v>
      </c>
      <c r="C153" s="34">
        <v>23</v>
      </c>
      <c r="D153" s="35">
        <v>24.1</v>
      </c>
      <c r="E153" s="35">
        <v>26</v>
      </c>
      <c r="F153" s="55">
        <v>48</v>
      </c>
    </row>
    <row r="154" spans="1:6" s="100" customFormat="1" ht="21" customHeight="1">
      <c r="A154" s="33" t="s">
        <v>61</v>
      </c>
      <c r="B154" s="34">
        <v>3</v>
      </c>
      <c r="C154" s="34">
        <v>24</v>
      </c>
      <c r="D154" s="35">
        <v>23</v>
      </c>
      <c r="E154" s="35">
        <v>24.9</v>
      </c>
      <c r="F154" s="55">
        <v>46</v>
      </c>
    </row>
    <row r="155" spans="1:6" s="100" customFormat="1" ht="21" customHeight="1">
      <c r="A155" s="33" t="s">
        <v>61</v>
      </c>
      <c r="B155" s="34">
        <v>3</v>
      </c>
      <c r="C155" s="34">
        <v>25</v>
      </c>
      <c r="D155" s="35">
        <v>14.6</v>
      </c>
      <c r="E155" s="35">
        <v>16.5</v>
      </c>
      <c r="F155" s="55">
        <v>29</v>
      </c>
    </row>
    <row r="156" spans="1:6" s="100" customFormat="1" ht="21" customHeight="1">
      <c r="A156" s="33" t="s">
        <v>61</v>
      </c>
      <c r="B156" s="34">
        <v>3</v>
      </c>
      <c r="C156" s="34">
        <v>26</v>
      </c>
      <c r="D156" s="35">
        <v>24.2</v>
      </c>
      <c r="E156" s="35">
        <v>26.1</v>
      </c>
      <c r="F156" s="55">
        <v>48</v>
      </c>
    </row>
    <row r="157" spans="1:6" s="100" customFormat="1" ht="21" customHeight="1">
      <c r="A157" s="33" t="s">
        <v>61</v>
      </c>
      <c r="B157" s="34">
        <v>3</v>
      </c>
      <c r="C157" s="34">
        <v>27</v>
      </c>
      <c r="D157" s="35">
        <v>23.5</v>
      </c>
      <c r="E157" s="35">
        <v>25.4</v>
      </c>
      <c r="F157" s="55">
        <v>47</v>
      </c>
    </row>
    <row r="158" spans="1:6" s="100" customFormat="1" ht="21" customHeight="1">
      <c r="A158" s="33" t="s">
        <v>61</v>
      </c>
      <c r="B158" s="34">
        <v>3</v>
      </c>
      <c r="C158" s="34">
        <v>28</v>
      </c>
      <c r="D158" s="35">
        <v>22.9</v>
      </c>
      <c r="E158" s="35">
        <v>24.8</v>
      </c>
      <c r="F158" s="55">
        <v>46</v>
      </c>
    </row>
    <row r="159" spans="1:6" s="100" customFormat="1" ht="21" customHeight="1">
      <c r="A159" s="33" t="s">
        <v>61</v>
      </c>
      <c r="B159" s="34">
        <v>3</v>
      </c>
      <c r="C159" s="34">
        <v>29</v>
      </c>
      <c r="D159" s="35">
        <v>22.5</v>
      </c>
      <c r="E159" s="35">
        <v>24.4</v>
      </c>
      <c r="F159" s="55">
        <v>45</v>
      </c>
    </row>
    <row r="160" spans="1:6" s="100" customFormat="1" ht="21" customHeight="1">
      <c r="A160" s="33" t="s">
        <v>61</v>
      </c>
      <c r="B160" s="34">
        <v>3</v>
      </c>
      <c r="C160" s="34">
        <v>30</v>
      </c>
      <c r="D160" s="35">
        <v>23.6</v>
      </c>
      <c r="E160" s="35">
        <v>25.5</v>
      </c>
      <c r="F160" s="55">
        <v>47</v>
      </c>
    </row>
    <row r="161" spans="1:6" s="100" customFormat="1" ht="21" customHeight="1">
      <c r="A161" s="33" t="s">
        <v>61</v>
      </c>
      <c r="B161" s="34">
        <v>3</v>
      </c>
      <c r="C161" s="34">
        <v>31</v>
      </c>
      <c r="D161" s="35">
        <v>23.2</v>
      </c>
      <c r="E161" s="35">
        <v>25.1</v>
      </c>
      <c r="F161" s="55">
        <v>46</v>
      </c>
    </row>
    <row r="162" spans="1:6" s="100" customFormat="1" ht="21" customHeight="1">
      <c r="A162" s="33" t="s">
        <v>61</v>
      </c>
      <c r="B162" s="34">
        <v>3</v>
      </c>
      <c r="C162" s="101">
        <v>32</v>
      </c>
      <c r="D162" s="35">
        <v>16</v>
      </c>
      <c r="E162" s="35">
        <v>17.899999999999999</v>
      </c>
      <c r="F162" s="55">
        <v>32</v>
      </c>
    </row>
    <row r="163" spans="1:6" s="100" customFormat="1" ht="21" customHeight="1">
      <c r="A163" s="33" t="s">
        <v>61</v>
      </c>
      <c r="B163" s="34">
        <v>3</v>
      </c>
      <c r="C163" s="34">
        <v>33</v>
      </c>
      <c r="D163" s="35">
        <v>15.2</v>
      </c>
      <c r="E163" s="35">
        <v>17.100000000000001</v>
      </c>
      <c r="F163" s="55">
        <v>30</v>
      </c>
    </row>
    <row r="164" spans="1:6" s="100" customFormat="1" ht="21" customHeight="1">
      <c r="A164" s="33" t="s">
        <v>61</v>
      </c>
      <c r="B164" s="34">
        <v>3</v>
      </c>
      <c r="C164" s="34">
        <v>34</v>
      </c>
      <c r="D164" s="35">
        <v>21.1</v>
      </c>
      <c r="E164" s="35">
        <v>23</v>
      </c>
      <c r="F164" s="55">
        <v>42</v>
      </c>
    </row>
    <row r="165" spans="1:6" s="100" customFormat="1" ht="21" customHeight="1">
      <c r="A165" s="33" t="s">
        <v>61</v>
      </c>
      <c r="B165" s="34">
        <v>3</v>
      </c>
      <c r="C165" s="34">
        <v>37</v>
      </c>
      <c r="D165" s="35">
        <v>24.1</v>
      </c>
      <c r="E165" s="35">
        <v>26</v>
      </c>
      <c r="F165" s="55">
        <v>48</v>
      </c>
    </row>
    <row r="166" spans="1:6" s="100" customFormat="1" ht="21" customHeight="1">
      <c r="A166" s="109" t="s">
        <v>51</v>
      </c>
      <c r="B166" s="110"/>
      <c r="C166" s="110" t="s">
        <v>65</v>
      </c>
      <c r="D166" s="111">
        <f>SUM(D153:D165)</f>
        <v>278</v>
      </c>
      <c r="E166" s="111">
        <f>SUM(E153:E165)</f>
        <v>302.70000000000005</v>
      </c>
      <c r="F166" s="112">
        <f>SUM(F153:F165)</f>
        <v>554</v>
      </c>
    </row>
    <row r="167" spans="1:6" s="100" customFormat="1" ht="21" customHeight="1">
      <c r="A167" s="33" t="s">
        <v>61</v>
      </c>
      <c r="B167" s="34">
        <v>4</v>
      </c>
      <c r="C167" s="34">
        <v>39</v>
      </c>
      <c r="D167" s="35">
        <v>17.2</v>
      </c>
      <c r="E167" s="35">
        <v>19.100000000000001</v>
      </c>
      <c r="F167" s="55">
        <v>34</v>
      </c>
    </row>
    <row r="168" spans="1:6" s="100" customFormat="1" ht="21" customHeight="1">
      <c r="A168" s="33" t="s">
        <v>61</v>
      </c>
      <c r="B168" s="34">
        <v>4</v>
      </c>
      <c r="C168" s="34">
        <v>40</v>
      </c>
      <c r="D168" s="35">
        <v>20.8</v>
      </c>
      <c r="E168" s="35">
        <v>22.7</v>
      </c>
      <c r="F168" s="55">
        <v>42</v>
      </c>
    </row>
    <row r="169" spans="1:6" s="100" customFormat="1" ht="21" customHeight="1">
      <c r="A169" s="33" t="s">
        <v>61</v>
      </c>
      <c r="B169" s="34">
        <v>4</v>
      </c>
      <c r="C169" s="34">
        <v>42</v>
      </c>
      <c r="D169" s="35">
        <v>23</v>
      </c>
      <c r="E169" s="35">
        <v>24.9</v>
      </c>
      <c r="F169" s="55">
        <v>46</v>
      </c>
    </row>
    <row r="170" spans="1:6" s="100" customFormat="1" ht="21" customHeight="1">
      <c r="A170" s="33" t="s">
        <v>61</v>
      </c>
      <c r="B170" s="34">
        <v>4</v>
      </c>
      <c r="C170" s="34">
        <v>43</v>
      </c>
      <c r="D170" s="35">
        <v>22</v>
      </c>
      <c r="E170" s="35">
        <v>23.9</v>
      </c>
      <c r="F170" s="55">
        <v>44</v>
      </c>
    </row>
    <row r="171" spans="1:6" s="100" customFormat="1" ht="21" customHeight="1">
      <c r="A171" s="33" t="s">
        <v>61</v>
      </c>
      <c r="B171" s="34">
        <v>4</v>
      </c>
      <c r="C171" s="34">
        <v>44</v>
      </c>
      <c r="D171" s="35">
        <v>21.5</v>
      </c>
      <c r="E171" s="35">
        <v>23.4</v>
      </c>
      <c r="F171" s="55">
        <v>43</v>
      </c>
    </row>
    <row r="172" spans="1:6" s="100" customFormat="1" ht="21" customHeight="1">
      <c r="A172" s="33" t="s">
        <v>61</v>
      </c>
      <c r="B172" s="34">
        <v>4</v>
      </c>
      <c r="C172" s="34">
        <v>45</v>
      </c>
      <c r="D172" s="35">
        <v>23.8</v>
      </c>
      <c r="E172" s="35">
        <v>25.7</v>
      </c>
      <c r="F172" s="55">
        <v>48</v>
      </c>
    </row>
    <row r="173" spans="1:6" s="100" customFormat="1" ht="21" customHeight="1">
      <c r="A173" s="33" t="s">
        <v>61</v>
      </c>
      <c r="B173" s="34">
        <v>4</v>
      </c>
      <c r="C173" s="34">
        <v>46</v>
      </c>
      <c r="D173" s="35">
        <v>13.3</v>
      </c>
      <c r="E173" s="35">
        <v>15.2</v>
      </c>
      <c r="F173" s="55">
        <v>27</v>
      </c>
    </row>
    <row r="174" spans="1:6" s="100" customFormat="1" ht="21" customHeight="1">
      <c r="A174" s="33" t="s">
        <v>61</v>
      </c>
      <c r="B174" s="34">
        <v>4</v>
      </c>
      <c r="C174" s="34">
        <v>47</v>
      </c>
      <c r="D174" s="35">
        <v>15.6</v>
      </c>
      <c r="E174" s="35">
        <v>17.5</v>
      </c>
      <c r="F174" s="55">
        <v>31</v>
      </c>
    </row>
    <row r="175" spans="1:6" s="100" customFormat="1" ht="21" customHeight="1">
      <c r="A175" s="33" t="s">
        <v>61</v>
      </c>
      <c r="B175" s="34">
        <v>4</v>
      </c>
      <c r="C175" s="34">
        <v>48</v>
      </c>
      <c r="D175" s="35">
        <v>22.7</v>
      </c>
      <c r="E175" s="35">
        <v>24.6</v>
      </c>
      <c r="F175" s="55">
        <v>45</v>
      </c>
    </row>
    <row r="176" spans="1:6" s="100" customFormat="1" ht="21" customHeight="1">
      <c r="A176" s="33" t="s">
        <v>61</v>
      </c>
      <c r="B176" s="34">
        <v>4</v>
      </c>
      <c r="C176" s="34">
        <v>49</v>
      </c>
      <c r="D176" s="35">
        <v>22.6</v>
      </c>
      <c r="E176" s="35">
        <v>24.5</v>
      </c>
      <c r="F176" s="55">
        <v>45</v>
      </c>
    </row>
    <row r="177" spans="1:6" s="100" customFormat="1" ht="21" customHeight="1">
      <c r="A177" s="33" t="s">
        <v>61</v>
      </c>
      <c r="B177" s="34">
        <v>4</v>
      </c>
      <c r="C177" s="34">
        <v>50</v>
      </c>
      <c r="D177" s="35">
        <v>22.4</v>
      </c>
      <c r="E177" s="35">
        <v>24.3</v>
      </c>
      <c r="F177" s="55">
        <v>45</v>
      </c>
    </row>
    <row r="178" spans="1:6" s="100" customFormat="1" ht="21" customHeight="1">
      <c r="A178" s="33" t="s">
        <v>61</v>
      </c>
      <c r="B178" s="34">
        <v>4</v>
      </c>
      <c r="C178" s="34">
        <v>51</v>
      </c>
      <c r="D178" s="35">
        <v>14.1</v>
      </c>
      <c r="E178" s="35">
        <v>16</v>
      </c>
      <c r="F178" s="55">
        <v>28</v>
      </c>
    </row>
    <row r="179" spans="1:6" s="100" customFormat="1" ht="21" customHeight="1">
      <c r="A179" s="33" t="s">
        <v>61</v>
      </c>
      <c r="B179" s="34">
        <v>4</v>
      </c>
      <c r="C179" s="34">
        <v>52</v>
      </c>
      <c r="D179" s="35">
        <v>19.5</v>
      </c>
      <c r="E179" s="35">
        <v>21.4</v>
      </c>
      <c r="F179" s="55">
        <v>39</v>
      </c>
    </row>
    <row r="180" spans="1:6" s="100" customFormat="1" ht="21" customHeight="1">
      <c r="A180" s="33" t="s">
        <v>61</v>
      </c>
      <c r="B180" s="34">
        <v>4</v>
      </c>
      <c r="C180" s="34">
        <v>53</v>
      </c>
      <c r="D180" s="35">
        <v>23.8</v>
      </c>
      <c r="E180" s="35">
        <v>25.7</v>
      </c>
      <c r="F180" s="55">
        <v>48</v>
      </c>
    </row>
    <row r="181" spans="1:6" s="100" customFormat="1" ht="21" customHeight="1">
      <c r="A181" s="33" t="s">
        <v>61</v>
      </c>
      <c r="B181" s="34">
        <v>4</v>
      </c>
      <c r="C181" s="34">
        <v>54</v>
      </c>
      <c r="D181" s="35">
        <v>21.7</v>
      </c>
      <c r="E181" s="35">
        <v>23.6</v>
      </c>
      <c r="F181" s="55">
        <v>43</v>
      </c>
    </row>
    <row r="182" spans="1:6" s="100" customFormat="1" ht="21" customHeight="1">
      <c r="A182" s="33" t="s">
        <v>61</v>
      </c>
      <c r="B182" s="34">
        <v>4</v>
      </c>
      <c r="C182" s="34">
        <v>55</v>
      </c>
      <c r="D182" s="35">
        <v>25.4</v>
      </c>
      <c r="E182" s="35">
        <v>27.3</v>
      </c>
      <c r="F182" s="55">
        <v>51</v>
      </c>
    </row>
    <row r="183" spans="1:6" s="100" customFormat="1" ht="21" customHeight="1">
      <c r="A183" s="33" t="s">
        <v>61</v>
      </c>
      <c r="B183" s="34">
        <v>4</v>
      </c>
      <c r="C183" s="34">
        <v>56</v>
      </c>
      <c r="D183" s="35">
        <v>23.2</v>
      </c>
      <c r="E183" s="35">
        <v>25.1</v>
      </c>
      <c r="F183" s="55">
        <v>46</v>
      </c>
    </row>
    <row r="184" spans="1:6" s="100" customFormat="1" ht="21" customHeight="1">
      <c r="A184" s="33" t="s">
        <v>61</v>
      </c>
      <c r="B184" s="34">
        <v>4</v>
      </c>
      <c r="C184" s="34">
        <v>57</v>
      </c>
      <c r="D184" s="35">
        <v>23.5</v>
      </c>
      <c r="E184" s="35">
        <v>25.4</v>
      </c>
      <c r="F184" s="55">
        <v>47</v>
      </c>
    </row>
    <row r="185" spans="1:6" s="100" customFormat="1" ht="21" customHeight="1">
      <c r="A185" s="33" t="s">
        <v>61</v>
      </c>
      <c r="B185" s="34">
        <v>4</v>
      </c>
      <c r="C185" s="34">
        <v>58</v>
      </c>
      <c r="D185" s="35">
        <v>23.8</v>
      </c>
      <c r="E185" s="35">
        <v>25.7</v>
      </c>
      <c r="F185" s="55">
        <v>48</v>
      </c>
    </row>
    <row r="186" spans="1:6" s="100" customFormat="1" ht="21" customHeight="1">
      <c r="A186" s="33" t="s">
        <v>61</v>
      </c>
      <c r="B186" s="34">
        <v>4</v>
      </c>
      <c r="C186" s="34">
        <v>59</v>
      </c>
      <c r="D186" s="35">
        <v>23.1</v>
      </c>
      <c r="E186" s="35">
        <v>25</v>
      </c>
      <c r="F186" s="55">
        <v>46</v>
      </c>
    </row>
    <row r="187" spans="1:6" s="100" customFormat="1" ht="21" customHeight="1">
      <c r="A187" s="33" t="s">
        <v>61</v>
      </c>
      <c r="B187" s="34">
        <v>4</v>
      </c>
      <c r="C187" s="34">
        <v>61</v>
      </c>
      <c r="D187" s="35">
        <v>23.5</v>
      </c>
      <c r="E187" s="35">
        <v>25.4</v>
      </c>
      <c r="F187" s="55">
        <v>47</v>
      </c>
    </row>
    <row r="188" spans="1:6" s="100" customFormat="1" ht="21" customHeight="1">
      <c r="A188" s="33" t="s">
        <v>61</v>
      </c>
      <c r="B188" s="34">
        <v>4</v>
      </c>
      <c r="C188" s="34">
        <v>62</v>
      </c>
      <c r="D188" s="35">
        <v>23.1</v>
      </c>
      <c r="E188" s="35">
        <v>25</v>
      </c>
      <c r="F188" s="55">
        <v>46</v>
      </c>
    </row>
    <row r="189" spans="1:6" s="100" customFormat="1" ht="21" customHeight="1">
      <c r="A189" s="33" t="s">
        <v>61</v>
      </c>
      <c r="B189" s="34">
        <v>4</v>
      </c>
      <c r="C189" s="34">
        <v>63</v>
      </c>
      <c r="D189" s="35">
        <v>22.8</v>
      </c>
      <c r="E189" s="35">
        <v>24.7</v>
      </c>
      <c r="F189" s="55">
        <v>46</v>
      </c>
    </row>
    <row r="190" spans="1:6" s="100" customFormat="1" ht="21" customHeight="1">
      <c r="A190" s="33" t="s">
        <v>61</v>
      </c>
      <c r="B190" s="34">
        <v>4</v>
      </c>
      <c r="C190" s="34">
        <v>64</v>
      </c>
      <c r="D190" s="35">
        <v>23.6</v>
      </c>
      <c r="E190" s="35">
        <v>25.5</v>
      </c>
      <c r="F190" s="55">
        <v>47</v>
      </c>
    </row>
    <row r="191" spans="1:6" s="100" customFormat="1" ht="21" customHeight="1">
      <c r="A191" s="33" t="s">
        <v>61</v>
      </c>
      <c r="B191" s="34">
        <v>4</v>
      </c>
      <c r="C191" s="101">
        <v>65</v>
      </c>
      <c r="D191" s="35">
        <v>23</v>
      </c>
      <c r="E191" s="35">
        <v>24.9</v>
      </c>
      <c r="F191" s="55">
        <v>46</v>
      </c>
    </row>
    <row r="192" spans="1:6" s="100" customFormat="1" ht="21" customHeight="1">
      <c r="A192" s="33" t="s">
        <v>61</v>
      </c>
      <c r="B192" s="34">
        <v>4</v>
      </c>
      <c r="C192" s="34">
        <v>66</v>
      </c>
      <c r="D192" s="35">
        <v>23</v>
      </c>
      <c r="E192" s="35">
        <v>24.9</v>
      </c>
      <c r="F192" s="55">
        <v>46</v>
      </c>
    </row>
    <row r="193" spans="1:6" s="100" customFormat="1" ht="21" customHeight="1">
      <c r="A193" s="33" t="s">
        <v>61</v>
      </c>
      <c r="B193" s="34">
        <v>4</v>
      </c>
      <c r="C193" s="34">
        <v>67</v>
      </c>
      <c r="D193" s="35">
        <v>22.6</v>
      </c>
      <c r="E193" s="35">
        <v>24.5</v>
      </c>
      <c r="F193" s="55">
        <v>45</v>
      </c>
    </row>
    <row r="194" spans="1:6" s="100" customFormat="1" ht="21" customHeight="1">
      <c r="A194" s="33" t="s">
        <v>61</v>
      </c>
      <c r="B194" s="34">
        <v>4</v>
      </c>
      <c r="C194" s="34">
        <v>68</v>
      </c>
      <c r="D194" s="35">
        <v>22.8</v>
      </c>
      <c r="E194" s="35">
        <v>24.7</v>
      </c>
      <c r="F194" s="55">
        <v>46</v>
      </c>
    </row>
    <row r="195" spans="1:6" s="100" customFormat="1" ht="21" customHeight="1">
      <c r="A195" s="109" t="s">
        <v>53</v>
      </c>
      <c r="B195" s="110"/>
      <c r="C195" s="110" t="s">
        <v>66</v>
      </c>
      <c r="D195" s="111">
        <f>SUM(D167:D194)</f>
        <v>607.4</v>
      </c>
      <c r="E195" s="111">
        <f>SUM(E167:E194)</f>
        <v>660.59999999999991</v>
      </c>
      <c r="F195" s="112">
        <f>SUM(F167:F194)</f>
        <v>1215</v>
      </c>
    </row>
    <row r="196" spans="1:6" s="100" customFormat="1" ht="21" customHeight="1">
      <c r="A196" s="33" t="s">
        <v>61</v>
      </c>
      <c r="B196" s="34">
        <v>5</v>
      </c>
      <c r="C196" s="34">
        <v>60</v>
      </c>
      <c r="D196" s="35">
        <v>23.2</v>
      </c>
      <c r="E196" s="35">
        <v>25.1</v>
      </c>
      <c r="F196" s="55">
        <v>46</v>
      </c>
    </row>
    <row r="197" spans="1:6" s="100" customFormat="1" ht="21" customHeight="1">
      <c r="A197" s="33" t="s">
        <v>61</v>
      </c>
      <c r="B197" s="34">
        <v>5</v>
      </c>
      <c r="C197" s="34">
        <v>69</v>
      </c>
      <c r="D197" s="35">
        <v>23.2</v>
      </c>
      <c r="E197" s="35">
        <v>25.1</v>
      </c>
      <c r="F197" s="55">
        <v>46</v>
      </c>
    </row>
    <row r="198" spans="1:6" s="100" customFormat="1" ht="21" customHeight="1">
      <c r="A198" s="33" t="s">
        <v>61</v>
      </c>
      <c r="B198" s="34">
        <v>5</v>
      </c>
      <c r="C198" s="34">
        <v>71</v>
      </c>
      <c r="D198" s="35">
        <v>21.2</v>
      </c>
      <c r="E198" s="35">
        <v>23.1</v>
      </c>
      <c r="F198" s="55">
        <v>42</v>
      </c>
    </row>
    <row r="199" spans="1:6" s="100" customFormat="1" ht="21" customHeight="1">
      <c r="A199" s="33" t="s">
        <v>61</v>
      </c>
      <c r="B199" s="34">
        <v>5</v>
      </c>
      <c r="C199" s="34">
        <v>72</v>
      </c>
      <c r="D199" s="35">
        <v>23.4</v>
      </c>
      <c r="E199" s="35">
        <v>25.3</v>
      </c>
      <c r="F199" s="55">
        <v>47</v>
      </c>
    </row>
    <row r="200" spans="1:6" s="100" customFormat="1" ht="21" customHeight="1">
      <c r="A200" s="33" t="s">
        <v>61</v>
      </c>
      <c r="B200" s="34">
        <v>5</v>
      </c>
      <c r="C200" s="34">
        <v>73</v>
      </c>
      <c r="D200" s="35">
        <v>23.6</v>
      </c>
      <c r="E200" s="35">
        <v>25.5</v>
      </c>
      <c r="F200" s="55">
        <v>47</v>
      </c>
    </row>
    <row r="201" spans="1:6" s="100" customFormat="1" ht="21" customHeight="1">
      <c r="A201" s="33" t="s">
        <v>61</v>
      </c>
      <c r="B201" s="34">
        <v>5</v>
      </c>
      <c r="C201" s="34">
        <v>74</v>
      </c>
      <c r="D201" s="35">
        <v>22.2</v>
      </c>
      <c r="E201" s="35">
        <v>24.1</v>
      </c>
      <c r="F201" s="55">
        <v>44</v>
      </c>
    </row>
    <row r="202" spans="1:6" s="100" customFormat="1" ht="21" customHeight="1">
      <c r="A202" s="33" t="s">
        <v>61</v>
      </c>
      <c r="B202" s="34">
        <v>5</v>
      </c>
      <c r="C202" s="34">
        <v>75</v>
      </c>
      <c r="D202" s="35">
        <v>19.899999999999999</v>
      </c>
      <c r="E202" s="35">
        <v>21.8</v>
      </c>
      <c r="F202" s="55">
        <v>40</v>
      </c>
    </row>
    <row r="203" spans="1:6" s="100" customFormat="1" ht="21" customHeight="1">
      <c r="A203" s="33" t="s">
        <v>61</v>
      </c>
      <c r="B203" s="34">
        <v>5</v>
      </c>
      <c r="C203" s="34">
        <v>76</v>
      </c>
      <c r="D203" s="35">
        <v>23.6</v>
      </c>
      <c r="E203" s="35">
        <v>25.5</v>
      </c>
      <c r="F203" s="55">
        <v>47</v>
      </c>
    </row>
    <row r="204" spans="1:6" s="100" customFormat="1" ht="21" customHeight="1">
      <c r="A204" s="33" t="s">
        <v>61</v>
      </c>
      <c r="B204" s="34">
        <v>5</v>
      </c>
      <c r="C204" s="34">
        <v>78</v>
      </c>
      <c r="D204" s="35">
        <v>21.2</v>
      </c>
      <c r="E204" s="35">
        <v>23.1</v>
      </c>
      <c r="F204" s="55">
        <v>42</v>
      </c>
    </row>
    <row r="205" spans="1:6" s="100" customFormat="1" ht="21" customHeight="1">
      <c r="A205" s="33" t="s">
        <v>61</v>
      </c>
      <c r="B205" s="34">
        <v>5</v>
      </c>
      <c r="C205" s="34">
        <v>79</v>
      </c>
      <c r="D205" s="35">
        <v>22</v>
      </c>
      <c r="E205" s="35">
        <v>23.9</v>
      </c>
      <c r="F205" s="55">
        <v>44</v>
      </c>
    </row>
    <row r="206" spans="1:6" s="100" customFormat="1" ht="21" customHeight="1">
      <c r="A206" s="33" t="s">
        <v>61</v>
      </c>
      <c r="B206" s="34">
        <v>5</v>
      </c>
      <c r="C206" s="101">
        <v>80</v>
      </c>
      <c r="D206" s="35">
        <v>23.2</v>
      </c>
      <c r="E206" s="35">
        <v>25.1</v>
      </c>
      <c r="F206" s="55">
        <v>46</v>
      </c>
    </row>
    <row r="207" spans="1:6" s="100" customFormat="1" ht="21" customHeight="1">
      <c r="A207" s="33" t="s">
        <v>61</v>
      </c>
      <c r="B207" s="34">
        <v>5</v>
      </c>
      <c r="C207" s="34">
        <v>81</v>
      </c>
      <c r="D207" s="35">
        <v>18</v>
      </c>
      <c r="E207" s="35">
        <v>19.899999999999999</v>
      </c>
      <c r="F207" s="55">
        <v>36</v>
      </c>
    </row>
    <row r="208" spans="1:6" s="100" customFormat="1" ht="21" customHeight="1">
      <c r="A208" s="33" t="s">
        <v>61</v>
      </c>
      <c r="B208" s="34">
        <v>5</v>
      </c>
      <c r="C208" s="34">
        <v>82</v>
      </c>
      <c r="D208" s="35">
        <v>23.1</v>
      </c>
      <c r="E208" s="35">
        <v>25</v>
      </c>
      <c r="F208" s="55">
        <v>46</v>
      </c>
    </row>
    <row r="209" spans="1:6" s="100" customFormat="1" ht="21" customHeight="1">
      <c r="A209" s="33" t="s">
        <v>61</v>
      </c>
      <c r="B209" s="34">
        <v>5</v>
      </c>
      <c r="C209" s="34">
        <v>83</v>
      </c>
      <c r="D209" s="35">
        <v>21.9</v>
      </c>
      <c r="E209" s="35">
        <v>23.8</v>
      </c>
      <c r="F209" s="55">
        <v>44</v>
      </c>
    </row>
    <row r="210" spans="1:6" s="100" customFormat="1" ht="21" customHeight="1">
      <c r="A210" s="33" t="s">
        <v>61</v>
      </c>
      <c r="B210" s="34">
        <v>5</v>
      </c>
      <c r="C210" s="34">
        <v>84</v>
      </c>
      <c r="D210" s="35">
        <v>21.7</v>
      </c>
      <c r="E210" s="35">
        <v>23.6</v>
      </c>
      <c r="F210" s="55">
        <v>43</v>
      </c>
    </row>
    <row r="211" spans="1:6" s="100" customFormat="1" ht="21" customHeight="1">
      <c r="A211" s="33" t="s">
        <v>61</v>
      </c>
      <c r="B211" s="34">
        <v>5</v>
      </c>
      <c r="C211" s="34">
        <v>85</v>
      </c>
      <c r="D211" s="35">
        <v>23.5</v>
      </c>
      <c r="E211" s="35">
        <v>25.4</v>
      </c>
      <c r="F211" s="55">
        <v>47</v>
      </c>
    </row>
    <row r="212" spans="1:6" s="100" customFormat="1" ht="21" customHeight="1">
      <c r="A212" s="33" t="s">
        <v>61</v>
      </c>
      <c r="B212" s="34">
        <v>5</v>
      </c>
      <c r="C212" s="34">
        <v>87</v>
      </c>
      <c r="D212" s="35">
        <v>23.3</v>
      </c>
      <c r="E212" s="35">
        <v>25.2</v>
      </c>
      <c r="F212" s="55">
        <v>47</v>
      </c>
    </row>
    <row r="213" spans="1:6" s="100" customFormat="1" ht="21" customHeight="1">
      <c r="A213" s="33" t="s">
        <v>61</v>
      </c>
      <c r="B213" s="34">
        <v>5</v>
      </c>
      <c r="C213" s="34">
        <v>89</v>
      </c>
      <c r="D213" s="35">
        <v>23.2</v>
      </c>
      <c r="E213" s="35">
        <v>25.1</v>
      </c>
      <c r="F213" s="55">
        <v>46</v>
      </c>
    </row>
    <row r="214" spans="1:6" s="100" customFormat="1" ht="21" customHeight="1">
      <c r="A214" s="33" t="s">
        <v>61</v>
      </c>
      <c r="B214" s="34">
        <v>5</v>
      </c>
      <c r="C214" s="34">
        <v>91</v>
      </c>
      <c r="D214" s="35">
        <v>23.4</v>
      </c>
      <c r="E214" s="35">
        <v>25.3</v>
      </c>
      <c r="F214" s="55">
        <v>47</v>
      </c>
    </row>
    <row r="215" spans="1:6" s="100" customFormat="1" ht="21" customHeight="1">
      <c r="A215" s="33" t="s">
        <v>61</v>
      </c>
      <c r="B215" s="34">
        <v>5</v>
      </c>
      <c r="C215" s="34">
        <v>92</v>
      </c>
      <c r="D215" s="35">
        <v>22.1</v>
      </c>
      <c r="E215" s="35">
        <v>24</v>
      </c>
      <c r="F215" s="55">
        <v>44</v>
      </c>
    </row>
    <row r="216" spans="1:6" s="100" customFormat="1" ht="21" customHeight="1">
      <c r="A216" s="33" t="s">
        <v>61</v>
      </c>
      <c r="B216" s="34">
        <v>5</v>
      </c>
      <c r="C216" s="34">
        <v>93</v>
      </c>
      <c r="D216" s="35">
        <v>24.1</v>
      </c>
      <c r="E216" s="35">
        <v>26</v>
      </c>
      <c r="F216" s="55">
        <v>48</v>
      </c>
    </row>
    <row r="217" spans="1:6" s="100" customFormat="1" ht="21" customHeight="1">
      <c r="A217" s="33" t="s">
        <v>61</v>
      </c>
      <c r="B217" s="34">
        <v>5</v>
      </c>
      <c r="C217" s="34">
        <v>94</v>
      </c>
      <c r="D217" s="35">
        <v>23.3</v>
      </c>
      <c r="E217" s="35">
        <v>25.2</v>
      </c>
      <c r="F217" s="55">
        <v>47</v>
      </c>
    </row>
    <row r="218" spans="1:6" s="100" customFormat="1" ht="21" customHeight="1">
      <c r="A218" s="33" t="s">
        <v>61</v>
      </c>
      <c r="B218" s="34">
        <v>5</v>
      </c>
      <c r="C218" s="34">
        <v>95</v>
      </c>
      <c r="D218" s="35">
        <v>23.5</v>
      </c>
      <c r="E218" s="35">
        <v>25.4</v>
      </c>
      <c r="F218" s="55">
        <v>47</v>
      </c>
    </row>
    <row r="219" spans="1:6" s="100" customFormat="1" ht="21" customHeight="1">
      <c r="A219" s="33" t="s">
        <v>61</v>
      </c>
      <c r="B219" s="34">
        <v>5</v>
      </c>
      <c r="C219" s="34">
        <v>96</v>
      </c>
      <c r="D219" s="35">
        <v>23.4</v>
      </c>
      <c r="E219" s="35">
        <v>25.3</v>
      </c>
      <c r="F219" s="55">
        <v>47</v>
      </c>
    </row>
    <row r="220" spans="1:6" s="100" customFormat="1" ht="21" customHeight="1">
      <c r="A220" s="33" t="s">
        <v>61</v>
      </c>
      <c r="B220" s="34">
        <v>5</v>
      </c>
      <c r="C220" s="34">
        <v>97</v>
      </c>
      <c r="D220" s="35">
        <v>23.2</v>
      </c>
      <c r="E220" s="35">
        <v>25.1</v>
      </c>
      <c r="F220" s="55">
        <v>46</v>
      </c>
    </row>
    <row r="221" spans="1:6" s="100" customFormat="1" ht="21" customHeight="1">
      <c r="A221" s="33" t="s">
        <v>61</v>
      </c>
      <c r="B221" s="34">
        <v>5</v>
      </c>
      <c r="C221" s="34">
        <v>98</v>
      </c>
      <c r="D221" s="35">
        <v>22.4</v>
      </c>
      <c r="E221" s="35">
        <v>24.3</v>
      </c>
      <c r="F221" s="55">
        <v>45</v>
      </c>
    </row>
    <row r="222" spans="1:6" s="100" customFormat="1" ht="21" customHeight="1">
      <c r="A222" s="33" t="s">
        <v>61</v>
      </c>
      <c r="B222" s="34">
        <v>5</v>
      </c>
      <c r="C222" s="34">
        <v>99</v>
      </c>
      <c r="D222" s="35">
        <v>22.2</v>
      </c>
      <c r="E222" s="35">
        <v>24.1</v>
      </c>
      <c r="F222" s="55">
        <v>44</v>
      </c>
    </row>
    <row r="223" spans="1:6" s="100" customFormat="1" ht="21" customHeight="1">
      <c r="A223" s="109" t="s">
        <v>54</v>
      </c>
      <c r="B223" s="110"/>
      <c r="C223" s="110" t="s">
        <v>67</v>
      </c>
      <c r="D223" s="111">
        <f>SUM(D196:D222)</f>
        <v>609</v>
      </c>
      <c r="E223" s="111">
        <f>SUM(E196:E222)</f>
        <v>660.3</v>
      </c>
      <c r="F223" s="112">
        <f>SUM(F196:F222)</f>
        <v>1215</v>
      </c>
    </row>
    <row r="224" spans="1:6" s="100" customFormat="1" ht="21" customHeight="1">
      <c r="A224" s="33" t="s">
        <v>61</v>
      </c>
      <c r="B224" s="34">
        <v>6</v>
      </c>
      <c r="C224" s="34">
        <v>100</v>
      </c>
      <c r="D224" s="35">
        <v>23.4</v>
      </c>
      <c r="E224" s="35">
        <v>25.3</v>
      </c>
      <c r="F224" s="55">
        <v>47</v>
      </c>
    </row>
    <row r="225" spans="1:6" s="100" customFormat="1" ht="21" customHeight="1">
      <c r="A225" s="33" t="s">
        <v>61</v>
      </c>
      <c r="B225" s="34">
        <v>6</v>
      </c>
      <c r="C225" s="34">
        <v>101</v>
      </c>
      <c r="D225" s="35">
        <v>22.7</v>
      </c>
      <c r="E225" s="35">
        <v>24.6</v>
      </c>
      <c r="F225" s="55">
        <v>45</v>
      </c>
    </row>
    <row r="226" spans="1:6" s="100" customFormat="1" ht="21" customHeight="1">
      <c r="A226" s="33" t="s">
        <v>61</v>
      </c>
      <c r="B226" s="34">
        <v>6</v>
      </c>
      <c r="C226" s="34">
        <v>102</v>
      </c>
      <c r="D226" s="35">
        <v>23.3</v>
      </c>
      <c r="E226" s="35">
        <v>25.2</v>
      </c>
      <c r="F226" s="55">
        <v>47</v>
      </c>
    </row>
    <row r="227" spans="1:6" s="100" customFormat="1" ht="21" customHeight="1">
      <c r="A227" s="33" t="s">
        <v>61</v>
      </c>
      <c r="B227" s="34">
        <v>6</v>
      </c>
      <c r="C227" s="34">
        <v>103</v>
      </c>
      <c r="D227" s="35">
        <v>23.3</v>
      </c>
      <c r="E227" s="35">
        <v>25.2</v>
      </c>
      <c r="F227" s="55">
        <v>47</v>
      </c>
    </row>
    <row r="228" spans="1:6" s="100" customFormat="1" ht="21" customHeight="1">
      <c r="A228" s="33" t="s">
        <v>61</v>
      </c>
      <c r="B228" s="34">
        <v>6</v>
      </c>
      <c r="C228" s="34">
        <v>104</v>
      </c>
      <c r="D228" s="35">
        <v>23.4</v>
      </c>
      <c r="E228" s="35">
        <v>25.3</v>
      </c>
      <c r="F228" s="55">
        <v>47</v>
      </c>
    </row>
    <row r="229" spans="1:6" s="100" customFormat="1" ht="21" customHeight="1">
      <c r="A229" s="33" t="s">
        <v>61</v>
      </c>
      <c r="B229" s="34">
        <v>6</v>
      </c>
      <c r="C229" s="34">
        <v>105</v>
      </c>
      <c r="D229" s="35">
        <v>24.2</v>
      </c>
      <c r="E229" s="35">
        <v>26.1</v>
      </c>
      <c r="F229" s="55">
        <v>48</v>
      </c>
    </row>
    <row r="230" spans="1:6" s="100" customFormat="1" ht="21" customHeight="1">
      <c r="A230" s="33" t="s">
        <v>61</v>
      </c>
      <c r="B230" s="34">
        <v>6</v>
      </c>
      <c r="C230" s="34">
        <v>106</v>
      </c>
      <c r="D230" s="35">
        <v>20.8</v>
      </c>
      <c r="E230" s="35">
        <v>22.7</v>
      </c>
      <c r="F230" s="55">
        <v>42</v>
      </c>
    </row>
    <row r="231" spans="1:6" s="100" customFormat="1" ht="21" customHeight="1">
      <c r="A231" s="33" t="s">
        <v>61</v>
      </c>
      <c r="B231" s="34">
        <v>6</v>
      </c>
      <c r="C231" s="34">
        <v>107</v>
      </c>
      <c r="D231" s="35">
        <v>23.3</v>
      </c>
      <c r="E231" s="35">
        <v>25.2</v>
      </c>
      <c r="F231" s="55">
        <v>47</v>
      </c>
    </row>
    <row r="232" spans="1:6" s="100" customFormat="1" ht="21" customHeight="1">
      <c r="A232" s="33" t="s">
        <v>61</v>
      </c>
      <c r="B232" s="34">
        <v>6</v>
      </c>
      <c r="C232" s="101">
        <v>108</v>
      </c>
      <c r="D232" s="35">
        <v>22.1</v>
      </c>
      <c r="E232" s="35">
        <v>24</v>
      </c>
      <c r="F232" s="55">
        <v>44</v>
      </c>
    </row>
    <row r="233" spans="1:6" s="100" customFormat="1" ht="21" customHeight="1">
      <c r="A233" s="33" t="s">
        <v>61</v>
      </c>
      <c r="B233" s="34">
        <v>6</v>
      </c>
      <c r="C233" s="34">
        <v>109</v>
      </c>
      <c r="D233" s="35">
        <v>18.399999999999999</v>
      </c>
      <c r="E233" s="35">
        <v>20.3</v>
      </c>
      <c r="F233" s="55">
        <v>37</v>
      </c>
    </row>
    <row r="234" spans="1:6" s="100" customFormat="1" ht="21" customHeight="1">
      <c r="A234" s="33" t="s">
        <v>61</v>
      </c>
      <c r="B234" s="34">
        <v>6</v>
      </c>
      <c r="C234" s="34">
        <v>110</v>
      </c>
      <c r="D234" s="35">
        <v>22.6</v>
      </c>
      <c r="E234" s="35">
        <v>24.5</v>
      </c>
      <c r="F234" s="55">
        <v>45</v>
      </c>
    </row>
    <row r="235" spans="1:6" s="100" customFormat="1" ht="21" customHeight="1">
      <c r="A235" s="33" t="s">
        <v>61</v>
      </c>
      <c r="B235" s="34">
        <v>6</v>
      </c>
      <c r="C235" s="34">
        <v>111</v>
      </c>
      <c r="D235" s="35">
        <v>23.4</v>
      </c>
      <c r="E235" s="35">
        <v>25.3</v>
      </c>
      <c r="F235" s="55">
        <v>47</v>
      </c>
    </row>
    <row r="236" spans="1:6" s="100" customFormat="1" ht="21" customHeight="1">
      <c r="A236" s="33" t="s">
        <v>61</v>
      </c>
      <c r="B236" s="34">
        <v>6</v>
      </c>
      <c r="C236" s="34">
        <v>112</v>
      </c>
      <c r="D236" s="35">
        <v>23.2</v>
      </c>
      <c r="E236" s="35">
        <v>25.1</v>
      </c>
      <c r="F236" s="55">
        <v>46</v>
      </c>
    </row>
    <row r="237" spans="1:6" s="100" customFormat="1" ht="21" customHeight="1">
      <c r="A237" s="33" t="s">
        <v>61</v>
      </c>
      <c r="B237" s="34">
        <v>6</v>
      </c>
      <c r="C237" s="101">
        <v>113</v>
      </c>
      <c r="D237" s="35">
        <v>22.8</v>
      </c>
      <c r="E237" s="35">
        <v>24.7</v>
      </c>
      <c r="F237" s="55">
        <v>46</v>
      </c>
    </row>
    <row r="238" spans="1:6" s="100" customFormat="1" ht="21" customHeight="1">
      <c r="A238" s="33" t="s">
        <v>61</v>
      </c>
      <c r="B238" s="34">
        <v>6</v>
      </c>
      <c r="C238" s="34">
        <v>114</v>
      </c>
      <c r="D238" s="35">
        <v>24.8</v>
      </c>
      <c r="E238" s="35">
        <v>26.7</v>
      </c>
      <c r="F238" s="55">
        <v>50</v>
      </c>
    </row>
    <row r="239" spans="1:6" s="100" customFormat="1" ht="21" customHeight="1">
      <c r="A239" s="33" t="s">
        <v>61</v>
      </c>
      <c r="B239" s="34">
        <v>6</v>
      </c>
      <c r="C239" s="34">
        <v>115</v>
      </c>
      <c r="D239" s="35">
        <v>15.4</v>
      </c>
      <c r="E239" s="35">
        <v>17.3</v>
      </c>
      <c r="F239" s="55">
        <v>31</v>
      </c>
    </row>
    <row r="240" spans="1:6" s="100" customFormat="1" ht="21" customHeight="1">
      <c r="A240" s="33" t="s">
        <v>61</v>
      </c>
      <c r="B240" s="34">
        <v>6</v>
      </c>
      <c r="C240" s="34">
        <v>116</v>
      </c>
      <c r="D240" s="35">
        <v>23.3</v>
      </c>
      <c r="E240" s="35">
        <v>25.2</v>
      </c>
      <c r="F240" s="55">
        <v>47</v>
      </c>
    </row>
    <row r="241" spans="1:6" s="100" customFormat="1" ht="21" customHeight="1">
      <c r="A241" s="33" t="s">
        <v>61</v>
      </c>
      <c r="B241" s="34">
        <v>6</v>
      </c>
      <c r="C241" s="34">
        <v>117</v>
      </c>
      <c r="D241" s="35">
        <v>23.3</v>
      </c>
      <c r="E241" s="35">
        <v>25.2</v>
      </c>
      <c r="F241" s="55">
        <v>47</v>
      </c>
    </row>
    <row r="242" spans="1:6" s="100" customFormat="1" ht="21" customHeight="1">
      <c r="A242" s="33" t="s">
        <v>61</v>
      </c>
      <c r="B242" s="34">
        <v>6</v>
      </c>
      <c r="C242" s="34">
        <v>118</v>
      </c>
      <c r="D242" s="35">
        <v>22.8</v>
      </c>
      <c r="E242" s="35">
        <v>24.7</v>
      </c>
      <c r="F242" s="55">
        <v>46</v>
      </c>
    </row>
    <row r="243" spans="1:6" s="100" customFormat="1" ht="21" customHeight="1">
      <c r="A243" s="33" t="s">
        <v>61</v>
      </c>
      <c r="B243" s="34">
        <v>6</v>
      </c>
      <c r="C243" s="34">
        <v>119</v>
      </c>
      <c r="D243" s="35">
        <v>23.4</v>
      </c>
      <c r="E243" s="35">
        <v>25.3</v>
      </c>
      <c r="F243" s="55">
        <v>47</v>
      </c>
    </row>
    <row r="244" spans="1:6" s="100" customFormat="1" ht="21" customHeight="1">
      <c r="A244" s="33" t="s">
        <v>61</v>
      </c>
      <c r="B244" s="34">
        <v>6</v>
      </c>
      <c r="C244" s="34">
        <v>120</v>
      </c>
      <c r="D244" s="35">
        <v>22.2</v>
      </c>
      <c r="E244" s="35">
        <v>24.1</v>
      </c>
      <c r="F244" s="55">
        <v>44</v>
      </c>
    </row>
    <row r="245" spans="1:6" s="100" customFormat="1" ht="21" customHeight="1">
      <c r="A245" s="109" t="s">
        <v>55</v>
      </c>
      <c r="B245" s="110"/>
      <c r="C245" s="110" t="s">
        <v>68</v>
      </c>
      <c r="D245" s="111">
        <f>SUM(D224:D244)</f>
        <v>472.09999999999997</v>
      </c>
      <c r="E245" s="111">
        <f>SUM(E224:E244)</f>
        <v>512</v>
      </c>
      <c r="F245" s="112">
        <f>SUM(F224:F244)</f>
        <v>947</v>
      </c>
    </row>
    <row r="246" spans="1:6" s="100" customFormat="1" ht="21" customHeight="1">
      <c r="A246" s="33" t="s">
        <v>61</v>
      </c>
      <c r="B246" s="34">
        <v>7</v>
      </c>
      <c r="C246" s="34">
        <v>70</v>
      </c>
      <c r="D246" s="35">
        <v>23.1</v>
      </c>
      <c r="E246" s="35">
        <v>25</v>
      </c>
      <c r="F246" s="55">
        <v>46</v>
      </c>
    </row>
    <row r="247" spans="1:6" s="100" customFormat="1" ht="21" customHeight="1">
      <c r="A247" s="33" t="s">
        <v>61</v>
      </c>
      <c r="B247" s="34">
        <v>7</v>
      </c>
      <c r="C247" s="34">
        <v>77</v>
      </c>
      <c r="D247" s="35">
        <v>23.2</v>
      </c>
      <c r="E247" s="35">
        <v>25.1</v>
      </c>
      <c r="F247" s="55">
        <v>46</v>
      </c>
    </row>
    <row r="248" spans="1:6" s="100" customFormat="1" ht="21" customHeight="1">
      <c r="A248" s="33" t="s">
        <v>61</v>
      </c>
      <c r="B248" s="34">
        <v>7</v>
      </c>
      <c r="C248" s="34">
        <v>86</v>
      </c>
      <c r="D248" s="35">
        <v>23.2</v>
      </c>
      <c r="E248" s="35">
        <v>25.1</v>
      </c>
      <c r="F248" s="55">
        <v>46</v>
      </c>
    </row>
    <row r="249" spans="1:6" s="100" customFormat="1" ht="21" customHeight="1">
      <c r="A249" s="33" t="s">
        <v>61</v>
      </c>
      <c r="B249" s="34">
        <v>7</v>
      </c>
      <c r="C249" s="34">
        <v>88</v>
      </c>
      <c r="D249" s="35">
        <v>22</v>
      </c>
      <c r="E249" s="35">
        <v>23.9</v>
      </c>
      <c r="F249" s="55">
        <v>44</v>
      </c>
    </row>
    <row r="250" spans="1:6" s="100" customFormat="1" ht="21" customHeight="1">
      <c r="A250" s="33" t="s">
        <v>61</v>
      </c>
      <c r="B250" s="34">
        <v>7</v>
      </c>
      <c r="C250" s="34">
        <v>90</v>
      </c>
      <c r="D250" s="35">
        <v>23.3</v>
      </c>
      <c r="E250" s="35">
        <v>25.2</v>
      </c>
      <c r="F250" s="55">
        <v>47</v>
      </c>
    </row>
    <row r="251" spans="1:6" s="100" customFormat="1" ht="21" customHeight="1">
      <c r="A251" s="33" t="s">
        <v>61</v>
      </c>
      <c r="B251" s="34">
        <v>7</v>
      </c>
      <c r="C251" s="34">
        <v>121</v>
      </c>
      <c r="D251" s="35">
        <v>20.6</v>
      </c>
      <c r="E251" s="35">
        <v>22.5</v>
      </c>
      <c r="F251" s="55">
        <v>41</v>
      </c>
    </row>
    <row r="252" spans="1:6" s="100" customFormat="1" ht="21" customHeight="1">
      <c r="A252" s="33" t="s">
        <v>61</v>
      </c>
      <c r="B252" s="34">
        <v>7</v>
      </c>
      <c r="C252" s="34">
        <v>122</v>
      </c>
      <c r="D252" s="35">
        <v>22.7</v>
      </c>
      <c r="E252" s="35">
        <v>24.6</v>
      </c>
      <c r="F252" s="55">
        <v>45</v>
      </c>
    </row>
    <row r="253" spans="1:6" s="100" customFormat="1" ht="21" customHeight="1">
      <c r="A253" s="33" t="s">
        <v>61</v>
      </c>
      <c r="B253" s="34">
        <v>7</v>
      </c>
      <c r="C253" s="34">
        <v>123</v>
      </c>
      <c r="D253" s="35">
        <v>23.5</v>
      </c>
      <c r="E253" s="35">
        <v>25.4</v>
      </c>
      <c r="F253" s="55">
        <v>47</v>
      </c>
    </row>
    <row r="254" spans="1:6" s="100" customFormat="1" ht="21" customHeight="1">
      <c r="A254" s="33" t="s">
        <v>61</v>
      </c>
      <c r="B254" s="34">
        <v>7</v>
      </c>
      <c r="C254" s="34">
        <v>124</v>
      </c>
      <c r="D254" s="35">
        <v>23.4</v>
      </c>
      <c r="E254" s="35">
        <v>25.3</v>
      </c>
      <c r="F254" s="55">
        <v>47</v>
      </c>
    </row>
    <row r="255" spans="1:6" s="100" customFormat="1" ht="21" customHeight="1">
      <c r="A255" s="33" t="s">
        <v>61</v>
      </c>
      <c r="B255" s="34">
        <v>7</v>
      </c>
      <c r="C255" s="34">
        <v>125</v>
      </c>
      <c r="D255" s="35">
        <v>22.1</v>
      </c>
      <c r="E255" s="35">
        <v>24</v>
      </c>
      <c r="F255" s="55">
        <v>44</v>
      </c>
    </row>
    <row r="256" spans="1:6" s="100" customFormat="1" ht="21" customHeight="1">
      <c r="A256" s="33" t="s">
        <v>61</v>
      </c>
      <c r="B256" s="34">
        <v>7</v>
      </c>
      <c r="C256" s="34">
        <v>126</v>
      </c>
      <c r="D256" s="35">
        <v>23.1</v>
      </c>
      <c r="E256" s="35">
        <v>25</v>
      </c>
      <c r="F256" s="55">
        <v>46</v>
      </c>
    </row>
    <row r="257" spans="1:6" s="100" customFormat="1" ht="21" customHeight="1">
      <c r="A257" s="33" t="s">
        <v>61</v>
      </c>
      <c r="B257" s="34">
        <v>7</v>
      </c>
      <c r="C257" s="34">
        <v>127</v>
      </c>
      <c r="D257" s="35">
        <v>23.4</v>
      </c>
      <c r="E257" s="35">
        <v>25.3</v>
      </c>
      <c r="F257" s="55">
        <v>47</v>
      </c>
    </row>
    <row r="258" spans="1:6" s="100" customFormat="1" ht="21" customHeight="1">
      <c r="A258" s="33" t="s">
        <v>61</v>
      </c>
      <c r="B258" s="34">
        <v>7</v>
      </c>
      <c r="C258" s="34">
        <v>128</v>
      </c>
      <c r="D258" s="35">
        <v>23.2</v>
      </c>
      <c r="E258" s="35">
        <v>25.1</v>
      </c>
      <c r="F258" s="55">
        <v>46</v>
      </c>
    </row>
    <row r="259" spans="1:6" s="100" customFormat="1" ht="21" customHeight="1">
      <c r="A259" s="33" t="s">
        <v>61</v>
      </c>
      <c r="B259" s="34">
        <v>7</v>
      </c>
      <c r="C259" s="34">
        <v>129</v>
      </c>
      <c r="D259" s="35">
        <v>23.5</v>
      </c>
      <c r="E259" s="35">
        <v>25.9</v>
      </c>
      <c r="F259" s="55">
        <v>47</v>
      </c>
    </row>
    <row r="260" spans="1:6" s="100" customFormat="1" ht="21" customHeight="1">
      <c r="A260" s="33" t="s">
        <v>61</v>
      </c>
      <c r="B260" s="34">
        <v>7</v>
      </c>
      <c r="C260" s="34">
        <v>130</v>
      </c>
      <c r="D260" s="35">
        <v>31.3</v>
      </c>
      <c r="E260" s="35">
        <v>33.700000000000003</v>
      </c>
      <c r="F260" s="55">
        <v>63</v>
      </c>
    </row>
    <row r="261" spans="1:6" s="100" customFormat="1" ht="21" customHeight="1">
      <c r="A261" s="33" t="s">
        <v>61</v>
      </c>
      <c r="B261" s="34">
        <v>7</v>
      </c>
      <c r="C261" s="34">
        <v>131</v>
      </c>
      <c r="D261" s="35">
        <v>22.5</v>
      </c>
      <c r="E261" s="35">
        <v>25</v>
      </c>
      <c r="F261" s="55">
        <v>45</v>
      </c>
    </row>
    <row r="262" spans="1:6" s="100" customFormat="1" ht="21" customHeight="1">
      <c r="A262" s="33" t="s">
        <v>61</v>
      </c>
      <c r="B262" s="34">
        <v>7</v>
      </c>
      <c r="C262" s="34">
        <v>132</v>
      </c>
      <c r="D262" s="35">
        <v>24.1</v>
      </c>
      <c r="E262" s="35">
        <v>26.6</v>
      </c>
      <c r="F262" s="55">
        <v>47</v>
      </c>
    </row>
    <row r="263" spans="1:6" s="100" customFormat="1" ht="21" customHeight="1">
      <c r="A263" s="33" t="s">
        <v>61</v>
      </c>
      <c r="B263" s="34">
        <v>7</v>
      </c>
      <c r="C263" s="34">
        <v>133</v>
      </c>
      <c r="D263" s="35">
        <v>23.2</v>
      </c>
      <c r="E263" s="35">
        <v>25.7</v>
      </c>
      <c r="F263" s="55">
        <v>45</v>
      </c>
    </row>
    <row r="264" spans="1:6" s="100" customFormat="1" ht="21" customHeight="1">
      <c r="A264" s="33" t="s">
        <v>61</v>
      </c>
      <c r="B264" s="34">
        <v>7</v>
      </c>
      <c r="C264" s="34">
        <v>134</v>
      </c>
      <c r="D264" s="35">
        <v>23.6</v>
      </c>
      <c r="E264" s="35">
        <v>26.1</v>
      </c>
      <c r="F264" s="55">
        <v>43</v>
      </c>
    </row>
    <row r="265" spans="1:6" s="100" customFormat="1" ht="21" customHeight="1">
      <c r="A265" s="33" t="s">
        <v>61</v>
      </c>
      <c r="B265" s="34">
        <v>7</v>
      </c>
      <c r="C265" s="34">
        <v>135</v>
      </c>
      <c r="D265" s="35">
        <v>23.8</v>
      </c>
      <c r="E265" s="35">
        <v>26.3</v>
      </c>
      <c r="F265" s="55">
        <v>46</v>
      </c>
    </row>
    <row r="266" spans="1:6" s="100" customFormat="1" ht="21" customHeight="1">
      <c r="A266" s="33" t="s">
        <v>61</v>
      </c>
      <c r="B266" s="34">
        <v>7</v>
      </c>
      <c r="C266" s="34">
        <v>136</v>
      </c>
      <c r="D266" s="35">
        <v>23.3</v>
      </c>
      <c r="E266" s="35">
        <v>25.8</v>
      </c>
      <c r="F266" s="55">
        <v>46</v>
      </c>
    </row>
    <row r="267" spans="1:6" s="100" customFormat="1" ht="21" customHeight="1">
      <c r="A267" s="33" t="s">
        <v>69</v>
      </c>
      <c r="B267" s="34">
        <v>7</v>
      </c>
      <c r="C267" s="34">
        <v>137</v>
      </c>
      <c r="D267" s="35">
        <v>21</v>
      </c>
      <c r="E267" s="35">
        <v>23.5</v>
      </c>
      <c r="F267" s="55">
        <v>41</v>
      </c>
    </row>
    <row r="268" spans="1:6" s="100" customFormat="1" ht="21" customHeight="1">
      <c r="A268" s="33" t="s">
        <v>61</v>
      </c>
      <c r="B268" s="34">
        <v>7</v>
      </c>
      <c r="C268" s="101">
        <v>138</v>
      </c>
      <c r="D268" s="35">
        <v>14.1</v>
      </c>
      <c r="E268" s="35">
        <v>16.600000000000001</v>
      </c>
      <c r="F268" s="55">
        <v>28</v>
      </c>
    </row>
    <row r="269" spans="1:6" s="100" customFormat="1" ht="21" customHeight="1">
      <c r="A269" s="109" t="s">
        <v>56</v>
      </c>
      <c r="B269" s="110"/>
      <c r="C269" s="110" t="s">
        <v>72</v>
      </c>
      <c r="D269" s="111">
        <f>SUM(D246:D268)</f>
        <v>527.20000000000005</v>
      </c>
      <c r="E269" s="111">
        <f>SUM(E246:E268)</f>
        <v>576.70000000000005</v>
      </c>
      <c r="F269" s="112">
        <f>SUM(F246:F268)</f>
        <v>1043</v>
      </c>
    </row>
    <row r="270" spans="1:6" s="100" customFormat="1" ht="21" customHeight="1">
      <c r="A270" s="113" t="s">
        <v>70</v>
      </c>
      <c r="B270" s="114"/>
      <c r="C270" s="115">
        <f>C269+C245+C223+C195+C166+C152+C150</f>
        <v>131</v>
      </c>
      <c r="D270" s="116">
        <f t="shared" ref="D270:F270" si="0">D269+D245+D223+D195+D166+D152+D150</f>
        <v>2928.7</v>
      </c>
      <c r="E270" s="116">
        <f t="shared" si="0"/>
        <v>3183.4000000000005</v>
      </c>
      <c r="F270" s="117">
        <f t="shared" si="0"/>
        <v>5838</v>
      </c>
    </row>
    <row r="271" spans="1:6" s="100" customFormat="1" ht="21" customHeight="1">
      <c r="A271" s="118" t="s">
        <v>71</v>
      </c>
      <c r="B271" s="119"/>
      <c r="C271" s="122">
        <f>C270+C131</f>
        <v>244</v>
      </c>
      <c r="D271" s="120">
        <f t="shared" ref="D271:F271" si="1">D270+D131</f>
        <v>5520.9</v>
      </c>
      <c r="E271" s="120">
        <f t="shared" si="1"/>
        <v>6030</v>
      </c>
      <c r="F271" s="121">
        <f t="shared" si="1"/>
        <v>11027</v>
      </c>
    </row>
  </sheetData>
  <mergeCells count="8">
    <mergeCell ref="B9:F9"/>
    <mergeCell ref="A1:F1"/>
    <mergeCell ref="A2:F2"/>
    <mergeCell ref="A3:F3"/>
    <mergeCell ref="A6:F6"/>
    <mergeCell ref="A7:F7"/>
    <mergeCell ref="D4:F4"/>
    <mergeCell ref="D5:F5"/>
  </mergeCells>
  <phoneticPr fontId="26" type="noConversion"/>
  <dataValidations count="1">
    <dataValidation allowBlank="1" showInputMessage="1" showErrorMessage="1" sqref="WVB980617:WVB980649 WLF980617:WLF980649 WBJ980617:WBJ980649 VRN980617:VRN980649 VHR980617:VHR980649 UXV980617:UXV980649 UNZ980617:UNZ980649 UED980617:UED980649 TUH980617:TUH980649 TKL980617:TKL980649 TAP980617:TAP980649 SQT980617:SQT980649 SGX980617:SGX980649 RXB980617:RXB980649 RNF980617:RNF980649 RDJ980617:RDJ980649 QTN980617:QTN980649 QJR980617:QJR980649 PZV980617:PZV980649 PPZ980617:PPZ980649 PGD980617:PGD980649 OWH980617:OWH980649 OML980617:OML980649 OCP980617:OCP980649 NST980617:NST980649 NIX980617:NIX980649 MZB980617:MZB980649 MPF980617:MPF980649 MFJ980617:MFJ980649 LVN980617:LVN980649 LLR980617:LLR980649 LBV980617:LBV980649 KRZ980617:KRZ980649 KID980617:KID980649 JYH980617:JYH980649 JOL980617:JOL980649 JEP980617:JEP980649 IUT980617:IUT980649 IKX980617:IKX980649 IBB980617:IBB980649 HRF980617:HRF980649 HHJ980617:HHJ980649 GXN980617:GXN980649 GNR980617:GNR980649 GDV980617:GDV980649 FTZ980617:FTZ980649 FKD980617:FKD980649 FAH980617:FAH980649 EQL980617:EQL980649 EGP980617:EGP980649 DWT980617:DWT980649 DMX980617:DMX980649 DDB980617:DDB980649 CTF980617:CTF980649 CJJ980617:CJJ980649 BZN980617:BZN980649 BPR980617:BPR980649 BFV980617:BFV980649 AVZ980617:AVZ980649 AMD980617:AMD980649 ACH980617:ACH980649 SL980617:SL980649 IP980617:IP980649 WVB915081:WVB915113 WLF915081:WLF915113 WBJ915081:WBJ915113 VRN915081:VRN915113 VHR915081:VHR915113 UXV915081:UXV915113 UNZ915081:UNZ915113 UED915081:UED915113 TUH915081:TUH915113 TKL915081:TKL915113 TAP915081:TAP915113 SQT915081:SQT915113 SGX915081:SGX915113 RXB915081:RXB915113 RNF915081:RNF915113 RDJ915081:RDJ915113 QTN915081:QTN915113 QJR915081:QJR915113 PZV915081:PZV915113 PPZ915081:PPZ915113 PGD915081:PGD915113 OWH915081:OWH915113 OML915081:OML915113 OCP915081:OCP915113 NST915081:NST915113 NIX915081:NIX915113 MZB915081:MZB915113 MPF915081:MPF915113 MFJ915081:MFJ915113 LVN915081:LVN915113 LLR915081:LLR915113 LBV915081:LBV915113 KRZ915081:KRZ915113 KID915081:KID915113 JYH915081:JYH915113 JOL915081:JOL915113 JEP915081:JEP915113 IUT915081:IUT915113 IKX915081:IKX915113 IBB915081:IBB915113 HRF915081:HRF915113 HHJ915081:HHJ915113 GXN915081:GXN915113 GNR915081:GNR915113 GDV915081:GDV915113 FTZ915081:FTZ915113 FKD915081:FKD915113 FAH915081:FAH915113 EQL915081:EQL915113 EGP915081:EGP915113 DWT915081:DWT915113 DMX915081:DMX915113 DDB915081:DDB915113 CTF915081:CTF915113 CJJ915081:CJJ915113 BZN915081:BZN915113 BPR915081:BPR915113 BFV915081:BFV915113 AVZ915081:AVZ915113 AMD915081:AMD915113 ACH915081:ACH915113 SL915081:SL915113 IP915081:IP915113 WVB849545:WVB849577 WLF849545:WLF849577 WBJ849545:WBJ849577 VRN849545:VRN849577 VHR849545:VHR849577 UXV849545:UXV849577 UNZ849545:UNZ849577 UED849545:UED849577 TUH849545:TUH849577 TKL849545:TKL849577 TAP849545:TAP849577 SQT849545:SQT849577 SGX849545:SGX849577 RXB849545:RXB849577 RNF849545:RNF849577 RDJ849545:RDJ849577 QTN849545:QTN849577 QJR849545:QJR849577 PZV849545:PZV849577 PPZ849545:PPZ849577 PGD849545:PGD849577 OWH849545:OWH849577 OML849545:OML849577 OCP849545:OCP849577 NST849545:NST849577 NIX849545:NIX849577 MZB849545:MZB849577 MPF849545:MPF849577 MFJ849545:MFJ849577 LVN849545:LVN849577 LLR849545:LLR849577 LBV849545:LBV849577 KRZ849545:KRZ849577 KID849545:KID849577 JYH849545:JYH849577 JOL849545:JOL849577 JEP849545:JEP849577 IUT849545:IUT849577 IKX849545:IKX849577 IBB849545:IBB849577 HRF849545:HRF849577 HHJ849545:HHJ849577 GXN849545:GXN849577 GNR849545:GNR849577 GDV849545:GDV849577 FTZ849545:FTZ849577 FKD849545:FKD849577 FAH849545:FAH849577 EQL849545:EQL849577 EGP849545:EGP849577 DWT849545:DWT849577 DMX849545:DMX849577 DDB849545:DDB849577 CTF849545:CTF849577 CJJ849545:CJJ849577 BZN849545:BZN849577 BPR849545:BPR849577 BFV849545:BFV849577 AVZ849545:AVZ849577 AMD849545:AMD849577 ACH849545:ACH849577 SL849545:SL849577 IP849545:IP849577 WVB784009:WVB784041 WLF784009:WLF784041 WBJ784009:WBJ784041 VRN784009:VRN784041 VHR784009:VHR784041 UXV784009:UXV784041 UNZ784009:UNZ784041 UED784009:UED784041 TUH784009:TUH784041 TKL784009:TKL784041 TAP784009:TAP784041 SQT784009:SQT784041 SGX784009:SGX784041 RXB784009:RXB784041 RNF784009:RNF784041 RDJ784009:RDJ784041 QTN784009:QTN784041 QJR784009:QJR784041 PZV784009:PZV784041 PPZ784009:PPZ784041 PGD784009:PGD784041 OWH784009:OWH784041 OML784009:OML784041 OCP784009:OCP784041 NST784009:NST784041 NIX784009:NIX784041 MZB784009:MZB784041 MPF784009:MPF784041 MFJ784009:MFJ784041 LVN784009:LVN784041 LLR784009:LLR784041 LBV784009:LBV784041 KRZ784009:KRZ784041 KID784009:KID784041 JYH784009:JYH784041 JOL784009:JOL784041 JEP784009:JEP784041 IUT784009:IUT784041 IKX784009:IKX784041 IBB784009:IBB784041 HRF784009:HRF784041 HHJ784009:HHJ784041 GXN784009:GXN784041 GNR784009:GNR784041 GDV784009:GDV784041 FTZ784009:FTZ784041 FKD784009:FKD784041 FAH784009:FAH784041 EQL784009:EQL784041 EGP784009:EGP784041 DWT784009:DWT784041 DMX784009:DMX784041 DDB784009:DDB784041 CTF784009:CTF784041 CJJ784009:CJJ784041 BZN784009:BZN784041 BPR784009:BPR784041 BFV784009:BFV784041 AVZ784009:AVZ784041 AMD784009:AMD784041 ACH784009:ACH784041 SL784009:SL784041 IP784009:IP784041 WVB718473:WVB718505 WLF718473:WLF718505 WBJ718473:WBJ718505 VRN718473:VRN718505 VHR718473:VHR718505 UXV718473:UXV718505 UNZ718473:UNZ718505 UED718473:UED718505 TUH718473:TUH718505 TKL718473:TKL718505 TAP718473:TAP718505 SQT718473:SQT718505 SGX718473:SGX718505 RXB718473:RXB718505 RNF718473:RNF718505 RDJ718473:RDJ718505 QTN718473:QTN718505 QJR718473:QJR718505 PZV718473:PZV718505 PPZ718473:PPZ718505 PGD718473:PGD718505 OWH718473:OWH718505 OML718473:OML718505 OCP718473:OCP718505 NST718473:NST718505 NIX718473:NIX718505 MZB718473:MZB718505 MPF718473:MPF718505 MFJ718473:MFJ718505 LVN718473:LVN718505 LLR718473:LLR718505 LBV718473:LBV718505 KRZ718473:KRZ718505 KID718473:KID718505 JYH718473:JYH718505 JOL718473:JOL718505 JEP718473:JEP718505 IUT718473:IUT718505 IKX718473:IKX718505 IBB718473:IBB718505 HRF718473:HRF718505 HHJ718473:HHJ718505 GXN718473:GXN718505 GNR718473:GNR718505 GDV718473:GDV718505 FTZ718473:FTZ718505 FKD718473:FKD718505 FAH718473:FAH718505 EQL718473:EQL718505 EGP718473:EGP718505 DWT718473:DWT718505 DMX718473:DMX718505 DDB718473:DDB718505 CTF718473:CTF718505 CJJ718473:CJJ718505 BZN718473:BZN718505 BPR718473:BPR718505 BFV718473:BFV718505 AVZ718473:AVZ718505 AMD718473:AMD718505 ACH718473:ACH718505 SL718473:SL718505 IP718473:IP718505 WVB652937:WVB652969 WLF652937:WLF652969 WBJ652937:WBJ652969 VRN652937:VRN652969 VHR652937:VHR652969 UXV652937:UXV652969 UNZ652937:UNZ652969 UED652937:UED652969 TUH652937:TUH652969 TKL652937:TKL652969 TAP652937:TAP652969 SQT652937:SQT652969 SGX652937:SGX652969 RXB652937:RXB652969 RNF652937:RNF652969 RDJ652937:RDJ652969 QTN652937:QTN652969 QJR652937:QJR652969 PZV652937:PZV652969 PPZ652937:PPZ652969 PGD652937:PGD652969 OWH652937:OWH652969 OML652937:OML652969 OCP652937:OCP652969 NST652937:NST652969 NIX652937:NIX652969 MZB652937:MZB652969 MPF652937:MPF652969 MFJ652937:MFJ652969 LVN652937:LVN652969 LLR652937:LLR652969 LBV652937:LBV652969 KRZ652937:KRZ652969 KID652937:KID652969 JYH652937:JYH652969 JOL652937:JOL652969 JEP652937:JEP652969 IUT652937:IUT652969 IKX652937:IKX652969 IBB652937:IBB652969 HRF652937:HRF652969 HHJ652937:HHJ652969 GXN652937:GXN652969 GNR652937:GNR652969 GDV652937:GDV652969 FTZ652937:FTZ652969 FKD652937:FKD652969 FAH652937:FAH652969 EQL652937:EQL652969 EGP652937:EGP652969 DWT652937:DWT652969 DMX652937:DMX652969 DDB652937:DDB652969 CTF652937:CTF652969 CJJ652937:CJJ652969 BZN652937:BZN652969 BPR652937:BPR652969 BFV652937:BFV652969 AVZ652937:AVZ652969 AMD652937:AMD652969 ACH652937:ACH652969 SL652937:SL652969 IP652937:IP652969 WVB587401:WVB587433 WLF587401:WLF587433 WBJ587401:WBJ587433 VRN587401:VRN587433 VHR587401:VHR587433 UXV587401:UXV587433 UNZ587401:UNZ587433 UED587401:UED587433 TUH587401:TUH587433 TKL587401:TKL587433 TAP587401:TAP587433 SQT587401:SQT587433 SGX587401:SGX587433 RXB587401:RXB587433 RNF587401:RNF587433 RDJ587401:RDJ587433 QTN587401:QTN587433 QJR587401:QJR587433 PZV587401:PZV587433 PPZ587401:PPZ587433 PGD587401:PGD587433 OWH587401:OWH587433 OML587401:OML587433 OCP587401:OCP587433 NST587401:NST587433 NIX587401:NIX587433 MZB587401:MZB587433 MPF587401:MPF587433 MFJ587401:MFJ587433 LVN587401:LVN587433 LLR587401:LLR587433 LBV587401:LBV587433 KRZ587401:KRZ587433 KID587401:KID587433 JYH587401:JYH587433 JOL587401:JOL587433 JEP587401:JEP587433 IUT587401:IUT587433 IKX587401:IKX587433 IBB587401:IBB587433 HRF587401:HRF587433 HHJ587401:HHJ587433 GXN587401:GXN587433 GNR587401:GNR587433 GDV587401:GDV587433 FTZ587401:FTZ587433 FKD587401:FKD587433 FAH587401:FAH587433 EQL587401:EQL587433 EGP587401:EGP587433 DWT587401:DWT587433 DMX587401:DMX587433 DDB587401:DDB587433 CTF587401:CTF587433 CJJ587401:CJJ587433 BZN587401:BZN587433 BPR587401:BPR587433 BFV587401:BFV587433 AVZ587401:AVZ587433 AMD587401:AMD587433 ACH587401:ACH587433 SL587401:SL587433 IP587401:IP587433 WVB521865:WVB521897 WLF521865:WLF521897 WBJ521865:WBJ521897 VRN521865:VRN521897 VHR521865:VHR521897 UXV521865:UXV521897 UNZ521865:UNZ521897 UED521865:UED521897 TUH521865:TUH521897 TKL521865:TKL521897 TAP521865:TAP521897 SQT521865:SQT521897 SGX521865:SGX521897 RXB521865:RXB521897 RNF521865:RNF521897 RDJ521865:RDJ521897 QTN521865:QTN521897 QJR521865:QJR521897 PZV521865:PZV521897 PPZ521865:PPZ521897 PGD521865:PGD521897 OWH521865:OWH521897 OML521865:OML521897 OCP521865:OCP521897 NST521865:NST521897 NIX521865:NIX521897 MZB521865:MZB521897 MPF521865:MPF521897 MFJ521865:MFJ521897 LVN521865:LVN521897 LLR521865:LLR521897 LBV521865:LBV521897 KRZ521865:KRZ521897 KID521865:KID521897 JYH521865:JYH521897 JOL521865:JOL521897 JEP521865:JEP521897 IUT521865:IUT521897 IKX521865:IKX521897 IBB521865:IBB521897 HRF521865:HRF521897 HHJ521865:HHJ521897 GXN521865:GXN521897 GNR521865:GNR521897 GDV521865:GDV521897 FTZ521865:FTZ521897 FKD521865:FKD521897 FAH521865:FAH521897 EQL521865:EQL521897 EGP521865:EGP521897 DWT521865:DWT521897 DMX521865:DMX521897 DDB521865:DDB521897 CTF521865:CTF521897 CJJ521865:CJJ521897 BZN521865:BZN521897 BPR521865:BPR521897 BFV521865:BFV521897 AVZ521865:AVZ521897 AMD521865:AMD521897 ACH521865:ACH521897 SL521865:SL521897 IP521865:IP521897 WVB456329:WVB456361 WLF456329:WLF456361 WBJ456329:WBJ456361 VRN456329:VRN456361 VHR456329:VHR456361 UXV456329:UXV456361 UNZ456329:UNZ456361 UED456329:UED456361 TUH456329:TUH456361 TKL456329:TKL456361 TAP456329:TAP456361 SQT456329:SQT456361 SGX456329:SGX456361 RXB456329:RXB456361 RNF456329:RNF456361 RDJ456329:RDJ456361 QTN456329:QTN456361 QJR456329:QJR456361 PZV456329:PZV456361 PPZ456329:PPZ456361 PGD456329:PGD456361 OWH456329:OWH456361 OML456329:OML456361 OCP456329:OCP456361 NST456329:NST456361 NIX456329:NIX456361 MZB456329:MZB456361 MPF456329:MPF456361 MFJ456329:MFJ456361 LVN456329:LVN456361 LLR456329:LLR456361 LBV456329:LBV456361 KRZ456329:KRZ456361 KID456329:KID456361 JYH456329:JYH456361 JOL456329:JOL456361 JEP456329:JEP456361 IUT456329:IUT456361 IKX456329:IKX456361 IBB456329:IBB456361 HRF456329:HRF456361 HHJ456329:HHJ456361 GXN456329:GXN456361 GNR456329:GNR456361 GDV456329:GDV456361 FTZ456329:FTZ456361 FKD456329:FKD456361 FAH456329:FAH456361 EQL456329:EQL456361 EGP456329:EGP456361 DWT456329:DWT456361 DMX456329:DMX456361 DDB456329:DDB456361 CTF456329:CTF456361 CJJ456329:CJJ456361 BZN456329:BZN456361 BPR456329:BPR456361 BFV456329:BFV456361 AVZ456329:AVZ456361 AMD456329:AMD456361 ACH456329:ACH456361 SL456329:SL456361 IP456329:IP456361 WVB390793:WVB390825 WLF390793:WLF390825 WBJ390793:WBJ390825 VRN390793:VRN390825 VHR390793:VHR390825 UXV390793:UXV390825 UNZ390793:UNZ390825 UED390793:UED390825 TUH390793:TUH390825 TKL390793:TKL390825 TAP390793:TAP390825 SQT390793:SQT390825 SGX390793:SGX390825 RXB390793:RXB390825 RNF390793:RNF390825 RDJ390793:RDJ390825 QTN390793:QTN390825 QJR390793:QJR390825 PZV390793:PZV390825 PPZ390793:PPZ390825 PGD390793:PGD390825 OWH390793:OWH390825 OML390793:OML390825 OCP390793:OCP390825 NST390793:NST390825 NIX390793:NIX390825 MZB390793:MZB390825 MPF390793:MPF390825 MFJ390793:MFJ390825 LVN390793:LVN390825 LLR390793:LLR390825 LBV390793:LBV390825 KRZ390793:KRZ390825 KID390793:KID390825 JYH390793:JYH390825 JOL390793:JOL390825 JEP390793:JEP390825 IUT390793:IUT390825 IKX390793:IKX390825 IBB390793:IBB390825 HRF390793:HRF390825 HHJ390793:HHJ390825 GXN390793:GXN390825 GNR390793:GNR390825 GDV390793:GDV390825 FTZ390793:FTZ390825 FKD390793:FKD390825 FAH390793:FAH390825 EQL390793:EQL390825 EGP390793:EGP390825 DWT390793:DWT390825 DMX390793:DMX390825 DDB390793:DDB390825 CTF390793:CTF390825 CJJ390793:CJJ390825 BZN390793:BZN390825 BPR390793:BPR390825 BFV390793:BFV390825 AVZ390793:AVZ390825 AMD390793:AMD390825 ACH390793:ACH390825 SL390793:SL390825 IP390793:IP390825 WVB325257:WVB325289 WLF325257:WLF325289 WBJ325257:WBJ325289 VRN325257:VRN325289 VHR325257:VHR325289 UXV325257:UXV325289 UNZ325257:UNZ325289 UED325257:UED325289 TUH325257:TUH325289 TKL325257:TKL325289 TAP325257:TAP325289 SQT325257:SQT325289 SGX325257:SGX325289 RXB325257:RXB325289 RNF325257:RNF325289 RDJ325257:RDJ325289 QTN325257:QTN325289 QJR325257:QJR325289 PZV325257:PZV325289 PPZ325257:PPZ325289 PGD325257:PGD325289 OWH325257:OWH325289 OML325257:OML325289 OCP325257:OCP325289 NST325257:NST325289 NIX325257:NIX325289 MZB325257:MZB325289 MPF325257:MPF325289 MFJ325257:MFJ325289 LVN325257:LVN325289 LLR325257:LLR325289 LBV325257:LBV325289 KRZ325257:KRZ325289 KID325257:KID325289 JYH325257:JYH325289 JOL325257:JOL325289 JEP325257:JEP325289 IUT325257:IUT325289 IKX325257:IKX325289 IBB325257:IBB325289 HRF325257:HRF325289 HHJ325257:HHJ325289 GXN325257:GXN325289 GNR325257:GNR325289 GDV325257:GDV325289 FTZ325257:FTZ325289 FKD325257:FKD325289 FAH325257:FAH325289 EQL325257:EQL325289 EGP325257:EGP325289 DWT325257:DWT325289 DMX325257:DMX325289 DDB325257:DDB325289 CTF325257:CTF325289 CJJ325257:CJJ325289 BZN325257:BZN325289 BPR325257:BPR325289 BFV325257:BFV325289 AVZ325257:AVZ325289 AMD325257:AMD325289 ACH325257:ACH325289 SL325257:SL325289 IP325257:IP325289 WVB259721:WVB259753 WLF259721:WLF259753 WBJ259721:WBJ259753 VRN259721:VRN259753 VHR259721:VHR259753 UXV259721:UXV259753 UNZ259721:UNZ259753 UED259721:UED259753 TUH259721:TUH259753 TKL259721:TKL259753 TAP259721:TAP259753 SQT259721:SQT259753 SGX259721:SGX259753 RXB259721:RXB259753 RNF259721:RNF259753 RDJ259721:RDJ259753 QTN259721:QTN259753 QJR259721:QJR259753 PZV259721:PZV259753 PPZ259721:PPZ259753 PGD259721:PGD259753 OWH259721:OWH259753 OML259721:OML259753 OCP259721:OCP259753 NST259721:NST259753 NIX259721:NIX259753 MZB259721:MZB259753 MPF259721:MPF259753 MFJ259721:MFJ259753 LVN259721:LVN259753 LLR259721:LLR259753 LBV259721:LBV259753 KRZ259721:KRZ259753 KID259721:KID259753 JYH259721:JYH259753 JOL259721:JOL259753 JEP259721:JEP259753 IUT259721:IUT259753 IKX259721:IKX259753 IBB259721:IBB259753 HRF259721:HRF259753 HHJ259721:HHJ259753 GXN259721:GXN259753 GNR259721:GNR259753 GDV259721:GDV259753 FTZ259721:FTZ259753 FKD259721:FKD259753 FAH259721:FAH259753 EQL259721:EQL259753 EGP259721:EGP259753 DWT259721:DWT259753 DMX259721:DMX259753 DDB259721:DDB259753 CTF259721:CTF259753 CJJ259721:CJJ259753 BZN259721:BZN259753 BPR259721:BPR259753 BFV259721:BFV259753 AVZ259721:AVZ259753 AMD259721:AMD259753 ACH259721:ACH259753 SL259721:SL259753 IP259721:IP259753 WVB194185:WVB194217 WLF194185:WLF194217 WBJ194185:WBJ194217 VRN194185:VRN194217 VHR194185:VHR194217 UXV194185:UXV194217 UNZ194185:UNZ194217 UED194185:UED194217 TUH194185:TUH194217 TKL194185:TKL194217 TAP194185:TAP194217 SQT194185:SQT194217 SGX194185:SGX194217 RXB194185:RXB194217 RNF194185:RNF194217 RDJ194185:RDJ194217 QTN194185:QTN194217 QJR194185:QJR194217 PZV194185:PZV194217 PPZ194185:PPZ194217 PGD194185:PGD194217 OWH194185:OWH194217 OML194185:OML194217 OCP194185:OCP194217 NST194185:NST194217 NIX194185:NIX194217 MZB194185:MZB194217 MPF194185:MPF194217 MFJ194185:MFJ194217 LVN194185:LVN194217 LLR194185:LLR194217 LBV194185:LBV194217 KRZ194185:KRZ194217 KID194185:KID194217 JYH194185:JYH194217 JOL194185:JOL194217 JEP194185:JEP194217 IUT194185:IUT194217 IKX194185:IKX194217 IBB194185:IBB194217 HRF194185:HRF194217 HHJ194185:HHJ194217 GXN194185:GXN194217 GNR194185:GNR194217 GDV194185:GDV194217 FTZ194185:FTZ194217 FKD194185:FKD194217 FAH194185:FAH194217 EQL194185:EQL194217 EGP194185:EGP194217 DWT194185:DWT194217 DMX194185:DMX194217 DDB194185:DDB194217 CTF194185:CTF194217 CJJ194185:CJJ194217 BZN194185:BZN194217 BPR194185:BPR194217 BFV194185:BFV194217 AVZ194185:AVZ194217 AMD194185:AMD194217 ACH194185:ACH194217 SL194185:SL194217 IP194185:IP194217 WVB128649:WVB128681 WLF128649:WLF128681 WBJ128649:WBJ128681 VRN128649:VRN128681 VHR128649:VHR128681 UXV128649:UXV128681 UNZ128649:UNZ128681 UED128649:UED128681 TUH128649:TUH128681 TKL128649:TKL128681 TAP128649:TAP128681 SQT128649:SQT128681 SGX128649:SGX128681 RXB128649:RXB128681 RNF128649:RNF128681 RDJ128649:RDJ128681 QTN128649:QTN128681 QJR128649:QJR128681 PZV128649:PZV128681 PPZ128649:PPZ128681 PGD128649:PGD128681 OWH128649:OWH128681 OML128649:OML128681 OCP128649:OCP128681 NST128649:NST128681 NIX128649:NIX128681 MZB128649:MZB128681 MPF128649:MPF128681 MFJ128649:MFJ128681 LVN128649:LVN128681 LLR128649:LLR128681 LBV128649:LBV128681 KRZ128649:KRZ128681 KID128649:KID128681 JYH128649:JYH128681 JOL128649:JOL128681 JEP128649:JEP128681 IUT128649:IUT128681 IKX128649:IKX128681 IBB128649:IBB128681 HRF128649:HRF128681 HHJ128649:HHJ128681 GXN128649:GXN128681 GNR128649:GNR128681 GDV128649:GDV128681 FTZ128649:FTZ128681 FKD128649:FKD128681 FAH128649:FAH128681 EQL128649:EQL128681 EGP128649:EGP128681 DWT128649:DWT128681 DMX128649:DMX128681 DDB128649:DDB128681 CTF128649:CTF128681 CJJ128649:CJJ128681 BZN128649:BZN128681 BPR128649:BPR128681 BFV128649:BFV128681 AVZ128649:AVZ128681 AMD128649:AMD128681 ACH128649:ACH128681 SL128649:SL128681 IP128649:IP128681 WVB63113:WVB63145 WLF63113:WLF63145 WBJ63113:WBJ63145 VRN63113:VRN63145 VHR63113:VHR63145 UXV63113:UXV63145 UNZ63113:UNZ63145 UED63113:UED63145 TUH63113:TUH63145 TKL63113:TKL63145 TAP63113:TAP63145 SQT63113:SQT63145 SGX63113:SGX63145 RXB63113:RXB63145 RNF63113:RNF63145 RDJ63113:RDJ63145 QTN63113:QTN63145 QJR63113:QJR63145 PZV63113:PZV63145 PPZ63113:PPZ63145 PGD63113:PGD63145 OWH63113:OWH63145 OML63113:OML63145 OCP63113:OCP63145 NST63113:NST63145 NIX63113:NIX63145 MZB63113:MZB63145 MPF63113:MPF63145 MFJ63113:MFJ63145 LVN63113:LVN63145 LLR63113:LLR63145 LBV63113:LBV63145 KRZ63113:KRZ63145 KID63113:KID63145 JYH63113:JYH63145 JOL63113:JOL63145 JEP63113:JEP63145 IUT63113:IUT63145 IKX63113:IKX63145 IBB63113:IBB63145 HRF63113:HRF63145 HHJ63113:HHJ63145 GXN63113:GXN63145 GNR63113:GNR63145 GDV63113:GDV63145 FTZ63113:FTZ63145 FKD63113:FKD63145 FAH63113:FAH63145 EQL63113:EQL63145 EGP63113:EGP63145 DWT63113:DWT63145 DMX63113:DMX63145 DDB63113:DDB63145 CTF63113:CTF63145 CJJ63113:CJJ63145 BZN63113:BZN63145 BPR63113:BPR63145 BFV63113:BFV63145 AVZ63113:AVZ63145 AMD63113:AMD63145 ACH63113:ACH63145 SL63113:SL63145 IP63113:IP63145 A128612:A128644 A194148:A194180 A259684:A259716 A325220:A325252 A390756:A390788 A456292:A456324 A521828:A521860 A587364:A587396 A652900:A652932 A718436:A718468 A783972:A784004 A849508:A849540 A915044:A915076 A980580:A980612 A63076:A63108" xr:uid="{00000000-0002-0000-0100-000000000000}"/>
  </dataValidations>
  <printOptions horizontalCentered="1"/>
  <pageMargins left="0.25" right="0.25" top="0.75" bottom="0.75" header="0.3" footer="0.3"/>
  <pageSetup paperSize="9" scale="65" fitToWidth="0" fitToHeight="7" orientation="portrait" r:id="rId1"/>
  <headerFooter>
    <oddFooter>&amp;C&amp;"Calibri,標準"&amp;11 &amp;P / &amp;N</oddFooter>
  </headerFooter>
  <rowBreaks count="1" manualBreakCount="1">
    <brk id="159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INVOICE</vt:lpstr>
      <vt:lpstr>PACKING </vt:lpstr>
      <vt:lpstr>DETAIL PACKING</vt:lpstr>
      <vt:lpstr>'DETAIL PACKING'!Print_Area</vt:lpstr>
      <vt:lpstr>INVOICE!Print_Area</vt:lpstr>
      <vt:lpstr>'PACKING '!Print_Area</vt:lpstr>
      <vt:lpstr>'DETAIL PACKING'!Print_Titles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Libo Jin</dc:creator>
  <cp:lastModifiedBy>FK-Daisy Tsai</cp:lastModifiedBy>
  <cp:lastPrinted>2026-04-08T08:14:20Z</cp:lastPrinted>
  <dcterms:created xsi:type="dcterms:W3CDTF">2019-01-13T09:27:07Z</dcterms:created>
  <dcterms:modified xsi:type="dcterms:W3CDTF">2026-04-08T08:53:16Z</dcterms:modified>
</cp:coreProperties>
</file>