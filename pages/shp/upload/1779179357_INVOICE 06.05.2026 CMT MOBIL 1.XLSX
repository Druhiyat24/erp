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6.05.2026\MOBIL 1\"/>
    </mc:Choice>
  </mc:AlternateContent>
  <xr:revisionPtr revIDLastSave="0" documentId="13_ncr:1_{280C1168-95FF-4378-BCA5-0977E3D736A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74" sheetId="177" r:id="rId3"/>
    <sheet name="75" sheetId="178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'74'!$B$1:$I$57</definedName>
    <definedName name="_xlnm.Print_Area" localSheetId="3">'75'!$B$1:$I$57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77" l="1"/>
  <c r="C3" i="178"/>
  <c r="H52" i="178"/>
  <c r="F32" i="178"/>
  <c r="I32" i="178" s="1"/>
  <c r="I34" i="178" s="1"/>
  <c r="I36" i="178" s="1"/>
  <c r="I38" i="178" s="1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2" i="177"/>
  <c r="I32" i="177" s="1"/>
  <c r="I34" i="177" s="1"/>
  <c r="I36" i="177" s="1"/>
  <c r="I38" i="177" s="1"/>
  <c r="B27" i="177"/>
  <c r="I23" i="177"/>
  <c r="H23" i="177"/>
  <c r="G23" i="177"/>
  <c r="F23" i="177"/>
  <c r="E23" i="177"/>
  <c r="E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F34" i="178" l="1"/>
  <c r="F34" i="177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<sst xmlns="http://schemas.openxmlformats.org/spreadsheetml/2006/main" count="318" uniqueCount="187">
  <si>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</si>
  <si>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</si>
  <si>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</si>
  <si>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</si>
  <si>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</si>
  <si>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</si>
  <si>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</si>
  <si>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</si>
  <si>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</si>
  <si>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</si>
  <si>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</si>
  <si>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</si>
  <si>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</si>
  <si>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</si>
  <si>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</si>
  <si>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</si>
  <si>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</si>
  <si>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</si>
  <si>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</si>
  <si>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</si>
  <si>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</si>
  <si>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</si>
  <si>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</si>
  <si>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</si>
  <si>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</si>
  <si>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</si>
  <si>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</si>
  <si>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</si>
  <si>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</si>
  <si>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</si>
  <si>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</si>
  <si>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</si>
  <si>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</si>
  <si>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</si>
  <si>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</si>
  <si>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</si>
  <si>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</si>
  <si>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</si>
  <si>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</si>
  <si>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</si>
  <si>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</si>
  <si>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</si>
  <si>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</si>
  <si>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</si>
  <si>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</si>
  <si>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</si>
  <si>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</si>
  <si>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</si>
  <si>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</si>
  <si>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</si>
  <si>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</si>
  <si>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</si>
  <si>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</si>
  <si>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</si>
  <si>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</si>
  <si>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</si>
  <si>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</si>
  <si>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</si>
  <si>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</si>
  <si>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</si>
  <si>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</si>
  <si>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</si>
  <si>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</si>
  <si>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</si>
  <si>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</si>
  <si>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</si>
  <si>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</si>
  <si>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</si>
  <si>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</si>
  <si>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</si>
  <si>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</si>
  <si>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</si>
  <si>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</si>
  <si>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</si>
  <si>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</si>
  <si>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</si>
  <si>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</si>
  <si>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</si>
  <si>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</si>
  <si>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</si>
  <si>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</si>
  <si>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</si>
  <si>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</si>
  <si>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</si>
  <si>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</si>
  <si>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</si>
  <si>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</si>
  <si>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</si>
  <si>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</si>
  <si>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</si>
  <si>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</si>
  <si>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</si>
  <si>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</si>
  <si>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</si>
  <si>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</si>
  <si>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</si>
  <si>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</si>
  <si>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</si>
  <si>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</si>
  <si>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</si>
  <si>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</si>
  <si>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</si>
  <si>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</si>
  <si>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</si>
  <si>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</si>
  <si>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</si>
  <si>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</si>
  <si>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</si>
  <si>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</si>
  <si>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</si>
  <si>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</si>
  <si>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</si>
  <si>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</si>
  <si>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</si>
  <si>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</si>
  <si>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</si>
  <si>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</si>
  <si>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</si>
  <si>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</si>
  <si>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</si>
  <si>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</si>
  <si>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</si>
  <si>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</si>
  <si>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</si>
  <si>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</si>
  <si>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</si>
  <si>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</si>
  <si>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</si>
  <si>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</si>
  <si>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</si>
  <si>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</si>
  <si>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</si>
  <si>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</si>
  <si>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</si>
  <si>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</si>
  <si>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</si>
  <si>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</si>
  <si>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</si>
  <si>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</si>
  <si>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</si>
  <si>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</si>
  <si>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</si>
  <si>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</si>
  <si>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</si>
  <si>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</si>
  <si>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</si>
  <si>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</si>
  <si>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</si>
  <si>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</si>
  <si>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</si>
  <si>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</si>
  <si>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</si>
  <si>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</si>
  <si>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</si>
  <si>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</si>
  <si>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</si>
  <si>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</si>
  <si>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</si>
  <si>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</si>
  <si>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</si>
  <si>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</si>
  <si>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</si>
  <si>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</si>
  <si>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</si>
  <si>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</si>
  <si>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</si>
  <si>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</si>
  <si>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</si>
  <si>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</si>
  <si>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</si>
  <si>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</si>
  <si>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</si>
  <si>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</si>
  <si>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</si>
  <si>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</si>
  <si>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</si>
  <si>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</si>
  <si>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WOMENS COTTON FIBERS, KNIT PULLOVER, WITH NO NECK CLOSURE, STITCH COUNT IS GREATER THAN 9/2CM, REACHES WAIST, SLEEVELESS [95% COTTON 5% ELASTANE]</t>
  </si>
  <si>
    <t>265K0059</t>
  </si>
  <si>
    <t xml:space="preserve"> 265K0075 </t>
  </si>
  <si>
    <t>FRANCHISE</t>
  </si>
  <si>
    <t>PINK LEOPARD HEART</t>
  </si>
  <si>
    <t>Girls Cotton Fibers, Knit Pullover, With No Neck Closure, Stitch Count Is Greater Than 9/2cm, Reaches Waist [100% Cotton]</t>
  </si>
  <si>
    <t>HK</t>
  </si>
  <si>
    <t>BLACK COFFEE, BLACK JACK 3, CALLA LILY 2</t>
  </si>
  <si>
    <t>13, 15, 20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</si>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</sst>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F10DFF8-2FC6-49E6-8782-46002D5C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EE9AB-B8FB-4BE7-8D17-CED9737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DF04301C-9A10-4CE9-9793-FE790E57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CC0ECA-67FB-4687-8396-41247581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topLeftCell="A4" workbookViewId="0">
      <selection activeCell="D27" sqref="D27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3" sqref="J3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906033</v>
      </c>
      <c r="H2" s="53">
        <v>1</v>
      </c>
      <c r="I2" s="54"/>
    </row>
    <row r="3" spans="2:9" ht="15" x14ac:dyDescent="0.25">
      <c r="B3" s="53">
        <v>2</v>
      </c>
      <c r="C3" t="s">
        <v>179</v>
      </c>
      <c r="E3" s="53">
        <v>2</v>
      </c>
      <c r="F3">
        <v>692926</v>
      </c>
      <c r="H3" s="53">
        <v>2</v>
      </c>
      <c r="I3" s="54" t="s">
        <v>180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x14ac:dyDescent="0.2">
      <c r="B25" s="53">
        <v>24</v>
      </c>
      <c r="E25" s="53">
        <v>24</v>
      </c>
      <c r="H25" s="53">
        <v>24</v>
      </c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30F-A0D1-4ADD-B7A3-79AA9FFD6A01}">
  <sheetPr>
    <pageSetUpPr fitToPage="1"/>
  </sheetPr>
  <dimension ref="B1:V58"/>
  <sheetViews>
    <sheetView tabSelected="1" view="pageBreakPreview" topLeftCell="A5" zoomScaleNormal="100" zoomScaleSheetLayoutView="100" workbookViewId="0">
      <selection activeCell="C20" sqref="C2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186</v>
      </c>
      <c r="C2" s="72"/>
      <c r="D2" s="72"/>
      <c r="E2" s="72"/>
      <c r="F2" s="72"/>
      <c r="G2" s="72"/>
      <c r="H2" s="72"/>
      <c r="I2" s="73"/>
      <c r="J2" s="43">
        <v>1777992</v>
      </c>
      <c r="K2" s="44">
        <v>35</v>
      </c>
      <c r="L2" s="44">
        <v>5</v>
      </c>
      <c r="M2" s="44">
        <v>3.84</v>
      </c>
      <c r="N2" s="44">
        <v>3.91</v>
      </c>
      <c r="O2" s="44">
        <v>6.16</v>
      </c>
      <c r="P2" s="44" t="s">
        <v>54</v>
      </c>
      <c r="Q2" s="44">
        <v>8.4000000000000005E-2</v>
      </c>
      <c r="R2" s="44" t="s">
        <v>62</v>
      </c>
    </row>
    <row r="3" spans="2:22" x14ac:dyDescent="0.2">
      <c r="B3" s="6" t="s">
        <v>53</v>
      </c>
      <c r="C3" s="59">
        <v>74</v>
      </c>
      <c r="D3" s="5"/>
      <c r="E3" s="5"/>
      <c r="F3" s="5"/>
      <c r="G3" s="5" t="s">
        <v>52</v>
      </c>
      <c r="H3" s="31">
        <v>46148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132</v>
      </c>
      <c r="H13" s="5"/>
      <c r="I13" s="4"/>
    </row>
    <row r="14" spans="2:22" x14ac:dyDescent="0.2">
      <c r="B14" s="6" t="s">
        <v>127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 xml:space="preserve">COMPARTMENT 1503, 15/F, 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13TH FLOOR, ONE ANGEL COURT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KERRY CARGO CENTRE,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LONDON, UNITED KINGDOM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55 WING KEI ROAD, KWAI CHUNG, NT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EC2R 7HJ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HONG KONG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KINGDOM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1777992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GAP</v>
      </c>
      <c r="E21" s="19">
        <f>VLOOKUP($K21,reff!H2:I29,2,0)</f>
        <v>0</v>
      </c>
      <c r="F21" s="55" t="s">
        <v>35</v>
      </c>
      <c r="G21" s="55"/>
      <c r="H21" s="49" t="s">
        <v>183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6.16</v>
      </c>
      <c r="G23" s="23">
        <f>+N2</f>
        <v>3.91</v>
      </c>
      <c r="H23" s="23">
        <f>+M2</f>
        <v>3.84</v>
      </c>
      <c r="I23" s="55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3"/>
      <c r="D26" s="63"/>
      <c r="E26" s="63"/>
      <c r="F26" s="63"/>
      <c r="G26" s="63"/>
      <c r="H26" s="63"/>
      <c r="I26" s="62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39" customHeight="1" x14ac:dyDescent="0.2">
      <c r="B32" s="41"/>
      <c r="C32" s="19" t="s">
        <v>181</v>
      </c>
      <c r="D32" s="69"/>
      <c r="E32" s="70"/>
      <c r="F32" s="69">
        <f>+K2</f>
        <v>35</v>
      </c>
      <c r="G32" s="70"/>
      <c r="H32" s="17">
        <v>0.84</v>
      </c>
      <c r="I32" s="18">
        <f>+H32*F32</f>
        <v>29.4</v>
      </c>
      <c r="K32" s="48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5"/>
    </row>
    <row r="34" spans="2:11" ht="21.75" customHeight="1" x14ac:dyDescent="0.2">
      <c r="B34" s="15" t="s">
        <v>14</v>
      </c>
      <c r="C34" s="15"/>
      <c r="D34" s="67"/>
      <c r="E34" s="68"/>
      <c r="F34" s="69">
        <f>SUM(F32:G33)</f>
        <v>35</v>
      </c>
      <c r="G34" s="70"/>
      <c r="H34" s="15"/>
      <c r="I34" s="14">
        <f>SUM(I32:I33)</f>
        <v>29.4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29.4</v>
      </c>
    </row>
    <row r="37" spans="2:11" ht="20.25" customHeight="1" x14ac:dyDescent="0.2">
      <c r="B37" s="15" t="s">
        <v>80</v>
      </c>
      <c r="C37" s="61" t="s">
        <v>11</v>
      </c>
      <c r="D37" s="63"/>
      <c r="E37" s="63"/>
      <c r="F37" s="63"/>
      <c r="G37" s="63"/>
      <c r="H37" s="6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4" t="s">
        <v>7</v>
      </c>
      <c r="C46" s="64"/>
      <c r="D46" s="6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5" t="s">
        <v>1</v>
      </c>
      <c r="D55" s="65"/>
      <c r="E55" s="5"/>
      <c r="F55" s="5"/>
      <c r="G55" s="5"/>
      <c r="H55" s="5"/>
      <c r="I55" s="4"/>
    </row>
    <row r="56" spans="2:11" x14ac:dyDescent="0.2">
      <c r="B56" s="6"/>
      <c r="C56" s="66" t="s">
        <v>0</v>
      </c>
      <c r="D56" s="6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0"/>
      <c r="D57" s="6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59AD21-9E11-4BC9-A9EE-FDC86CDD7EC2}">
          <x14:formula1>
            <xm:f>Sheet1!$K$5:$K$12</xm:f>
          </x14:formula1>
          <xm:sqref>B14</xm:sqref>
        </x14:dataValidation>
        <x14:dataValidation type="list" allowBlank="1" showInputMessage="1" showErrorMessage="1" xr:uid="{18320B29-71CA-4D71-8779-655A14A88023}">
          <x14:formula1>
            <xm:f>Sheet1!$B$17:$B$18</xm:f>
          </x14:formula1>
          <xm:sqref>G5</xm:sqref>
        </x14:dataValidation>
        <x14:dataValidation type="list" allowBlank="1" showInputMessage="1" showErrorMessage="1" xr:uid="{12DA1B77-5967-4589-A839-334A4EEDFA24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FAC1-8BAC-423B-8C50-AF58901095BA}">
  <sheetPr>
    <pageSetUpPr fitToPage="1"/>
  </sheetPr>
  <dimension ref="B1:V58"/>
  <sheetViews>
    <sheetView view="pageBreakPreview" topLeftCell="A20" zoomScaleNormal="100" zoomScaleSheetLayoutView="100" workbookViewId="0">
      <selection activeCell="C20" sqref="C2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186</v>
      </c>
      <c r="C2" s="72"/>
      <c r="D2" s="72"/>
      <c r="E2" s="72"/>
      <c r="F2" s="72"/>
      <c r="G2" s="72"/>
      <c r="H2" s="72"/>
      <c r="I2" s="73"/>
      <c r="J2" s="43">
        <v>61740909</v>
      </c>
      <c r="K2" s="44">
        <v>384</v>
      </c>
      <c r="L2" s="44">
        <v>11</v>
      </c>
      <c r="M2" s="44">
        <v>38.85</v>
      </c>
      <c r="N2" s="44">
        <v>49.59</v>
      </c>
      <c r="O2" s="44">
        <v>59.19</v>
      </c>
      <c r="P2" s="44" t="s">
        <v>54</v>
      </c>
      <c r="Q2" s="44">
        <v>0.503</v>
      </c>
      <c r="R2" s="44" t="s">
        <v>62</v>
      </c>
    </row>
    <row r="3" spans="2:22" x14ac:dyDescent="0.2">
      <c r="B3" s="6" t="s">
        <v>53</v>
      </c>
      <c r="C3" s="59">
        <f>+'74'!C3+1</f>
        <v>75</v>
      </c>
      <c r="D3" s="5"/>
      <c r="E3" s="5"/>
      <c r="F3" s="5"/>
      <c r="G3" s="5" t="s">
        <v>52</v>
      </c>
      <c r="H3" s="31">
        <v>46148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61740909</v>
      </c>
      <c r="C21" s="5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7" t="s">
        <v>35</v>
      </c>
      <c r="G21" s="57"/>
      <c r="H21" s="49" t="str">
        <f>IF(LEFT(G17,2)="CA","CA",IF(LEFT(G17,2)="UN","US",IF(LEFT(G17,2)="PA","PA",IF(LEFT(G17,2)="JA","JP"))))</f>
        <v>PA</v>
      </c>
      <c r="I21" s="57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59.19</v>
      </c>
      <c r="G23" s="23">
        <f>+N2</f>
        <v>49.59</v>
      </c>
      <c r="H23" s="23">
        <f>+M2</f>
        <v>38.85</v>
      </c>
      <c r="I23" s="5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3"/>
      <c r="D26" s="63"/>
      <c r="E26" s="63"/>
      <c r="F26" s="63"/>
      <c r="G26" s="63"/>
      <c r="H26" s="63"/>
      <c r="I26" s="62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7" t="s">
        <v>19</v>
      </c>
      <c r="E31" s="77"/>
      <c r="F31" s="77" t="s">
        <v>18</v>
      </c>
      <c r="G31" s="77"/>
      <c r="H31" s="57" t="s">
        <v>17</v>
      </c>
      <c r="I31" s="19" t="s">
        <v>16</v>
      </c>
      <c r="M31"/>
    </row>
    <row r="32" spans="2:13" ht="39" customHeight="1" x14ac:dyDescent="0.2">
      <c r="B32" s="41" t="s">
        <v>185</v>
      </c>
      <c r="C32" s="19" t="s">
        <v>184</v>
      </c>
      <c r="D32" s="69"/>
      <c r="E32" s="70"/>
      <c r="F32" s="69">
        <f>+K2</f>
        <v>384</v>
      </c>
      <c r="G32" s="70"/>
      <c r="H32" s="17">
        <v>0.76</v>
      </c>
      <c r="I32" s="18">
        <f>+H32*F32</f>
        <v>291.84000000000003</v>
      </c>
      <c r="K32" s="48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7"/>
    </row>
    <row r="34" spans="2:11" ht="21.75" customHeight="1" x14ac:dyDescent="0.2">
      <c r="B34" s="15" t="s">
        <v>14</v>
      </c>
      <c r="C34" s="15"/>
      <c r="D34" s="67"/>
      <c r="E34" s="68"/>
      <c r="F34" s="69">
        <f>SUM(F32:G33)</f>
        <v>384</v>
      </c>
      <c r="G34" s="70"/>
      <c r="H34" s="15"/>
      <c r="I34" s="14">
        <f>SUM(I32:I33)</f>
        <v>291.84000000000003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291.84000000000003</v>
      </c>
    </row>
    <row r="37" spans="2:11" ht="20.25" customHeight="1" x14ac:dyDescent="0.2">
      <c r="B37" s="15" t="s">
        <v>80</v>
      </c>
      <c r="C37" s="61" t="s">
        <v>11</v>
      </c>
      <c r="D37" s="63"/>
      <c r="E37" s="63"/>
      <c r="F37" s="63"/>
      <c r="G37" s="63"/>
      <c r="H37" s="6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291.84000000000003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4" t="s">
        <v>7</v>
      </c>
      <c r="C46" s="64"/>
      <c r="D46" s="6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5" t="s">
        <v>1</v>
      </c>
      <c r="D55" s="65"/>
      <c r="E55" s="5"/>
      <c r="F55" s="5"/>
      <c r="G55" s="5"/>
      <c r="H55" s="5"/>
      <c r="I55" s="4"/>
    </row>
    <row r="56" spans="2:11" x14ac:dyDescent="0.2">
      <c r="B56" s="6"/>
      <c r="C56" s="66" t="s">
        <v>0</v>
      </c>
      <c r="D56" s="66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0"/>
      <c r="D57" s="6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8BD4C0-0432-4BBC-A2DD-C7F6321C0316}">
          <x14:formula1>
            <xm:f>Sheet1!$L$5:$L$25</xm:f>
          </x14:formula1>
          <xm:sqref>G13</xm:sqref>
        </x14:dataValidation>
        <x14:dataValidation type="list" allowBlank="1" showInputMessage="1" showErrorMessage="1" xr:uid="{B4A2EBFC-DFCB-45E2-81EB-4A055FC29C5D}">
          <x14:formula1>
            <xm:f>Sheet1!$B$17:$B$18</xm:f>
          </x14:formula1>
          <xm:sqref>G5</xm:sqref>
        </x14:dataValidation>
        <x14:dataValidation type="list" allowBlank="1" showInputMessage="1" showErrorMessage="1" xr:uid="{672C93DC-A49F-4026-A5B5-80FAC46B8A15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74</vt:lpstr>
      <vt:lpstr>75</vt:lpstr>
      <vt:lpstr>'74'!Print_Area</vt:lpstr>
      <vt:lpstr>'75'!Print_Area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2026-05-06T01:27:44Z</cp:lastPrinted>
  <dcterms:created xsi:type="dcterms:W3CDTF">2024-04-17T09:56:05Z</dcterms:created>
  <dcterms:modified xsi:type="dcterms:W3CDTF">2026-05-06T01:28:29Z</dcterms:modified>
</cp:coreProperties>
</file>